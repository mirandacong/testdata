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ml.chart+xml" PartName="/xl/charts/chart15.xml"/>
  <Override ContentType="application/vnd.openxmlformats-officedocument.drawingml.chart+xml" PartName="/xl/charts/chart16.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ml.chartshapes+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0" yWindow="2295" windowWidth="8835" windowHeight="4695" tabRatio="679" firstSheet="5" activeTab="5"/>
  </bookViews>
  <sheets>
    <sheet name="Rents" sheetId="31" state="veryHidden" r:id="rId1"/>
    <sheet name="Cervalis charts" sheetId="39" state="veryHidden" r:id="rId2"/>
    <sheet name="Estimates" sheetId="12" state="veryHidden" r:id="rId3"/>
    <sheet name="Q" sheetId="27" state="veryHidden" r:id="rId4"/>
    <sheet name="Link" sheetId="29" state="veryHidden" r:id="rId5"/>
    <sheet name="ImportantDisclosures" sheetId="43" r:id="rId6"/>
    <sheet name="SheetVisibilityStatus" sheetId="47" state="veryHidden" r:id="rId7"/>
    <sheet name="CircularReferenceAlert" sheetId="46" r:id="rId8"/>
    <sheet name="Model" sheetId="1" state="veryHidden" r:id="rId9"/>
    <sheet name="Charts" sheetId="21" state="veryHidden" r:id="rId10"/>
    <sheet name="Valuation" sheetId="16" state="veryHidden" r:id="rId11"/>
    <sheet name="IndexInformation" sheetId="44" state="veryHidden" r:id="rId12"/>
    <sheet name="ModPubIndex" sheetId="45" state="veryHidden" r:id="rId13"/>
    <sheet name="Customer Mix" sheetId="18" state="veryHidden" r:id="rId14"/>
    <sheet name="Portfolio" sheetId="17" state="veryHidden" r:id="rId15"/>
    <sheet name="MW-Cache" sheetId="23" state="veryHidden" r:id="rId16"/>
  </sheets>
  <externalReferences>
    <externalReference r:id="rId17"/>
    <externalReference r:id="rId18"/>
    <externalReference r:id="rId19"/>
    <externalReference r:id="rId20"/>
  </externalReferences>
  <definedNames>
    <definedName name="__FDS_HYPERLINK_TOGGLE_STATE__" hidden="1">"ON"</definedName>
    <definedName name="_bdm.0D51745E252949468C456DBBC7834D0B.edm" hidden="1">[1]WACC!$A:$IV</definedName>
    <definedName name="_bdm.12C3E89515AA4F41AFAD5B0FA26EE6B6.edm" hidden="1" xml:space="preserve">          '[2]Diff - OLD'!$A:$IV</definedName>
    <definedName name="_bdm.1CD095BD4E7F4A03B49ABD88FF62A793.edm" hidden="1" xml:space="preserve">          '[2]Diff - OLD'!$A:$IV</definedName>
    <definedName name="_bdm.22278B9230174FEE9DB15D7D99D5B99C.edm" hidden="1" xml:space="preserve">          '[2]Diff - OLD'!$A:$IV</definedName>
    <definedName name="_bdm.3799C04A47DB4FD0ADB91B8C2D46AADE.edm" hidden="1" xml:space="preserve">          '[2]Diff - OLD'!$A:$IV</definedName>
    <definedName name="_bdm.38BE7551C2DA491A8C4F9B5ED9E7E3B4.edm" hidden="1">'[1]CSCO Report'!$A:$IV</definedName>
    <definedName name="_bdm.3C53AFC3D52F41D59C263C8D34A2E226.edm" hidden="1">[1]Sheet1!$A:$IV</definedName>
    <definedName name="_bdm.4F7C460D5AC14FD187695DB3B0FB54F0.edm" hidden="1">[1]Leverage!$A:$IV</definedName>
    <definedName name="_bdm.585ED2767D0E4B2A97CB7FC959C53EE3.edm" hidden="1" xml:space="preserve">          '[2]Diff - OLD'!$A:$IV</definedName>
    <definedName name="_bdm.5E823412EF174565906A2F2A81F7233F.edm" hidden="1">[1]Revs!$A:$IV</definedName>
    <definedName name="_bdm.5EC0F453A8014E1BB469F76BFBDE951E.edm" hidden="1" xml:space="preserve">          '[2]Diff - OLD'!$A:$IV</definedName>
    <definedName name="_bdm.646A898CE9DE42B8A9C23B00628316E4.edm" hidden="1">[1]Guidance!$A:$IV</definedName>
    <definedName name="_bdm.6611EB5903214A45B627EC81E5E8FAEF.edm" hidden="1">'[1]LVLT M&amp;A'!$A:$IV</definedName>
    <definedName name="_bdm.6D543028941947A88DFE4E1436176DD6.edm" hidden="1" xml:space="preserve">          '[2]Diff - OLD'!$A:$IV</definedName>
    <definedName name="_bdm.709E7BA5F6284304B37C709F1BB1EF9B.edm" hidden="1">[1]GLBC!$A:$IV</definedName>
    <definedName name="_bdm.70D17B1AA44C4BC5AB94CBA00BD39FD7.edm" hidden="1">[1]Summary!$A:$IV</definedName>
    <definedName name="_bdm.7274D56C5197421C990B6F665567F7AD.edm" hidden="1">[1]Timing!$A:$IV</definedName>
    <definedName name="_bdm.77BAEADBA91B41728B455E6D353A0F42.edm" hidden="1">'[1]Fiber &amp; Clec'!$A:$IV</definedName>
    <definedName name="_bdm.8D8B4AF90F464B64B8C23DB614A49C27.edm" hidden="1">[1]transactionCTL_SVVS!$A:$IV</definedName>
    <definedName name="_bdm.9A5C04A62A704EF09CFE327DDCB1F465.edm" hidden="1">'[1]LVLT M&amp;A - FactSet'!$A:$IV</definedName>
    <definedName name="_bdm.A76EE780BE744C67B3B04DBB400FA66C.edm" hidden="1">[1]Approvals!$A:$IV</definedName>
    <definedName name="_bdm.B06D75418A24450184BFA8C22B610F48.edm" hidden="1" xml:space="preserve">          '[2]Diff - OLD'!$A:$IV</definedName>
    <definedName name="_bdm.B1A36DBA92164DAAB826EBA45C1AF227.edm" hidden="1" xml:space="preserve">          '[2]Diff - OLD'!$A:$IV</definedName>
    <definedName name="_bdm.CE0804BD747B44E3898F8C239BE44281.edm" hidden="1">Q!$1:$1048576</definedName>
    <definedName name="_bdm.D11AFB32630C489FA7F0DC5B386C8F37.edm" hidden="1">[3]Sheet1!$A:$IV</definedName>
    <definedName name="_bdm.D4A153B5D8564E70A50E4B74872964CC.edm" hidden="1" xml:space="preserve">          '[2]Diff - OLD'!$A:$IV</definedName>
    <definedName name="_bdm.E1D02269F33E4F56B89AACF0B07B4234.edm" hidden="1" xml:space="preserve">          '[2]Diff - OLD'!$A:$IV</definedName>
    <definedName name="_bdm.E4CD4B9794924F0E80FB1F195F11497D.edm" hidden="1">[3]Sheet2!$A:$IV</definedName>
    <definedName name="_bdm.E54E65158B774221BC0B9397DB223B25.edm" hidden="1" xml:space="preserve">          '[2]Diff - OLD'!$A:$IV</definedName>
    <definedName name="_bdm.EF24D72AB6664FBB9A3ED5A60E4D9636.edm" hidden="1" xml:space="preserve">          '[2]Diff - OLD'!$A:$IV</definedName>
    <definedName name="_bdm.F2C8F36DFE9E4958BF0DC281160F0A3A.edm" hidden="1">[1]Synergies!$A:$IV</definedName>
    <definedName name="_bdm.F3DF94629BFF460A9CC4DEC8BD68D9C2.edm" hidden="1" xml:space="preserve">          '[2]Diff - OLD'!$A:$IV</definedName>
    <definedName name="_bdm.FBC03688D5884DD9BBED24BD53894500.edm" hidden="1">'[1]PF Mix'!$A:$IV</definedName>
    <definedName name="_bdm.FC814BDDC13546BFAC98F99FB89A0197.edm" hidden="1" xml:space="preserve">          '[2]Diff - OLD'!$A:$IV</definedName>
    <definedName name="AdditionalInstructions">IndexInformation!$B$42</definedName>
    <definedName name="Address" localSheetId="5">ImportantDisclosures!$A$2:$A$2</definedName>
    <definedName name="ANA" localSheetId="12">ModPubIndex!$A$7</definedName>
    <definedName name="Authors" localSheetId="5">ImportantDisclosures!$A$7</definedName>
    <definedName name="Authors" localSheetId="11">IndexInformation!$B$18</definedName>
    <definedName name="BRO" localSheetId="12">ModPubIndex!$A$1</definedName>
    <definedName name="Buttons" localSheetId="7">CircularReferenceAlert!$B$13:$B$15</definedName>
    <definedName name="CopyrightStamp">ImportantDisclosures!$A$27</definedName>
    <definedName name="COU" localSheetId="12">ModPubIndex!$A$5</definedName>
    <definedName name="CQEnd" localSheetId="11">IndexInformation!$B$31</definedName>
    <definedName name="Currency" localSheetId="11">IndexInformation!$B$24</definedName>
    <definedName name="CurrentStockPrice" localSheetId="11">IndexInformation!$B$23</definedName>
    <definedName name="CurrQtrEPS" localSheetId="11">IndexInformation!$B$29</definedName>
    <definedName name="CurrYearEPS" localSheetId="11">IndexInformation!$B$11</definedName>
    <definedName name="CurrYearTotalRevenue" localSheetId="11">IndexInformation!$B$10</definedName>
    <definedName name="CurrYearTotalRevenueActual" localSheetId="11">IndexInformation!$B$32</definedName>
    <definedName name="CUSIP" localSheetId="11">IndexInformation!$B$20</definedName>
    <definedName name="CYEnd" localSheetId="11">IndexInformation!$B$30</definedName>
    <definedName name="dataseries4">OFFSET([4]c1!$G$12,0,0,COUNTA([4]c1!$G$12:$G$31),1)</definedName>
    <definedName name="Date" localSheetId="5">ImportantDisclosures!$A$8</definedName>
    <definedName name="Deleted" localSheetId="11">IndexInformation!$B$27</definedName>
    <definedName name="Description" localSheetId="11">IndexInformation!$B$7</definedName>
    <definedName name="Discipline" localSheetId="11">IndexInformation!$B$3</definedName>
    <definedName name="DISCIPLINE" localSheetId="12">ModPubIndex!$A$12</definedName>
    <definedName name="DisclosuresText">ImportantDisclosures!$A$22</definedName>
    <definedName name="Distribution" localSheetId="11">IndexInformation!$B$26</definedName>
    <definedName name="DistTable" localSheetId="5">ImportantDisclosures!#REF!</definedName>
    <definedName name="DistTablePreamble" localSheetId="5">ImportantDisclosures!#REF!</definedName>
    <definedName name="DOCDAT" localSheetId="12">ModPubIndex!$A$2</definedName>
    <definedName name="DOCTIME" localSheetId="12">ModPubIndex!$A$3</definedName>
    <definedName name="DocType" localSheetId="11">IndexInformation!$B$5</definedName>
    <definedName name="EMAIL_ALERT" localSheetId="12">ModPubIndex!$A$10</definedName>
    <definedName name="EmailAlert" localSheetId="11">IndexInformation!$B$28</definedName>
    <definedName name="ｆ">"iQShowAnnual"</definedName>
    <definedName name="FiveYearGrowthRate" localSheetId="11">IndexInformation!$B$16</definedName>
    <definedName name="FollowingYearEPS" localSheetId="11">IndexInformation!$B$15</definedName>
    <definedName name="FollowingYearTotalRevenue" localSheetId="11">IndexInformation!$B$14</definedName>
    <definedName name="FollowingYearTotalRevenueActual" localSheetId="11">IndexInformation!$B$34</definedName>
    <definedName name="HL" localSheetId="12">ModPubIndex!$A$8</definedName>
    <definedName name="IND" localSheetId="12">ModPubIndex!$A$9</definedName>
    <definedName name="Industry" localSheetId="5">ImportantDisclosures!$A$12</definedName>
    <definedName name="IndustryId">IndexInformation!$B$40</definedName>
    <definedName name="IndustryRating" localSheetId="5">ImportantDisclosures!$A$13</definedName>
    <definedName name="KeepVersions" localSheetId="11">IndexInformation!$B$8</definedName>
    <definedName name="LanguageCode">IndexInformation!$B$38</definedName>
    <definedName name="LastCell" localSheetId="5">ImportantDisclosures!$A$22</definedName>
    <definedName name="Linking_1">Model!$B$7:$BS$75</definedName>
    <definedName name="Linking_10">Q!$AK$42:$AO$54</definedName>
    <definedName name="Linking_11">Q!$AK$42:$AP$54</definedName>
    <definedName name="Linking_12">Q!$AK$42:$AQ$54</definedName>
    <definedName name="Linking_13">Q!$AK$42:$AR$54</definedName>
    <definedName name="Linking_14">Q!$D$8:$AG$39</definedName>
    <definedName name="Linking_15">Q!$AK$26:$AO$40</definedName>
    <definedName name="Linking_16">Model!$B$1:$BT$75</definedName>
    <definedName name="Linking_17">Q!$AK$26:$AO$38</definedName>
    <definedName name="Linking_18">Q!$AK$26:$AP$40</definedName>
    <definedName name="Linking_19">Q!$D$8:$AE$37</definedName>
    <definedName name="Linking_2">Q!$AK$57:$AQ$70</definedName>
    <definedName name="Linking_20">Q!$AK$26:$AP$38</definedName>
    <definedName name="Linking_21">Q!$D$8:$AF$37</definedName>
    <definedName name="Linking_22">Q!$AK$26:$AQ$39</definedName>
    <definedName name="Linking_23">Model!$B$7:$BV$75</definedName>
    <definedName name="Linking_24">Q!$AK$26:$AQ$38</definedName>
    <definedName name="Linking_25">Q!$AK$10:$AL$22</definedName>
    <definedName name="Linking_26">Q!$AT$11:$AV$20</definedName>
    <definedName name="Linking_27">Q!$D$8:$AG$37</definedName>
    <definedName name="Linking_28">Model!$B$7:$BU$75</definedName>
    <definedName name="Linking_29">Model!$B$341:$BU$364</definedName>
    <definedName name="Linking_3">Q!$AK$57:$AR$70</definedName>
    <definedName name="Linking_30">Model!$B$368:$BU$397</definedName>
    <definedName name="Linking_31">Q!$AK$10:$AM$22</definedName>
    <definedName name="Linking_4">Q!$AK$57:$AR$69</definedName>
    <definedName name="Linking_5">Q!$AK$42:$AN$54</definedName>
    <definedName name="Linking_6">Model!$B$7:$BT$75</definedName>
    <definedName name="Linking_7">Model!$B$341:$BT$364</definedName>
    <definedName name="Linking_8">Model!$B$368:$BT$397</definedName>
    <definedName name="Linking_9">Q!$AK$42:$AO$55</definedName>
    <definedName name="Linking_Range_1" localSheetId="0">Rents!$F$4:$G$14</definedName>
    <definedName name="Linking_Range_11">Portfolio!$B$38:$H$42</definedName>
    <definedName name="Linking_Range_12">Q!$D$8:$AB$37</definedName>
    <definedName name="Linking_Range_13">Q!$D$8:$AB$38</definedName>
    <definedName name="Linking_Range_15">Model!$B$7:$BQ$84</definedName>
    <definedName name="Linking_Range_16">Model!$B$341:$BQ$364</definedName>
    <definedName name="Linking_Range_17">Model!$B$368:$BQ$397</definedName>
    <definedName name="Linking_Range_19">Q!$D$8:$AH$36</definedName>
    <definedName name="Linking_Range_2" localSheetId="0">Rents!$F$4:$G$17</definedName>
    <definedName name="Linking_Range_2">Model!$B$7:$Z$75</definedName>
    <definedName name="Linking_Range_20">Q!$D$8:$AH$39</definedName>
    <definedName name="Linking_Range_21">Q!$D$8:$AF$39</definedName>
    <definedName name="Linking_Range_22">Q!$AK$87:$AO$99</definedName>
    <definedName name="Linking_Range_23">Q!$AK$87:$AO$100</definedName>
    <definedName name="Linking_Range_24">Rents!$C$4:$D$16</definedName>
    <definedName name="Linking_Range_25">Q!$AK$87:$AM$99</definedName>
    <definedName name="Linking_Range_26">Q!$AK$87:$AM$100</definedName>
    <definedName name="Linking_Range_27">Q!$D$8:$AF$39</definedName>
    <definedName name="Linking_Range_28">Q!$AK$87:$AN$99</definedName>
    <definedName name="Linking_Range_29">Q!$D$8:$AF$42</definedName>
    <definedName name="Linking_Range_3">Model!$B$341:$Z$364</definedName>
    <definedName name="Linking_Range_30">Model!$B$368:$BQ$398</definedName>
    <definedName name="Linking_Range_31">Model!$B$122:$BQ$128</definedName>
    <definedName name="Linking_Range_32">Q!$D$8:$AH$40</definedName>
    <definedName name="Linking_Range_33">Q!$AK$87:$AL$99</definedName>
    <definedName name="Linking_Range_34">Q!$AK$72:$AO$82</definedName>
    <definedName name="Linking_Range_35">Q!$AK$72:$AO$83</definedName>
    <definedName name="Linking_Range_36">Model!$B$7:$BQ$75</definedName>
    <definedName name="Linking_Range_37">Model!$B$122:$BQ$140</definedName>
    <definedName name="Linking_Range_38">Model!$B$7:$BR$84</definedName>
    <definedName name="Linking_Range_39">Model!$B$341:$BR$364</definedName>
    <definedName name="Linking_Range_4">Model!$B$368:$Z$397</definedName>
    <definedName name="Linking_Range_40">Model!$B$368:$BR$397</definedName>
    <definedName name="Linking_Range_41">Model!$B$122:$BR$128</definedName>
    <definedName name="Linking_Range_42">Q!$AK$72:$AN$83</definedName>
    <definedName name="Linking_Range_43">Model!$B$123:$BR$128</definedName>
    <definedName name="Linking_Range_44">Q!$AK$72:$AP$82</definedName>
    <definedName name="Linking_Range_45">Q!$D$8:$AG$39</definedName>
    <definedName name="Linking_Range_46">Model!$B$7:$BR$69</definedName>
    <definedName name="Linking_Range_47">Q!$D$8:$AE$39</definedName>
    <definedName name="Linking_Range_48">Q!$AK$57:$AQ$69</definedName>
    <definedName name="Linking_Range_49">Model!$B$341:$BS$364</definedName>
    <definedName name="Linking_Range_5">Model!$B$7:$BP$75</definedName>
    <definedName name="Linking_Range_50">Model!$B$7:$BS$84</definedName>
    <definedName name="Linking_Range_51">Model!$B$368:$BS$397</definedName>
    <definedName name="Linking_Range_6">Model!$B$341:$BP$364</definedName>
    <definedName name="Linking_Range_7">Model!$B$368:$BP$397</definedName>
    <definedName name="Linking_Range_8">Model!$B$1:$BP$84</definedName>
    <definedName name="Linking_Range_9">Model!$B$7:$BP$84</definedName>
    <definedName name="MacroVersion" localSheetId="11">IndexInformation!$B$1</definedName>
    <definedName name="MaxChange" localSheetId="7">CircularReferenceAlert!$B$9</definedName>
    <definedName name="MaxIterations" localSheetId="7">CircularReferenceAlert!$B$8</definedName>
    <definedName name="ModelPrice" localSheetId="5">ImportantDisclosures!$A$14</definedName>
    <definedName name="Multiplier" localSheetId="11">IndexInformation!$B$35</definedName>
    <definedName name="NextYearEPS" localSheetId="11">IndexInformation!$B$13</definedName>
    <definedName name="NextYearTotalRevenue" localSheetId="11">IndexInformation!$B$12</definedName>
    <definedName name="NextYearTotalRevenueActual" localSheetId="11">IndexInformation!$B$33</definedName>
    <definedName name="Normalized_Income_Statement">"IS_Annual"</definedName>
    <definedName name="ObjectType">IndexInformation!$B$37</definedName>
    <definedName name="PANA" localSheetId="12">ModPubIndex!$A$11</definedName>
    <definedName name="PathName" localSheetId="11">IndexInformation!$B$25</definedName>
    <definedName name="_xlnm.Print_Area" localSheetId="2">Estimates!$B$3:$AX$26</definedName>
    <definedName name="_xlnm.Print_Area" localSheetId="8">Model!$B$7:$BT$75,Model!$B$341:$BT$364,Model!$B$368:$BT$397</definedName>
    <definedName name="_xlnm.Print_Area" localSheetId="3">Q!$AK$26:$AO$40</definedName>
    <definedName name="_xlnm.Print_Area" localSheetId="10">Valuation!$C$3:$F$60</definedName>
    <definedName name="_xlnm.Print_Area">"Formula removed, name can be deleted."</definedName>
    <definedName name="_xlnm.Print_Titles">#REF!</definedName>
    <definedName name="PRODUCT" localSheetId="12">ModPubIndex!$A$6</definedName>
    <definedName name="ProjectName">{"Client Name or Project Name"}</definedName>
    <definedName name="PSYM" localSheetId="12">ModPubIndex!$A$4</definedName>
    <definedName name="PublishDate" localSheetId="11">IndexInformation!$B$2</definedName>
    <definedName name="Rating" localSheetId="11">IndexInformation!$B$9</definedName>
    <definedName name="RatingsDefined" localSheetId="5">ImportantDisclosures!$A$21</definedName>
    <definedName name="RatingsDefs" localSheetId="5">ImportantDisclosures!#REF!</definedName>
    <definedName name="RegACDisclosure" localSheetId="5">ImportantDisclosures!#REF!</definedName>
    <definedName name="Rem_Bus_ROIC" localSheetId="1">OFFSET([0]!XRange,11,0)</definedName>
    <definedName name="Rem_Bus_ROIC">OFFSET([0]!XRange,11,0)</definedName>
    <definedName name="ResearchTopic" localSheetId="11">IndexInformation!$B$4</definedName>
    <definedName name="RIC" localSheetId="11">IndexInformation!$B$21</definedName>
    <definedName name="SECSettlement" localSheetId="5">ImportantDisclosures!#REF!</definedName>
    <definedName name="SEDOL" localSheetId="11">IndexInformation!$B$22</definedName>
    <definedName name="SourceDefined" localSheetId="5">ImportantDisclosures!$A$19</definedName>
    <definedName name="StockRating" localSheetId="5">ImportantDisclosures!$A$11</definedName>
    <definedName name="SubjectCode" localSheetId="11">IndexInformation!$B$6</definedName>
    <definedName name="SubmitterUserId">IndexInformation!$B$39</definedName>
    <definedName name="SUPPRESSED" localSheetId="12">ModPubIndex!$A$13</definedName>
    <definedName name="TargetPrice" localSheetId="5">ImportantDisclosures!$A$15</definedName>
    <definedName name="TemplateRegion">IndexInformation!$B$36</definedName>
    <definedName name="Ticker" localSheetId="5">ImportantDisclosures!$A$10</definedName>
    <definedName name="TickerRegion">IndexInformation!$B$41</definedName>
    <definedName name="Tickers" localSheetId="11">IndexInformation!$B$19</definedName>
    <definedName name="Total_Bus_ROIC" localSheetId="1">OFFSET([0]!XRange,12,0)</definedName>
    <definedName name="Total_Bus_ROIC">OFFSET([0]!XRange,12,0)</definedName>
    <definedName name="UpdateReason" localSheetId="11">IndexInformation!$B$17</definedName>
    <definedName name="USRegDisclosures" localSheetId="5">ImportantDisclosures!#REF!</definedName>
    <definedName name="Version">"June 29, 2004"</definedName>
    <definedName name="WACC" localSheetId="1">OFFSET([0]!XRange,13,0)</definedName>
    <definedName name="WACC">OFFSET([0]!XRange,13,0)</definedName>
  </definedNames>
  <calcPr calcId="145621" iterate="1"/>
</workbook>
</file>

<file path=xl/calcChain.xml><?xml version="1.0" encoding="utf-8"?>
<calcChain xmlns="http://schemas.openxmlformats.org/spreadsheetml/2006/main">
  <c r="AM174" i="1" l="1"/>
  <c r="D8" i="16" l="1"/>
  <c r="D5" i="16"/>
  <c r="AL1" i="1"/>
  <c r="AL369" i="1" s="1"/>
  <c r="AL387" i="1"/>
  <c r="AL389" i="1"/>
  <c r="AL393" i="1" s="1"/>
  <c r="AL377" i="1"/>
  <c r="AL376" i="1"/>
  <c r="AL56" i="1"/>
  <c r="AL54" i="1"/>
  <c r="AL42" i="1"/>
  <c r="AL372" i="1"/>
  <c r="AL364" i="1"/>
  <c r="AL332" i="1"/>
  <c r="AL321" i="1"/>
  <c r="AL287" i="1"/>
  <c r="AL280" i="1"/>
  <c r="AL260" i="1"/>
  <c r="AL259" i="1"/>
  <c r="AL258" i="1"/>
  <c r="AL254" i="1"/>
  <c r="AL191" i="1"/>
  <c r="AL174" i="1"/>
  <c r="AL168" i="1"/>
  <c r="AL166" i="1"/>
  <c r="AL167" i="1" s="1"/>
  <c r="AL157" i="1"/>
  <c r="AL147" i="1"/>
  <c r="AL134" i="1"/>
  <c r="AL127" i="1"/>
  <c r="AL87" i="1"/>
  <c r="AL84" i="1"/>
  <c r="AL83" i="1"/>
  <c r="AL62" i="1"/>
  <c r="AL47" i="1"/>
  <c r="AL48" i="1" s="1"/>
  <c r="AL19" i="1"/>
  <c r="AL17" i="1"/>
  <c r="AL9" i="1"/>
  <c r="AL247" i="1" s="1"/>
  <c r="AL8" i="1"/>
  <c r="BY392" i="1"/>
  <c r="BX392" i="1"/>
  <c r="BW392" i="1"/>
  <c r="BY391" i="1"/>
  <c r="BX391" i="1"/>
  <c r="BW391" i="1"/>
  <c r="BY390" i="1"/>
  <c r="BX390" i="1"/>
  <c r="BW390" i="1"/>
  <c r="BY383" i="1"/>
  <c r="BX383" i="1"/>
  <c r="BW383" i="1"/>
  <c r="BY377" i="1"/>
  <c r="BX377" i="1"/>
  <c r="BW377" i="1"/>
  <c r="BY229" i="1"/>
  <c r="BX229" i="1"/>
  <c r="BW229" i="1"/>
  <c r="BY161" i="1"/>
  <c r="BX161" i="1"/>
  <c r="BW161" i="1"/>
  <c r="BY157" i="1"/>
  <c r="BX157" i="1"/>
  <c r="BW157" i="1"/>
  <c r="BY51" i="1"/>
  <c r="BX51" i="1"/>
  <c r="BW51" i="1"/>
  <c r="BY44" i="1"/>
  <c r="BX44" i="1"/>
  <c r="BW44" i="1"/>
  <c r="BY42" i="1"/>
  <c r="BX42" i="1"/>
  <c r="BW42" i="1"/>
  <c r="BY40" i="1"/>
  <c r="BX40" i="1"/>
  <c r="BW40" i="1"/>
  <c r="BY29" i="1"/>
  <c r="BX29" i="1"/>
  <c r="BW29" i="1"/>
  <c r="BY162" i="1"/>
  <c r="AY2" i="1"/>
  <c r="AZ2" i="1" s="1"/>
  <c r="AY49" i="1"/>
  <c r="BW49" i="1" s="1"/>
  <c r="AZ49" i="1"/>
  <c r="BA49" i="1"/>
  <c r="BB49" i="1"/>
  <c r="BC49" i="1"/>
  <c r="BX49" i="1" s="1"/>
  <c r="BD49" i="1"/>
  <c r="BE49" i="1"/>
  <c r="BF49" i="1"/>
  <c r="BG49" i="1"/>
  <c r="BY49" i="1" s="1"/>
  <c r="BH49" i="1"/>
  <c r="BI49" i="1"/>
  <c r="BJ49" i="1"/>
  <c r="AY54" i="1"/>
  <c r="AZ54" i="1"/>
  <c r="BA54" i="1"/>
  <c r="BB54" i="1"/>
  <c r="BC54" i="1"/>
  <c r="BD54" i="1"/>
  <c r="BE54" i="1"/>
  <c r="BF54" i="1"/>
  <c r="BG54" i="1"/>
  <c r="BH54" i="1"/>
  <c r="BI54" i="1"/>
  <c r="BJ54" i="1"/>
  <c r="AY147" i="1"/>
  <c r="AZ147" i="1"/>
  <c r="BA147" i="1"/>
  <c r="BB147" i="1"/>
  <c r="BC147" i="1"/>
  <c r="BD147" i="1"/>
  <c r="BE147" i="1"/>
  <c r="BF147" i="1"/>
  <c r="BG147" i="1"/>
  <c r="BH147" i="1"/>
  <c r="BI147" i="1"/>
  <c r="BJ147" i="1"/>
  <c r="AY148" i="1"/>
  <c r="AZ148" i="1"/>
  <c r="BA148" i="1"/>
  <c r="BB148" i="1"/>
  <c r="BC148" i="1"/>
  <c r="BD148" i="1"/>
  <c r="BE148" i="1"/>
  <c r="BF148" i="1"/>
  <c r="BG148" i="1"/>
  <c r="BH148" i="1"/>
  <c r="BI148" i="1"/>
  <c r="BJ148" i="1"/>
  <c r="AY150" i="1"/>
  <c r="AZ150" i="1"/>
  <c r="BA150" i="1"/>
  <c r="BB150" i="1"/>
  <c r="BC150" i="1"/>
  <c r="BD150" i="1"/>
  <c r="BE150" i="1"/>
  <c r="BF150" i="1"/>
  <c r="BG150" i="1"/>
  <c r="BH150" i="1"/>
  <c r="BI150" i="1"/>
  <c r="BJ150" i="1"/>
  <c r="AY158" i="1"/>
  <c r="AZ158" i="1"/>
  <c r="BA158" i="1"/>
  <c r="BB158" i="1"/>
  <c r="BC158" i="1"/>
  <c r="BD158" i="1"/>
  <c r="BE158" i="1"/>
  <c r="BF158" i="1"/>
  <c r="BG158" i="1"/>
  <c r="BH158" i="1"/>
  <c r="BI158" i="1"/>
  <c r="BJ158" i="1"/>
  <c r="AY159" i="1"/>
  <c r="AZ159" i="1"/>
  <c r="BA159" i="1"/>
  <c r="BB159" i="1"/>
  <c r="BC159" i="1"/>
  <c r="BD159" i="1"/>
  <c r="BE159" i="1"/>
  <c r="BF159" i="1"/>
  <c r="BG159" i="1"/>
  <c r="BH159" i="1"/>
  <c r="BI159" i="1"/>
  <c r="BJ159" i="1"/>
  <c r="AY162" i="1"/>
  <c r="AZ162" i="1"/>
  <c r="BA162" i="1"/>
  <c r="BB162" i="1"/>
  <c r="BC162" i="1"/>
  <c r="BD162" i="1"/>
  <c r="BE162" i="1"/>
  <c r="BF162" i="1"/>
  <c r="BG162" i="1"/>
  <c r="BH162" i="1"/>
  <c r="BI162" i="1"/>
  <c r="BJ162" i="1"/>
  <c r="AY232" i="1"/>
  <c r="AZ232" i="1"/>
  <c r="BA232" i="1"/>
  <c r="BB232" i="1"/>
  <c r="BC232" i="1"/>
  <c r="BD232" i="1"/>
  <c r="BE232" i="1"/>
  <c r="BF232" i="1"/>
  <c r="BG232" i="1"/>
  <c r="BH232" i="1"/>
  <c r="BI232" i="1"/>
  <c r="BJ232" i="1"/>
  <c r="AY276" i="1"/>
  <c r="AZ276" i="1"/>
  <c r="BA276" i="1"/>
  <c r="BB276" i="1"/>
  <c r="BC276" i="1"/>
  <c r="BD276" i="1"/>
  <c r="BE276" i="1"/>
  <c r="BF276" i="1"/>
  <c r="BG276" i="1"/>
  <c r="BH276" i="1"/>
  <c r="BI276" i="1"/>
  <c r="BJ276" i="1"/>
  <c r="AY358" i="1"/>
  <c r="AZ358" i="1"/>
  <c r="BA358" i="1"/>
  <c r="BB358" i="1"/>
  <c r="BW358" i="1" s="1"/>
  <c r="BC358" i="1"/>
  <c r="BD358" i="1"/>
  <c r="BE358" i="1"/>
  <c r="BF358" i="1"/>
  <c r="BX358" i="1" s="1"/>
  <c r="BG358" i="1"/>
  <c r="BH358" i="1"/>
  <c r="BI358" i="1"/>
  <c r="BJ358" i="1"/>
  <c r="BY358" i="1" s="1"/>
  <c r="AY380" i="1"/>
  <c r="BW380" i="1" s="1"/>
  <c r="AZ380" i="1"/>
  <c r="BA380" i="1"/>
  <c r="BB380" i="1"/>
  <c r="BC380" i="1"/>
  <c r="BX380" i="1" s="1"/>
  <c r="BD380" i="1"/>
  <c r="BE380" i="1"/>
  <c r="BF380" i="1"/>
  <c r="BG380" i="1"/>
  <c r="BY380" i="1" s="1"/>
  <c r="BH380" i="1"/>
  <c r="BI380" i="1"/>
  <c r="BJ380" i="1"/>
  <c r="AZ1" i="1" l="1"/>
  <c r="BA2" i="1"/>
  <c r="BX162" i="1"/>
  <c r="AY1" i="1"/>
  <c r="AL16" i="1"/>
  <c r="AL132" i="1"/>
  <c r="AL293" i="1"/>
  <c r="AL342" i="1"/>
  <c r="AL123" i="1"/>
  <c r="AL137" i="1"/>
  <c r="AL46" i="1"/>
  <c r="AL25" i="1"/>
  <c r="AL30" i="1" s="1"/>
  <c r="AL32" i="1" s="1"/>
  <c r="AL4" i="1" s="1"/>
  <c r="AL252" i="1"/>
  <c r="AL243" i="1"/>
  <c r="AP243" i="1" s="1"/>
  <c r="AL249" i="1"/>
  <c r="BW162" i="1"/>
  <c r="AY8" i="1"/>
  <c r="AY123" i="1"/>
  <c r="AY293" i="1"/>
  <c r="AY87" i="1"/>
  <c r="AY369" i="1"/>
  <c r="AY342" i="1"/>
  <c r="AV14" i="27"/>
  <c r="AV15" i="27" s="1"/>
  <c r="AU13" i="27"/>
  <c r="AU14" i="27" s="1"/>
  <c r="AU15" i="27" s="1"/>
  <c r="AC37" i="27"/>
  <c r="AC28" i="27"/>
  <c r="AC29" i="27" s="1"/>
  <c r="AC19" i="27"/>
  <c r="AN12" i="27"/>
  <c r="AN17" i="27" s="1"/>
  <c r="AL19" i="27"/>
  <c r="AL17" i="27"/>
  <c r="BB2" i="1" l="1"/>
  <c r="BA1" i="1"/>
  <c r="AZ123" i="1"/>
  <c r="AZ87" i="1"/>
  <c r="AZ342" i="1"/>
  <c r="AZ8" i="1"/>
  <c r="AZ293" i="1"/>
  <c r="AZ369" i="1"/>
  <c r="AL138" i="1"/>
  <c r="AL144" i="1"/>
  <c r="AL245" i="1"/>
  <c r="AL289" i="1"/>
  <c r="AL33" i="1"/>
  <c r="AL43" i="1"/>
  <c r="AL45" i="1" s="1"/>
  <c r="AL75" i="1" s="1"/>
  <c r="AL26" i="1"/>
  <c r="AL241" i="1"/>
  <c r="AL248" i="1"/>
  <c r="AM248" i="1" s="1"/>
  <c r="AN248" i="1" s="1"/>
  <c r="AO248" i="1" s="1"/>
  <c r="AP248" i="1" s="1"/>
  <c r="AQ248" i="1" s="1"/>
  <c r="AR248" i="1" s="1"/>
  <c r="AS248" i="1" s="1"/>
  <c r="AT248" i="1" s="1"/>
  <c r="AU248" i="1" s="1"/>
  <c r="AV248" i="1" s="1"/>
  <c r="AW248" i="1" s="1"/>
  <c r="AX248" i="1" s="1"/>
  <c r="AY248" i="1" s="1"/>
  <c r="AZ248" i="1" s="1"/>
  <c r="BA248" i="1" s="1"/>
  <c r="BB248" i="1" s="1"/>
  <c r="BC248" i="1" s="1"/>
  <c r="BD248" i="1" s="1"/>
  <c r="BE248" i="1" s="1"/>
  <c r="BF248" i="1" s="1"/>
  <c r="BG248" i="1" s="1"/>
  <c r="BH248" i="1" s="1"/>
  <c r="BI248" i="1" s="1"/>
  <c r="BJ248" i="1" s="1"/>
  <c r="AL253" i="1"/>
  <c r="AN13" i="27"/>
  <c r="BA123" i="1" l="1"/>
  <c r="BA87" i="1"/>
  <c r="BA342" i="1"/>
  <c r="BA293" i="1"/>
  <c r="BA369" i="1"/>
  <c r="BA8" i="1"/>
  <c r="BC2" i="1"/>
  <c r="BB1" i="1"/>
  <c r="BW2" i="1"/>
  <c r="BW1" i="1" s="1"/>
  <c r="AL52" i="1"/>
  <c r="AL55" i="1" s="1"/>
  <c r="AL5" i="1" s="1"/>
  <c r="AL371" i="1"/>
  <c r="AL378" i="1" s="1"/>
  <c r="V17" i="27"/>
  <c r="W17" i="27"/>
  <c r="X17" i="27"/>
  <c r="Y17" i="27"/>
  <c r="Z17" i="27"/>
  <c r="AA17" i="27"/>
  <c r="V18" i="27"/>
  <c r="W18" i="27"/>
  <c r="X18" i="27"/>
  <c r="Y18" i="27"/>
  <c r="Z18" i="27"/>
  <c r="AA18" i="27"/>
  <c r="V19" i="27"/>
  <c r="W19" i="27"/>
  <c r="AB19" i="27"/>
  <c r="V21" i="27"/>
  <c r="W21" i="27"/>
  <c r="X21" i="27"/>
  <c r="Y21" i="27"/>
  <c r="Z21" i="27"/>
  <c r="AA21" i="27"/>
  <c r="V34" i="27"/>
  <c r="W34" i="27"/>
  <c r="X34" i="27"/>
  <c r="Y34" i="27"/>
  <c r="Z34" i="27"/>
  <c r="AA34" i="27"/>
  <c r="V35" i="27"/>
  <c r="W35" i="27"/>
  <c r="X35" i="27"/>
  <c r="Y35" i="27"/>
  <c r="Z35" i="27"/>
  <c r="AA35" i="27"/>
  <c r="V36" i="27"/>
  <c r="W36" i="27"/>
  <c r="X36" i="27"/>
  <c r="Y36" i="27"/>
  <c r="Z36" i="27"/>
  <c r="AA36" i="27"/>
  <c r="BD2" i="1" l="1"/>
  <c r="BC1" i="1"/>
  <c r="BW87" i="1"/>
  <c r="BW369" i="1"/>
  <c r="BW8" i="1"/>
  <c r="BW342" i="1"/>
  <c r="BW123" i="1"/>
  <c r="BB8" i="1"/>
  <c r="BB87" i="1"/>
  <c r="BB123" i="1"/>
  <c r="BB342" i="1"/>
  <c r="BB293" i="1"/>
  <c r="BB369" i="1"/>
  <c r="AL66" i="1"/>
  <c r="AL74" i="1" s="1"/>
  <c r="AL61" i="1"/>
  <c r="AL68" i="1" s="1"/>
  <c r="AK1" i="1"/>
  <c r="BC8" i="1" l="1"/>
  <c r="BC87" i="1"/>
  <c r="BC293" i="1"/>
  <c r="BC123" i="1"/>
  <c r="BC369" i="1"/>
  <c r="BC342" i="1"/>
  <c r="BD1" i="1"/>
  <c r="BE2" i="1"/>
  <c r="AL63" i="1"/>
  <c r="AL70" i="1" s="1"/>
  <c r="AL6" i="1"/>
  <c r="BE1" i="1" l="1"/>
  <c r="BF2" i="1"/>
  <c r="BD8" i="1"/>
  <c r="BD123" i="1"/>
  <c r="BD369" i="1"/>
  <c r="BD293" i="1"/>
  <c r="BD342" i="1"/>
  <c r="BD87" i="1"/>
  <c r="BX2" i="1" l="1"/>
  <c r="BX1" i="1" s="1"/>
  <c r="BF1" i="1"/>
  <c r="BG2" i="1"/>
  <c r="BE369" i="1"/>
  <c r="BE87" i="1"/>
  <c r="BE293" i="1"/>
  <c r="BE342" i="1"/>
  <c r="BE123" i="1"/>
  <c r="BE8" i="1"/>
  <c r="BX342" i="1" l="1"/>
  <c r="BX87" i="1"/>
  <c r="BX123" i="1"/>
  <c r="BX369" i="1"/>
  <c r="BX8" i="1"/>
  <c r="BG1" i="1"/>
  <c r="BH2" i="1"/>
  <c r="BF123" i="1"/>
  <c r="BF293" i="1"/>
  <c r="BF342" i="1"/>
  <c r="BF369" i="1"/>
  <c r="BF8" i="1"/>
  <c r="BF87" i="1"/>
  <c r="BH1" i="1" l="1"/>
  <c r="BI2" i="1"/>
  <c r="BG342" i="1"/>
  <c r="BG87" i="1"/>
  <c r="BG8" i="1"/>
  <c r="BG123" i="1"/>
  <c r="BG293" i="1"/>
  <c r="BG369" i="1"/>
  <c r="BH87" i="1" l="1"/>
  <c r="BH369" i="1"/>
  <c r="BH123" i="1"/>
  <c r="BH8" i="1"/>
  <c r="BH293" i="1"/>
  <c r="BH342" i="1"/>
  <c r="BI1" i="1"/>
  <c r="BJ2" i="1"/>
  <c r="BJ1" i="1" l="1"/>
  <c r="BY2" i="1"/>
  <c r="BY1" i="1" s="1"/>
  <c r="BI123" i="1"/>
  <c r="BI8" i="1"/>
  <c r="BI293" i="1"/>
  <c r="BI369" i="1"/>
  <c r="BI342" i="1"/>
  <c r="BI87" i="1"/>
  <c r="BY8" i="1" l="1"/>
  <c r="BY342" i="1"/>
  <c r="BY369" i="1"/>
  <c r="BY87" i="1"/>
  <c r="BY123" i="1"/>
  <c r="BJ123" i="1"/>
  <c r="BJ342" i="1"/>
  <c r="BJ8" i="1"/>
  <c r="BJ369" i="1"/>
  <c r="BJ293" i="1"/>
  <c r="BJ87" i="1"/>
  <c r="AQ154" i="1" l="1"/>
  <c r="AM154" i="1"/>
  <c r="AK377" i="1"/>
  <c r="AK376" i="1"/>
  <c r="AK393" i="1"/>
  <c r="AK372" i="1"/>
  <c r="AK364" i="1"/>
  <c r="AK317" i="1"/>
  <c r="AK280" i="1"/>
  <c r="AK254" i="1"/>
  <c r="AK191" i="1"/>
  <c r="AK174" i="1"/>
  <c r="AK168" i="1"/>
  <c r="AK166" i="1"/>
  <c r="AK167" i="1" s="1"/>
  <c r="AK157" i="1"/>
  <c r="AK147" i="1"/>
  <c r="AA37" i="27" s="1"/>
  <c r="AK134" i="1"/>
  <c r="AK127" i="1"/>
  <c r="AL130" i="1" s="1"/>
  <c r="AK56" i="1"/>
  <c r="AK54" i="1"/>
  <c r="AK42" i="1"/>
  <c r="AK29" i="1"/>
  <c r="AA19" i="27" s="1"/>
  <c r="AK84" i="1"/>
  <c r="AK83" i="1"/>
  <c r="AK62" i="1"/>
  <c r="AK17" i="1"/>
  <c r="AK47" i="1"/>
  <c r="AK48" i="1" s="1"/>
  <c r="AK46" i="1" s="1"/>
  <c r="AK19" i="1"/>
  <c r="AK9" i="1"/>
  <c r="AL10" i="1" s="1"/>
  <c r="AK138" i="1" l="1"/>
  <c r="AK137" i="1"/>
  <c r="AL142" i="1" s="1"/>
  <c r="AK252" i="1"/>
  <c r="AK243" i="1"/>
  <c r="AA14" i="27"/>
  <c r="AK144" i="1"/>
  <c r="AK25" i="1"/>
  <c r="AK253" i="1" s="1"/>
  <c r="AA11" i="27"/>
  <c r="AK247" i="1"/>
  <c r="AK249" i="1"/>
  <c r="AK132" i="1"/>
  <c r="AK16" i="1"/>
  <c r="AK30" i="1" l="1"/>
  <c r="AK32" i="1" s="1"/>
  <c r="AK33" i="1" s="1"/>
  <c r="AL244" i="1"/>
  <c r="AO243" i="1"/>
  <c r="AK245" i="1"/>
  <c r="AL246" i="1" s="1"/>
  <c r="AK26" i="1"/>
  <c r="AK248" i="1"/>
  <c r="AL250" i="1" s="1"/>
  <c r="AA16" i="27"/>
  <c r="AA15" i="27"/>
  <c r="AA20" i="27" s="1"/>
  <c r="AA22" i="27" s="1"/>
  <c r="AA23" i="27" s="1"/>
  <c r="AK241" i="1" l="1"/>
  <c r="AL242" i="1" s="1"/>
  <c r="AK43" i="1"/>
  <c r="AK45" i="1"/>
  <c r="AK371" i="1" s="1"/>
  <c r="AK378" i="1" s="1"/>
  <c r="AA24" i="27"/>
  <c r="AK52" i="1" l="1"/>
  <c r="AK75" i="1"/>
  <c r="AK55" i="1" l="1"/>
  <c r="AA25" i="27"/>
  <c r="U36" i="27"/>
  <c r="T36" i="27"/>
  <c r="S36" i="27"/>
  <c r="R36" i="27"/>
  <c r="Q36" i="27"/>
  <c r="P36" i="27"/>
  <c r="O36" i="27"/>
  <c r="N36" i="27"/>
  <c r="M36" i="27"/>
  <c r="AA26" i="27" l="1"/>
  <c r="AK66" i="1"/>
  <c r="AK61" i="1"/>
  <c r="AA28" i="27" l="1"/>
  <c r="AK68" i="1"/>
  <c r="AA29" i="27" s="1"/>
  <c r="AK63" i="1"/>
  <c r="AK70" i="1" s="1"/>
  <c r="AK74" i="1"/>
  <c r="AA27" i="27"/>
  <c r="AR105" i="21"/>
  <c r="AR106" i="21"/>
  <c r="U17" i="27"/>
  <c r="U18" i="27"/>
  <c r="U19" i="27"/>
  <c r="U21" i="27"/>
  <c r="U34" i="27"/>
  <c r="U35" i="27"/>
  <c r="AJ1" i="1" l="1"/>
  <c r="AJ317" i="1" l="1"/>
  <c r="AJ338" i="1"/>
  <c r="BR347" i="1"/>
  <c r="AJ282" i="1"/>
  <c r="AJ388" i="1"/>
  <c r="AJ389" i="1"/>
  <c r="AJ281" i="1" s="1"/>
  <c r="AJ280" i="1" s="1"/>
  <c r="AJ283" i="1" s="1"/>
  <c r="AK283" i="1" s="1"/>
  <c r="AJ383" i="1"/>
  <c r="AJ380" i="1"/>
  <c r="AJ375" i="1"/>
  <c r="AJ374" i="1"/>
  <c r="AJ372" i="1"/>
  <c r="AJ364" i="1"/>
  <c r="AJ254" i="1"/>
  <c r="AJ174" i="1"/>
  <c r="AJ168" i="1"/>
  <c r="AJ166" i="1"/>
  <c r="AJ167" i="1" s="1"/>
  <c r="AJ157" i="1"/>
  <c r="AJ147" i="1"/>
  <c r="Z37" i="27" s="1"/>
  <c r="AJ134" i="1"/>
  <c r="AJ137" i="1" s="1"/>
  <c r="AJ127" i="1"/>
  <c r="AK130" i="1" s="1"/>
  <c r="AK282" i="1" l="1"/>
  <c r="AL283" i="1"/>
  <c r="AL282" i="1" s="1"/>
  <c r="AK142" i="1"/>
  <c r="AR102" i="21"/>
  <c r="AM347" i="1"/>
  <c r="AN347" i="1" s="1"/>
  <c r="AO347" i="1" s="1"/>
  <c r="AP347" i="1" s="1"/>
  <c r="BS347" i="1"/>
  <c r="AJ138" i="1"/>
  <c r="AR101" i="21" s="1"/>
  <c r="AR103" i="21" l="1"/>
  <c r="AR107" i="21" s="1"/>
  <c r="AQ347" i="1"/>
  <c r="AR347" i="1" s="1"/>
  <c r="AS347" i="1" s="1"/>
  <c r="AT347" i="1" s="1"/>
  <c r="BT347" i="1"/>
  <c r="AJ56" i="1"/>
  <c r="AJ54" i="1"/>
  <c r="AJ29" i="1"/>
  <c r="AR104" i="21" l="1"/>
  <c r="Z19" i="27"/>
  <c r="AJ42" i="1"/>
  <c r="AU347" i="1"/>
  <c r="AV347" i="1" s="1"/>
  <c r="AW347" i="1" s="1"/>
  <c r="AX347" i="1" s="1"/>
  <c r="BU347" i="1"/>
  <c r="AJ84" i="1"/>
  <c r="AJ83" i="1"/>
  <c r="AJ62" i="1"/>
  <c r="AJ47" i="1"/>
  <c r="AJ19" i="1"/>
  <c r="Z14" i="27" s="1"/>
  <c r="AJ17" i="1"/>
  <c r="AJ9" i="1"/>
  <c r="Z11" i="27" s="1"/>
  <c r="BV347" i="1" l="1"/>
  <c r="AY347" i="1"/>
  <c r="AZ347" i="1" s="1"/>
  <c r="BA347" i="1" s="1"/>
  <c r="BB347" i="1" s="1"/>
  <c r="AA13" i="27"/>
  <c r="Z15" i="27"/>
  <c r="Z20" i="27" s="1"/>
  <c r="Z22" i="27" s="1"/>
  <c r="Z23" i="27" s="1"/>
  <c r="Z16" i="27"/>
  <c r="AK10" i="1"/>
  <c r="AJ16" i="1"/>
  <c r="AJ247" i="1"/>
  <c r="AJ249" i="1"/>
  <c r="AJ132" i="1"/>
  <c r="AJ144" i="1"/>
  <c r="AJ252" i="1"/>
  <c r="AJ243" i="1"/>
  <c r="AN243" i="1" s="1"/>
  <c r="AJ48" i="1"/>
  <c r="AJ46" i="1" s="1"/>
  <c r="AJ25" i="1"/>
  <c r="AJ26" i="1" s="1"/>
  <c r="BC347" i="1" l="1"/>
  <c r="BD347" i="1" s="1"/>
  <c r="BE347" i="1" s="1"/>
  <c r="BF347" i="1" s="1"/>
  <c r="BW347" i="1"/>
  <c r="AR243" i="1"/>
  <c r="AV243" i="1" s="1"/>
  <c r="AZ243" i="1" s="1"/>
  <c r="BD243" i="1" s="1"/>
  <c r="BH243" i="1" s="1"/>
  <c r="AK244" i="1"/>
  <c r="AJ30" i="1"/>
  <c r="AJ32" i="1" s="1"/>
  <c r="AJ33" i="1" s="1"/>
  <c r="AJ253" i="1"/>
  <c r="AJ245" i="1"/>
  <c r="AK246" i="1" s="1"/>
  <c r="AJ248" i="1"/>
  <c r="AK250" i="1" s="1"/>
  <c r="AI43" i="27"/>
  <c r="AI27" i="27"/>
  <c r="BG347" i="1" l="1"/>
  <c r="BH347" i="1" s="1"/>
  <c r="BI347" i="1" s="1"/>
  <c r="BJ347" i="1" s="1"/>
  <c r="BY347" i="1" s="1"/>
  <c r="BX347" i="1"/>
  <c r="AJ43" i="1"/>
  <c r="Z24" i="27" s="1"/>
  <c r="AJ241" i="1"/>
  <c r="AK242" i="1" s="1"/>
  <c r="AJ45" i="1" l="1"/>
  <c r="AJ371" i="1" s="1"/>
  <c r="AJ75" i="1" l="1"/>
  <c r="AJ52" i="1"/>
  <c r="Z25" i="27" s="1"/>
  <c r="AJ55" i="1" l="1"/>
  <c r="Z26" i="27" s="1"/>
  <c r="AJ66" i="1" l="1"/>
  <c r="Z27" i="27" s="1"/>
  <c r="AJ61" i="1"/>
  <c r="Z28" i="27" s="1"/>
  <c r="AQ105" i="21"/>
  <c r="AQ106" i="21"/>
  <c r="AJ63" i="1" l="1"/>
  <c r="AJ70" i="1" s="1"/>
  <c r="AJ68" i="1"/>
  <c r="Z29" i="27" s="1"/>
  <c r="AJ74" i="1"/>
  <c r="T17" i="27"/>
  <c r="T18" i="27"/>
  <c r="T21" i="27"/>
  <c r="T34" i="27"/>
  <c r="T35" i="27"/>
  <c r="BT29" i="1" l="1"/>
  <c r="BU29" i="1"/>
  <c r="BV29" i="1"/>
  <c r="AI1" i="1" l="1"/>
  <c r="W168" i="1" l="1"/>
  <c r="X168" i="1"/>
  <c r="Y168" i="1"/>
  <c r="Z168" i="1"/>
  <c r="AA168" i="1"/>
  <c r="AB168" i="1"/>
  <c r="AC168" i="1"/>
  <c r="AD168" i="1"/>
  <c r="AF168" i="1"/>
  <c r="AG168" i="1"/>
  <c r="AH168" i="1"/>
  <c r="AI168" i="1"/>
  <c r="AE168" i="1"/>
  <c r="BR60" i="1" l="1"/>
  <c r="BR59" i="1"/>
  <c r="BR58" i="1"/>
  <c r="BR57" i="1"/>
  <c r="AI281" i="1"/>
  <c r="AI282" i="1"/>
  <c r="AI280" i="1" s="1"/>
  <c r="AI351" i="1"/>
  <c r="AI392" i="1"/>
  <c r="AJ392" i="1" s="1"/>
  <c r="AI387" i="1"/>
  <c r="AJ387" i="1" s="1"/>
  <c r="AI377" i="1"/>
  <c r="AJ377" i="1" s="1"/>
  <c r="AI376" i="1"/>
  <c r="AJ376" i="1" s="1"/>
  <c r="AI312" i="1"/>
  <c r="AI314" i="1" s="1"/>
  <c r="AI308" i="1"/>
  <c r="AJ308" i="1" s="1"/>
  <c r="AI236" i="1"/>
  <c r="AI232" i="1"/>
  <c r="AI233" i="1" s="1"/>
  <c r="AJ378" i="1" l="1"/>
  <c r="AJ393" i="1"/>
  <c r="AM57" i="1"/>
  <c r="AJ312" i="1"/>
  <c r="AK312" i="1" s="1"/>
  <c r="AI310" i="1"/>
  <c r="AK308" i="1"/>
  <c r="AJ310" i="1"/>
  <c r="AL312" i="1" l="1"/>
  <c r="AL314" i="1" s="1"/>
  <c r="AL313" i="1"/>
  <c r="AK310" i="1"/>
  <c r="AL309" i="1"/>
  <c r="AL308" i="1"/>
  <c r="AL310" i="1" s="1"/>
  <c r="AK314" i="1"/>
  <c r="AN57" i="1"/>
  <c r="AO57" i="1" s="1"/>
  <c r="AP57" i="1" s="1"/>
  <c r="AQ57" i="1" s="1"/>
  <c r="BS57" i="1"/>
  <c r="AJ314" i="1"/>
  <c r="AM312" i="1" l="1"/>
  <c r="AM314" i="1" s="1"/>
  <c r="AM308" i="1"/>
  <c r="AM310" i="1" s="1"/>
  <c r="BT57" i="1"/>
  <c r="AR57" i="1"/>
  <c r="AS57" i="1" s="1"/>
  <c r="AT57" i="1" s="1"/>
  <c r="AU57" i="1" s="1"/>
  <c r="AN312" i="1"/>
  <c r="AN314" i="1" s="1"/>
  <c r="AN308" i="1" l="1"/>
  <c r="AN310" i="1" s="1"/>
  <c r="BU57" i="1"/>
  <c r="AV57" i="1"/>
  <c r="AW57" i="1" s="1"/>
  <c r="AX57" i="1" s="1"/>
  <c r="AO312" i="1"/>
  <c r="AO314" i="1" s="1"/>
  <c r="AO308" i="1" l="1"/>
  <c r="AO310" i="1" s="1"/>
  <c r="BV57" i="1"/>
  <c r="AY57" i="1"/>
  <c r="AP312" i="1"/>
  <c r="AP314" i="1" s="1"/>
  <c r="AP308" i="1"/>
  <c r="AP310" i="1" s="1"/>
  <c r="AY374" i="1" l="1"/>
  <c r="AZ57" i="1"/>
  <c r="AY38" i="1"/>
  <c r="AQ312" i="1"/>
  <c r="AQ314" i="1" s="1"/>
  <c r="AQ308" i="1"/>
  <c r="AQ310" i="1" s="1"/>
  <c r="BA57" i="1" l="1"/>
  <c r="AZ374" i="1"/>
  <c r="AZ38" i="1"/>
  <c r="AR312" i="1"/>
  <c r="AR314" i="1" s="1"/>
  <c r="AR308" i="1"/>
  <c r="BA38" i="1" l="1"/>
  <c r="BA374" i="1"/>
  <c r="BB57" i="1"/>
  <c r="BW57" i="1"/>
  <c r="AS312" i="1"/>
  <c r="AS314" i="1" s="1"/>
  <c r="AS308" i="1"/>
  <c r="AS310" i="1" s="1"/>
  <c r="AR310" i="1"/>
  <c r="BB38" i="1" l="1"/>
  <c r="BC57" i="1"/>
  <c r="BB374" i="1"/>
  <c r="BW374" i="1" s="1"/>
  <c r="AT312" i="1"/>
  <c r="AT308" i="1"/>
  <c r="BC38" i="1" l="1"/>
  <c r="BD57" i="1"/>
  <c r="BC374" i="1"/>
  <c r="AU312" i="1"/>
  <c r="AU314" i="1" s="1"/>
  <c r="AT314" i="1"/>
  <c r="AU308" i="1"/>
  <c r="AT310" i="1"/>
  <c r="BE57" i="1" l="1"/>
  <c r="BD374" i="1"/>
  <c r="BD38" i="1"/>
  <c r="AV312" i="1"/>
  <c r="AV314" i="1" s="1"/>
  <c r="AV308" i="1"/>
  <c r="AV310" i="1" s="1"/>
  <c r="AU310" i="1"/>
  <c r="BE38" i="1" l="1"/>
  <c r="BE374" i="1"/>
  <c r="BF57" i="1"/>
  <c r="BX57" i="1" s="1"/>
  <c r="AW312" i="1"/>
  <c r="AW314" i="1" s="1"/>
  <c r="AW308" i="1"/>
  <c r="AW310" i="1" s="1"/>
  <c r="BF38" i="1" l="1"/>
  <c r="BG57" i="1"/>
  <c r="BF374" i="1"/>
  <c r="BX374" i="1"/>
  <c r="AX312" i="1"/>
  <c r="AX308" i="1"/>
  <c r="AX314" i="1" l="1"/>
  <c r="AY312" i="1"/>
  <c r="AY314" i="1"/>
  <c r="AX310" i="1"/>
  <c r="AY308" i="1"/>
  <c r="AZ308" i="1" s="1"/>
  <c r="BH57" i="1"/>
  <c r="BG38" i="1"/>
  <c r="BG374" i="1"/>
  <c r="AF56" i="1"/>
  <c r="AG56" i="1"/>
  <c r="AH56" i="1"/>
  <c r="AI56" i="1"/>
  <c r="AI17" i="1" s="1"/>
  <c r="AI54" i="1"/>
  <c r="AI29" i="1"/>
  <c r="Y19" i="27" s="1"/>
  <c r="AI393" i="1"/>
  <c r="AI372" i="1"/>
  <c r="AI364" i="1"/>
  <c r="AI338" i="1"/>
  <c r="AI332" i="1"/>
  <c r="AI328" i="1"/>
  <c r="AJ329" i="1" s="1"/>
  <c r="AI287" i="1"/>
  <c r="AI260" i="1"/>
  <c r="AI259" i="1"/>
  <c r="AI258" i="1"/>
  <c r="AI254" i="1"/>
  <c r="AM254" i="1" s="1"/>
  <c r="AI174" i="1"/>
  <c r="AI166" i="1"/>
  <c r="AI167" i="1" s="1"/>
  <c r="AI157" i="1"/>
  <c r="AI147" i="1"/>
  <c r="Y37" i="27" s="1"/>
  <c r="AI134" i="1"/>
  <c r="AI127" i="1"/>
  <c r="AJ130" i="1" s="1"/>
  <c r="AI84" i="1"/>
  <c r="AI83" i="1"/>
  <c r="AI62" i="1"/>
  <c r="BY62" i="1" s="1"/>
  <c r="AI47" i="1"/>
  <c r="AI48" i="1" s="1"/>
  <c r="AI19" i="1"/>
  <c r="Y14" i="27" s="1"/>
  <c r="AI9" i="1"/>
  <c r="Y11" i="27" s="1"/>
  <c r="AN254" i="1" l="1"/>
  <c r="BH374" i="1"/>
  <c r="BH38" i="1"/>
  <c r="BI57" i="1"/>
  <c r="AZ310" i="1"/>
  <c r="BA308" i="1"/>
  <c r="AY310" i="1"/>
  <c r="AZ312" i="1"/>
  <c r="BA312" i="1" s="1"/>
  <c r="Y15" i="27"/>
  <c r="Y20" i="27" s="1"/>
  <c r="Y22" i="27" s="1"/>
  <c r="Y16" i="27"/>
  <c r="Z13" i="27"/>
  <c r="AJ10" i="1"/>
  <c r="AI243" i="1"/>
  <c r="AM243" i="1" s="1"/>
  <c r="AQ243" i="1" s="1"/>
  <c r="AI42" i="1"/>
  <c r="BS29" i="1"/>
  <c r="AI249" i="1"/>
  <c r="AI46" i="1"/>
  <c r="AI137" i="1"/>
  <c r="AJ142" i="1" s="1"/>
  <c r="AI16" i="1"/>
  <c r="AI247" i="1"/>
  <c r="AI252" i="1"/>
  <c r="AI132" i="1"/>
  <c r="AI25" i="1"/>
  <c r="AR254" i="1" l="1"/>
  <c r="AO254" i="1"/>
  <c r="AP254" i="1"/>
  <c r="AQ254" i="1"/>
  <c r="AZ314" i="1"/>
  <c r="BJ57" i="1"/>
  <c r="BI38" i="1"/>
  <c r="BI374" i="1"/>
  <c r="BA314" i="1"/>
  <c r="BB312" i="1"/>
  <c r="BA310" i="1"/>
  <c r="BB308" i="1"/>
  <c r="Y23" i="27"/>
  <c r="AJ244" i="1"/>
  <c r="AU243" i="1"/>
  <c r="AY243" i="1" s="1"/>
  <c r="AI138" i="1"/>
  <c r="AQ101" i="21" s="1"/>
  <c r="AQ102" i="21"/>
  <c r="AI144" i="1"/>
  <c r="AI245" i="1"/>
  <c r="AJ246" i="1" s="1"/>
  <c r="AI253" i="1"/>
  <c r="AI248" i="1"/>
  <c r="AI30" i="1"/>
  <c r="AI32" i="1" s="1"/>
  <c r="AI26" i="1"/>
  <c r="AS254" i="1" l="1"/>
  <c r="AZ244" i="1"/>
  <c r="BC243" i="1"/>
  <c r="BC312" i="1"/>
  <c r="BC314" i="1" s="1"/>
  <c r="BC308" i="1"/>
  <c r="BC310" i="1" s="1"/>
  <c r="BB314" i="1"/>
  <c r="BJ38" i="1"/>
  <c r="BJ374" i="1"/>
  <c r="BY374" i="1" s="1"/>
  <c r="BB310" i="1"/>
  <c r="BY57" i="1"/>
  <c r="AJ250" i="1"/>
  <c r="AQ103" i="21"/>
  <c r="AQ107" i="21" s="1"/>
  <c r="AI289" i="1"/>
  <c r="AI241" i="1"/>
  <c r="AJ242" i="1" s="1"/>
  <c r="AI43" i="1"/>
  <c r="Y24" i="27" s="1"/>
  <c r="AI33" i="1"/>
  <c r="AT254" i="1" l="1"/>
  <c r="BD244" i="1"/>
  <c r="BG243" i="1"/>
  <c r="BH244" i="1" s="1"/>
  <c r="BD308" i="1"/>
  <c r="BE308" i="1" s="1"/>
  <c r="BD312" i="1"/>
  <c r="BD314" i="1" s="1"/>
  <c r="AQ104" i="21"/>
  <c r="AI45" i="1"/>
  <c r="AI371" i="1" s="1"/>
  <c r="AI378" i="1" s="1"/>
  <c r="AU254" i="1" l="1"/>
  <c r="AV254" i="1"/>
  <c r="BD310" i="1"/>
  <c r="BE312" i="1"/>
  <c r="BF312" i="1" s="1"/>
  <c r="BE310" i="1"/>
  <c r="BF308" i="1"/>
  <c r="AI75" i="1"/>
  <c r="AI52" i="1"/>
  <c r="Y25" i="27" s="1"/>
  <c r="AW254" i="1" l="1"/>
  <c r="BG308" i="1"/>
  <c r="BF314" i="1"/>
  <c r="BG312" i="1"/>
  <c r="BF310" i="1"/>
  <c r="BE314" i="1"/>
  <c r="AI55" i="1"/>
  <c r="Y26" i="27" s="1"/>
  <c r="AX254" i="1" l="1"/>
  <c r="AY254" i="1"/>
  <c r="BG314" i="1"/>
  <c r="BH312" i="1"/>
  <c r="BH314" i="1" s="1"/>
  <c r="BH308" i="1"/>
  <c r="BI308" i="1" s="1"/>
  <c r="BG310" i="1"/>
  <c r="AI61" i="1"/>
  <c r="Y28" i="27" s="1"/>
  <c r="AI66" i="1"/>
  <c r="Y27" i="27" s="1"/>
  <c r="AP105" i="21"/>
  <c r="AP106" i="21"/>
  <c r="AC9" i="27"/>
  <c r="S17" i="27"/>
  <c r="S18" i="27"/>
  <c r="S21" i="27"/>
  <c r="S34" i="27"/>
  <c r="S35" i="27"/>
  <c r="BR79" i="1"/>
  <c r="AH338" i="1"/>
  <c r="AH1" i="1"/>
  <c r="AH342" i="1" s="1"/>
  <c r="AH387" i="1"/>
  <c r="AH393" i="1" s="1"/>
  <c r="AH376" i="1"/>
  <c r="AH377" i="1"/>
  <c r="AH283" i="1"/>
  <c r="AH54" i="1"/>
  <c r="AH29" i="1"/>
  <c r="X19" i="27" s="1"/>
  <c r="AH372" i="1"/>
  <c r="AH364" i="1"/>
  <c r="AH332" i="1"/>
  <c r="AH328" i="1"/>
  <c r="AH287" i="1"/>
  <c r="AH260" i="1"/>
  <c r="AH259" i="1"/>
  <c r="AH258" i="1"/>
  <c r="AH254" i="1"/>
  <c r="AH174" i="1"/>
  <c r="AH166" i="1"/>
  <c r="AH167" i="1" s="1"/>
  <c r="AH157" i="1"/>
  <c r="AL158" i="1" s="1"/>
  <c r="AL159" i="1" s="1"/>
  <c r="AH147" i="1"/>
  <c r="X37" i="27" s="1"/>
  <c r="AH134" i="1"/>
  <c r="AH137" i="1" s="1"/>
  <c r="AH127" i="1"/>
  <c r="AI130" i="1" s="1"/>
  <c r="AH84" i="1"/>
  <c r="AH83" i="1"/>
  <c r="BR83" i="1" s="1"/>
  <c r="AH80" i="1"/>
  <c r="AH62" i="1"/>
  <c r="BX62" i="1" s="1"/>
  <c r="AH47" i="1"/>
  <c r="AH48" i="1" s="1"/>
  <c r="AH46" i="1" s="1"/>
  <c r="AH19" i="1"/>
  <c r="X14" i="27" s="1"/>
  <c r="AH17" i="1"/>
  <c r="AH9" i="1"/>
  <c r="X11" i="27" s="1"/>
  <c r="AL35" i="27"/>
  <c r="AQ33" i="27"/>
  <c r="AL33" i="27"/>
  <c r="AQ29" i="27"/>
  <c r="R17" i="27"/>
  <c r="R18" i="27"/>
  <c r="R19" i="27"/>
  <c r="R21" i="27"/>
  <c r="R34" i="27"/>
  <c r="R35" i="27"/>
  <c r="AG280" i="1"/>
  <c r="AG275" i="1" s="1"/>
  <c r="AG281" i="1"/>
  <c r="BR281" i="1" s="1"/>
  <c r="AN105" i="21"/>
  <c r="AO105" i="21"/>
  <c r="AN106" i="21"/>
  <c r="AO106" i="21"/>
  <c r="AG1" i="1"/>
  <c r="AG87" i="1" s="1"/>
  <c r="AG389" i="1"/>
  <c r="AG387" i="1"/>
  <c r="AG376" i="1"/>
  <c r="AG54" i="1"/>
  <c r="AG42" i="1"/>
  <c r="AG372" i="1"/>
  <c r="AG364" i="1"/>
  <c r="AG338" i="1"/>
  <c r="AG332" i="1"/>
  <c r="AG328" i="1"/>
  <c r="AG287" i="1"/>
  <c r="AG260" i="1"/>
  <c r="AG259" i="1"/>
  <c r="AG258" i="1"/>
  <c r="AG254" i="1"/>
  <c r="AG174" i="1"/>
  <c r="AG166" i="1"/>
  <c r="AG167" i="1" s="1"/>
  <c r="AG157" i="1"/>
  <c r="AG147" i="1"/>
  <c r="W37" i="27" s="1"/>
  <c r="AG134" i="1"/>
  <c r="AG137" i="1" s="1"/>
  <c r="AG127" i="1"/>
  <c r="AG84" i="1"/>
  <c r="AG83" i="1"/>
  <c r="AG80" i="1"/>
  <c r="AG62" i="1"/>
  <c r="BW62" i="1" s="1"/>
  <c r="AG47" i="1"/>
  <c r="AG19" i="1"/>
  <c r="W14" i="27" s="1"/>
  <c r="AG17" i="1"/>
  <c r="AG9" i="1"/>
  <c r="W11" i="27" s="1"/>
  <c r="AN157" i="1"/>
  <c r="AO157" i="1" s="1"/>
  <c r="Q17" i="27"/>
  <c r="Q18" i="27"/>
  <c r="Q19" i="27"/>
  <c r="Q21" i="27"/>
  <c r="Q34" i="27"/>
  <c r="Q35" i="27"/>
  <c r="AF1" i="1"/>
  <c r="AF369" i="1" s="1"/>
  <c r="AV74" i="1"/>
  <c r="AW74" i="1" s="1"/>
  <c r="AX74" i="1" s="1"/>
  <c r="AZ74" i="1" s="1"/>
  <c r="BA74" i="1" s="1"/>
  <c r="BB74" i="1" s="1"/>
  <c r="AR74" i="1"/>
  <c r="AS74" i="1" s="1"/>
  <c r="AT74" i="1" s="1"/>
  <c r="AF351" i="1"/>
  <c r="AF258" i="1" s="1"/>
  <c r="AF392" i="1"/>
  <c r="AF389" i="1"/>
  <c r="BR389" i="1" s="1"/>
  <c r="AF388" i="1"/>
  <c r="AF383" i="1"/>
  <c r="AF380" i="1"/>
  <c r="AF377" i="1"/>
  <c r="BR377" i="1" s="1"/>
  <c r="AF375" i="1"/>
  <c r="AF374" i="1"/>
  <c r="AF283" i="1"/>
  <c r="AF280" i="1"/>
  <c r="AF54" i="1"/>
  <c r="AF42" i="1"/>
  <c r="AF372" i="1"/>
  <c r="AF364" i="1"/>
  <c r="AF338" i="1"/>
  <c r="AF332" i="1"/>
  <c r="AF328" i="1"/>
  <c r="AF287" i="1"/>
  <c r="AF260" i="1"/>
  <c r="AF259" i="1"/>
  <c r="AF254" i="1"/>
  <c r="AF174" i="1"/>
  <c r="AF166" i="1"/>
  <c r="AF167" i="1" s="1"/>
  <c r="AF157" i="1"/>
  <c r="AF147" i="1"/>
  <c r="V37" i="27" s="1"/>
  <c r="AF134" i="1"/>
  <c r="AF137" i="1" s="1"/>
  <c r="AF127" i="1"/>
  <c r="AF84" i="1"/>
  <c r="AF83" i="1"/>
  <c r="AF80" i="1"/>
  <c r="AF62" i="1"/>
  <c r="AF47" i="1"/>
  <c r="AF48" i="1" s="1"/>
  <c r="AF46" i="1" s="1"/>
  <c r="AF19" i="1"/>
  <c r="V14" i="27" s="1"/>
  <c r="AF17" i="1"/>
  <c r="AF9" i="1"/>
  <c r="V11" i="27" s="1"/>
  <c r="AM105" i="21"/>
  <c r="AM106" i="21"/>
  <c r="AE338" i="1"/>
  <c r="P17" i="27"/>
  <c r="P18" i="27"/>
  <c r="P19" i="27"/>
  <c r="P21" i="27"/>
  <c r="P34" i="27"/>
  <c r="P35" i="27"/>
  <c r="AE1" i="1"/>
  <c r="AE123" i="1" s="1"/>
  <c r="AE280" i="1"/>
  <c r="AE275" i="1" s="1"/>
  <c r="AE351" i="1"/>
  <c r="AE258" i="1" s="1"/>
  <c r="AE387" i="1"/>
  <c r="AF387" i="1" s="1"/>
  <c r="AE376" i="1"/>
  <c r="AF376" i="1" s="1"/>
  <c r="AE332" i="1"/>
  <c r="AE328" i="1"/>
  <c r="AE56" i="1"/>
  <c r="BR56" i="1" s="1"/>
  <c r="AE54" i="1"/>
  <c r="AE42" i="1"/>
  <c r="AE382" i="1"/>
  <c r="AE372" i="1"/>
  <c r="AE364" i="1"/>
  <c r="AE287" i="1"/>
  <c r="AE260" i="1"/>
  <c r="AE259" i="1"/>
  <c r="AE254" i="1"/>
  <c r="AE174" i="1"/>
  <c r="AE166" i="1"/>
  <c r="AE167" i="1" s="1"/>
  <c r="AE157" i="1"/>
  <c r="AE147" i="1"/>
  <c r="U37" i="27" s="1"/>
  <c r="AE134" i="1"/>
  <c r="AE137" i="1" s="1"/>
  <c r="AE127" i="1"/>
  <c r="AE84" i="1"/>
  <c r="AE83" i="1"/>
  <c r="AE80" i="1"/>
  <c r="AE62" i="1"/>
  <c r="AE47" i="1"/>
  <c r="AE48" i="1" s="1"/>
  <c r="AE46" i="1" s="1"/>
  <c r="AE19" i="1"/>
  <c r="U14" i="27" s="1"/>
  <c r="AE9" i="1"/>
  <c r="U11" i="27" s="1"/>
  <c r="Y12" i="27" s="1"/>
  <c r="O17" i="27"/>
  <c r="O18" i="27"/>
  <c r="O19" i="27"/>
  <c r="O21" i="27"/>
  <c r="O34" i="27"/>
  <c r="O35" i="27"/>
  <c r="AL105" i="21"/>
  <c r="AL106" i="21"/>
  <c r="AD287" i="1"/>
  <c r="AC287" i="1"/>
  <c r="AB287" i="1"/>
  <c r="AA287" i="1"/>
  <c r="AM236" i="1"/>
  <c r="AO236" i="1"/>
  <c r="AQ236" i="1"/>
  <c r="AS236" i="1"/>
  <c r="AU236" i="1"/>
  <c r="AW236" i="1"/>
  <c r="AY236" i="1" s="1"/>
  <c r="BA236" i="1" s="1"/>
  <c r="BC236" i="1" s="1"/>
  <c r="BE236" i="1" s="1"/>
  <c r="BG236" i="1" s="1"/>
  <c r="BI236" i="1" s="1"/>
  <c r="AM237" i="1"/>
  <c r="AO237" i="1"/>
  <c r="AQ237" i="1"/>
  <c r="AS237" i="1"/>
  <c r="AU237" i="1"/>
  <c r="AW237" i="1"/>
  <c r="AY237" i="1" s="1"/>
  <c r="BA237" i="1" s="1"/>
  <c r="BC237" i="1" s="1"/>
  <c r="BE237" i="1" s="1"/>
  <c r="BG237" i="1" s="1"/>
  <c r="BI237" i="1" s="1"/>
  <c r="AM238" i="1"/>
  <c r="AO238" i="1"/>
  <c r="AQ238" i="1"/>
  <c r="AS238" i="1"/>
  <c r="AU238" i="1"/>
  <c r="AW238" i="1"/>
  <c r="AY238" i="1" s="1"/>
  <c r="BA238" i="1" s="1"/>
  <c r="BC238" i="1" s="1"/>
  <c r="BE238" i="1" s="1"/>
  <c r="BG238" i="1" s="1"/>
  <c r="BI238" i="1" s="1"/>
  <c r="AN238" i="1"/>
  <c r="AP238" i="1" s="1"/>
  <c r="AR238" i="1" s="1"/>
  <c r="AT238" i="1" s="1"/>
  <c r="AV238" i="1" s="1"/>
  <c r="AX238" i="1" s="1"/>
  <c r="AZ238" i="1" s="1"/>
  <c r="BB238" i="1" s="1"/>
  <c r="BD238" i="1" s="1"/>
  <c r="BF238" i="1" s="1"/>
  <c r="BH238" i="1" s="1"/>
  <c r="BJ238" i="1" s="1"/>
  <c r="AN237" i="1"/>
  <c r="AP237" i="1" s="1"/>
  <c r="AR237" i="1" s="1"/>
  <c r="AT237" i="1" s="1"/>
  <c r="AV237" i="1" s="1"/>
  <c r="AX237" i="1" s="1"/>
  <c r="AZ237" i="1" s="1"/>
  <c r="BB237" i="1" s="1"/>
  <c r="BD237" i="1" s="1"/>
  <c r="BF237" i="1" s="1"/>
  <c r="BH237" i="1" s="1"/>
  <c r="BJ237" i="1" s="1"/>
  <c r="AN236" i="1"/>
  <c r="AP236" i="1" s="1"/>
  <c r="AR236" i="1" s="1"/>
  <c r="AT236" i="1" s="1"/>
  <c r="AV236" i="1" s="1"/>
  <c r="AX236" i="1" s="1"/>
  <c r="AZ236" i="1" s="1"/>
  <c r="BB236" i="1" s="1"/>
  <c r="BD236" i="1" s="1"/>
  <c r="BF236" i="1" s="1"/>
  <c r="BH236" i="1" s="1"/>
  <c r="BJ236" i="1" s="1"/>
  <c r="BR156" i="1"/>
  <c r="AL51" i="27"/>
  <c r="AL49" i="27"/>
  <c r="AD1" i="1"/>
  <c r="AD123" i="1" s="1"/>
  <c r="AD351" i="1"/>
  <c r="AD258" i="1" s="1"/>
  <c r="AD387" i="1"/>
  <c r="AD393" i="1" s="1"/>
  <c r="AD389" i="1"/>
  <c r="AD376" i="1"/>
  <c r="AD56" i="1"/>
  <c r="AD54" i="1"/>
  <c r="AD29" i="1"/>
  <c r="T19" i="27" s="1"/>
  <c r="AD382" i="1"/>
  <c r="AD381" i="1" s="1"/>
  <c r="T30" i="27" s="1"/>
  <c r="AD372" i="1"/>
  <c r="AD364" i="1"/>
  <c r="AD338" i="1"/>
  <c r="AD332" i="1"/>
  <c r="AD328" i="1"/>
  <c r="AD280" i="1"/>
  <c r="AD282" i="1" s="1"/>
  <c r="AD260" i="1"/>
  <c r="AD259" i="1"/>
  <c r="AD254" i="1"/>
  <c r="AD174" i="1"/>
  <c r="AD166" i="1"/>
  <c r="AD167" i="1" s="1"/>
  <c r="AD157" i="1"/>
  <c r="AD147" i="1"/>
  <c r="T37" i="27" s="1"/>
  <c r="AD134" i="1"/>
  <c r="BQ134" i="1" s="1"/>
  <c r="AD127" i="1"/>
  <c r="BQ127" i="1" s="1"/>
  <c r="AD84" i="1"/>
  <c r="AD80" i="1"/>
  <c r="AD79" i="1"/>
  <c r="AD83" i="1" s="1"/>
  <c r="BQ83" i="1" s="1"/>
  <c r="AD62" i="1"/>
  <c r="AD47" i="1"/>
  <c r="AD48" i="1" s="1"/>
  <c r="AD46" i="1" s="1"/>
  <c r="AD19" i="1"/>
  <c r="T14" i="27" s="1"/>
  <c r="AD9" i="1"/>
  <c r="T11" i="27" s="1"/>
  <c r="AR45" i="27"/>
  <c r="AR51" i="27"/>
  <c r="AR49" i="27"/>
  <c r="N17" i="27"/>
  <c r="N18" i="27"/>
  <c r="N19" i="27"/>
  <c r="N21" i="27"/>
  <c r="N34" i="27"/>
  <c r="N35" i="27"/>
  <c r="AK105" i="21"/>
  <c r="AK106" i="21"/>
  <c r="AA166" i="1"/>
  <c r="AA167" i="1" s="1"/>
  <c r="AB166" i="1"/>
  <c r="AB167" i="1" s="1"/>
  <c r="AC166" i="1"/>
  <c r="AC167" i="1" s="1"/>
  <c r="Z157" i="1"/>
  <c r="AA157" i="1"/>
  <c r="AB157" i="1"/>
  <c r="AC157" i="1"/>
  <c r="Y157" i="1"/>
  <c r="AC1" i="1"/>
  <c r="AC87" i="1" s="1"/>
  <c r="AC332" i="1"/>
  <c r="AC351" i="1"/>
  <c r="AC258" i="1" s="1"/>
  <c r="AC328" i="1"/>
  <c r="AC79" i="1"/>
  <c r="AC83" i="1" s="1"/>
  <c r="AC56" i="1"/>
  <c r="AC17" i="1" s="1"/>
  <c r="AC54" i="1"/>
  <c r="AC29" i="1"/>
  <c r="S19" i="27" s="1"/>
  <c r="AC382" i="1"/>
  <c r="AC372" i="1"/>
  <c r="AC364" i="1"/>
  <c r="AC338" i="1"/>
  <c r="AC280" i="1"/>
  <c r="AC282" i="1" s="1"/>
  <c r="AC260" i="1"/>
  <c r="AC259" i="1"/>
  <c r="AC254" i="1"/>
  <c r="AC174" i="1"/>
  <c r="AC147" i="1"/>
  <c r="S37" i="27" s="1"/>
  <c r="AC134" i="1"/>
  <c r="AC137" i="1" s="1"/>
  <c r="AC127" i="1"/>
  <c r="AC84" i="1"/>
  <c r="AC80" i="1"/>
  <c r="AC62" i="1"/>
  <c r="AC47" i="1"/>
  <c r="AC48" i="1" s="1"/>
  <c r="AC46" i="1" s="1"/>
  <c r="AC19" i="1"/>
  <c r="S14" i="27" s="1"/>
  <c r="AC9" i="1"/>
  <c r="S11" i="27" s="1"/>
  <c r="AL66" i="27"/>
  <c r="AL64" i="27"/>
  <c r="AJ105" i="21"/>
  <c r="AJ106" i="21"/>
  <c r="M17" i="27"/>
  <c r="M18" i="27"/>
  <c r="M19" i="27"/>
  <c r="M21" i="27"/>
  <c r="M34" i="27"/>
  <c r="M35" i="27"/>
  <c r="AM150" i="1"/>
  <c r="AN150" i="1"/>
  <c r="AO150" i="1"/>
  <c r="AP150" i="1"/>
  <c r="AQ150" i="1"/>
  <c r="AR150" i="1"/>
  <c r="AS150" i="1"/>
  <c r="AT150" i="1"/>
  <c r="AU150" i="1"/>
  <c r="AV150" i="1"/>
  <c r="AW150" i="1"/>
  <c r="AX150" i="1"/>
  <c r="P328" i="1"/>
  <c r="Q328" i="1"/>
  <c r="R328" i="1"/>
  <c r="S328" i="1"/>
  <c r="T328" i="1"/>
  <c r="U328" i="1"/>
  <c r="V328" i="1"/>
  <c r="W328" i="1"/>
  <c r="X328" i="1"/>
  <c r="Y328" i="1"/>
  <c r="Z328" i="1"/>
  <c r="AA328" i="1"/>
  <c r="AB328" i="1"/>
  <c r="O328" i="1"/>
  <c r="AB338" i="1"/>
  <c r="AB382" i="1"/>
  <c r="C320" i="1"/>
  <c r="AM66" i="27"/>
  <c r="AM64" i="27"/>
  <c r="P387" i="1"/>
  <c r="Q387" i="1"/>
  <c r="P364" i="1"/>
  <c r="Q364" i="1"/>
  <c r="AA364" i="1"/>
  <c r="AB364" i="1"/>
  <c r="Q324" i="1"/>
  <c r="Q326" i="1" s="1"/>
  <c r="BN34" i="1"/>
  <c r="BO34" i="1"/>
  <c r="P338" i="1"/>
  <c r="Q338" i="1"/>
  <c r="R338" i="1"/>
  <c r="S338" i="1"/>
  <c r="T338" i="1"/>
  <c r="U338" i="1"/>
  <c r="V338" i="1"/>
  <c r="W338" i="1"/>
  <c r="X338" i="1"/>
  <c r="Y338" i="1"/>
  <c r="Z338" i="1"/>
  <c r="AA338" i="1"/>
  <c r="O338" i="1"/>
  <c r="Z316" i="1"/>
  <c r="Q300" i="1"/>
  <c r="R300" i="1" s="1"/>
  <c r="S300" i="1" s="1"/>
  <c r="T300" i="1" s="1"/>
  <c r="U300" i="1" s="1"/>
  <c r="V300" i="1" s="1"/>
  <c r="W300" i="1" s="1"/>
  <c r="X300" i="1" s="1"/>
  <c r="Y300" i="1" s="1"/>
  <c r="Z300" i="1" s="1"/>
  <c r="AA301" i="1"/>
  <c r="AB1" i="1"/>
  <c r="AB293" i="1" s="1"/>
  <c r="AB351" i="1"/>
  <c r="AB258" i="1" s="1"/>
  <c r="AB389" i="1"/>
  <c r="AC389" i="1" s="1"/>
  <c r="AB388" i="1"/>
  <c r="AC388" i="1" s="1"/>
  <c r="AB380" i="1"/>
  <c r="AC380" i="1" s="1"/>
  <c r="AB377" i="1"/>
  <c r="AB374" i="1"/>
  <c r="AC374" i="1" s="1"/>
  <c r="BQ374" i="1" s="1"/>
  <c r="AB275" i="1"/>
  <c r="AB280" i="1" s="1"/>
  <c r="AB282" i="1" s="1"/>
  <c r="AB56" i="1"/>
  <c r="AB54" i="1"/>
  <c r="AB42" i="1"/>
  <c r="AB372" i="1"/>
  <c r="AB260" i="1"/>
  <c r="AB259" i="1"/>
  <c r="AB254" i="1"/>
  <c r="AB174" i="1"/>
  <c r="AB147" i="1"/>
  <c r="R37" i="27" s="1"/>
  <c r="AB134" i="1"/>
  <c r="AB137" i="1" s="1"/>
  <c r="AB127" i="1"/>
  <c r="AB83" i="1"/>
  <c r="AB84" i="1"/>
  <c r="AB62" i="1"/>
  <c r="AB47" i="1"/>
  <c r="AB19" i="1"/>
  <c r="AB9" i="1"/>
  <c r="AB249" i="1" s="1"/>
  <c r="AO66" i="27"/>
  <c r="AN66" i="27"/>
  <c r="AO60" i="27"/>
  <c r="L17" i="27"/>
  <c r="L18" i="27"/>
  <c r="L19" i="27"/>
  <c r="L21" i="27"/>
  <c r="L34" i="27"/>
  <c r="L35" i="27"/>
  <c r="AI105" i="21"/>
  <c r="AI106" i="21"/>
  <c r="AA1" i="1"/>
  <c r="AA123" i="1" s="1"/>
  <c r="AA387" i="1"/>
  <c r="AA376" i="1"/>
  <c r="AB376" i="1" s="1"/>
  <c r="AC376" i="1" s="1"/>
  <c r="BQ376" i="1" s="1"/>
  <c r="AA351" i="1"/>
  <c r="AA258" i="1" s="1"/>
  <c r="AA174" i="1"/>
  <c r="AA79" i="1"/>
  <c r="AA56" i="1"/>
  <c r="AA17" i="1" s="1"/>
  <c r="AA54" i="1"/>
  <c r="AA42" i="1"/>
  <c r="AA382" i="1"/>
  <c r="AA381" i="1" s="1"/>
  <c r="AA372" i="1"/>
  <c r="AA260" i="1"/>
  <c r="AA259" i="1"/>
  <c r="AA254" i="1"/>
  <c r="AA147" i="1"/>
  <c r="AA134" i="1"/>
  <c r="AA137" i="1" s="1"/>
  <c r="AA127" i="1"/>
  <c r="AA132" i="1" s="1"/>
  <c r="AI210" i="21" s="1"/>
  <c r="AA59" i="1"/>
  <c r="AA47" i="1"/>
  <c r="AA48" i="1" s="1"/>
  <c r="AA62" i="1"/>
  <c r="AA19" i="1"/>
  <c r="Q14" i="27" s="1"/>
  <c r="AA9" i="1"/>
  <c r="Q11" i="27" s="1"/>
  <c r="K17" i="27"/>
  <c r="K19" i="27"/>
  <c r="K21" i="27"/>
  <c r="K34" i="27"/>
  <c r="K35" i="27"/>
  <c r="AH281" i="21"/>
  <c r="AH105" i="21"/>
  <c r="AH106" i="21"/>
  <c r="Z1" i="1"/>
  <c r="Z8" i="1" s="1"/>
  <c r="Z351" i="1"/>
  <c r="BP351" i="1" s="1"/>
  <c r="Z392" i="1"/>
  <c r="Z387" i="1"/>
  <c r="Z377" i="1"/>
  <c r="Z376" i="1"/>
  <c r="Z362" i="1"/>
  <c r="Z364" i="1" s="1"/>
  <c r="Z79" i="1"/>
  <c r="Z83" i="1" s="1"/>
  <c r="BP83" i="1" s="1"/>
  <c r="Z56" i="1"/>
  <c r="Z17" i="1" s="1"/>
  <c r="Z54" i="1"/>
  <c r="BP54" i="1" s="1"/>
  <c r="Z42" i="1"/>
  <c r="BP42" i="1" s="1"/>
  <c r="BV392" i="1"/>
  <c r="BU392" i="1"/>
  <c r="BT392" i="1"/>
  <c r="BS392" i="1"/>
  <c r="BV391" i="1"/>
  <c r="BU391" i="1"/>
  <c r="BT391" i="1"/>
  <c r="BS391" i="1"/>
  <c r="BV390" i="1"/>
  <c r="BU390" i="1"/>
  <c r="BT390" i="1"/>
  <c r="BS390" i="1"/>
  <c r="BV383" i="1"/>
  <c r="BU383" i="1"/>
  <c r="BT383" i="1"/>
  <c r="BS383" i="1"/>
  <c r="BV377" i="1"/>
  <c r="BU377" i="1"/>
  <c r="BT377" i="1"/>
  <c r="BS377" i="1"/>
  <c r="BV161" i="1"/>
  <c r="BU161" i="1"/>
  <c r="BT161" i="1"/>
  <c r="BV51" i="1"/>
  <c r="BU51" i="1"/>
  <c r="BT51" i="1"/>
  <c r="BS51" i="1"/>
  <c r="BR51" i="1"/>
  <c r="BV44" i="1"/>
  <c r="BU44" i="1"/>
  <c r="BT44" i="1"/>
  <c r="BS44" i="1"/>
  <c r="BR44" i="1"/>
  <c r="BV42" i="1"/>
  <c r="BU42" i="1"/>
  <c r="BT42" i="1"/>
  <c r="BS42" i="1"/>
  <c r="BV40" i="1"/>
  <c r="BU40" i="1"/>
  <c r="BT40" i="1"/>
  <c r="BS40" i="1"/>
  <c r="BR40" i="1"/>
  <c r="BV2" i="1"/>
  <c r="BV1" i="1" s="1"/>
  <c r="BU2" i="1"/>
  <c r="BU1" i="1" s="1"/>
  <c r="BT2" i="1"/>
  <c r="BT1" i="1" s="1"/>
  <c r="BS2" i="1"/>
  <c r="BS1" i="1" s="1"/>
  <c r="AJ342" i="1"/>
  <c r="AK123" i="1"/>
  <c r="AM49" i="1"/>
  <c r="AN49" i="1"/>
  <c r="AO49" i="1"/>
  <c r="AP49" i="1"/>
  <c r="AQ49" i="1"/>
  <c r="AR49" i="1"/>
  <c r="AS49" i="1"/>
  <c r="AT49" i="1"/>
  <c r="AU49" i="1"/>
  <c r="AV49" i="1"/>
  <c r="AW49" i="1"/>
  <c r="AX49" i="1"/>
  <c r="AM54" i="1"/>
  <c r="AN54" i="1"/>
  <c r="AO54" i="1"/>
  <c r="AP54" i="1"/>
  <c r="AQ54" i="1"/>
  <c r="AR54" i="1"/>
  <c r="AS54" i="1"/>
  <c r="AT54" i="1"/>
  <c r="AU54" i="1"/>
  <c r="AV54" i="1"/>
  <c r="AW54" i="1"/>
  <c r="AX54" i="1"/>
  <c r="AM147" i="1"/>
  <c r="AN147" i="1"/>
  <c r="AO147" i="1"/>
  <c r="AP147" i="1"/>
  <c r="AQ147" i="1"/>
  <c r="AR147" i="1"/>
  <c r="AS147" i="1"/>
  <c r="AT147" i="1"/>
  <c r="AU147" i="1"/>
  <c r="AV147" i="1"/>
  <c r="AW147" i="1"/>
  <c r="AX147" i="1"/>
  <c r="AM148" i="1"/>
  <c r="AN148" i="1"/>
  <c r="AO148" i="1"/>
  <c r="AP148" i="1"/>
  <c r="AQ148" i="1"/>
  <c r="AR148" i="1"/>
  <c r="AS148" i="1"/>
  <c r="AT148" i="1"/>
  <c r="AU148" i="1"/>
  <c r="AV148" i="1"/>
  <c r="AW148" i="1"/>
  <c r="AX148" i="1"/>
  <c r="AM276" i="1"/>
  <c r="AN276" i="1"/>
  <c r="AO276" i="1"/>
  <c r="AP276" i="1"/>
  <c r="AQ276" i="1"/>
  <c r="AR276" i="1"/>
  <c r="AS276" i="1"/>
  <c r="AT276" i="1"/>
  <c r="AU276" i="1"/>
  <c r="AV276" i="1"/>
  <c r="AW276" i="1"/>
  <c r="AX276" i="1"/>
  <c r="Z174" i="1"/>
  <c r="Z382" i="1"/>
  <c r="Z381" i="1" s="1"/>
  <c r="Z176" i="1" s="1"/>
  <c r="Z372" i="1"/>
  <c r="Z260" i="1"/>
  <c r="Z259" i="1"/>
  <c r="Z254" i="1"/>
  <c r="Z147" i="1"/>
  <c r="P37" i="27" s="1"/>
  <c r="Z134" i="1"/>
  <c r="Z137" i="1" s="1"/>
  <c r="Z127" i="1"/>
  <c r="BP127" i="1" s="1"/>
  <c r="Z59" i="1"/>
  <c r="Z375" i="1" s="1"/>
  <c r="Z47" i="1"/>
  <c r="Z48" i="1" s="1"/>
  <c r="Z46" i="1" s="1"/>
  <c r="Z38" i="1"/>
  <c r="Z37" i="1"/>
  <c r="Z62" i="1" s="1"/>
  <c r="Z19" i="1"/>
  <c r="Z9" i="1"/>
  <c r="AR66" i="27"/>
  <c r="AR64" i="27"/>
  <c r="AM1" i="1"/>
  <c r="AM342" i="1" s="1"/>
  <c r="AN1" i="1"/>
  <c r="AN8" i="1" s="1"/>
  <c r="AO1" i="1"/>
  <c r="AO293" i="1" s="1"/>
  <c r="AP1" i="1"/>
  <c r="AP87" i="1" s="1"/>
  <c r="AQ1" i="1"/>
  <c r="AQ8" i="1" s="1"/>
  <c r="AR1" i="1"/>
  <c r="AR342" i="1" s="1"/>
  <c r="AS1" i="1"/>
  <c r="AS369" i="1" s="1"/>
  <c r="AT1" i="1"/>
  <c r="AT369" i="1" s="1"/>
  <c r="AU1" i="1"/>
  <c r="AU342" i="1" s="1"/>
  <c r="AV1" i="1"/>
  <c r="AV8" i="1" s="1"/>
  <c r="AW1" i="1"/>
  <c r="AW369" i="1" s="1"/>
  <c r="AX1" i="1"/>
  <c r="AX87" i="1" s="1"/>
  <c r="J17" i="27"/>
  <c r="J18" i="27"/>
  <c r="J19" i="27"/>
  <c r="J21" i="27"/>
  <c r="J34" i="27"/>
  <c r="J35" i="27"/>
  <c r="AG106" i="21"/>
  <c r="AG105" i="21"/>
  <c r="AG281" i="21"/>
  <c r="AP77" i="27"/>
  <c r="T174" i="1"/>
  <c r="U174" i="1"/>
  <c r="V174" i="1"/>
  <c r="X174" i="1"/>
  <c r="Y174" i="1"/>
  <c r="W174" i="1"/>
  <c r="Y362" i="1"/>
  <c r="Y364" i="1" s="1"/>
  <c r="Y387" i="1"/>
  <c r="Y393" i="1" s="1"/>
  <c r="Y376" i="1"/>
  <c r="Y351" i="1"/>
  <c r="Y258" i="1" s="1"/>
  <c r="Y79" i="1"/>
  <c r="Y83" i="1" s="1"/>
  <c r="Y56" i="1"/>
  <c r="Y1" i="1"/>
  <c r="Y123" i="1" s="1"/>
  <c r="Y382" i="1"/>
  <c r="Y381" i="1" s="1"/>
  <c r="Y372" i="1"/>
  <c r="Y260" i="1"/>
  <c r="Y259" i="1"/>
  <c r="Y254" i="1"/>
  <c r="Y147" i="1"/>
  <c r="AG246" i="21" s="1"/>
  <c r="Y134" i="1"/>
  <c r="Y137" i="1" s="1"/>
  <c r="Y127" i="1"/>
  <c r="Y59" i="1"/>
  <c r="Y375" i="1" s="1"/>
  <c r="Y47" i="1"/>
  <c r="Y48" i="1" s="1"/>
  <c r="Y46" i="1" s="1"/>
  <c r="Y38" i="1"/>
  <c r="Y37" i="1"/>
  <c r="Y62" i="1" s="1"/>
  <c r="Y19" i="1"/>
  <c r="O14" i="27" s="1"/>
  <c r="Y9" i="1"/>
  <c r="AG4" i="21" s="1"/>
  <c r="AF281" i="21"/>
  <c r="AB262" i="21"/>
  <c r="AF105" i="21"/>
  <c r="AF106" i="21"/>
  <c r="BQ189" i="1"/>
  <c r="X1" i="1"/>
  <c r="X8" i="1" s="1"/>
  <c r="X389" i="1"/>
  <c r="X393" i="1" s="1"/>
  <c r="X382" i="1"/>
  <c r="X381" i="1" s="1"/>
  <c r="X376" i="1"/>
  <c r="X362" i="1"/>
  <c r="X364" i="1" s="1"/>
  <c r="X351" i="1"/>
  <c r="X258" i="1" s="1"/>
  <c r="X56" i="1"/>
  <c r="X17" i="1" s="1"/>
  <c r="X372" i="1"/>
  <c r="X260" i="1"/>
  <c r="X259" i="1"/>
  <c r="X254" i="1"/>
  <c r="X147" i="1"/>
  <c r="N37" i="27" s="1"/>
  <c r="X134" i="1"/>
  <c r="X137" i="1" s="1"/>
  <c r="X127" i="1"/>
  <c r="X79" i="1"/>
  <c r="X83" i="1" s="1"/>
  <c r="X59" i="1"/>
  <c r="X375" i="1" s="1"/>
  <c r="X47" i="1"/>
  <c r="X48" i="1" s="1"/>
  <c r="X46" i="1" s="1"/>
  <c r="X38" i="1"/>
  <c r="X37" i="1"/>
  <c r="X62" i="1" s="1"/>
  <c r="X19" i="1"/>
  <c r="N14" i="27" s="1"/>
  <c r="X9" i="1"/>
  <c r="N11" i="27" s="1"/>
  <c r="AL79" i="27"/>
  <c r="AL77" i="27"/>
  <c r="H17" i="27"/>
  <c r="I18" i="27"/>
  <c r="H19" i="27"/>
  <c r="I19" i="27"/>
  <c r="H21" i="27"/>
  <c r="I21" i="27"/>
  <c r="H34" i="27"/>
  <c r="I34" i="27"/>
  <c r="H35" i="27"/>
  <c r="I35" i="27"/>
  <c r="AI281" i="21"/>
  <c r="AM281" i="21"/>
  <c r="Z281" i="21"/>
  <c r="AA281" i="21"/>
  <c r="AB281" i="21"/>
  <c r="AC281" i="21"/>
  <c r="AD281" i="21"/>
  <c r="AE281" i="21"/>
  <c r="Y101" i="21"/>
  <c r="Y105" i="21"/>
  <c r="Y106" i="21"/>
  <c r="Z101" i="21"/>
  <c r="Z105" i="21"/>
  <c r="Z106" i="21"/>
  <c r="AA101" i="21"/>
  <c r="AA105" i="21"/>
  <c r="AA106" i="21"/>
  <c r="AB101" i="21"/>
  <c r="AB105" i="21"/>
  <c r="AB106" i="21"/>
  <c r="AC101" i="21"/>
  <c r="AC105" i="21"/>
  <c r="AC106" i="21"/>
  <c r="AD101" i="21"/>
  <c r="AD105" i="21"/>
  <c r="AD106" i="21"/>
  <c r="AE106" i="21"/>
  <c r="AE105" i="21"/>
  <c r="AJ281" i="21"/>
  <c r="BR2" i="1"/>
  <c r="BR1" i="1" s="1"/>
  <c r="BQ2" i="1"/>
  <c r="BQ1" i="1" s="1"/>
  <c r="BR392" i="1"/>
  <c r="BR391" i="1"/>
  <c r="BR390" i="1"/>
  <c r="BR383" i="1"/>
  <c r="AH8" i="1"/>
  <c r="W9" i="1"/>
  <c r="M11" i="27" s="1"/>
  <c r="W1" i="1"/>
  <c r="W87" i="1" s="1"/>
  <c r="W380" i="1"/>
  <c r="BP380" i="1" s="1"/>
  <c r="W382" i="1"/>
  <c r="S9" i="1"/>
  <c r="AA4" i="21" s="1"/>
  <c r="T9" i="1"/>
  <c r="J11" i="27" s="1"/>
  <c r="U9" i="1"/>
  <c r="K11" i="27" s="1"/>
  <c r="V9" i="1"/>
  <c r="V79" i="1"/>
  <c r="V83" i="1" s="1"/>
  <c r="W79" i="1"/>
  <c r="W83" i="1" s="1"/>
  <c r="V19" i="1"/>
  <c r="L14" i="27" s="1"/>
  <c r="V42" i="1"/>
  <c r="V372" i="1"/>
  <c r="V59" i="1"/>
  <c r="S19" i="1"/>
  <c r="I14" i="27" s="1"/>
  <c r="S27" i="1"/>
  <c r="BO27" i="1" s="1"/>
  <c r="S42" i="1"/>
  <c r="S372" i="1"/>
  <c r="S375" i="1"/>
  <c r="T19" i="1"/>
  <c r="J14" i="27" s="1"/>
  <c r="T42" i="1"/>
  <c r="T372" i="1"/>
  <c r="T375" i="1"/>
  <c r="U19" i="1"/>
  <c r="K14" i="27" s="1"/>
  <c r="U28" i="1"/>
  <c r="K18" i="27" s="1"/>
  <c r="U42" i="1"/>
  <c r="U372" i="1"/>
  <c r="U59" i="1"/>
  <c r="U375" i="1" s="1"/>
  <c r="S387" i="1"/>
  <c r="T387" i="1" s="1"/>
  <c r="S281" i="1"/>
  <c r="S389" i="1" s="1"/>
  <c r="T388" i="1"/>
  <c r="U388" i="1" s="1"/>
  <c r="T392" i="1"/>
  <c r="U392" i="1" s="1"/>
  <c r="V392" i="1" s="1"/>
  <c r="BO392" i="1" s="1"/>
  <c r="S383" i="1"/>
  <c r="T383" i="1" s="1"/>
  <c r="T380" i="1"/>
  <c r="U380" i="1" s="1"/>
  <c r="V380" i="1" s="1"/>
  <c r="BO380" i="1" s="1"/>
  <c r="AO97" i="27" s="1"/>
  <c r="S382" i="1"/>
  <c r="S381" i="1" s="1"/>
  <c r="T382" i="1"/>
  <c r="U382" i="1"/>
  <c r="V382" i="1"/>
  <c r="W362" i="1"/>
  <c r="W364" i="1" s="1"/>
  <c r="W351" i="1"/>
  <c r="W258" i="1" s="1"/>
  <c r="W56" i="1"/>
  <c r="W17" i="1" s="1"/>
  <c r="W47" i="1"/>
  <c r="W48" i="1" s="1"/>
  <c r="W46" i="1" s="1"/>
  <c r="W19" i="1"/>
  <c r="M14" i="27" s="1"/>
  <c r="W372" i="1"/>
  <c r="W59" i="1"/>
  <c r="W387" i="1"/>
  <c r="W389" i="1"/>
  <c r="W260" i="1"/>
  <c r="W259" i="1"/>
  <c r="W254" i="1"/>
  <c r="W147" i="1"/>
  <c r="M37" i="27" s="1"/>
  <c r="W134" i="1"/>
  <c r="W137" i="1" s="1"/>
  <c r="W127" i="1"/>
  <c r="W37" i="1"/>
  <c r="W38" i="1"/>
  <c r="V1" i="1"/>
  <c r="V8" i="1" s="1"/>
  <c r="V147" i="1"/>
  <c r="L37" i="27" s="1"/>
  <c r="O9" i="1"/>
  <c r="O249" i="1" s="1"/>
  <c r="O19" i="1"/>
  <c r="E14" i="27" s="1"/>
  <c r="O372" i="1"/>
  <c r="O374" i="1"/>
  <c r="O375" i="1"/>
  <c r="O377" i="1" s="1"/>
  <c r="O380" i="1"/>
  <c r="O384" i="1" s="1"/>
  <c r="S47" i="1"/>
  <c r="S48" i="1" s="1"/>
  <c r="S54" i="1"/>
  <c r="S60" i="1"/>
  <c r="BO60" i="1" s="1"/>
  <c r="S57" i="1"/>
  <c r="S56" i="1"/>
  <c r="S17" i="1" s="1"/>
  <c r="S37" i="1"/>
  <c r="S62" i="1" s="1"/>
  <c r="T47" i="1"/>
  <c r="T48" i="1" s="1"/>
  <c r="T54" i="1"/>
  <c r="T56" i="1"/>
  <c r="T17" i="1" s="1"/>
  <c r="T37" i="1"/>
  <c r="T62" i="1" s="1"/>
  <c r="U47" i="1"/>
  <c r="U48" i="1" s="1"/>
  <c r="U54" i="1"/>
  <c r="U56" i="1"/>
  <c r="U17" i="1" s="1"/>
  <c r="U37" i="1"/>
  <c r="U79" i="1"/>
  <c r="U81" i="1" s="1"/>
  <c r="V47" i="1"/>
  <c r="V48" i="1" s="1"/>
  <c r="V46" i="1" s="1"/>
  <c r="V51" i="1"/>
  <c r="BO51" i="1" s="1"/>
  <c r="V56" i="1"/>
  <c r="V17" i="1" s="1"/>
  <c r="V37" i="1"/>
  <c r="V62" i="1" s="1"/>
  <c r="R9" i="1"/>
  <c r="H11" i="27" s="1"/>
  <c r="Q9" i="1"/>
  <c r="P9" i="1"/>
  <c r="Q19" i="1"/>
  <c r="G14" i="27" s="1"/>
  <c r="R19" i="1"/>
  <c r="H14" i="27" s="1"/>
  <c r="H16" i="27" s="1"/>
  <c r="G17" i="27"/>
  <c r="G18" i="27"/>
  <c r="R28" i="1"/>
  <c r="G19" i="27"/>
  <c r="G21" i="27"/>
  <c r="Q42" i="1"/>
  <c r="R42" i="1"/>
  <c r="Q47" i="1"/>
  <c r="Q46" i="1" s="1"/>
  <c r="Q49" i="1"/>
  <c r="BN49" i="1" s="1"/>
  <c r="R47" i="1"/>
  <c r="R48" i="1" s="1"/>
  <c r="Q60" i="1"/>
  <c r="Q56" i="1"/>
  <c r="R60" i="1"/>
  <c r="R56" i="1"/>
  <c r="R17" i="1" s="1"/>
  <c r="Q380" i="1"/>
  <c r="Y67" i="21" s="1"/>
  <c r="R382" i="1"/>
  <c r="R381" i="1" s="1"/>
  <c r="G34" i="27"/>
  <c r="G35" i="27"/>
  <c r="Q147" i="1"/>
  <c r="Y246" i="21" s="1"/>
  <c r="R147" i="1"/>
  <c r="H37" i="27" s="1"/>
  <c r="S147" i="1"/>
  <c r="I37" i="27" s="1"/>
  <c r="T147" i="1"/>
  <c r="J37" i="27" s="1"/>
  <c r="U147" i="1"/>
  <c r="K37" i="27" s="1"/>
  <c r="V127" i="1"/>
  <c r="BO127" i="1" s="1"/>
  <c r="V351" i="1"/>
  <c r="V258" i="1" s="1"/>
  <c r="V259" i="1"/>
  <c r="V260" i="1"/>
  <c r="P19" i="1"/>
  <c r="F14" i="27" s="1"/>
  <c r="V362" i="1"/>
  <c r="BO362" i="1" s="1"/>
  <c r="V254" i="1"/>
  <c r="V134" i="1"/>
  <c r="V137" i="1" s="1"/>
  <c r="AD102" i="21" s="1"/>
  <c r="U134" i="1"/>
  <c r="U137" i="1" s="1"/>
  <c r="U127" i="1"/>
  <c r="V38" i="1"/>
  <c r="V35" i="1" s="1"/>
  <c r="AC15" i="27"/>
  <c r="AC20" i="27" s="1"/>
  <c r="AC22" i="27" s="1"/>
  <c r="O47" i="1"/>
  <c r="O46" i="1" s="1"/>
  <c r="P47" i="1"/>
  <c r="P46" i="1" s="1"/>
  <c r="P42" i="1"/>
  <c r="BN42" i="1" s="1"/>
  <c r="BO49" i="1"/>
  <c r="BO53" i="1"/>
  <c r="BO354" i="1"/>
  <c r="BO355" i="1"/>
  <c r="BO356" i="1"/>
  <c r="BO357" i="1"/>
  <c r="BO358" i="1"/>
  <c r="BO361" i="1"/>
  <c r="BO363" i="1"/>
  <c r="AP79" i="27"/>
  <c r="F17" i="27"/>
  <c r="F18" i="27"/>
  <c r="F19" i="27"/>
  <c r="F21" i="27"/>
  <c r="P59" i="1"/>
  <c r="BN59" i="1" s="1"/>
  <c r="P56" i="1"/>
  <c r="P17" i="1" s="1"/>
  <c r="P380" i="1"/>
  <c r="P384" i="1" s="1"/>
  <c r="F34" i="27"/>
  <c r="F35" i="27"/>
  <c r="P147" i="1"/>
  <c r="X246" i="21" s="1"/>
  <c r="B21" i="1"/>
  <c r="B22" i="1"/>
  <c r="B23" i="1"/>
  <c r="O1" i="1"/>
  <c r="O8" i="1" s="1"/>
  <c r="P1" i="1"/>
  <c r="P293" i="1" s="1"/>
  <c r="Q1" i="1"/>
  <c r="Q342" i="1" s="1"/>
  <c r="R1" i="1"/>
  <c r="R8" i="1" s="1"/>
  <c r="S1" i="1"/>
  <c r="S8" i="1" s="1"/>
  <c r="T1" i="1"/>
  <c r="T8" i="1" s="1"/>
  <c r="U1" i="1"/>
  <c r="U293" i="1" s="1"/>
  <c r="BL1" i="1"/>
  <c r="BL369" i="1" s="1"/>
  <c r="BM1" i="1"/>
  <c r="BM369" i="1" s="1"/>
  <c r="BN2" i="1"/>
  <c r="BN1" i="1" s="1"/>
  <c r="BO2" i="1"/>
  <c r="BO1" i="1" s="1"/>
  <c r="BP2" i="1"/>
  <c r="BP1" i="1" s="1"/>
  <c r="BP123" i="1" s="1"/>
  <c r="O60" i="1"/>
  <c r="O56" i="1"/>
  <c r="BO373" i="1"/>
  <c r="BO376" i="1"/>
  <c r="BO31" i="1"/>
  <c r="H57" i="18"/>
  <c r="I157" i="18" s="1"/>
  <c r="H112" i="18"/>
  <c r="F57" i="18"/>
  <c r="G100" i="18" s="1"/>
  <c r="F112" i="18"/>
  <c r="D57" i="18"/>
  <c r="E158" i="18" s="1"/>
  <c r="D112" i="18"/>
  <c r="C112" i="18"/>
  <c r="H93" i="18"/>
  <c r="G93" i="18"/>
  <c r="F93" i="18"/>
  <c r="E93" i="18"/>
  <c r="D93" i="18"/>
  <c r="C93" i="18"/>
  <c r="E82" i="18"/>
  <c r="D82" i="18"/>
  <c r="A63" i="18"/>
  <c r="A64" i="18" s="1"/>
  <c r="A65" i="18" s="1"/>
  <c r="A66" i="18" s="1"/>
  <c r="A67" i="18" s="1"/>
  <c r="A68" i="18" s="1"/>
  <c r="A69" i="18" s="1"/>
  <c r="A70" i="18" s="1"/>
  <c r="A71" i="18" s="1"/>
  <c r="A72" i="18" s="1"/>
  <c r="A73" i="18" s="1"/>
  <c r="A74" i="18" s="1"/>
  <c r="A75" i="18" s="1"/>
  <c r="A76" i="18" s="1"/>
  <c r="A77" i="18" s="1"/>
  <c r="A78" i="18" s="1"/>
  <c r="A79" i="18" s="1"/>
  <c r="A80" i="18" s="1"/>
  <c r="A81" i="18" s="1"/>
  <c r="BO229" i="1"/>
  <c r="U362" i="1"/>
  <c r="U364" i="1" s="1"/>
  <c r="R357" i="1"/>
  <c r="BN357" i="1" s="1"/>
  <c r="S357" i="1"/>
  <c r="T357" i="1"/>
  <c r="U351" i="1"/>
  <c r="U258" i="1" s="1"/>
  <c r="U260" i="1"/>
  <c r="U259" i="1"/>
  <c r="T134" i="1"/>
  <c r="T137" i="1" s="1"/>
  <c r="T127" i="1"/>
  <c r="U38" i="1"/>
  <c r="AL94" i="27"/>
  <c r="AR91" i="27"/>
  <c r="AR92" i="27" s="1"/>
  <c r="AR99" i="27"/>
  <c r="AR94" i="27"/>
  <c r="AR90" i="27"/>
  <c r="BN27" i="1"/>
  <c r="BN29" i="1"/>
  <c r="BN31" i="1"/>
  <c r="P372" i="1"/>
  <c r="P374" i="1"/>
  <c r="P376" i="1"/>
  <c r="R376" i="1" s="1"/>
  <c r="BN376" i="1" s="1"/>
  <c r="Q372" i="1"/>
  <c r="Q374" i="1"/>
  <c r="Q375" i="1"/>
  <c r="Q377" i="1" s="1"/>
  <c r="R372" i="1"/>
  <c r="R375" i="1"/>
  <c r="AB263" i="21"/>
  <c r="AB264" i="21"/>
  <c r="AB265" i="21"/>
  <c r="AB266" i="21"/>
  <c r="H167" i="18"/>
  <c r="F167" i="18"/>
  <c r="E166" i="18"/>
  <c r="D167" i="18"/>
  <c r="C167" i="18"/>
  <c r="H148" i="18"/>
  <c r="G148" i="18"/>
  <c r="F148" i="18"/>
  <c r="E148" i="18"/>
  <c r="D148" i="18"/>
  <c r="C148" i="18"/>
  <c r="E137" i="18"/>
  <c r="D137" i="18"/>
  <c r="A118" i="18"/>
  <c r="A119" i="18" s="1"/>
  <c r="A120" i="18" s="1"/>
  <c r="A121" i="18" s="1"/>
  <c r="A122" i="18" s="1"/>
  <c r="A123" i="18" s="1"/>
  <c r="A124" i="18" s="1"/>
  <c r="A125" i="18" s="1"/>
  <c r="A126" i="18" s="1"/>
  <c r="A127" i="18" s="1"/>
  <c r="A128" i="18" s="1"/>
  <c r="A129" i="18" s="1"/>
  <c r="A130" i="18" s="1"/>
  <c r="A131" i="18" s="1"/>
  <c r="A132" i="18" s="1"/>
  <c r="A133" i="18" s="1"/>
  <c r="A134" i="18" s="1"/>
  <c r="A135" i="18" s="1"/>
  <c r="A136" i="18" s="1"/>
  <c r="T362" i="1"/>
  <c r="T351" i="1"/>
  <c r="T258" i="1" s="1"/>
  <c r="T260" i="1"/>
  <c r="T259" i="1"/>
  <c r="T254" i="1"/>
  <c r="S134" i="1"/>
  <c r="S137" i="1" s="1"/>
  <c r="S127" i="1"/>
  <c r="T38" i="1"/>
  <c r="AC31" i="27"/>
  <c r="E17" i="27"/>
  <c r="E18" i="27"/>
  <c r="E19" i="27"/>
  <c r="E21" i="27"/>
  <c r="E34" i="27"/>
  <c r="E35" i="27"/>
  <c r="O147" i="1"/>
  <c r="E37" i="27" s="1"/>
  <c r="D14" i="31"/>
  <c r="G6" i="31"/>
  <c r="G7" i="31"/>
  <c r="G8" i="31"/>
  <c r="G9" i="31"/>
  <c r="G10" i="31"/>
  <c r="G11" i="31"/>
  <c r="G12" i="31"/>
  <c r="G13" i="31"/>
  <c r="M15" i="31"/>
  <c r="M26" i="31"/>
  <c r="M31" i="31"/>
  <c r="BN281" i="1"/>
  <c r="E27" i="18"/>
  <c r="U4" i="21"/>
  <c r="V4" i="21"/>
  <c r="E132" i="1"/>
  <c r="M210" i="21" s="1"/>
  <c r="F132" i="1"/>
  <c r="N210" i="21" s="1"/>
  <c r="G132" i="1"/>
  <c r="O210" i="21" s="1"/>
  <c r="H132" i="1"/>
  <c r="P210" i="21" s="1"/>
  <c r="I132" i="1"/>
  <c r="Q210" i="21" s="1"/>
  <c r="J132" i="1"/>
  <c r="R210" i="21" s="1"/>
  <c r="K132" i="1"/>
  <c r="S210" i="21" s="1"/>
  <c r="L132" i="1"/>
  <c r="T210" i="21" s="1"/>
  <c r="M132" i="1"/>
  <c r="U210" i="21" s="1"/>
  <c r="N132" i="1"/>
  <c r="V210" i="21" s="1"/>
  <c r="O127" i="1"/>
  <c r="P127" i="1"/>
  <c r="Q127" i="1"/>
  <c r="R127" i="1"/>
  <c r="BN127" i="1" s="1"/>
  <c r="D132" i="1"/>
  <c r="L210" i="21" s="1"/>
  <c r="P134" i="1"/>
  <c r="P137" i="1" s="1"/>
  <c r="Q134" i="1"/>
  <c r="Q137" i="1" s="1"/>
  <c r="R134" i="1"/>
  <c r="R137" i="1" s="1"/>
  <c r="BB228" i="21"/>
  <c r="BA228" i="21"/>
  <c r="AZ228" i="21"/>
  <c r="AY228" i="21"/>
  <c r="AX228" i="21"/>
  <c r="O134" i="1"/>
  <c r="O137" i="1" s="1"/>
  <c r="BP188" i="1"/>
  <c r="BB210" i="21" s="1"/>
  <c r="BO188" i="1"/>
  <c r="BA210" i="21" s="1"/>
  <c r="AZ210" i="21"/>
  <c r="AY210" i="21"/>
  <c r="AX210" i="21"/>
  <c r="C123" i="1"/>
  <c r="D1" i="1"/>
  <c r="D123" i="1" s="1"/>
  <c r="E1" i="1"/>
  <c r="E123" i="1" s="1"/>
  <c r="F1" i="1"/>
  <c r="F123" i="1" s="1"/>
  <c r="G1" i="1"/>
  <c r="G123" i="1" s="1"/>
  <c r="H1" i="1"/>
  <c r="H123" i="1" s="1"/>
  <c r="I1" i="1"/>
  <c r="I123" i="1" s="1"/>
  <c r="J1" i="1"/>
  <c r="J123" i="1" s="1"/>
  <c r="K1" i="1"/>
  <c r="K123" i="1" s="1"/>
  <c r="L1" i="1"/>
  <c r="L123" i="1" s="1"/>
  <c r="M1" i="1"/>
  <c r="M123" i="1" s="1"/>
  <c r="N1" i="1"/>
  <c r="N123" i="1" s="1"/>
  <c r="N130" i="1"/>
  <c r="V191" i="21" s="1"/>
  <c r="M130" i="1"/>
  <c r="U191" i="21" s="1"/>
  <c r="L130" i="1"/>
  <c r="T191" i="21" s="1"/>
  <c r="K130" i="1"/>
  <c r="S191" i="21" s="1"/>
  <c r="J130" i="1"/>
  <c r="R191" i="21" s="1"/>
  <c r="I130" i="1"/>
  <c r="Q191" i="21" s="1"/>
  <c r="H130" i="1"/>
  <c r="P191" i="21" s="1"/>
  <c r="G130" i="1"/>
  <c r="O191" i="21" s="1"/>
  <c r="F130" i="1"/>
  <c r="N191" i="21" s="1"/>
  <c r="E130" i="1"/>
  <c r="M191" i="21" s="1"/>
  <c r="D130" i="1"/>
  <c r="L191" i="21" s="1"/>
  <c r="K191" i="21"/>
  <c r="BA191" i="21"/>
  <c r="AZ191" i="21"/>
  <c r="AY191" i="21"/>
  <c r="AX191" i="21"/>
  <c r="C33" i="1"/>
  <c r="D33" i="1"/>
  <c r="E33" i="1"/>
  <c r="F33" i="1"/>
  <c r="G33" i="1"/>
  <c r="H33" i="1"/>
  <c r="I33" i="1"/>
  <c r="J33" i="1"/>
  <c r="K33" i="1"/>
  <c r="L33" i="1"/>
  <c r="M33" i="1"/>
  <c r="N33" i="1"/>
  <c r="C126" i="1"/>
  <c r="C128" i="1" s="1"/>
  <c r="K85" i="21" s="1"/>
  <c r="D126" i="1"/>
  <c r="D128" i="1" s="1"/>
  <c r="L85" i="21" s="1"/>
  <c r="E126" i="1"/>
  <c r="E128" i="1" s="1"/>
  <c r="M85" i="21" s="1"/>
  <c r="F126" i="1"/>
  <c r="F128" i="1" s="1"/>
  <c r="N85" i="21" s="1"/>
  <c r="G126" i="1"/>
  <c r="G128" i="1" s="1"/>
  <c r="O85" i="21" s="1"/>
  <c r="H126" i="1"/>
  <c r="H128" i="1" s="1"/>
  <c r="P85" i="21" s="1"/>
  <c r="I126" i="1"/>
  <c r="I128" i="1" s="1"/>
  <c r="Q85" i="21" s="1"/>
  <c r="J126" i="1"/>
  <c r="J128" i="1" s="1"/>
  <c r="R85" i="21" s="1"/>
  <c r="K126" i="1"/>
  <c r="K128" i="1" s="1"/>
  <c r="S85" i="21" s="1"/>
  <c r="L126" i="1"/>
  <c r="L128" i="1" s="1"/>
  <c r="T85" i="21" s="1"/>
  <c r="M126" i="1"/>
  <c r="M128" i="1" s="1"/>
  <c r="U85" i="21" s="1"/>
  <c r="N126" i="1"/>
  <c r="N128" i="1" s="1"/>
  <c r="V85" i="21" s="1"/>
  <c r="BM25" i="1"/>
  <c r="BM28" i="1"/>
  <c r="BN373" i="1"/>
  <c r="BM377" i="1"/>
  <c r="BM40" i="1"/>
  <c r="BM372" i="1"/>
  <c r="BM374" i="1"/>
  <c r="BM375" i="1"/>
  <c r="BM376" i="1"/>
  <c r="BN53" i="1"/>
  <c r="BN51" i="1"/>
  <c r="BN54" i="1"/>
  <c r="BN58" i="1"/>
  <c r="BN57" i="1"/>
  <c r="S351" i="1"/>
  <c r="S258" i="1" s="1"/>
  <c r="S259" i="1"/>
  <c r="S260" i="1"/>
  <c r="S362" i="1"/>
  <c r="BN39" i="1"/>
  <c r="BN41" i="1"/>
  <c r="BN40" i="1"/>
  <c r="BL25" i="1"/>
  <c r="BL26" i="1" s="1"/>
  <c r="BL28" i="1"/>
  <c r="BL40" i="1"/>
  <c r="BO58" i="1"/>
  <c r="Q383" i="1"/>
  <c r="R383" i="1" s="1"/>
  <c r="S254" i="1"/>
  <c r="AS97" i="27"/>
  <c r="AS91" i="27"/>
  <c r="AS87" i="27"/>
  <c r="AS89" i="27"/>
  <c r="AP94" i="27"/>
  <c r="AP92" i="27"/>
  <c r="A8" i="18"/>
  <c r="A9" i="18" s="1"/>
  <c r="A10" i="18" s="1"/>
  <c r="A11" i="18" s="1"/>
  <c r="A12" i="18" s="1"/>
  <c r="A13" i="18" s="1"/>
  <c r="A14" i="18" s="1"/>
  <c r="A15" i="18" s="1"/>
  <c r="A16" i="18" s="1"/>
  <c r="A17" i="18" s="1"/>
  <c r="A18" i="18" s="1"/>
  <c r="A19" i="18" s="1"/>
  <c r="A20" i="18" s="1"/>
  <c r="A21" i="18" s="1"/>
  <c r="A22" i="18" s="1"/>
  <c r="A23" i="18" s="1"/>
  <c r="A24" i="18" s="1"/>
  <c r="A25" i="18" s="1"/>
  <c r="A26" i="18" s="1"/>
  <c r="BO126" i="1"/>
  <c r="BN128" i="1"/>
  <c r="BN126" i="1"/>
  <c r="R362" i="1"/>
  <c r="R351" i="1"/>
  <c r="R258" i="1" s="1"/>
  <c r="P37" i="1"/>
  <c r="P62" i="1" s="1"/>
  <c r="R389" i="1"/>
  <c r="R260" i="1"/>
  <c r="R259" i="1"/>
  <c r="R37" i="1"/>
  <c r="R62" i="1" s="1"/>
  <c r="R38" i="1"/>
  <c r="BP229" i="1"/>
  <c r="BO189" i="1"/>
  <c r="BQ188" i="1"/>
  <c r="BP187" i="1"/>
  <c r="BO187" i="1"/>
  <c r="BO186" i="1"/>
  <c r="BO153" i="1"/>
  <c r="BO128" i="1"/>
  <c r="BN348" i="1"/>
  <c r="BQ392" i="1"/>
  <c r="BQ391" i="1"/>
  <c r="BQ390" i="1"/>
  <c r="BQ383" i="1"/>
  <c r="Q259" i="1"/>
  <c r="Q260" i="1"/>
  <c r="BQ44" i="1"/>
  <c r="BQ40" i="1"/>
  <c r="S3" i="1"/>
  <c r="U3" i="1"/>
  <c r="V3" i="1" s="1"/>
  <c r="W3" i="1" s="1"/>
  <c r="X3" i="1" s="1"/>
  <c r="Y3" i="1" s="1"/>
  <c r="Z3" i="1" s="1"/>
  <c r="AB3" i="1"/>
  <c r="AC3" i="1" s="1"/>
  <c r="AD3" i="1" s="1"/>
  <c r="AE3" i="1" s="1"/>
  <c r="AF3" i="1" s="1"/>
  <c r="AG3" i="1" s="1"/>
  <c r="AH3" i="1" s="1"/>
  <c r="AI3" i="1" s="1"/>
  <c r="AJ3" i="1" s="1"/>
  <c r="AK3" i="1" s="1"/>
  <c r="Q389" i="1"/>
  <c r="P349" i="1"/>
  <c r="BM395" i="1"/>
  <c r="BM383" i="1"/>
  <c r="BM384" i="1" s="1"/>
  <c r="BM387" i="1"/>
  <c r="BM392" i="1"/>
  <c r="BL392" i="1"/>
  <c r="BL387" i="1"/>
  <c r="BL383" i="1"/>
  <c r="BL374" i="1"/>
  <c r="BL377" i="1"/>
  <c r="BL376" i="1"/>
  <c r="BL351" i="1"/>
  <c r="BL352" i="1" s="1"/>
  <c r="BM361" i="1"/>
  <c r="BL395" i="1"/>
  <c r="BL372" i="1"/>
  <c r="BL375" i="1"/>
  <c r="BL380" i="1"/>
  <c r="BM352" i="1"/>
  <c r="BM359" i="1"/>
  <c r="BL359" i="1"/>
  <c r="BL364" i="1" s="1"/>
  <c r="BN344" i="1"/>
  <c r="BN345" i="1"/>
  <c r="BN349" i="1"/>
  <c r="BN350" i="1"/>
  <c r="BN354" i="1"/>
  <c r="BN355" i="1"/>
  <c r="BN356" i="1"/>
  <c r="BN358" i="1"/>
  <c r="BN361" i="1"/>
  <c r="BN363" i="1"/>
  <c r="BM47" i="1"/>
  <c r="BM46" i="1" s="1"/>
  <c r="BL47" i="1"/>
  <c r="BL46" i="1" s="1"/>
  <c r="BN275" i="1"/>
  <c r="AY4" i="21"/>
  <c r="AX4" i="21"/>
  <c r="AC16" i="27"/>
  <c r="AE23" i="27"/>
  <c r="W85" i="21"/>
  <c r="X85" i="21"/>
  <c r="Y85" i="21"/>
  <c r="Z85" i="21"/>
  <c r="AA85" i="21"/>
  <c r="AB85" i="21"/>
  <c r="AC85" i="21"/>
  <c r="AD85" i="21"/>
  <c r="AE85" i="21"/>
  <c r="BO72" i="1"/>
  <c r="I52" i="18"/>
  <c r="I48" i="18"/>
  <c r="I44" i="18"/>
  <c r="E53" i="18"/>
  <c r="E49" i="18"/>
  <c r="E45" i="18"/>
  <c r="N41" i="17"/>
  <c r="N40" i="17"/>
  <c r="N39" i="17"/>
  <c r="C57" i="18"/>
  <c r="H38" i="18"/>
  <c r="G38" i="18"/>
  <c r="F38" i="18"/>
  <c r="E38" i="18"/>
  <c r="D38" i="18"/>
  <c r="C38" i="18"/>
  <c r="D27" i="18"/>
  <c r="H30" i="17"/>
  <c r="M30" i="17"/>
  <c r="N30" i="17" s="1"/>
  <c r="H29" i="17"/>
  <c r="M29" i="17" s="1"/>
  <c r="N29" i="17" s="1"/>
  <c r="H25" i="17"/>
  <c r="M25" i="17" s="1"/>
  <c r="N25" i="17" s="1"/>
  <c r="H24" i="17"/>
  <c r="P24" i="17" s="1"/>
  <c r="H23" i="17"/>
  <c r="P23" i="17" s="1"/>
  <c r="H22" i="17"/>
  <c r="P22" i="17" s="1"/>
  <c r="H21" i="17"/>
  <c r="M21" i="17" s="1"/>
  <c r="N21" i="17" s="1"/>
  <c r="H20" i="17"/>
  <c r="H19" i="17"/>
  <c r="P19" i="17" s="1"/>
  <c r="H18" i="17"/>
  <c r="H14" i="17"/>
  <c r="M14" i="17" s="1"/>
  <c r="N14" i="17" s="1"/>
  <c r="H13" i="17"/>
  <c r="M13" i="17" s="1"/>
  <c r="N13" i="17" s="1"/>
  <c r="H12" i="17"/>
  <c r="M12" i="17" s="1"/>
  <c r="N12" i="17" s="1"/>
  <c r="H11" i="17"/>
  <c r="M11" i="17" s="1"/>
  <c r="N11" i="17" s="1"/>
  <c r="H10" i="17"/>
  <c r="P10" i="17" s="1"/>
  <c r="H9" i="17"/>
  <c r="H8" i="17"/>
  <c r="P8" i="17" s="1"/>
  <c r="H7" i="17"/>
  <c r="M7" i="17" s="1"/>
  <c r="N7" i="17" s="1"/>
  <c r="H41" i="17"/>
  <c r="H40" i="17"/>
  <c r="H39" i="17"/>
  <c r="K42" i="17"/>
  <c r="J42" i="17"/>
  <c r="I42" i="17"/>
  <c r="G42" i="17"/>
  <c r="F42" i="17"/>
  <c r="E42" i="17"/>
  <c r="D42" i="17"/>
  <c r="K15" i="17"/>
  <c r="K26" i="17"/>
  <c r="K31" i="17"/>
  <c r="J15" i="17"/>
  <c r="J26" i="17"/>
  <c r="J31" i="17"/>
  <c r="G15" i="17"/>
  <c r="G26" i="17"/>
  <c r="G31" i="17"/>
  <c r="F15" i="17"/>
  <c r="F26" i="17"/>
  <c r="F31" i="17"/>
  <c r="E15" i="17"/>
  <c r="E26" i="17"/>
  <c r="E31" i="17"/>
  <c r="D15" i="17"/>
  <c r="D26" i="17"/>
  <c r="D31" i="17"/>
  <c r="O364" i="1"/>
  <c r="BP53" i="1"/>
  <c r="BP51" i="1"/>
  <c r="Q17" i="1"/>
  <c r="BM10" i="1"/>
  <c r="C3" i="12"/>
  <c r="BN390" i="1"/>
  <c r="BN391" i="1"/>
  <c r="BO374" i="1"/>
  <c r="BO390" i="1"/>
  <c r="BO391" i="1"/>
  <c r="BP363" i="1"/>
  <c r="BP357" i="1"/>
  <c r="BP356" i="1"/>
  <c r="BO350" i="1"/>
  <c r="BO349" i="1"/>
  <c r="BO348" i="1"/>
  <c r="BP383" i="1"/>
  <c r="BO39" i="1"/>
  <c r="BO24" i="1"/>
  <c r="BO22" i="1"/>
  <c r="BO21" i="1"/>
  <c r="BO14" i="1"/>
  <c r="BO13" i="1"/>
  <c r="BO12" i="1"/>
  <c r="BP36" i="1"/>
  <c r="BO36" i="1"/>
  <c r="BO23" i="1"/>
  <c r="BN36" i="1"/>
  <c r="BN24" i="1"/>
  <c r="BN23" i="1"/>
  <c r="BN22" i="1"/>
  <c r="BN21" i="1"/>
  <c r="BN13" i="1"/>
  <c r="BN12" i="1"/>
  <c r="Q254" i="1"/>
  <c r="Q37" i="1"/>
  <c r="Q62" i="1" s="1"/>
  <c r="O37" i="1"/>
  <c r="O62" i="1" s="1"/>
  <c r="O38" i="1"/>
  <c r="P38" i="1"/>
  <c r="Q38" i="1"/>
  <c r="Q35" i="1" s="1"/>
  <c r="Q258" i="1"/>
  <c r="BO20" i="1"/>
  <c r="BN20" i="1"/>
  <c r="P258" i="1"/>
  <c r="P259" i="1"/>
  <c r="P260" i="1"/>
  <c r="BP49" i="1"/>
  <c r="BP44" i="1"/>
  <c r="BP41" i="1"/>
  <c r="BP40" i="1"/>
  <c r="BM245" i="1"/>
  <c r="BM243" i="1"/>
  <c r="BL245" i="1"/>
  <c r="BL246" i="1" s="1"/>
  <c r="BL243" i="1"/>
  <c r="BL244" i="1" s="1"/>
  <c r="BO44" i="1"/>
  <c r="BO41" i="1"/>
  <c r="BO40" i="1"/>
  <c r="BN44" i="1"/>
  <c r="BN14" i="1"/>
  <c r="BO15" i="1"/>
  <c r="BO11" i="1"/>
  <c r="BN72" i="1"/>
  <c r="BN15" i="1"/>
  <c r="BN11" i="1"/>
  <c r="BO344" i="1"/>
  <c r="BO345" i="1"/>
  <c r="AD32" i="27"/>
  <c r="O348" i="1"/>
  <c r="O349" i="1" s="1"/>
  <c r="BN360" i="1"/>
  <c r="BN386" i="1"/>
  <c r="BO360" i="1"/>
  <c r="BO386" i="1"/>
  <c r="BO275" i="1"/>
  <c r="AF8" i="1"/>
  <c r="AE246" i="21"/>
  <c r="BP361" i="1"/>
  <c r="BP60" i="1"/>
  <c r="X123" i="1"/>
  <c r="BP11" i="1"/>
  <c r="BP186" i="1"/>
  <c r="P7" i="17"/>
  <c r="BB191" i="21"/>
  <c r="AL92" i="27"/>
  <c r="BP350" i="1"/>
  <c r="I102" i="18"/>
  <c r="I106" i="18"/>
  <c r="I161" i="18"/>
  <c r="I110" i="18"/>
  <c r="I165" i="18"/>
  <c r="E162" i="18"/>
  <c r="BP153" i="1"/>
  <c r="BP349" i="1"/>
  <c r="E98" i="18"/>
  <c r="E102" i="18"/>
  <c r="E106" i="18"/>
  <c r="E110" i="18"/>
  <c r="E155" i="18"/>
  <c r="E159" i="18"/>
  <c r="E163" i="18"/>
  <c r="E52" i="18"/>
  <c r="E48" i="18"/>
  <c r="E44" i="18"/>
  <c r="E99" i="18"/>
  <c r="E103" i="18"/>
  <c r="E107" i="18"/>
  <c r="E111" i="18"/>
  <c r="E156" i="18"/>
  <c r="E160" i="18"/>
  <c r="E164" i="18"/>
  <c r="E55" i="18"/>
  <c r="E56" i="18"/>
  <c r="E51" i="18"/>
  <c r="E47" i="18"/>
  <c r="E43" i="18"/>
  <c r="E100" i="18"/>
  <c r="E104" i="18"/>
  <c r="E108" i="18"/>
  <c r="E153" i="18"/>
  <c r="E157" i="18"/>
  <c r="E161" i="18"/>
  <c r="E165" i="18"/>
  <c r="E54" i="18"/>
  <c r="E50" i="18"/>
  <c r="E46" i="18"/>
  <c r="BQ11" i="1"/>
  <c r="P12" i="17"/>
  <c r="M23" i="17"/>
  <c r="N23" i="17" s="1"/>
  <c r="P30" i="17"/>
  <c r="E109" i="18"/>
  <c r="G109" i="18"/>
  <c r="BP348" i="1"/>
  <c r="E105" i="18"/>
  <c r="I99" i="18"/>
  <c r="I103" i="18"/>
  <c r="I107" i="18"/>
  <c r="I111" i="18"/>
  <c r="I154" i="18"/>
  <c r="I158" i="18"/>
  <c r="I162" i="18"/>
  <c r="I166" i="18"/>
  <c r="I56" i="18"/>
  <c r="I51" i="18"/>
  <c r="I47" i="18"/>
  <c r="I100" i="18"/>
  <c r="I104" i="18"/>
  <c r="I108" i="18"/>
  <c r="I155" i="18"/>
  <c r="I159" i="18"/>
  <c r="I163" i="18"/>
  <c r="I54" i="18"/>
  <c r="I50" i="18"/>
  <c r="I46" i="18"/>
  <c r="I101" i="18"/>
  <c r="I105" i="18"/>
  <c r="I109" i="18"/>
  <c r="I156" i="18"/>
  <c r="I160" i="18"/>
  <c r="I164" i="18"/>
  <c r="I55" i="18"/>
  <c r="I53" i="18"/>
  <c r="I49" i="18"/>
  <c r="I45" i="18"/>
  <c r="E101" i="18"/>
  <c r="BP31" i="1"/>
  <c r="BP13" i="1"/>
  <c r="BP189" i="1"/>
  <c r="AF85" i="21"/>
  <c r="BP57" i="1"/>
  <c r="BP14" i="1"/>
  <c r="BP126" i="1"/>
  <c r="BP23" i="1"/>
  <c r="BP20" i="1"/>
  <c r="BP15" i="1"/>
  <c r="BP22" i="1"/>
  <c r="BP374" i="1"/>
  <c r="BP358" i="1"/>
  <c r="BP72" i="1"/>
  <c r="BQ229" i="1"/>
  <c r="AG85" i="21"/>
  <c r="BP128" i="1"/>
  <c r="AH85" i="21"/>
  <c r="BP12" i="1"/>
  <c r="BP24" i="1"/>
  <c r="BP21" i="1"/>
  <c r="BP373" i="1"/>
  <c r="BP27" i="1"/>
  <c r="BP28" i="1"/>
  <c r="BP58" i="1"/>
  <c r="BP39" i="1"/>
  <c r="BP355" i="1"/>
  <c r="BP344" i="1"/>
  <c r="BP354" i="1"/>
  <c r="BP345" i="1"/>
  <c r="BP390" i="1"/>
  <c r="BP391" i="1"/>
  <c r="BP34" i="1"/>
  <c r="BP275" i="1"/>
  <c r="BP281" i="1"/>
  <c r="BP360" i="1"/>
  <c r="BP386" i="1"/>
  <c r="Y369" i="1"/>
  <c r="Y293" i="1"/>
  <c r="AK8" i="1"/>
  <c r="AK87" i="1"/>
  <c r="AS293" i="1"/>
  <c r="AK342" i="1"/>
  <c r="AI85" i="21"/>
  <c r="BR229" i="1"/>
  <c r="BS229" i="1"/>
  <c r="AM380" i="1"/>
  <c r="AM232" i="1"/>
  <c r="AN232" i="1"/>
  <c r="AN380" i="1"/>
  <c r="BQ51" i="1"/>
  <c r="BT229" i="1"/>
  <c r="AO380" i="1"/>
  <c r="AO232" i="1"/>
  <c r="AP380" i="1"/>
  <c r="AP232" i="1"/>
  <c r="AQ380" i="1"/>
  <c r="AQ232" i="1"/>
  <c r="AR232" i="1"/>
  <c r="AR380" i="1"/>
  <c r="AS232" i="1"/>
  <c r="AS380" i="1"/>
  <c r="BU229" i="1"/>
  <c r="AT232" i="1"/>
  <c r="AT380" i="1"/>
  <c r="AU380" i="1"/>
  <c r="AU232" i="1"/>
  <c r="AV380" i="1"/>
  <c r="AV232" i="1"/>
  <c r="AW380" i="1"/>
  <c r="AW232" i="1"/>
  <c r="AX380" i="1"/>
  <c r="AX232" i="1"/>
  <c r="BV229" i="1"/>
  <c r="Y87" i="1"/>
  <c r="R25" i="1"/>
  <c r="R253" i="1" s="1"/>
  <c r="AK293" i="1"/>
  <c r="X293" i="1"/>
  <c r="AK369" i="1"/>
  <c r="AA252" i="1"/>
  <c r="U8" i="1"/>
  <c r="AB8" i="1"/>
  <c r="AJ123" i="1"/>
  <c r="AA247" i="1"/>
  <c r="AJ8" i="1"/>
  <c r="AA249" i="1"/>
  <c r="O180" i="1"/>
  <c r="AJ293" i="1"/>
  <c r="AI4" i="21"/>
  <c r="AJ87" i="1"/>
  <c r="AS342" i="1"/>
  <c r="AC4" i="21"/>
  <c r="AA369" i="1"/>
  <c r="W81" i="1"/>
  <c r="W80" i="1" s="1"/>
  <c r="BO281" i="1"/>
  <c r="AA10" i="1"/>
  <c r="AU87" i="1"/>
  <c r="AG8" i="1"/>
  <c r="AJ369" i="1"/>
  <c r="Z81" i="1"/>
  <c r="Z84" i="1" s="1"/>
  <c r="BP79" i="1"/>
  <c r="G30" i="27"/>
  <c r="U83" i="1"/>
  <c r="AI8" i="1"/>
  <c r="E30" i="27"/>
  <c r="U10" i="1"/>
  <c r="U247" i="1"/>
  <c r="BQ49" i="1"/>
  <c r="AU293" i="1"/>
  <c r="R249" i="1"/>
  <c r="X342" i="1"/>
  <c r="X369" i="1"/>
  <c r="R243" i="1"/>
  <c r="P35" i="1"/>
  <c r="AM293" i="1"/>
  <c r="BP134" i="1"/>
  <c r="R247" i="1"/>
  <c r="Z246" i="21"/>
  <c r="BQ60" i="1"/>
  <c r="BQ348" i="1"/>
  <c r="AA246" i="21"/>
  <c r="BN380" i="1"/>
  <c r="Z4" i="21"/>
  <c r="Y81" i="1"/>
  <c r="AA393" i="1"/>
  <c r="BQ20" i="1"/>
  <c r="BM364" i="1"/>
  <c r="BQ37" i="1"/>
  <c r="AW87" i="1"/>
  <c r="BQ187" i="1"/>
  <c r="AW123" i="1"/>
  <c r="AR293" i="1"/>
  <c r="AO369" i="1"/>
  <c r="BR49" i="1"/>
  <c r="AO8" i="1"/>
  <c r="AM8" i="1"/>
  <c r="BQ358" i="1"/>
  <c r="BQ36" i="1"/>
  <c r="BQ57" i="1"/>
  <c r="AQ293" i="1"/>
  <c r="AO342" i="1"/>
  <c r="AU8" i="1"/>
  <c r="W67" i="21"/>
  <c r="AB369" i="1"/>
  <c r="AB80" i="1"/>
  <c r="AB247" i="1"/>
  <c r="BR349" i="1"/>
  <c r="BQ349" i="1"/>
  <c r="BQ361" i="1"/>
  <c r="BQ357" i="1"/>
  <c r="BQ363" i="1"/>
  <c r="BQ53" i="1"/>
  <c r="BQ350" i="1"/>
  <c r="AB10" i="1"/>
  <c r="BQ72" i="1"/>
  <c r="BQ38" i="1"/>
  <c r="BN359" i="1"/>
  <c r="AJ85" i="21"/>
  <c r="AJ209" i="1"/>
  <c r="W287" i="1"/>
  <c r="BO359" i="1"/>
  <c r="BR358" i="1"/>
  <c r="X287" i="1"/>
  <c r="Y287" i="1"/>
  <c r="BP359" i="1"/>
  <c r="Z287" i="1"/>
  <c r="BS358" i="1"/>
  <c r="AM358" i="1"/>
  <c r="AN358" i="1"/>
  <c r="AO358" i="1"/>
  <c r="AP358" i="1"/>
  <c r="BT358" i="1" s="1"/>
  <c r="AQ358" i="1"/>
  <c r="AR358" i="1"/>
  <c r="AS358" i="1"/>
  <c r="AT358" i="1"/>
  <c r="BU358" i="1" s="1"/>
  <c r="AU358" i="1"/>
  <c r="AV358" i="1"/>
  <c r="AX358" i="1"/>
  <c r="BV358" i="1" s="1"/>
  <c r="AW358" i="1"/>
  <c r="BQ356" i="1"/>
  <c r="AK281" i="21"/>
  <c r="AK85" i="21"/>
  <c r="BR187" i="1"/>
  <c r="BR188" i="1"/>
  <c r="BR189" i="1"/>
  <c r="BQ155" i="1"/>
  <c r="BQ154" i="1"/>
  <c r="BQ156" i="1"/>
  <c r="BQ15" i="1"/>
  <c r="BQ23" i="1"/>
  <c r="BS188" i="1"/>
  <c r="AM187" i="1"/>
  <c r="AM186" i="1"/>
  <c r="AM189" i="1"/>
  <c r="AN189" i="1"/>
  <c r="AN186" i="1"/>
  <c r="AN187" i="1"/>
  <c r="AO189" i="1"/>
  <c r="AO186" i="1"/>
  <c r="AO187" i="1"/>
  <c r="BT188" i="1"/>
  <c r="AQ188" i="1"/>
  <c r="AQ189" i="1" s="1"/>
  <c r="AP189" i="1"/>
  <c r="AP187" i="1"/>
  <c r="AP186" i="1"/>
  <c r="BQ359" i="1"/>
  <c r="BQ153" i="1"/>
  <c r="BQ186" i="1"/>
  <c r="AL281" i="21"/>
  <c r="AL246" i="21"/>
  <c r="BQ12" i="1"/>
  <c r="BQ126" i="1"/>
  <c r="BQ14" i="1"/>
  <c r="BQ22" i="1"/>
  <c r="AD369" i="1"/>
  <c r="BR350" i="1"/>
  <c r="BR356" i="1"/>
  <c r="AD17" i="1"/>
  <c r="AD16" i="1" s="1"/>
  <c r="BQ21" i="1"/>
  <c r="BQ13" i="1"/>
  <c r="BR361" i="1"/>
  <c r="AL85" i="21"/>
  <c r="BQ128" i="1"/>
  <c r="BQ373" i="1"/>
  <c r="BQ24" i="1"/>
  <c r="BQ27" i="1"/>
  <c r="BQ58" i="1"/>
  <c r="BQ28" i="1"/>
  <c r="BQ31" i="1"/>
  <c r="BQ355" i="1"/>
  <c r="BQ344" i="1"/>
  <c r="BQ354" i="1"/>
  <c r="BQ41" i="1"/>
  <c r="BQ39" i="1"/>
  <c r="BQ351" i="1"/>
  <c r="BQ47" i="1"/>
  <c r="BQ345" i="1"/>
  <c r="BQ34" i="1"/>
  <c r="BQ35" i="1"/>
  <c r="BQ281" i="1"/>
  <c r="BQ360" i="1"/>
  <c r="BQ362" i="1"/>
  <c r="BQ386" i="1"/>
  <c r="AJ214" i="1"/>
  <c r="AJ224" i="1"/>
  <c r="BR37" i="1"/>
  <c r="BR36" i="1"/>
  <c r="AJ221" i="1"/>
  <c r="AK221" i="1" s="1"/>
  <c r="AL221" i="1" s="1"/>
  <c r="BR374" i="1"/>
  <c r="BR38" i="1"/>
  <c r="BR20" i="1"/>
  <c r="BR357" i="1"/>
  <c r="AJ304" i="1"/>
  <c r="AJ306" i="1" s="1"/>
  <c r="AE130" i="1"/>
  <c r="AM191" i="21" s="1"/>
  <c r="BR72" i="1"/>
  <c r="AM85" i="21"/>
  <c r="BR154" i="1"/>
  <c r="BR155" i="1"/>
  <c r="AN281" i="21"/>
  <c r="BR363" i="1"/>
  <c r="BR348" i="1"/>
  <c r="AF25" i="1"/>
  <c r="AF253" i="1" s="1"/>
  <c r="AN85" i="21"/>
  <c r="AM38" i="1"/>
  <c r="AM374" i="1"/>
  <c r="AN374" i="1"/>
  <c r="AN38" i="1"/>
  <c r="AO374" i="1"/>
  <c r="AO38" i="1"/>
  <c r="AP38" i="1"/>
  <c r="AP374" i="1"/>
  <c r="AQ374" i="1"/>
  <c r="AQ38" i="1"/>
  <c r="AR374" i="1"/>
  <c r="AR38" i="1"/>
  <c r="AS374" i="1"/>
  <c r="AS38" i="1"/>
  <c r="AT374" i="1"/>
  <c r="AT38" i="1"/>
  <c r="AU38" i="1"/>
  <c r="AU374" i="1"/>
  <c r="AV374" i="1"/>
  <c r="AV38" i="1"/>
  <c r="AW374" i="1"/>
  <c r="AW38" i="1"/>
  <c r="AX374" i="1"/>
  <c r="AX38" i="1"/>
  <c r="BY38" i="1" s="1"/>
  <c r="AF252" i="1"/>
  <c r="AF282" i="1"/>
  <c r="BR53" i="1"/>
  <c r="BR373" i="1"/>
  <c r="BR375" i="1"/>
  <c r="AI6" i="1"/>
  <c r="BR388" i="1"/>
  <c r="AJ225" i="1"/>
  <c r="AK225" i="1" s="1"/>
  <c r="AM162" i="1"/>
  <c r="AN162" i="1"/>
  <c r="BR81" i="1"/>
  <c r="BR80" i="1" s="1"/>
  <c r="BR84" i="1"/>
  <c r="BR23" i="1"/>
  <c r="BR15" i="1"/>
  <c r="D32" i="16"/>
  <c r="BR11" i="1"/>
  <c r="AO281" i="21"/>
  <c r="AM156" i="1"/>
  <c r="AM153" i="1"/>
  <c r="AN174" i="1" s="1"/>
  <c r="AN155" i="1"/>
  <c r="BR359" i="1"/>
  <c r="AO4" i="21"/>
  <c r="BR134" i="1"/>
  <c r="BR126" i="1"/>
  <c r="AO85" i="21"/>
  <c r="BR354" i="1"/>
  <c r="BR355" i="1"/>
  <c r="BR344" i="1"/>
  <c r="BR39" i="1"/>
  <c r="BR351" i="1"/>
  <c r="BR47" i="1"/>
  <c r="BR345" i="1"/>
  <c r="AP281" i="21"/>
  <c r="BR153" i="1"/>
  <c r="BR186" i="1"/>
  <c r="BR14" i="1"/>
  <c r="BR22" i="1"/>
  <c r="BR127" i="1"/>
  <c r="BR13" i="1"/>
  <c r="AH247" i="1"/>
  <c r="AM252" i="1"/>
  <c r="AN252" i="1" s="1"/>
  <c r="AO252" i="1" s="1"/>
  <c r="AP252" i="1" s="1"/>
  <c r="AQ252" i="1" s="1"/>
  <c r="AR252" i="1" s="1"/>
  <c r="AS252" i="1" s="1"/>
  <c r="AT252" i="1" s="1"/>
  <c r="AU252" i="1" s="1"/>
  <c r="AV252" i="1" s="1"/>
  <c r="AW252" i="1" s="1"/>
  <c r="AX252" i="1" s="1"/>
  <c r="AY252" i="1" s="1"/>
  <c r="AZ252" i="1" s="1"/>
  <c r="BA252" i="1" s="1"/>
  <c r="BB252" i="1" s="1"/>
  <c r="BC252" i="1" s="1"/>
  <c r="BD252" i="1" s="1"/>
  <c r="BE252" i="1" s="1"/>
  <c r="BF252" i="1" s="1"/>
  <c r="BG252" i="1" s="1"/>
  <c r="BH252" i="1" s="1"/>
  <c r="BI252" i="1" s="1"/>
  <c r="BJ252" i="1" s="1"/>
  <c r="AP85" i="21"/>
  <c r="BR128" i="1"/>
  <c r="BR12" i="1"/>
  <c r="BR24" i="1"/>
  <c r="BR21" i="1"/>
  <c r="BR27" i="1"/>
  <c r="BR28" i="1"/>
  <c r="BR31" i="1"/>
  <c r="BR41" i="1"/>
  <c r="BR34" i="1"/>
  <c r="BR35" i="1"/>
  <c r="BR360" i="1"/>
  <c r="BR362" i="1"/>
  <c r="BR386" i="1"/>
  <c r="D33" i="17"/>
  <c r="P18" i="17"/>
  <c r="M18" i="17"/>
  <c r="N18" i="17" s="1"/>
  <c r="BL248" i="1"/>
  <c r="G54" i="18"/>
  <c r="AC172" i="21" s="1"/>
  <c r="G163" i="18"/>
  <c r="G165" i="18"/>
  <c r="G102" i="18"/>
  <c r="G45" i="18"/>
  <c r="G156" i="18"/>
  <c r="G49" i="18"/>
  <c r="AC167" i="21" s="1"/>
  <c r="G106" i="18"/>
  <c r="G103" i="18"/>
  <c r="G164" i="18"/>
  <c r="G55" i="18"/>
  <c r="AC173" i="21" s="1"/>
  <c r="G161" i="18"/>
  <c r="H18" i="27"/>
  <c r="BN28" i="1"/>
  <c r="R254" i="1"/>
  <c r="Y17" i="1"/>
  <c r="Z393" i="1"/>
  <c r="BP392" i="1"/>
  <c r="AA81" i="1"/>
  <c r="BQ81" i="1" s="1"/>
  <c r="BQ80" i="1" s="1"/>
  <c r="AA83" i="1"/>
  <c r="R14" i="27"/>
  <c r="AG158" i="1"/>
  <c r="AG159" i="1" s="1"/>
  <c r="AN246" i="21"/>
  <c r="Q132" i="1"/>
  <c r="Y210" i="21" s="1"/>
  <c r="T342" i="1"/>
  <c r="P342" i="1"/>
  <c r="P123" i="1"/>
  <c r="S38" i="1"/>
  <c r="BO57" i="1"/>
  <c r="W8" i="1"/>
  <c r="W123" i="1"/>
  <c r="AB17" i="1"/>
  <c r="Z318" i="1"/>
  <c r="AA316" i="1"/>
  <c r="AB316" i="1" s="1"/>
  <c r="AC316" i="1" s="1"/>
  <c r="R324" i="1"/>
  <c r="R326" i="1" s="1"/>
  <c r="AD247" i="1"/>
  <c r="AD42" i="1"/>
  <c r="P20" i="17"/>
  <c r="M20" i="17"/>
  <c r="N20" i="17" s="1"/>
  <c r="U132" i="1"/>
  <c r="AC210" i="21" s="1"/>
  <c r="O130" i="1"/>
  <c r="W191" i="21" s="1"/>
  <c r="W193" i="21" s="1"/>
  <c r="O243" i="1"/>
  <c r="Z342" i="1"/>
  <c r="Z87" i="1"/>
  <c r="AC377" i="1"/>
  <c r="BQ377" i="1" s="1"/>
  <c r="AR188" i="1"/>
  <c r="AS188" i="1" s="1"/>
  <c r="T123" i="1"/>
  <c r="P14" i="17"/>
  <c r="R369" i="1"/>
  <c r="R293" i="1"/>
  <c r="BO47" i="1"/>
  <c r="X243" i="1"/>
  <c r="X249" i="1"/>
  <c r="AF4" i="21"/>
  <c r="BP9" i="1"/>
  <c r="AO74" i="27" s="1"/>
  <c r="Y247" i="1"/>
  <c r="AA375" i="1"/>
  <c r="AB375" i="1" s="1"/>
  <c r="BQ59" i="1"/>
  <c r="Q37" i="27"/>
  <c r="AI246" i="21"/>
  <c r="AE381" i="1"/>
  <c r="U30" i="27" s="1"/>
  <c r="AF382" i="1"/>
  <c r="AE369" i="1"/>
  <c r="AE342" i="1"/>
  <c r="AG48" i="1"/>
  <c r="AG46" i="1" s="1"/>
  <c r="AE249" i="1"/>
  <c r="AH10" i="1"/>
  <c r="E154" i="18"/>
  <c r="AC249" i="1"/>
  <c r="AA158" i="1"/>
  <c r="AE176" i="1"/>
  <c r="AL45" i="27"/>
  <c r="D25" i="16"/>
  <c r="F47" i="16"/>
  <c r="AJ220" i="1"/>
  <c r="AK220" i="1" s="1"/>
  <c r="AL220" i="1" s="1"/>
  <c r="AJ219" i="1"/>
  <c r="AJ226" i="1"/>
  <c r="AK226" i="1" s="1"/>
  <c r="M22" i="17"/>
  <c r="N22" i="17" s="1"/>
  <c r="BN60" i="1"/>
  <c r="W35" i="1"/>
  <c r="AC42" i="1"/>
  <c r="AD342" i="1"/>
  <c r="AD293" i="1"/>
  <c r="M19" i="17"/>
  <c r="N19" i="17" s="1"/>
  <c r="V132" i="1"/>
  <c r="AD210" i="21" s="1"/>
  <c r="BP387" i="1"/>
  <c r="AJ328" i="1"/>
  <c r="W84" i="1"/>
  <c r="F30" i="27"/>
  <c r="AV123" i="1"/>
  <c r="P375" i="1"/>
  <c r="R132" i="1"/>
  <c r="Z210" i="21" s="1"/>
  <c r="V247" i="1"/>
  <c r="V25" i="1"/>
  <c r="V26" i="1" s="1"/>
  <c r="AN369" i="1"/>
  <c r="P180" i="1"/>
  <c r="AS87" i="1"/>
  <c r="G157" i="18"/>
  <c r="G155" i="18"/>
  <c r="M24" i="17"/>
  <c r="N24" i="17" s="1"/>
  <c r="Q8" i="1"/>
  <c r="X67" i="21"/>
  <c r="W62" i="1"/>
  <c r="L11" i="27"/>
  <c r="AN87" i="1"/>
  <c r="P11" i="27"/>
  <c r="AF87" i="1"/>
  <c r="AF293" i="1"/>
  <c r="AF342" i="1"/>
  <c r="AG252" i="1"/>
  <c r="AG369" i="1"/>
  <c r="BP8" i="1"/>
  <c r="AD4" i="21"/>
  <c r="Q123" i="1"/>
  <c r="G160" i="18"/>
  <c r="G48" i="18"/>
  <c r="AC166" i="21" s="1"/>
  <c r="AF246" i="21"/>
  <c r="AG130" i="1"/>
  <c r="AO191" i="21" s="1"/>
  <c r="AG342" i="1"/>
  <c r="Q87" i="1"/>
  <c r="Q369" i="1"/>
  <c r="V10" i="1"/>
  <c r="AN342" i="1"/>
  <c r="AN123" i="1"/>
  <c r="Q293" i="1"/>
  <c r="AS123" i="1"/>
  <c r="M8" i="17"/>
  <c r="N8" i="17" s="1"/>
  <c r="AG293" i="1"/>
  <c r="AG16" i="1"/>
  <c r="AM361" i="1"/>
  <c r="AJ332" i="1"/>
  <c r="BS38" i="1"/>
  <c r="AB387" i="1"/>
  <c r="AC387" i="1" s="1"/>
  <c r="AB48" i="1"/>
  <c r="AB46" i="1" s="1"/>
  <c r="Y35" i="1"/>
  <c r="AH246" i="21"/>
  <c r="P13" i="17"/>
  <c r="BO54" i="1"/>
  <c r="AH87" i="1"/>
  <c r="AH369" i="1"/>
  <c r="AH138" i="1"/>
  <c r="AP101" i="21" s="1"/>
  <c r="AH144" i="1"/>
  <c r="AD87" i="1"/>
  <c r="AO155" i="1"/>
  <c r="AO154" i="1" s="1"/>
  <c r="AG247" i="1"/>
  <c r="BD74" i="1" l="1"/>
  <c r="BE74" i="1" s="1"/>
  <c r="BF74" i="1" s="1"/>
  <c r="BH74" i="1" s="1"/>
  <c r="BI74" i="1" s="1"/>
  <c r="BJ74" i="1" s="1"/>
  <c r="BM244" i="1"/>
  <c r="E33" i="17"/>
  <c r="M33" i="17" s="1"/>
  <c r="F33" i="17"/>
  <c r="K33" i="17"/>
  <c r="R387" i="1"/>
  <c r="BN387" i="1" s="1"/>
  <c r="AZ254" i="1"/>
  <c r="AL226" i="1"/>
  <c r="AL201" i="1" s="1"/>
  <c r="AL225" i="1"/>
  <c r="AL205" i="1" s="1"/>
  <c r="AL195" i="1" s="1"/>
  <c r="AL3" i="1"/>
  <c r="AM3" i="1" s="1"/>
  <c r="AN3" i="1" s="1"/>
  <c r="AO3" i="1" s="1"/>
  <c r="AP3" i="1" s="1"/>
  <c r="AQ3" i="1" s="1"/>
  <c r="AR3" i="1" s="1"/>
  <c r="AS3" i="1" s="1"/>
  <c r="AT3" i="1" s="1"/>
  <c r="AU3" i="1" s="1"/>
  <c r="AV3" i="1" s="1"/>
  <c r="AW3" i="1" s="1"/>
  <c r="AX3" i="1" s="1"/>
  <c r="AY3" i="1" s="1"/>
  <c r="AZ3" i="1" s="1"/>
  <c r="BA3" i="1" s="1"/>
  <c r="BB3" i="1" s="1"/>
  <c r="BC3" i="1" s="1"/>
  <c r="BD3" i="1" s="1"/>
  <c r="BE3" i="1" s="1"/>
  <c r="BF3" i="1" s="1"/>
  <c r="BG3" i="1" s="1"/>
  <c r="BH3" i="1" s="1"/>
  <c r="BI3" i="1" s="1"/>
  <c r="BJ3" i="1" s="1"/>
  <c r="R35" i="1"/>
  <c r="BO42" i="1"/>
  <c r="Z243" i="1"/>
  <c r="BH310" i="1"/>
  <c r="BW38" i="1"/>
  <c r="BI312" i="1"/>
  <c r="BI314" i="1" s="1"/>
  <c r="BX38" i="1"/>
  <c r="BI310" i="1"/>
  <c r="BJ308" i="1"/>
  <c r="BJ310" i="1" s="1"/>
  <c r="BO59" i="1"/>
  <c r="AD158" i="1"/>
  <c r="AD159" i="1" s="1"/>
  <c r="BR157" i="1"/>
  <c r="AE138" i="1"/>
  <c r="AM101" i="21" s="1"/>
  <c r="AM102" i="21"/>
  <c r="AF130" i="1"/>
  <c r="AN191" i="21" s="1"/>
  <c r="AN193" i="21" s="1"/>
  <c r="BN375" i="1"/>
  <c r="AE252" i="1"/>
  <c r="Z10" i="1"/>
  <c r="P87" i="1"/>
  <c r="O247" i="1"/>
  <c r="AB16" i="1"/>
  <c r="W369" i="1"/>
  <c r="W342" i="1"/>
  <c r="P8" i="1"/>
  <c r="F16" i="12" s="1"/>
  <c r="T369" i="1"/>
  <c r="T87" i="1"/>
  <c r="AF249" i="1"/>
  <c r="AF10" i="1"/>
  <c r="AU369" i="1"/>
  <c r="AA342" i="1"/>
  <c r="AU123" i="1"/>
  <c r="AQ123" i="1"/>
  <c r="AM87" i="1"/>
  <c r="AQ87" i="1"/>
  <c r="AB4" i="21"/>
  <c r="AF5" i="21" s="1"/>
  <c r="AA293" i="1"/>
  <c r="Z25" i="1"/>
  <c r="Z26" i="1" s="1"/>
  <c r="AI74" i="1"/>
  <c r="Z249" i="1"/>
  <c r="AH4" i="21"/>
  <c r="AI6" i="21" s="1"/>
  <c r="O37" i="27"/>
  <c r="AE247" i="1"/>
  <c r="Y249" i="1"/>
  <c r="V375" i="1"/>
  <c r="BO375" i="1" s="1"/>
  <c r="E11" i="27"/>
  <c r="AB252" i="1"/>
  <c r="W293" i="1"/>
  <c r="P369" i="1"/>
  <c r="T293" i="1"/>
  <c r="Y16" i="1"/>
  <c r="AF247" i="1"/>
  <c r="AN4" i="21"/>
  <c r="AO6" i="21" s="1"/>
  <c r="AM4" i="21"/>
  <c r="AC130" i="1"/>
  <c r="AK191" i="21" s="1"/>
  <c r="AB123" i="1"/>
  <c r="AM123" i="1"/>
  <c r="O132" i="1"/>
  <c r="W210" i="21" s="1"/>
  <c r="T247" i="1"/>
  <c r="Z130" i="1"/>
  <c r="AH191" i="21" s="1"/>
  <c r="AK158" i="1"/>
  <c r="AK159" i="1" s="1"/>
  <c r="Z252" i="1"/>
  <c r="Z247" i="1"/>
  <c r="Y132" i="1"/>
  <c r="AG210" i="21" s="1"/>
  <c r="O11" i="27"/>
  <c r="O12" i="27" s="1"/>
  <c r="O25" i="1"/>
  <c r="O245" i="1" s="1"/>
  <c r="W4" i="21"/>
  <c r="AF132" i="1"/>
  <c r="AN210" i="21" s="1"/>
  <c r="AE132" i="1"/>
  <c r="AM210" i="21" s="1"/>
  <c r="AJ246" i="21"/>
  <c r="AB87" i="1"/>
  <c r="AQ342" i="1"/>
  <c r="AB342" i="1"/>
  <c r="AQ369" i="1"/>
  <c r="T252" i="1"/>
  <c r="T243" i="1"/>
  <c r="T249" i="1"/>
  <c r="AM369" i="1"/>
  <c r="T132" i="1"/>
  <c r="AB210" i="21" s="1"/>
  <c r="U12" i="27"/>
  <c r="P10" i="1"/>
  <c r="T16" i="1"/>
  <c r="BO382" i="1"/>
  <c r="AO96" i="27" s="1"/>
  <c r="X132" i="1"/>
  <c r="AF210" i="21" s="1"/>
  <c r="AF211" i="21" s="1"/>
  <c r="BV49" i="1"/>
  <c r="BQ157" i="1"/>
  <c r="AF16" i="1"/>
  <c r="U16" i="1"/>
  <c r="BP372" i="1"/>
  <c r="AS90" i="27"/>
  <c r="W16" i="27"/>
  <c r="AK209" i="1"/>
  <c r="X13" i="27"/>
  <c r="X15" i="27"/>
  <c r="X20" i="27" s="1"/>
  <c r="X22" i="27" s="1"/>
  <c r="X23" i="27" s="1"/>
  <c r="X12" i="27"/>
  <c r="Y13" i="27"/>
  <c r="AJ201" i="1"/>
  <c r="Z384" i="1"/>
  <c r="BQ388" i="1"/>
  <c r="AC342" i="1"/>
  <c r="AD249" i="1"/>
  <c r="BP19" i="1"/>
  <c r="BP243" i="1" s="1"/>
  <c r="U130" i="1"/>
  <c r="AC191" i="21" s="1"/>
  <c r="T35" i="1"/>
  <c r="BM8" i="1"/>
  <c r="AP4" i="21"/>
  <c r="AH252" i="1"/>
  <c r="AN156" i="1"/>
  <c r="AN154" i="1"/>
  <c r="AE25" i="1"/>
  <c r="AE245" i="1" s="1"/>
  <c r="AC293" i="1"/>
  <c r="AP123" i="1"/>
  <c r="AX369" i="1"/>
  <c r="V81" i="1"/>
  <c r="V84" i="1" s="1"/>
  <c r="BN351" i="1"/>
  <c r="P21" i="17"/>
  <c r="J33" i="17"/>
  <c r="N42" i="17"/>
  <c r="V13" i="27"/>
  <c r="Z12" i="27"/>
  <c r="AK304" i="1"/>
  <c r="AJ204" i="1"/>
  <c r="AJ203" i="1" s="1"/>
  <c r="AK219" i="1"/>
  <c r="AL219" i="1" s="1"/>
  <c r="Z258" i="1"/>
  <c r="AC158" i="1"/>
  <c r="AC159" i="1" s="1"/>
  <c r="Y25" i="1"/>
  <c r="Y30" i="1" s="1"/>
  <c r="AE158" i="1"/>
  <c r="AE159" i="1" s="1"/>
  <c r="AD132" i="1"/>
  <c r="AL210" i="21" s="1"/>
  <c r="BR9" i="1"/>
  <c r="BD4" i="21" s="1"/>
  <c r="AH132" i="1"/>
  <c r="AP210" i="21" s="1"/>
  <c r="AH249" i="1"/>
  <c r="AK201" i="1"/>
  <c r="AK206" i="1"/>
  <c r="AK214" i="1"/>
  <c r="AP369" i="1"/>
  <c r="AX123" i="1"/>
  <c r="BO79" i="1"/>
  <c r="S123" i="1"/>
  <c r="S293" i="1"/>
  <c r="AT123" i="1"/>
  <c r="BM393" i="1"/>
  <c r="V144" i="1"/>
  <c r="BP382" i="1"/>
  <c r="AO81" i="27" s="1"/>
  <c r="BP376" i="1"/>
  <c r="BQ372" i="1"/>
  <c r="V15" i="27"/>
  <c r="V20" i="27" s="1"/>
  <c r="V22" i="27" s="1"/>
  <c r="V23" i="27" s="1"/>
  <c r="V16" i="27"/>
  <c r="BR380" i="1"/>
  <c r="AK224" i="1"/>
  <c r="F37" i="27"/>
  <c r="P30" i="27"/>
  <c r="P31" i="27" s="1"/>
  <c r="AK200" i="1"/>
  <c r="AK205" i="1"/>
  <c r="AB158" i="1"/>
  <c r="AB159" i="1" s="1"/>
  <c r="AC369" i="1"/>
  <c r="AD25" i="1"/>
  <c r="AD253" i="1" s="1"/>
  <c r="AH25" i="1"/>
  <c r="AH245" i="1" s="1"/>
  <c r="AO246" i="21"/>
  <c r="BQ79" i="1"/>
  <c r="AP342" i="1"/>
  <c r="AX8" i="1"/>
  <c r="Y243" i="1"/>
  <c r="Z244" i="1" s="1"/>
  <c r="O293" i="1"/>
  <c r="BU49" i="1"/>
  <c r="BT49" i="1"/>
  <c r="W12" i="27"/>
  <c r="W15" i="27"/>
  <c r="W20" i="27" s="1"/>
  <c r="W22" i="27" s="1"/>
  <c r="W23" i="27" s="1"/>
  <c r="W13" i="27"/>
  <c r="AA12" i="27"/>
  <c r="X16" i="27"/>
  <c r="AT246" i="21"/>
  <c r="AB37" i="27"/>
  <c r="AD37" i="27" s="1"/>
  <c r="AH248" i="1"/>
  <c r="BN19" i="1"/>
  <c r="Q243" i="1"/>
  <c r="R244" i="1" s="1"/>
  <c r="BR19" i="1"/>
  <c r="AA25" i="1"/>
  <c r="AA245" i="1" s="1"/>
  <c r="T25" i="1"/>
  <c r="T245" i="1" s="1"/>
  <c r="BQ19" i="1"/>
  <c r="AB243" i="1"/>
  <c r="AI63" i="1"/>
  <c r="AI70" i="1" s="1"/>
  <c r="Z16" i="1"/>
  <c r="AB130" i="1"/>
  <c r="AJ191" i="21" s="1"/>
  <c r="AN192" i="21" s="1"/>
  <c r="AH130" i="1"/>
  <c r="AP191" i="21" s="1"/>
  <c r="AP193" i="21" s="1"/>
  <c r="AI68" i="1"/>
  <c r="Y29" i="27" s="1"/>
  <c r="U31" i="27"/>
  <c r="U16" i="27"/>
  <c r="U15" i="27"/>
  <c r="U20" i="27" s="1"/>
  <c r="U22" i="27" s="1"/>
  <c r="U23" i="27" s="1"/>
  <c r="U13" i="27"/>
  <c r="AS246" i="21"/>
  <c r="E57" i="18"/>
  <c r="G33" i="17"/>
  <c r="H15" i="17"/>
  <c r="R16" i="1"/>
  <c r="P132" i="1"/>
  <c r="X210" i="21" s="1"/>
  <c r="X211" i="21" s="1"/>
  <c r="U35" i="1"/>
  <c r="BN374" i="1"/>
  <c r="W130" i="1"/>
  <c r="AE191" i="21" s="1"/>
  <c r="BP59" i="1"/>
  <c r="BQ54" i="1"/>
  <c r="BQ174" i="1"/>
  <c r="AF158" i="1"/>
  <c r="AF159" i="1" s="1"/>
  <c r="BT62" i="1"/>
  <c r="BR174" i="1"/>
  <c r="N33" i="17"/>
  <c r="BO38" i="1"/>
  <c r="X144" i="1"/>
  <c r="BQ382" i="1"/>
  <c r="AQ68" i="27" s="1"/>
  <c r="AH158" i="1"/>
  <c r="AH159" i="1" s="1"/>
  <c r="BR372" i="1"/>
  <c r="BV62" i="1"/>
  <c r="BP247" i="1"/>
  <c r="E167" i="18"/>
  <c r="AJ194" i="1"/>
  <c r="AJ193" i="1" s="1"/>
  <c r="AM245" i="1"/>
  <c r="AN245" i="1" s="1"/>
  <c r="AN246" i="1" s="1"/>
  <c r="BT189" i="1"/>
  <c r="AE30" i="1"/>
  <c r="AE32" i="1" s="1"/>
  <c r="AM50" i="21" s="1"/>
  <c r="AM51" i="21" s="1"/>
  <c r="AF30" i="1"/>
  <c r="AF32" i="1" s="1"/>
  <c r="AF241" i="1" s="1"/>
  <c r="AC23" i="27"/>
  <c r="AI38" i="27"/>
  <c r="S369" i="1"/>
  <c r="S87" i="1"/>
  <c r="AB246" i="21"/>
  <c r="BP73" i="1"/>
  <c r="I57" i="18"/>
  <c r="BQ389" i="1"/>
  <c r="AJ206" i="1"/>
  <c r="AJ196" i="1" s="1"/>
  <c r="P377" i="1"/>
  <c r="R377" i="1" s="1"/>
  <c r="BN377" i="1" s="1"/>
  <c r="AG132" i="1"/>
  <c r="AO210" i="21" s="1"/>
  <c r="AO212" i="21" s="1"/>
  <c r="V252" i="1"/>
  <c r="AF245" i="1"/>
  <c r="AH293" i="1"/>
  <c r="G158" i="18"/>
  <c r="BL123" i="1"/>
  <c r="Q252" i="1"/>
  <c r="Q247" i="1"/>
  <c r="AG243" i="1"/>
  <c r="G11" i="27"/>
  <c r="BL342" i="1"/>
  <c r="H31" i="17"/>
  <c r="BL8" i="1"/>
  <c r="AD246" i="21"/>
  <c r="AH67" i="21"/>
  <c r="Z180" i="1"/>
  <c r="Z175" i="1" s="1"/>
  <c r="AA130" i="1"/>
  <c r="AI191" i="21" s="1"/>
  <c r="Z35" i="1"/>
  <c r="AE8" i="1"/>
  <c r="AC25" i="1"/>
  <c r="AC245" i="1" s="1"/>
  <c r="X25" i="1"/>
  <c r="X26" i="1" s="1"/>
  <c r="X130" i="1"/>
  <c r="AF191" i="21" s="1"/>
  <c r="R123" i="1"/>
  <c r="AC8" i="1"/>
  <c r="AQ187" i="1"/>
  <c r="AD243" i="1"/>
  <c r="AC123" i="1"/>
  <c r="Z369" i="1"/>
  <c r="Z293" i="1"/>
  <c r="BP47" i="1"/>
  <c r="V130" i="1"/>
  <c r="AD191" i="21" s="1"/>
  <c r="AE10" i="1"/>
  <c r="AL4" i="21"/>
  <c r="P14" i="27"/>
  <c r="P16" i="27" s="1"/>
  <c r="AD137" i="1"/>
  <c r="AE142" i="1" s="1"/>
  <c r="AB25" i="1"/>
  <c r="V342" i="1"/>
  <c r="G47" i="18"/>
  <c r="AC165" i="21" s="1"/>
  <c r="G104" i="18"/>
  <c r="G154" i="18"/>
  <c r="G53" i="18"/>
  <c r="AC171" i="21" s="1"/>
  <c r="G111" i="18"/>
  <c r="G101" i="18"/>
  <c r="G46" i="18"/>
  <c r="AC164" i="21" s="1"/>
  <c r="G107" i="18"/>
  <c r="AP246" i="21"/>
  <c r="AF243" i="1"/>
  <c r="BV374" i="1"/>
  <c r="BU374" i="1"/>
  <c r="BS62" i="1"/>
  <c r="AO87" i="1"/>
  <c r="AS8" i="1"/>
  <c r="AT8" i="1"/>
  <c r="AO123" i="1"/>
  <c r="AW293" i="1"/>
  <c r="AW8" i="1"/>
  <c r="Y342" i="1"/>
  <c r="X87" i="1"/>
  <c r="R252" i="1"/>
  <c r="U243" i="1"/>
  <c r="O123" i="1"/>
  <c r="S342" i="1"/>
  <c r="Q384" i="1"/>
  <c r="AW342" i="1"/>
  <c r="AT342" i="1"/>
  <c r="M10" i="17"/>
  <c r="N10" i="17" s="1"/>
  <c r="G56" i="18"/>
  <c r="AC174" i="21" s="1"/>
  <c r="O342" i="1"/>
  <c r="BM246" i="1"/>
  <c r="BN38" i="1"/>
  <c r="Q16" i="1"/>
  <c r="BM248" i="1"/>
  <c r="G14" i="31"/>
  <c r="G15" i="31" s="1"/>
  <c r="BR62" i="1"/>
  <c r="BU62" i="1"/>
  <c r="AJ158" i="1"/>
  <c r="AJ159" i="1" s="1"/>
  <c r="I112" i="18"/>
  <c r="H26" i="17"/>
  <c r="O369" i="1"/>
  <c r="AE4" i="21"/>
  <c r="Q130" i="1"/>
  <c r="Y191" i="21" s="1"/>
  <c r="AG25" i="1"/>
  <c r="AG245" i="1" s="1"/>
  <c r="AH123" i="1"/>
  <c r="AR187" i="1"/>
  <c r="O35" i="1"/>
  <c r="BN35" i="1" s="1"/>
  <c r="Q249" i="1"/>
  <c r="BO19" i="1"/>
  <c r="V243" i="1"/>
  <c r="AG10" i="1"/>
  <c r="AE293" i="1"/>
  <c r="AK246" i="21"/>
  <c r="G99" i="18"/>
  <c r="BN47" i="1"/>
  <c r="V249" i="1"/>
  <c r="Z132" i="1"/>
  <c r="AH210" i="21" s="1"/>
  <c r="AC10" i="1"/>
  <c r="G52" i="18"/>
  <c r="AC170" i="21" s="1"/>
  <c r="W10" i="1"/>
  <c r="BL87" i="1"/>
  <c r="W381" i="1"/>
  <c r="AE67" i="21" s="1"/>
  <c r="Y4" i="21"/>
  <c r="AC5" i="21" s="1"/>
  <c r="AA159" i="1"/>
  <c r="P29" i="17"/>
  <c r="AE87" i="1"/>
  <c r="Y10" i="1"/>
  <c r="X252" i="1"/>
  <c r="X247" i="1"/>
  <c r="R87" i="1"/>
  <c r="AQ186" i="1"/>
  <c r="Z123" i="1"/>
  <c r="W375" i="1"/>
  <c r="BP375" i="1" s="1"/>
  <c r="AD252" i="1"/>
  <c r="AD130" i="1"/>
  <c r="AL191" i="21" s="1"/>
  <c r="AM193" i="21" s="1"/>
  <c r="BP56" i="1"/>
  <c r="V293" i="1"/>
  <c r="G51" i="18"/>
  <c r="AC169" i="21" s="1"/>
  <c r="G159" i="18"/>
  <c r="G44" i="18"/>
  <c r="AC162" i="21" s="1"/>
  <c r="G105" i="18"/>
  <c r="G110" i="18"/>
  <c r="G108" i="18"/>
  <c r="G50" i="18"/>
  <c r="AC168" i="21" s="1"/>
  <c r="G162" i="18"/>
  <c r="AH243" i="1"/>
  <c r="AT243" i="1" s="1"/>
  <c r="AX243" i="1" s="1"/>
  <c r="AM246" i="21"/>
  <c r="BQ275" i="1"/>
  <c r="BQ56" i="1"/>
  <c r="V364" i="1"/>
  <c r="Z80" i="1"/>
  <c r="AP293" i="1"/>
  <c r="AT293" i="1"/>
  <c r="AX342" i="1"/>
  <c r="AP8" i="1"/>
  <c r="AX293" i="1"/>
  <c r="Y8" i="1"/>
  <c r="U252" i="1"/>
  <c r="BP37" i="1"/>
  <c r="I17" i="27"/>
  <c r="U25" i="1"/>
  <c r="U245" i="1" s="1"/>
  <c r="BP389" i="1"/>
  <c r="BT380" i="1"/>
  <c r="BS380" i="1"/>
  <c r="AT87" i="1"/>
  <c r="G166" i="18"/>
  <c r="O87" i="1"/>
  <c r="BQ62" i="1"/>
  <c r="Q25" i="1"/>
  <c r="AQ44" i="27"/>
  <c r="AD10" i="1"/>
  <c r="AC132" i="1"/>
  <c r="AK210" i="21" s="1"/>
  <c r="W247" i="1"/>
  <c r="S243" i="1"/>
  <c r="W243" i="1"/>
  <c r="X244" i="1" s="1"/>
  <c r="S252" i="1"/>
  <c r="AS243" i="1"/>
  <c r="AW243" i="1" s="1"/>
  <c r="BA243" i="1" s="1"/>
  <c r="Q10" i="1"/>
  <c r="Z245" i="1"/>
  <c r="X10" i="1"/>
  <c r="BR247" i="1"/>
  <c r="AM5" i="21"/>
  <c r="AC243" i="1"/>
  <c r="T10" i="1"/>
  <c r="W25" i="1"/>
  <c r="X4" i="21"/>
  <c r="AB5" i="21" s="1"/>
  <c r="S249" i="1"/>
  <c r="S25" i="1"/>
  <c r="S26" i="1" s="1"/>
  <c r="W132" i="1"/>
  <c r="AE210" i="21" s="1"/>
  <c r="AF212" i="21" s="1"/>
  <c r="AC247" i="1"/>
  <c r="AK4" i="21"/>
  <c r="AO5" i="21" s="1"/>
  <c r="W249" i="1"/>
  <c r="P247" i="1"/>
  <c r="P144" i="1"/>
  <c r="X228" i="21" s="1"/>
  <c r="AC318" i="1"/>
  <c r="AD316" i="1"/>
  <c r="AE316" i="1" s="1"/>
  <c r="AF316" i="1" s="1"/>
  <c r="H30" i="27"/>
  <c r="H31" i="27" s="1"/>
  <c r="BN381" i="1"/>
  <c r="R180" i="1"/>
  <c r="Z67" i="21"/>
  <c r="Z68" i="21" s="1"/>
  <c r="E47" i="16"/>
  <c r="D9" i="16"/>
  <c r="Z30" i="1"/>
  <c r="Z32" i="1" s="1"/>
  <c r="Z33" i="1" s="1"/>
  <c r="AB318" i="1"/>
  <c r="AA30" i="1"/>
  <c r="AA32" i="1" s="1"/>
  <c r="AA241" i="1" s="1"/>
  <c r="AR189" i="1"/>
  <c r="BM26" i="1"/>
  <c r="BQ42" i="1"/>
  <c r="AA318" i="1"/>
  <c r="E32" i="16"/>
  <c r="Z248" i="1"/>
  <c r="Z253" i="1"/>
  <c r="R342" i="1"/>
  <c r="AH253" i="1"/>
  <c r="F11" i="27"/>
  <c r="F15" i="27" s="1"/>
  <c r="F20" i="27" s="1"/>
  <c r="F22" i="27" s="1"/>
  <c r="F23" i="27" s="1"/>
  <c r="AC253" i="1"/>
  <c r="AA26" i="1"/>
  <c r="AE144" i="1"/>
  <c r="R384" i="1"/>
  <c r="F54" i="16"/>
  <c r="S35" i="1"/>
  <c r="BO134" i="1"/>
  <c r="BR249" i="1"/>
  <c r="BS374" i="1"/>
  <c r="BS189" i="1"/>
  <c r="R245" i="1"/>
  <c r="BN382" i="1"/>
  <c r="P130" i="1"/>
  <c r="X191" i="21" s="1"/>
  <c r="Y193" i="21" s="1"/>
  <c r="P243" i="1"/>
  <c r="P244" i="1" s="1"/>
  <c r="P25" i="1"/>
  <c r="E14" i="12" s="1"/>
  <c r="P249" i="1"/>
  <c r="R26" i="1"/>
  <c r="R130" i="1"/>
  <c r="Z191" i="21" s="1"/>
  <c r="AB132" i="1"/>
  <c r="AJ210" i="21" s="1"/>
  <c r="AK212" i="21" s="1"/>
  <c r="AG123" i="1"/>
  <c r="G31" i="27"/>
  <c r="R30" i="1"/>
  <c r="R32" i="1" s="1"/>
  <c r="R4" i="1" s="1"/>
  <c r="R248" i="1"/>
  <c r="BM366" i="1"/>
  <c r="W252" i="1"/>
  <c r="W246" i="21"/>
  <c r="AC246" i="21"/>
  <c r="G37" i="27"/>
  <c r="BN87" i="1"/>
  <c r="BN342" i="1"/>
  <c r="BN8" i="1"/>
  <c r="BN123" i="1"/>
  <c r="BN369" i="1"/>
  <c r="AD144" i="1"/>
  <c r="BV38" i="1"/>
  <c r="BT38" i="1"/>
  <c r="S364" i="1"/>
  <c r="BR54" i="1"/>
  <c r="BV380" i="1"/>
  <c r="BN372" i="1"/>
  <c r="AG393" i="1"/>
  <c r="BR364" i="1"/>
  <c r="BR245" i="1"/>
  <c r="BM30" i="1"/>
  <c r="BM241" i="1" s="1"/>
  <c r="M13" i="27"/>
  <c r="O16" i="27"/>
  <c r="AG6" i="21"/>
  <c r="BT187" i="1"/>
  <c r="BT374" i="1"/>
  <c r="AK332" i="1"/>
  <c r="AJ205" i="1"/>
  <c r="AJ195" i="1" s="1"/>
  <c r="BU38" i="1"/>
  <c r="AG144" i="1"/>
  <c r="AH142" i="1"/>
  <c r="AG138" i="1"/>
  <c r="AO101" i="21" s="1"/>
  <c r="AO102" i="21"/>
  <c r="V30" i="1"/>
  <c r="V32" i="1" s="1"/>
  <c r="V43" i="1" s="1"/>
  <c r="AN153" i="1"/>
  <c r="AO174" i="1" s="1"/>
  <c r="BP38" i="1"/>
  <c r="Y252" i="1"/>
  <c r="AM221" i="1"/>
  <c r="AN221" i="1" s="1"/>
  <c r="AO221" i="1" s="1"/>
  <c r="BN389" i="1"/>
  <c r="BL30" i="1"/>
  <c r="BO372" i="1"/>
  <c r="V248" i="1"/>
  <c r="BR73" i="1"/>
  <c r="AA16" i="1"/>
  <c r="S15" i="27"/>
  <c r="S20" i="27" s="1"/>
  <c r="S22" i="27" s="1"/>
  <c r="S23" i="27" s="1"/>
  <c r="AM92" i="27"/>
  <c r="AA248" i="1"/>
  <c r="AA253" i="1"/>
  <c r="S132" i="1"/>
  <c r="AA210" i="21" s="1"/>
  <c r="S130" i="1"/>
  <c r="AA191" i="21" s="1"/>
  <c r="T130" i="1"/>
  <c r="AB191" i="21" s="1"/>
  <c r="V253" i="1"/>
  <c r="Y253" i="1"/>
  <c r="BB4" i="21"/>
  <c r="AR60" i="27"/>
  <c r="BP249" i="1"/>
  <c r="AF26" i="1"/>
  <c r="AF248" i="1"/>
  <c r="BQ73" i="1"/>
  <c r="BQ364" i="1"/>
  <c r="AP155" i="1"/>
  <c r="AP154" i="1" s="1"/>
  <c r="V245" i="1"/>
  <c r="X138" i="1"/>
  <c r="AF101" i="21" s="1"/>
  <c r="BP245" i="1"/>
  <c r="BP25" i="1"/>
  <c r="O30" i="1"/>
  <c r="O32" i="1" s="1"/>
  <c r="O4" i="1" s="1"/>
  <c r="O248" i="1"/>
  <c r="BL250" i="1"/>
  <c r="BM250" i="1"/>
  <c r="E25" i="16"/>
  <c r="F32" i="16"/>
  <c r="D54" i="16"/>
  <c r="F25" i="16"/>
  <c r="D47" i="16"/>
  <c r="E54" i="16"/>
  <c r="E112" i="18"/>
  <c r="M9" i="17"/>
  <c r="N9" i="17" s="1"/>
  <c r="P9" i="17"/>
  <c r="R364" i="1"/>
  <c r="BN362" i="1"/>
  <c r="BN364" i="1" s="1"/>
  <c r="AF102" i="21"/>
  <c r="Y248" i="1"/>
  <c r="AG382" i="1"/>
  <c r="AF381" i="1"/>
  <c r="V30" i="27" s="1"/>
  <c r="V31" i="27" s="1"/>
  <c r="AA80" i="1"/>
  <c r="AA84" i="1"/>
  <c r="BQ84" i="1" s="1"/>
  <c r="Y80" i="1"/>
  <c r="Y84" i="1"/>
  <c r="BP369" i="1"/>
  <c r="BP87" i="1"/>
  <c r="BP342" i="1"/>
  <c r="Q253" i="1"/>
  <c r="E31" i="27"/>
  <c r="V87" i="1"/>
  <c r="V369" i="1"/>
  <c r="BM342" i="1"/>
  <c r="AR87" i="1"/>
  <c r="AA243" i="1"/>
  <c r="AA244" i="1" s="1"/>
  <c r="AV87" i="1"/>
  <c r="BM123" i="1"/>
  <c r="BO9" i="1"/>
  <c r="BP10" i="1" s="1"/>
  <c r="AO75" i="27" s="1"/>
  <c r="S10" i="1"/>
  <c r="AV369" i="1"/>
  <c r="BN56" i="1"/>
  <c r="AA87" i="1"/>
  <c r="AG5" i="21"/>
  <c r="BO351" i="1"/>
  <c r="U342" i="1"/>
  <c r="AD8" i="1"/>
  <c r="J16" i="27"/>
  <c r="BR29" i="1"/>
  <c r="AJ199" i="1"/>
  <c r="BN9" i="1"/>
  <c r="BN249" i="1" s="1"/>
  <c r="V123" i="1"/>
  <c r="BM87" i="1"/>
  <c r="BQ9" i="1"/>
  <c r="BQ249" i="1" s="1"/>
  <c r="AC252" i="1"/>
  <c r="BP362" i="1"/>
  <c r="BP364" i="1" s="1"/>
  <c r="AJ4" i="21"/>
  <c r="AJ6" i="21" s="1"/>
  <c r="AR369" i="1"/>
  <c r="AR123" i="1"/>
  <c r="AR8" i="1"/>
  <c r="AV293" i="1"/>
  <c r="Y130" i="1"/>
  <c r="AG191" i="21" s="1"/>
  <c r="AG192" i="21" s="1"/>
  <c r="AV342" i="1"/>
  <c r="X81" i="1"/>
  <c r="R10" i="1"/>
  <c r="BO56" i="1"/>
  <c r="U254" i="1"/>
  <c r="U249" i="1"/>
  <c r="S247" i="1"/>
  <c r="Q180" i="1"/>
  <c r="AN293" i="1"/>
  <c r="AA8" i="1"/>
  <c r="U87" i="1"/>
  <c r="BO28" i="1"/>
  <c r="BL384" i="1"/>
  <c r="T364" i="1"/>
  <c r="U123" i="1"/>
  <c r="I11" i="27"/>
  <c r="I15" i="27" s="1"/>
  <c r="I20" i="27" s="1"/>
  <c r="I22" i="27" s="1"/>
  <c r="I23" i="27" s="1"/>
  <c r="AA300" i="1"/>
  <c r="T16" i="27"/>
  <c r="BR376" i="1"/>
  <c r="I16" i="27"/>
  <c r="BU380" i="1"/>
  <c r="U369" i="1"/>
  <c r="BN37" i="1"/>
  <c r="I167" i="18"/>
  <c r="K15" i="27"/>
  <c r="K20" i="27" s="1"/>
  <c r="K22" i="27" s="1"/>
  <c r="K23" i="27" s="1"/>
  <c r="X35" i="1"/>
  <c r="BP35" i="1" s="1"/>
  <c r="AI158" i="1"/>
  <c r="AI159" i="1" s="1"/>
  <c r="AE393" i="1"/>
  <c r="U80" i="1"/>
  <c r="U84" i="1"/>
  <c r="N13" i="27"/>
  <c r="N12" i="27"/>
  <c r="N15" i="27"/>
  <c r="N20" i="27" s="1"/>
  <c r="N22" i="27" s="1"/>
  <c r="N23" i="27" s="1"/>
  <c r="AM332" i="1"/>
  <c r="AN361" i="1"/>
  <c r="AE4" i="1"/>
  <c r="Q144" i="1"/>
  <c r="Y228" i="21" s="1"/>
  <c r="Y102" i="21"/>
  <c r="Y103" i="21" s="1"/>
  <c r="Y104" i="21" s="1"/>
  <c r="Q142" i="1"/>
  <c r="N16" i="27"/>
  <c r="Q30" i="27"/>
  <c r="AB381" i="1"/>
  <c r="AC381" i="1" s="1"/>
  <c r="AA384" i="1"/>
  <c r="AA180" i="1"/>
  <c r="AA175" i="1" s="1"/>
  <c r="AI67" i="21"/>
  <c r="AI68" i="21" s="1"/>
  <c r="AA176" i="1"/>
  <c r="BN17" i="1"/>
  <c r="P16" i="1"/>
  <c r="U383" i="1"/>
  <c r="V383" i="1" s="1"/>
  <c r="BO383" i="1" s="1"/>
  <c r="N30" i="27"/>
  <c r="N31" i="27" s="1"/>
  <c r="AF67" i="21"/>
  <c r="AF68" i="21" s="1"/>
  <c r="X384" i="1"/>
  <c r="X176" i="1"/>
  <c r="X180" i="1"/>
  <c r="X175" i="1" s="1"/>
  <c r="BO123" i="1"/>
  <c r="BO342" i="1"/>
  <c r="BO369" i="1"/>
  <c r="BO87" i="1"/>
  <c r="BO8" i="1"/>
  <c r="M16" i="27"/>
  <c r="M15" i="27"/>
  <c r="AA67" i="21"/>
  <c r="AA68" i="21" s="1"/>
  <c r="T381" i="1"/>
  <c r="S384" i="1"/>
  <c r="I30" i="27"/>
  <c r="S176" i="1"/>
  <c r="S180" i="1"/>
  <c r="BS361" i="1"/>
  <c r="AK328" i="1"/>
  <c r="O26" i="1"/>
  <c r="Y244" i="1"/>
  <c r="O193" i="21"/>
  <c r="S193" i="21"/>
  <c r="BO364" i="1"/>
  <c r="V16" i="1"/>
  <c r="X16" i="1"/>
  <c r="AE243" i="1"/>
  <c r="BN383" i="1"/>
  <c r="BN384" i="1" s="1"/>
  <c r="P12" i="27"/>
  <c r="AJ330" i="1"/>
  <c r="AP6" i="21"/>
  <c r="AI250" i="1"/>
  <c r="H42" i="17"/>
  <c r="BL393" i="1"/>
  <c r="AM94" i="27"/>
  <c r="T211" i="21"/>
  <c r="BS49" i="1"/>
  <c r="T15" i="27"/>
  <c r="T20" i="27" s="1"/>
  <c r="T22" i="27" s="1"/>
  <c r="T23" i="27" s="1"/>
  <c r="T13" i="27"/>
  <c r="T12" i="27"/>
  <c r="T31" i="27"/>
  <c r="S324" i="1"/>
  <c r="AR186" i="1"/>
  <c r="AH30" i="1"/>
  <c r="AH32" i="1" s="1"/>
  <c r="AH289" i="1" s="1"/>
  <c r="AN212" i="21"/>
  <c r="P11" i="17"/>
  <c r="P142" i="1"/>
  <c r="BO37" i="1"/>
  <c r="BP62" i="1"/>
  <c r="BQ29" i="1"/>
  <c r="AF393" i="1"/>
  <c r="AI10" i="1"/>
  <c r="O13" i="27"/>
  <c r="AA212" i="21"/>
  <c r="J15" i="27"/>
  <c r="J20" i="27" s="1"/>
  <c r="J22" i="27" s="1"/>
  <c r="J23" i="27" s="1"/>
  <c r="AE12" i="27"/>
  <c r="BP48" i="1"/>
  <c r="AR246" i="21"/>
  <c r="L15" i="27"/>
  <c r="L20" i="27" s="1"/>
  <c r="L22" i="27" s="1"/>
  <c r="L23" i="27" s="1"/>
  <c r="L13" i="27"/>
  <c r="AS186" i="1"/>
  <c r="AS187" i="1"/>
  <c r="AT188" i="1"/>
  <c r="BU188" i="1" s="1"/>
  <c r="AS189" i="1"/>
  <c r="BS187" i="1"/>
  <c r="K13" i="27"/>
  <c r="AL6" i="21"/>
  <c r="Q211" i="21"/>
  <c r="V289" i="1"/>
  <c r="BN62" i="1"/>
  <c r="M193" i="21"/>
  <c r="P193" i="21"/>
  <c r="T144" i="1"/>
  <c r="AB102" i="21"/>
  <c r="AB103" i="21" s="1"/>
  <c r="AB107" i="21" s="1"/>
  <c r="U142" i="1"/>
  <c r="U387" i="1"/>
  <c r="BT342" i="1"/>
  <c r="BT8" i="1"/>
  <c r="BT87" i="1"/>
  <c r="BT123" i="1"/>
  <c r="BT369" i="1"/>
  <c r="AC138" i="1"/>
  <c r="AK101" i="21" s="1"/>
  <c r="AK102" i="21"/>
  <c r="AC144" i="1"/>
  <c r="AA177" i="1"/>
  <c r="BQ387" i="1"/>
  <c r="BQ393" i="1" s="1"/>
  <c r="AC393" i="1"/>
  <c r="AI246" i="1"/>
  <c r="Q192" i="21"/>
  <c r="U192" i="21"/>
  <c r="S212" i="21"/>
  <c r="R211" i="21"/>
  <c r="U144" i="1"/>
  <c r="V142" i="1"/>
  <c r="AC102" i="21"/>
  <c r="AC103" i="21" s="1"/>
  <c r="AC104" i="21" s="1"/>
  <c r="BO17" i="1"/>
  <c r="S16" i="1"/>
  <c r="S46" i="1"/>
  <c r="BO48" i="1"/>
  <c r="AE102" i="21"/>
  <c r="W144" i="1"/>
  <c r="W142" i="1"/>
  <c r="W138" i="1"/>
  <c r="AE101" i="21" s="1"/>
  <c r="X142" i="1"/>
  <c r="W16" i="1"/>
  <c r="BP17" i="1"/>
  <c r="BQ342" i="1"/>
  <c r="BQ8" i="1"/>
  <c r="BQ87" i="1"/>
  <c r="BQ369" i="1"/>
  <c r="BQ123" i="1"/>
  <c r="Y176" i="1"/>
  <c r="Y180" i="1"/>
  <c r="Y175" i="1" s="1"/>
  <c r="Y384" i="1"/>
  <c r="AG67" i="21"/>
  <c r="AG68" i="21" s="1"/>
  <c r="O30" i="27"/>
  <c r="BU123" i="1"/>
  <c r="BU342" i="1"/>
  <c r="BU87" i="1"/>
  <c r="BU8" i="1"/>
  <c r="BU369" i="1"/>
  <c r="AB142" i="1"/>
  <c r="AI102" i="21"/>
  <c r="AA144" i="1"/>
  <c r="AA138" i="1"/>
  <c r="AI101" i="21" s="1"/>
  <c r="BQ380" i="1"/>
  <c r="AF142" i="1"/>
  <c r="AG142" i="1"/>
  <c r="AN102" i="21"/>
  <c r="AF138" i="1"/>
  <c r="AN101" i="21" s="1"/>
  <c r="AF144" i="1"/>
  <c r="BL366" i="1"/>
  <c r="S142" i="1"/>
  <c r="R142" i="1"/>
  <c r="Z102" i="21"/>
  <c r="Z103" i="21" s="1"/>
  <c r="Z107" i="21" s="1"/>
  <c r="R144" i="1"/>
  <c r="Z228" i="21" s="1"/>
  <c r="T142" i="1"/>
  <c r="S144" i="1"/>
  <c r="AA228" i="21" s="1"/>
  <c r="AA102" i="21"/>
  <c r="AA103" i="21" s="1"/>
  <c r="AA107" i="21" s="1"/>
  <c r="Q18" i="12"/>
  <c r="D14" i="12"/>
  <c r="D10" i="12"/>
  <c r="X12" i="12"/>
  <c r="G10" i="12"/>
  <c r="D12" i="12"/>
  <c r="D16" i="12"/>
  <c r="D18" i="12"/>
  <c r="P12" i="12"/>
  <c r="P10" i="12"/>
  <c r="E16" i="12"/>
  <c r="M10" i="12"/>
  <c r="E10" i="12"/>
  <c r="R14" i="12"/>
  <c r="X18" i="12"/>
  <c r="S14" i="12"/>
  <c r="V388" i="1"/>
  <c r="BO388" i="1" s="1"/>
  <c r="BR123" i="1"/>
  <c r="BR87" i="1"/>
  <c r="BR369" i="1"/>
  <c r="BR8" i="1"/>
  <c r="BR342" i="1"/>
  <c r="BV123" i="1"/>
  <c r="BV369" i="1"/>
  <c r="BV87" i="1"/>
  <c r="BV8" i="1"/>
  <c r="BV342" i="1"/>
  <c r="AA46" i="1"/>
  <c r="BQ46" i="1" s="1"/>
  <c r="BQ48" i="1"/>
  <c r="AO162" i="1"/>
  <c r="AP157" i="1"/>
  <c r="AQ158" i="1" s="1"/>
  <c r="AN244" i="1"/>
  <c r="AR244" i="1"/>
  <c r="S192" i="21"/>
  <c r="R46" i="1"/>
  <c r="BN48" i="1"/>
  <c r="H13" i="27"/>
  <c r="H15" i="27"/>
  <c r="H20" i="27" s="1"/>
  <c r="H22" i="27" s="1"/>
  <c r="H23" i="27" s="1"/>
  <c r="L12" i="27"/>
  <c r="T389" i="1"/>
  <c r="U389" i="1" s="1"/>
  <c r="V389" i="1" s="1"/>
  <c r="S393" i="1"/>
  <c r="W388" i="1"/>
  <c r="BO83" i="1"/>
  <c r="Y138" i="1"/>
  <c r="AG101" i="21" s="1"/>
  <c r="Y142" i="1"/>
  <c r="AG102" i="21"/>
  <c r="Z142" i="1"/>
  <c r="Y144" i="1"/>
  <c r="Z144" i="1"/>
  <c r="AH102" i="21"/>
  <c r="AA142" i="1"/>
  <c r="Z138" i="1"/>
  <c r="AH101" i="21" s="1"/>
  <c r="BS342" i="1"/>
  <c r="BS87" i="1"/>
  <c r="BS8" i="1"/>
  <c r="BS369" i="1"/>
  <c r="BS123" i="1"/>
  <c r="AJ102" i="21"/>
  <c r="AB144" i="1"/>
  <c r="AC142" i="1"/>
  <c r="AB138" i="1"/>
  <c r="AJ101" i="21" s="1"/>
  <c r="AB300" i="1"/>
  <c r="AB302" i="1" s="1"/>
  <c r="AC16" i="1"/>
  <c r="BQ17" i="1"/>
  <c r="AD384" i="1"/>
  <c r="AD176" i="1"/>
  <c r="AD180" i="1"/>
  <c r="AD175" i="1" s="1"/>
  <c r="AD177" i="1" s="1"/>
  <c r="AL67" i="21"/>
  <c r="AL68" i="21" s="1"/>
  <c r="AO156" i="1"/>
  <c r="AB393" i="1"/>
  <c r="BR48" i="1"/>
  <c r="AM67" i="21"/>
  <c r="AM68" i="21" s="1"/>
  <c r="U46" i="1"/>
  <c r="T46" i="1"/>
  <c r="R11" i="27"/>
  <c r="V12" i="27" s="1"/>
  <c r="BR387" i="1"/>
  <c r="BR393" i="1" s="1"/>
  <c r="AF123" i="1"/>
  <c r="AO153" i="1"/>
  <c r="AP174" i="1" s="1"/>
  <c r="AC375" i="1"/>
  <c r="G15" i="27"/>
  <c r="G20" i="27" s="1"/>
  <c r="G22" i="27" s="1"/>
  <c r="G23" i="27" s="1"/>
  <c r="AE384" i="1"/>
  <c r="AY5" i="21"/>
  <c r="AD212" i="21"/>
  <c r="Y230" i="21"/>
  <c r="U62" i="1"/>
  <c r="BO62" i="1" s="1"/>
  <c r="AE17" i="1"/>
  <c r="AE16" i="1" s="1"/>
  <c r="AI142" i="1"/>
  <c r="AP102" i="21"/>
  <c r="AP103" i="21" s="1"/>
  <c r="AP107" i="21" s="1"/>
  <c r="AE180" i="1"/>
  <c r="AE175" i="1" s="1"/>
  <c r="AI87" i="1"/>
  <c r="AI293" i="1"/>
  <c r="AI342" i="1"/>
  <c r="AI123" i="1"/>
  <c r="AI369" i="1"/>
  <c r="AH42" i="1"/>
  <c r="BR42" i="1" s="1"/>
  <c r="AG249" i="1"/>
  <c r="AH16" i="1"/>
  <c r="AO192" i="21"/>
  <c r="AD6" i="21"/>
  <c r="P211" i="21"/>
  <c r="AK193" i="21"/>
  <c r="L16" i="27"/>
  <c r="AC12" i="27"/>
  <c r="AE192" i="21"/>
  <c r="E15" i="27"/>
  <c r="E20" i="27" s="1"/>
  <c r="E22" i="27" s="1"/>
  <c r="E23" i="27" s="1"/>
  <c r="AA6" i="21"/>
  <c r="Q12" i="27"/>
  <c r="BP46" i="1"/>
  <c r="AP221" i="1"/>
  <c r="BS11" i="1"/>
  <c r="AM348" i="1"/>
  <c r="AN348" i="1" s="1"/>
  <c r="AO348" i="1" s="1"/>
  <c r="AP348" i="1" s="1"/>
  <c r="BS348" i="1"/>
  <c r="BS155" i="1"/>
  <c r="AM36" i="1"/>
  <c r="AM20" i="1"/>
  <c r="BS350" i="1"/>
  <c r="AM350" i="1"/>
  <c r="AN350" i="1" s="1"/>
  <c r="AO350" i="1" s="1"/>
  <c r="AP350" i="1" s="1"/>
  <c r="BS349" i="1"/>
  <c r="AM349" i="1"/>
  <c r="AN349" i="1" s="1"/>
  <c r="AO349" i="1" s="1"/>
  <c r="AP349" i="1" s="1"/>
  <c r="AM37" i="1"/>
  <c r="AM53" i="1"/>
  <c r="AM363" i="1"/>
  <c r="AN363" i="1" s="1"/>
  <c r="AO363" i="1" s="1"/>
  <c r="AP363" i="1" s="1"/>
  <c r="BS363" i="1"/>
  <c r="AM357" i="1"/>
  <c r="AN357" i="1" s="1"/>
  <c r="AO357" i="1" s="1"/>
  <c r="AP357" i="1" s="1"/>
  <c r="BS357" i="1"/>
  <c r="BS157" i="1"/>
  <c r="AJ200" i="1"/>
  <c r="AK195" i="1" s="1"/>
  <c r="K16" i="27"/>
  <c r="Q13" i="27"/>
  <c r="AN89" i="27"/>
  <c r="G16" i="27"/>
  <c r="Q16" i="27"/>
  <c r="M20" i="27"/>
  <c r="M22" i="27" s="1"/>
  <c r="M23" i="27" s="1"/>
  <c r="AS92" i="27"/>
  <c r="S12" i="27"/>
  <c r="K12" i="27"/>
  <c r="Q31" i="27"/>
  <c r="Q15" i="27"/>
  <c r="Q20" i="27" s="1"/>
  <c r="Q22" i="27" s="1"/>
  <c r="Q23" i="27" s="1"/>
  <c r="E16" i="27"/>
  <c r="BR46" i="1"/>
  <c r="AR281" i="21"/>
  <c r="AQ281" i="21"/>
  <c r="AQ246" i="21"/>
  <c r="R212" i="21"/>
  <c r="AC212" i="21"/>
  <c r="AA5" i="21"/>
  <c r="AF6" i="21"/>
  <c r="U212" i="21"/>
  <c r="V6" i="21"/>
  <c r="AD103" i="21"/>
  <c r="AD107" i="21" s="1"/>
  <c r="O212" i="21"/>
  <c r="V192" i="21"/>
  <c r="AC211" i="21"/>
  <c r="R192" i="21"/>
  <c r="U211" i="21"/>
  <c r="AB6" i="21"/>
  <c r="AD5" i="21"/>
  <c r="Z212" i="21"/>
  <c r="AO103" i="21"/>
  <c r="AO104" i="21" s="1"/>
  <c r="AJ191" i="1"/>
  <c r="Z193" i="21"/>
  <c r="N193" i="21"/>
  <c r="R193" i="21"/>
  <c r="AM103" i="21"/>
  <c r="AM107" i="21" s="1"/>
  <c r="AI5" i="21"/>
  <c r="W211" i="21"/>
  <c r="N212" i="21"/>
  <c r="AB212" i="21"/>
  <c r="Y211" i="21"/>
  <c r="W6" i="21"/>
  <c r="T193" i="21"/>
  <c r="V193" i="21"/>
  <c r="V212" i="21"/>
  <c r="AA211" i="21"/>
  <c r="AM211" i="21"/>
  <c r="AD211" i="21"/>
  <c r="W212" i="21"/>
  <c r="Z211" i="21"/>
  <c r="AH211" i="21"/>
  <c r="AG212" i="21"/>
  <c r="W192" i="21"/>
  <c r="M212" i="21"/>
  <c r="T212" i="21"/>
  <c r="U193" i="21"/>
  <c r="P192" i="21"/>
  <c r="Q193" i="21"/>
  <c r="AI212" i="21"/>
  <c r="Q212" i="21"/>
  <c r="AE6" i="21"/>
  <c r="AL5" i="21"/>
  <c r="P212" i="21"/>
  <c r="V211" i="21"/>
  <c r="T192" i="21"/>
  <c r="AN6" i="21"/>
  <c r="AE5" i="21"/>
  <c r="AM6" i="21"/>
  <c r="W68" i="21"/>
  <c r="S211" i="21"/>
  <c r="Y192" i="21"/>
  <c r="AM165" i="1"/>
  <c r="AM168" i="1" s="1"/>
  <c r="S16" i="27"/>
  <c r="BT186" i="1"/>
  <c r="AM164" i="1"/>
  <c r="AM13" i="1"/>
  <c r="BS186" i="1"/>
  <c r="AK330" i="1" l="1"/>
  <c r="AL329" i="1"/>
  <c r="AL328" i="1" s="1"/>
  <c r="AM214" i="1"/>
  <c r="AN214" i="1" s="1"/>
  <c r="AO214" i="1" s="1"/>
  <c r="AP214" i="1" s="1"/>
  <c r="AQ214" i="1" s="1"/>
  <c r="AR214" i="1" s="1"/>
  <c r="AS214" i="1" s="1"/>
  <c r="AT214" i="1" s="1"/>
  <c r="AU214" i="1" s="1"/>
  <c r="AV214" i="1" s="1"/>
  <c r="AW214" i="1" s="1"/>
  <c r="AX214" i="1" s="1"/>
  <c r="AY214" i="1" s="1"/>
  <c r="AZ214" i="1" s="1"/>
  <c r="BA214" i="1" s="1"/>
  <c r="BB214" i="1" s="1"/>
  <c r="BC214" i="1" s="1"/>
  <c r="BD214" i="1" s="1"/>
  <c r="BE214" i="1" s="1"/>
  <c r="BF214" i="1" s="1"/>
  <c r="BG214" i="1" s="1"/>
  <c r="BH214" i="1" s="1"/>
  <c r="BI214" i="1" s="1"/>
  <c r="BJ214" i="1" s="1"/>
  <c r="AL214" i="1"/>
  <c r="AM225" i="1"/>
  <c r="AN225" i="1" s="1"/>
  <c r="AO225" i="1" s="1"/>
  <c r="AP225" i="1" s="1"/>
  <c r="AQ225" i="1" s="1"/>
  <c r="AR225" i="1" s="1"/>
  <c r="AS225" i="1" s="1"/>
  <c r="AT225" i="1" s="1"/>
  <c r="AU225" i="1" s="1"/>
  <c r="AV225" i="1" s="1"/>
  <c r="AW225" i="1" s="1"/>
  <c r="AX225" i="1" s="1"/>
  <c r="AY225" i="1" s="1"/>
  <c r="AZ225" i="1" s="1"/>
  <c r="BA225" i="1" s="1"/>
  <c r="BB225" i="1" s="1"/>
  <c r="BC225" i="1" s="1"/>
  <c r="BD225" i="1" s="1"/>
  <c r="BE225" i="1" s="1"/>
  <c r="BF225" i="1" s="1"/>
  <c r="BG225" i="1" s="1"/>
  <c r="BH225" i="1" s="1"/>
  <c r="BI225" i="1" s="1"/>
  <c r="BJ225" i="1" s="1"/>
  <c r="AL224" i="1"/>
  <c r="AM224" i="1" s="1"/>
  <c r="AN224" i="1" s="1"/>
  <c r="AO224" i="1" s="1"/>
  <c r="AP224" i="1" s="1"/>
  <c r="AQ224" i="1" s="1"/>
  <c r="AR224" i="1" s="1"/>
  <c r="AS224" i="1" s="1"/>
  <c r="AT224" i="1" s="1"/>
  <c r="AU224" i="1" s="1"/>
  <c r="AV224" i="1" s="1"/>
  <c r="AW224" i="1" s="1"/>
  <c r="AX224" i="1" s="1"/>
  <c r="AY224" i="1" s="1"/>
  <c r="AZ224" i="1" s="1"/>
  <c r="BA224" i="1" s="1"/>
  <c r="BB224" i="1" s="1"/>
  <c r="BC224" i="1" s="1"/>
  <c r="BD224" i="1" s="1"/>
  <c r="BE224" i="1" s="1"/>
  <c r="BF224" i="1" s="1"/>
  <c r="BG224" i="1" s="1"/>
  <c r="BH224" i="1" s="1"/>
  <c r="BI224" i="1" s="1"/>
  <c r="BJ224" i="1" s="1"/>
  <c r="AK306" i="1"/>
  <c r="AL304" i="1"/>
  <c r="AL206" i="1"/>
  <c r="AL200" i="1"/>
  <c r="AK334" i="1"/>
  <c r="AL334" i="1"/>
  <c r="AL209" i="1"/>
  <c r="AL204" i="1" s="1"/>
  <c r="AM226" i="1"/>
  <c r="AN226" i="1" s="1"/>
  <c r="AO226" i="1" s="1"/>
  <c r="AP226" i="1" s="1"/>
  <c r="AQ226" i="1" s="1"/>
  <c r="AR226" i="1" s="1"/>
  <c r="AS226" i="1" s="1"/>
  <c r="AT226" i="1" s="1"/>
  <c r="AU226" i="1" s="1"/>
  <c r="AV226" i="1" s="1"/>
  <c r="AW226" i="1" s="1"/>
  <c r="AX226" i="1" s="1"/>
  <c r="AY226" i="1" s="1"/>
  <c r="AZ226" i="1" s="1"/>
  <c r="BA226" i="1" s="1"/>
  <c r="BB226" i="1" s="1"/>
  <c r="BC226" i="1" s="1"/>
  <c r="BD226" i="1" s="1"/>
  <c r="BE226" i="1" s="1"/>
  <c r="BF226" i="1" s="1"/>
  <c r="BG226" i="1" s="1"/>
  <c r="BH226" i="1" s="1"/>
  <c r="BI226" i="1" s="1"/>
  <c r="BJ226" i="1" s="1"/>
  <c r="AO201" i="1"/>
  <c r="BA254" i="1"/>
  <c r="AP5" i="21"/>
  <c r="AA193" i="21"/>
  <c r="AK211" i="21"/>
  <c r="AC192" i="21"/>
  <c r="AO165" i="1"/>
  <c r="AO168" i="1" s="1"/>
  <c r="AN165" i="1"/>
  <c r="AN168" i="1" s="1"/>
  <c r="BA244" i="1"/>
  <c r="BE243" i="1"/>
  <c r="BJ312" i="1"/>
  <c r="BJ314" i="1" s="1"/>
  <c r="BB243" i="1"/>
  <c r="AY244" i="1"/>
  <c r="Y32" i="1"/>
  <c r="R20" i="12"/>
  <c r="AE211" i="21"/>
  <c r="AN211" i="21"/>
  <c r="P13" i="27"/>
  <c r="AL193" i="21"/>
  <c r="K18" i="12"/>
  <c r="L12" i="12"/>
  <c r="E18" i="12"/>
  <c r="F12" i="12"/>
  <c r="Q12" i="12"/>
  <c r="AH6" i="21"/>
  <c r="P14" i="12"/>
  <c r="AL192" i="21"/>
  <c r="AG211" i="21"/>
  <c r="G13" i="27"/>
  <c r="AI211" i="21"/>
  <c r="W10" i="12"/>
  <c r="E12" i="12"/>
  <c r="S10" i="12"/>
  <c r="K10" i="12"/>
  <c r="G12" i="12"/>
  <c r="J18" i="12"/>
  <c r="F10" i="12"/>
  <c r="S16" i="12"/>
  <c r="L18" i="12"/>
  <c r="L16" i="12"/>
  <c r="P16" i="12"/>
  <c r="J12" i="12"/>
  <c r="AE289" i="1"/>
  <c r="Y245" i="1"/>
  <c r="AC26" i="1"/>
  <c r="U244" i="1"/>
  <c r="O15" i="27"/>
  <c r="O20" i="27" s="1"/>
  <c r="O22" i="27" s="1"/>
  <c r="O23" i="27" s="1"/>
  <c r="V80" i="1"/>
  <c r="AE212" i="21"/>
  <c r="Y68" i="21"/>
  <c r="Z6" i="21"/>
  <c r="AH68" i="21"/>
  <c r="M16" i="12"/>
  <c r="F18" i="12"/>
  <c r="S18" i="12"/>
  <c r="J10" i="12"/>
  <c r="G14" i="12"/>
  <c r="P18" i="12"/>
  <c r="Q16" i="12"/>
  <c r="AO193" i="21"/>
  <c r="AH5" i="21"/>
  <c r="AC6" i="21"/>
  <c r="X68" i="21"/>
  <c r="M14" i="12"/>
  <c r="M12" i="12"/>
  <c r="L10" i="12"/>
  <c r="K12" i="12"/>
  <c r="J16" i="12"/>
  <c r="M18" i="12"/>
  <c r="K16" i="12"/>
  <c r="Q10" i="12"/>
  <c r="G18" i="12"/>
  <c r="G16" i="12"/>
  <c r="Q14" i="12"/>
  <c r="AH4" i="1"/>
  <c r="O31" i="27"/>
  <c r="AF180" i="1"/>
  <c r="AF175" i="1" s="1"/>
  <c r="AF177" i="1" s="1"/>
  <c r="Y26" i="1"/>
  <c r="AB211" i="21"/>
  <c r="Y212" i="21"/>
  <c r="AC30" i="1"/>
  <c r="AC32" i="1" s="1"/>
  <c r="AC289" i="1" s="1"/>
  <c r="F14" i="12"/>
  <c r="U246" i="1"/>
  <c r="AH212" i="21"/>
  <c r="AE248" i="1"/>
  <c r="AF246" i="1"/>
  <c r="AF193" i="21"/>
  <c r="AH26" i="1"/>
  <c r="BR243" i="1"/>
  <c r="AF103" i="21"/>
  <c r="AF107" i="21" s="1"/>
  <c r="AE12" i="12"/>
  <c r="BO247" i="1"/>
  <c r="AK192" i="21"/>
  <c r="X212" i="21"/>
  <c r="AK5" i="21"/>
  <c r="AD193" i="21"/>
  <c r="AJ193" i="21"/>
  <c r="AG244" i="1"/>
  <c r="AP211" i="21"/>
  <c r="X192" i="21"/>
  <c r="AG193" i="21"/>
  <c r="AD12" i="27"/>
  <c r="V33" i="1"/>
  <c r="AF4" i="1"/>
  <c r="AC14" i="12"/>
  <c r="AH193" i="21"/>
  <c r="S20" i="12"/>
  <c r="AJ211" i="21"/>
  <c r="AP212" i="21"/>
  <c r="AE193" i="21"/>
  <c r="AH192" i="21"/>
  <c r="AH241" i="1"/>
  <c r="AD142" i="1"/>
  <c r="AC248" i="1"/>
  <c r="AD192" i="21"/>
  <c r="BR25" i="1"/>
  <c r="AI192" i="21"/>
  <c r="AM192" i="21"/>
  <c r="AO244" i="1"/>
  <c r="H12" i="12"/>
  <c r="AP50" i="21"/>
  <c r="AP51" i="21" s="1"/>
  <c r="AL212" i="21"/>
  <c r="BN16" i="1"/>
  <c r="AC244" i="1"/>
  <c r="AI193" i="21"/>
  <c r="AL211" i="21"/>
  <c r="AM212" i="21"/>
  <c r="AO211" i="21"/>
  <c r="AJ212" i="21"/>
  <c r="AH33" i="1"/>
  <c r="Z12" i="12"/>
  <c r="AD245" i="1"/>
  <c r="AE246" i="1" s="1"/>
  <c r="AB192" i="21"/>
  <c r="V18" i="12"/>
  <c r="AK196" i="1"/>
  <c r="AG316" i="1"/>
  <c r="AH316" i="1" s="1"/>
  <c r="AI316" i="1" s="1"/>
  <c r="X193" i="21"/>
  <c r="BT155" i="1"/>
  <c r="S22" i="12"/>
  <c r="Y10" i="12"/>
  <c r="Z10" i="12"/>
  <c r="W12" i="12"/>
  <c r="R10" i="12"/>
  <c r="R12" i="12"/>
  <c r="AB16" i="12"/>
  <c r="AC20" i="12"/>
  <c r="AE14" i="12"/>
  <c r="AN103" i="21"/>
  <c r="AN104" i="21" s="1"/>
  <c r="BP16" i="1"/>
  <c r="AD318" i="1"/>
  <c r="AF33" i="1"/>
  <c r="AD26" i="1"/>
  <c r="U253" i="1"/>
  <c r="AD30" i="1"/>
  <c r="S245" i="1"/>
  <c r="S246" i="1" s="1"/>
  <c r="G167" i="18"/>
  <c r="AE68" i="21"/>
  <c r="H33" i="17"/>
  <c r="AE26" i="1"/>
  <c r="AE253" i="1"/>
  <c r="N12" i="12"/>
  <c r="AD244" i="1"/>
  <c r="AK204" i="1"/>
  <c r="AK203" i="1" s="1"/>
  <c r="AK199" i="1"/>
  <c r="AK198" i="1" s="1"/>
  <c r="R18" i="12"/>
  <c r="V16" i="12"/>
  <c r="BM32" i="1"/>
  <c r="AD18" i="12"/>
  <c r="U26" i="1"/>
  <c r="AB244" i="1"/>
  <c r="Q30" i="1"/>
  <c r="AP192" i="21"/>
  <c r="Z4" i="1"/>
  <c r="BQ25" i="1"/>
  <c r="AH103" i="21"/>
  <c r="AH104" i="21" s="1"/>
  <c r="N18" i="12"/>
  <c r="T10" i="12"/>
  <c r="S12" i="12"/>
  <c r="N10" i="12"/>
  <c r="AE16" i="12"/>
  <c r="H10" i="12"/>
  <c r="R16" i="12"/>
  <c r="AE318" i="1"/>
  <c r="AJ198" i="1"/>
  <c r="G57" i="18"/>
  <c r="AD248" i="1"/>
  <c r="AE250" i="1" s="1"/>
  <c r="BO35" i="1"/>
  <c r="AN50" i="21"/>
  <c r="AN51" i="21" s="1"/>
  <c r="AD50" i="21"/>
  <c r="AD51" i="21" s="1"/>
  <c r="V4" i="1"/>
  <c r="AF43" i="1"/>
  <c r="V24" i="27" s="1"/>
  <c r="M22" i="12"/>
  <c r="V241" i="1"/>
  <c r="AF289" i="1"/>
  <c r="AO245" i="1"/>
  <c r="AP245" i="1" s="1"/>
  <c r="AP246" i="1" s="1"/>
  <c r="M20" i="12"/>
  <c r="AM246" i="1"/>
  <c r="V246" i="1"/>
  <c r="K14" i="12"/>
  <c r="AE33" i="1"/>
  <c r="T253" i="1"/>
  <c r="BR30" i="1"/>
  <c r="T26" i="1"/>
  <c r="AI50" i="21"/>
  <c r="AI51" i="21" s="1"/>
  <c r="V244" i="1"/>
  <c r="AG246" i="1"/>
  <c r="T30" i="1"/>
  <c r="T32" i="1" s="1"/>
  <c r="K22" i="12" s="1"/>
  <c r="AF14" i="12"/>
  <c r="Y4" i="1"/>
  <c r="AE241" i="1"/>
  <c r="AF242" i="1" s="1"/>
  <c r="AE43" i="1"/>
  <c r="U24" i="27" s="1"/>
  <c r="AF250" i="1"/>
  <c r="X253" i="1"/>
  <c r="T248" i="1"/>
  <c r="T246" i="1"/>
  <c r="U30" i="1"/>
  <c r="U32" i="1" s="1"/>
  <c r="U43" i="1" s="1"/>
  <c r="U45" i="1" s="1"/>
  <c r="L14" i="12"/>
  <c r="R22" i="12"/>
  <c r="U248" i="1"/>
  <c r="X245" i="1"/>
  <c r="Y246" i="1" s="1"/>
  <c r="I31" i="27"/>
  <c r="J13" i="27"/>
  <c r="Z50" i="21"/>
  <c r="Z51" i="21" s="1"/>
  <c r="W50" i="21"/>
  <c r="W51" i="21" s="1"/>
  <c r="R33" i="1"/>
  <c r="AC4" i="1"/>
  <c r="I13" i="27"/>
  <c r="AN90" i="27"/>
  <c r="G20" i="12"/>
  <c r="X20" i="12"/>
  <c r="R289" i="1"/>
  <c r="P248" i="1"/>
  <c r="P250" i="1" s="1"/>
  <c r="AK50" i="21"/>
  <c r="AK51" i="21" s="1"/>
  <c r="AC33" i="1"/>
  <c r="AC43" i="1"/>
  <c r="G112" i="18"/>
  <c r="AC193" i="21"/>
  <c r="G22" i="12"/>
  <c r="R241" i="1"/>
  <c r="R43" i="1"/>
  <c r="R45" i="1" s="1"/>
  <c r="R371" i="1" s="1"/>
  <c r="R378" i="1" s="1"/>
  <c r="AB193" i="21"/>
  <c r="AC241" i="1"/>
  <c r="W176" i="1"/>
  <c r="AJ5" i="21"/>
  <c r="AK6" i="21"/>
  <c r="AN5" i="21"/>
  <c r="AE103" i="21"/>
  <c r="AE107" i="21" s="1"/>
  <c r="AG248" i="1"/>
  <c r="AG250" i="1" s="1"/>
  <c r="H34" i="17"/>
  <c r="P33" i="17"/>
  <c r="P15" i="27"/>
  <c r="P20" i="27" s="1"/>
  <c r="P22" i="27" s="1"/>
  <c r="P23" i="27" s="1"/>
  <c r="Z192" i="21"/>
  <c r="X6" i="21"/>
  <c r="AA192" i="21"/>
  <c r="AN201" i="1"/>
  <c r="F16" i="27"/>
  <c r="H18" i="12"/>
  <c r="W14" i="12"/>
  <c r="AB10" i="12"/>
  <c r="AE18" i="12"/>
  <c r="H16" i="12"/>
  <c r="V22" i="12"/>
  <c r="Y14" i="12"/>
  <c r="V12" i="12"/>
  <c r="AC16" i="12"/>
  <c r="T14" i="12"/>
  <c r="D22" i="12"/>
  <c r="X22" i="12"/>
  <c r="V20" i="12"/>
  <c r="D20" i="12"/>
  <c r="AD10" i="12"/>
  <c r="Z18" i="12"/>
  <c r="AC18" i="12"/>
  <c r="X14" i="12"/>
  <c r="AI244" i="1"/>
  <c r="AH244" i="1"/>
  <c r="O43" i="1"/>
  <c r="O45" i="1" s="1"/>
  <c r="AG253" i="1"/>
  <c r="AG30" i="1"/>
  <c r="AG32" i="1" s="1"/>
  <c r="AD22" i="12" s="1"/>
  <c r="S30" i="1"/>
  <c r="W244" i="1"/>
  <c r="AD138" i="1"/>
  <c r="AL101" i="21" s="1"/>
  <c r="AL102" i="21"/>
  <c r="M30" i="27"/>
  <c r="M31" i="27" s="1"/>
  <c r="W180" i="1"/>
  <c r="W175" i="1" s="1"/>
  <c r="AF192" i="21"/>
  <c r="AJ192" i="21"/>
  <c r="AM201" i="1"/>
  <c r="AO206" i="1"/>
  <c r="F13" i="27"/>
  <c r="J12" i="27"/>
  <c r="AM334" i="1"/>
  <c r="Z16" i="12"/>
  <c r="AE22" i="12"/>
  <c r="V14" i="12"/>
  <c r="AC10" i="12"/>
  <c r="T16" i="12"/>
  <c r="V10" i="12"/>
  <c r="AD14" i="12"/>
  <c r="W18" i="12"/>
  <c r="W16" i="12"/>
  <c r="T12" i="12"/>
  <c r="Y16" i="12"/>
  <c r="AC12" i="12"/>
  <c r="AB12" i="12"/>
  <c r="AD16" i="12"/>
  <c r="AB22" i="12"/>
  <c r="X16" i="12"/>
  <c r="AB50" i="21"/>
  <c r="AB51" i="21" s="1"/>
  <c r="U241" i="1"/>
  <c r="V242" i="1" s="1"/>
  <c r="F31" i="27"/>
  <c r="O241" i="1"/>
  <c r="O33" i="1"/>
  <c r="AD246" i="1"/>
  <c r="W384" i="1"/>
  <c r="S253" i="1"/>
  <c r="X248" i="1"/>
  <c r="Y250" i="1" s="1"/>
  <c r="X30" i="1"/>
  <c r="Y6" i="21"/>
  <c r="AM206" i="1"/>
  <c r="AN206" i="1"/>
  <c r="AF12" i="12"/>
  <c r="BQ16" i="1"/>
  <c r="AF16" i="12"/>
  <c r="T18" i="12"/>
  <c r="AB18" i="12"/>
  <c r="L22" i="12"/>
  <c r="Y12" i="12"/>
  <c r="AC22" i="12"/>
  <c r="N16" i="12"/>
  <c r="AE20" i="12"/>
  <c r="AE10" i="12"/>
  <c r="AB14" i="12"/>
  <c r="AD12" i="12"/>
  <c r="Y18" i="12"/>
  <c r="X10" i="12"/>
  <c r="AB20" i="12"/>
  <c r="J14" i="12"/>
  <c r="BP381" i="1"/>
  <c r="BP181" i="1" s="1"/>
  <c r="AH246" i="1"/>
  <c r="AQ93" i="27"/>
  <c r="AG26" i="1"/>
  <c r="AB30" i="1"/>
  <c r="AB248" i="1"/>
  <c r="AC250" i="1" s="1"/>
  <c r="AB253" i="1"/>
  <c r="AB245" i="1"/>
  <c r="AB26" i="1"/>
  <c r="Z250" i="1"/>
  <c r="AA33" i="1"/>
  <c r="AA43" i="1"/>
  <c r="Z43" i="1"/>
  <c r="Z45" i="1" s="1"/>
  <c r="Z289" i="1"/>
  <c r="AA289" i="1"/>
  <c r="Z241" i="1"/>
  <c r="AA242" i="1" s="1"/>
  <c r="Z246" i="1"/>
  <c r="AA4" i="1"/>
  <c r="AH50" i="21"/>
  <c r="AH51" i="21" s="1"/>
  <c r="S248" i="1"/>
  <c r="S250" i="1" s="1"/>
  <c r="Q248" i="1"/>
  <c r="R250" i="1" s="1"/>
  <c r="Q245" i="1"/>
  <c r="R246" i="1" s="1"/>
  <c r="Q26" i="1"/>
  <c r="AA246" i="1"/>
  <c r="BO16" i="1"/>
  <c r="W253" i="1"/>
  <c r="W245" i="1"/>
  <c r="W246" i="1" s="1"/>
  <c r="W30" i="1"/>
  <c r="W26" i="1"/>
  <c r="W248" i="1"/>
  <c r="Z230" i="21"/>
  <c r="AD250" i="1"/>
  <c r="S244" i="1"/>
  <c r="T244" i="1"/>
  <c r="Q244" i="1"/>
  <c r="P26" i="1"/>
  <c r="P30" i="1"/>
  <c r="P245" i="1"/>
  <c r="AJ103" i="21"/>
  <c r="AJ107" i="21" s="1"/>
  <c r="AN164" i="1"/>
  <c r="BL32" i="1"/>
  <c r="BL241" i="1"/>
  <c r="BM242" i="1" s="1"/>
  <c r="BQ243" i="1"/>
  <c r="BQ244" i="1" s="1"/>
  <c r="AF104" i="21"/>
  <c r="X84" i="1"/>
  <c r="BP84" i="1" s="1"/>
  <c r="BP81" i="1"/>
  <c r="BP80" i="1" s="1"/>
  <c r="X80" i="1"/>
  <c r="BN25" i="1"/>
  <c r="BN245" i="1"/>
  <c r="BN246" i="1" s="1"/>
  <c r="BN10" i="1"/>
  <c r="AQ90" i="27" s="1"/>
  <c r="AZ4" i="21"/>
  <c r="AZ5" i="21" s="1"/>
  <c r="AQ89" i="27"/>
  <c r="BN247" i="1"/>
  <c r="BN243" i="1"/>
  <c r="BN244" i="1" s="1"/>
  <c r="AF384" i="1"/>
  <c r="AF176" i="1"/>
  <c r="AN67" i="21"/>
  <c r="AN68" i="21" s="1"/>
  <c r="BP26" i="1"/>
  <c r="BP30" i="1"/>
  <c r="BP248" i="1"/>
  <c r="AH382" i="1"/>
  <c r="AG381" i="1"/>
  <c r="W30" i="27" s="1"/>
  <c r="W31" i="27" s="1"/>
  <c r="BT154" i="1"/>
  <c r="AP156" i="1"/>
  <c r="BT156" i="1" s="1"/>
  <c r="AP153" i="1"/>
  <c r="BT153" i="1" s="1"/>
  <c r="AA250" i="1"/>
  <c r="M12" i="27"/>
  <c r="I12" i="27"/>
  <c r="BO249" i="1"/>
  <c r="BQ247" i="1"/>
  <c r="BQ245" i="1"/>
  <c r="BR246" i="1" s="1"/>
  <c r="BQ10" i="1"/>
  <c r="AQ60" i="27" s="1"/>
  <c r="BC4" i="21"/>
  <c r="BR10" i="1"/>
  <c r="AQ45" i="27" s="1"/>
  <c r="AQ59" i="27"/>
  <c r="AP75" i="27"/>
  <c r="AO89" i="27"/>
  <c r="BO245" i="1"/>
  <c r="AL75" i="27"/>
  <c r="BO10" i="1"/>
  <c r="BA4" i="21"/>
  <c r="BO243" i="1"/>
  <c r="BO25" i="1"/>
  <c r="AK67" i="21"/>
  <c r="AK68" i="21" s="1"/>
  <c r="AC176" i="1"/>
  <c r="S30" i="27"/>
  <c r="S31" i="27" s="1"/>
  <c r="BQ381" i="1"/>
  <c r="BQ180" i="1" s="1"/>
  <c r="AC180" i="1"/>
  <c r="AC175" i="1" s="1"/>
  <c r="AC177" i="1" s="1"/>
  <c r="AC384" i="1"/>
  <c r="BS37" i="1"/>
  <c r="AH26" i="12"/>
  <c r="AH318" i="1"/>
  <c r="S326" i="1"/>
  <c r="T324" i="1"/>
  <c r="AO361" i="1"/>
  <c r="AN332" i="1"/>
  <c r="AE244" i="1"/>
  <c r="AF244" i="1"/>
  <c r="BM33" i="1"/>
  <c r="BM43" i="1"/>
  <c r="BM45" i="1" s="1"/>
  <c r="BM371" i="1" s="1"/>
  <c r="BM378" i="1" s="1"/>
  <c r="BM396" i="1" s="1"/>
  <c r="BM397" i="1" s="1"/>
  <c r="BN395" i="1" s="1"/>
  <c r="AK103" i="21"/>
  <c r="AF318" i="1"/>
  <c r="AA230" i="21"/>
  <c r="AB67" i="21"/>
  <c r="AB68" i="21" s="1"/>
  <c r="T176" i="1"/>
  <c r="J30" i="27"/>
  <c r="J31" i="27" s="1"/>
  <c r="T384" i="1"/>
  <c r="U381" i="1"/>
  <c r="T180" i="1"/>
  <c r="T175" i="1" s="1"/>
  <c r="E24" i="27"/>
  <c r="AB384" i="1"/>
  <c r="AB180" i="1"/>
  <c r="AB175" i="1" s="1"/>
  <c r="AB177" i="1" s="1"/>
  <c r="AB176" i="1"/>
  <c r="BQ176" i="1" s="1"/>
  <c r="R30" i="27"/>
  <c r="R31" i="27" s="1"/>
  <c r="AJ67" i="21"/>
  <c r="AJ68" i="21" s="1"/>
  <c r="AN158" i="1"/>
  <c r="AN159" i="1" s="1"/>
  <c r="AO158" i="1"/>
  <c r="AO159" i="1" s="1"/>
  <c r="AT187" i="1"/>
  <c r="BU187" i="1" s="1"/>
  <c r="AT186" i="1"/>
  <c r="BU186" i="1" s="1"/>
  <c r="AU188" i="1"/>
  <c r="AT189" i="1"/>
  <c r="BU189" i="1" s="1"/>
  <c r="AI103" i="21"/>
  <c r="Y107" i="21"/>
  <c r="AB104" i="21"/>
  <c r="AP104" i="21"/>
  <c r="AO164" i="1"/>
  <c r="BR16" i="1"/>
  <c r="BR17" i="1"/>
  <c r="AM250" i="1"/>
  <c r="AM244" i="1"/>
  <c r="BO389" i="1"/>
  <c r="BN46" i="1"/>
  <c r="AF10" i="12"/>
  <c r="AF18" i="12"/>
  <c r="BQ375" i="1"/>
  <c r="T393" i="1"/>
  <c r="AI318" i="1"/>
  <c r="AJ316" i="1"/>
  <c r="AK316" i="1" s="1"/>
  <c r="BS72" i="1"/>
  <c r="BS73" i="1" s="1"/>
  <c r="AC13" i="27"/>
  <c r="AE13" i="27"/>
  <c r="AQ245" i="1"/>
  <c r="AG103" i="21"/>
  <c r="AW244" i="1"/>
  <c r="AS244" i="1"/>
  <c r="AI242" i="1"/>
  <c r="U393" i="1"/>
  <c r="V387" i="1"/>
  <c r="AE177" i="1"/>
  <c r="S13" i="27"/>
  <c r="R12" i="27"/>
  <c r="R15" i="27"/>
  <c r="R20" i="27" s="1"/>
  <c r="R22" i="27" s="1"/>
  <c r="R23" i="27" s="1"/>
  <c r="AC301" i="1"/>
  <c r="AC300" i="1" s="1"/>
  <c r="AP162" i="1"/>
  <c r="BT157" i="1"/>
  <c r="BT162" i="1" s="1"/>
  <c r="R16" i="27"/>
  <c r="BP384" i="1"/>
  <c r="BS36" i="1"/>
  <c r="R13" i="27"/>
  <c r="W393" i="1"/>
  <c r="BP388" i="1"/>
  <c r="BP393" i="1" s="1"/>
  <c r="AH43" i="1"/>
  <c r="X24" i="27" s="1"/>
  <c r="BO46" i="1"/>
  <c r="V45" i="1"/>
  <c r="L24" i="27"/>
  <c r="BS356" i="1"/>
  <c r="AJ104" i="21"/>
  <c r="AD104" i="21"/>
  <c r="BQ30" i="1"/>
  <c r="BQ26" i="1"/>
  <c r="Z14" i="12"/>
  <c r="BQ248" i="1"/>
  <c r="AC107" i="21"/>
  <c r="AM158" i="1"/>
  <c r="AM159" i="1" s="1"/>
  <c r="AS281" i="21"/>
  <c r="BS20" i="1"/>
  <c r="AN20" i="1"/>
  <c r="AO20" i="1" s="1"/>
  <c r="AP20" i="1" s="1"/>
  <c r="AQ20" i="1" s="1"/>
  <c r="BT363" i="1"/>
  <c r="AQ363" i="1"/>
  <c r="AR363" i="1" s="1"/>
  <c r="AS363" i="1" s="1"/>
  <c r="AT363" i="1" s="1"/>
  <c r="AN37" i="1"/>
  <c r="AO37" i="1" s="1"/>
  <c r="AP37" i="1" s="1"/>
  <c r="AQ37" i="1" s="1"/>
  <c r="AQ350" i="1"/>
  <c r="AR350" i="1" s="1"/>
  <c r="AS350" i="1" s="1"/>
  <c r="AT350" i="1" s="1"/>
  <c r="BT350" i="1"/>
  <c r="AM11" i="1"/>
  <c r="AQ221" i="1"/>
  <c r="AP201" i="1"/>
  <c r="AP206" i="1"/>
  <c r="AP158" i="1"/>
  <c r="AP159" i="1" s="1"/>
  <c r="AN53" i="1"/>
  <c r="BS53" i="1"/>
  <c r="AQ349" i="1"/>
  <c r="AR349" i="1" s="1"/>
  <c r="AS349" i="1" s="1"/>
  <c r="AT349" i="1" s="1"/>
  <c r="BT349" i="1"/>
  <c r="AN36" i="1"/>
  <c r="AO36" i="1" s="1"/>
  <c r="AP36" i="1" s="1"/>
  <c r="AQ36" i="1" s="1"/>
  <c r="BS156" i="1"/>
  <c r="BS154" i="1"/>
  <c r="AQ348" i="1"/>
  <c r="AR348" i="1" s="1"/>
  <c r="AS348" i="1" s="1"/>
  <c r="AT348" i="1" s="1"/>
  <c r="BT348" i="1"/>
  <c r="AM220" i="1"/>
  <c r="AQ357" i="1"/>
  <c r="AR357" i="1" s="1"/>
  <c r="AS357" i="1" s="1"/>
  <c r="AT357" i="1" s="1"/>
  <c r="BT357" i="1"/>
  <c r="AQ85" i="21"/>
  <c r="AM104" i="21"/>
  <c r="AO107" i="21"/>
  <c r="Z104" i="21"/>
  <c r="AA104" i="21"/>
  <c r="AN13" i="1"/>
  <c r="AO13" i="1" s="1"/>
  <c r="AP13" i="1" s="1"/>
  <c r="AQ13" i="1" s="1"/>
  <c r="BS13" i="1"/>
  <c r="AL330" i="1" l="1"/>
  <c r="AM328" i="1"/>
  <c r="AM330" i="1" s="1"/>
  <c r="AL199" i="1"/>
  <c r="AL198" i="1" s="1"/>
  <c r="AM209" i="1"/>
  <c r="AN209" i="1" s="1"/>
  <c r="AO209" i="1" s="1"/>
  <c r="AP209" i="1" s="1"/>
  <c r="AQ209" i="1" s="1"/>
  <c r="AR209" i="1" s="1"/>
  <c r="AS209" i="1" s="1"/>
  <c r="AT209" i="1" s="1"/>
  <c r="AU209" i="1" s="1"/>
  <c r="AV209" i="1" s="1"/>
  <c r="AW209" i="1" s="1"/>
  <c r="AX209" i="1" s="1"/>
  <c r="AY209" i="1" s="1"/>
  <c r="AZ209" i="1" s="1"/>
  <c r="BA209" i="1" s="1"/>
  <c r="BB209" i="1" s="1"/>
  <c r="BC209" i="1" s="1"/>
  <c r="BD209" i="1" s="1"/>
  <c r="BE209" i="1" s="1"/>
  <c r="BF209" i="1" s="1"/>
  <c r="BG209" i="1" s="1"/>
  <c r="BH209" i="1" s="1"/>
  <c r="BI209" i="1" s="1"/>
  <c r="BJ209" i="1" s="1"/>
  <c r="AL196" i="1"/>
  <c r="AK318" i="1"/>
  <c r="AL317" i="1"/>
  <c r="AL316" i="1"/>
  <c r="AL306" i="1"/>
  <c r="AM304" i="1"/>
  <c r="AL203" i="1"/>
  <c r="BB254" i="1"/>
  <c r="BI243" i="1"/>
  <c r="BI244" i="1" s="1"/>
  <c r="BE244" i="1"/>
  <c r="BF243" i="1"/>
  <c r="BC244" i="1"/>
  <c r="BB244" i="1"/>
  <c r="Y241" i="1"/>
  <c r="Z242" i="1" s="1"/>
  <c r="AG50" i="21"/>
  <c r="AG51" i="21" s="1"/>
  <c r="Y289" i="1"/>
  <c r="Y33" i="1"/>
  <c r="Y43" i="1"/>
  <c r="AE104" i="21"/>
  <c r="AD20" i="12"/>
  <c r="T289" i="1"/>
  <c r="K20" i="12"/>
  <c r="AF45" i="1"/>
  <c r="AH107" i="21"/>
  <c r="AM196" i="1"/>
  <c r="AN196" i="1" s="1"/>
  <c r="AO196" i="1" s="1"/>
  <c r="AP196" i="1" s="1"/>
  <c r="L20" i="12"/>
  <c r="AQ67" i="27"/>
  <c r="AQ65" i="27" s="1"/>
  <c r="U33" i="1"/>
  <c r="AK194" i="1"/>
  <c r="AK193" i="1" s="1"/>
  <c r="T33" i="1"/>
  <c r="AO246" i="1"/>
  <c r="BR26" i="1"/>
  <c r="BR248" i="1"/>
  <c r="AG318" i="1"/>
  <c r="BQ181" i="1"/>
  <c r="AB250" i="1"/>
  <c r="AN107" i="21"/>
  <c r="AD32" i="1"/>
  <c r="Y20" i="12"/>
  <c r="H24" i="27"/>
  <c r="BQ384" i="1"/>
  <c r="Q32" i="1"/>
  <c r="F20" i="12"/>
  <c r="BR241" i="1"/>
  <c r="BQ250" i="1"/>
  <c r="K24" i="27"/>
  <c r="BR32" i="1"/>
  <c r="AQ48" i="27" s="1"/>
  <c r="AQ49" i="27" s="1"/>
  <c r="AF20" i="12"/>
  <c r="U250" i="1"/>
  <c r="AE45" i="1"/>
  <c r="AE52" i="1" s="1"/>
  <c r="U25" i="27" s="1"/>
  <c r="U4" i="1"/>
  <c r="AC50" i="21"/>
  <c r="AC51" i="21" s="1"/>
  <c r="U289" i="1"/>
  <c r="V250" i="1"/>
  <c r="T241" i="1"/>
  <c r="U242" i="1" s="1"/>
  <c r="T43" i="1"/>
  <c r="T4" i="1"/>
  <c r="BP180" i="1"/>
  <c r="AO80" i="27"/>
  <c r="AO78" i="27" s="1"/>
  <c r="AO79" i="27" s="1"/>
  <c r="AQ66" i="27"/>
  <c r="AH250" i="1"/>
  <c r="S24" i="27"/>
  <c r="AC45" i="1"/>
  <c r="AB246" i="1"/>
  <c r="AC246" i="1"/>
  <c r="X32" i="1"/>
  <c r="Q20" i="12"/>
  <c r="Q250" i="1"/>
  <c r="T250" i="1"/>
  <c r="X250" i="1"/>
  <c r="AL103" i="21"/>
  <c r="AG33" i="1"/>
  <c r="AG289" i="1"/>
  <c r="AG241" i="1"/>
  <c r="AO50" i="21"/>
  <c r="AO51" i="21" s="1"/>
  <c r="AG43" i="1"/>
  <c r="W24" i="27" s="1"/>
  <c r="AG4" i="1"/>
  <c r="S32" i="1"/>
  <c r="J20" i="12"/>
  <c r="P24" i="27"/>
  <c r="X246" i="1"/>
  <c r="AB32" i="1"/>
  <c r="W20" i="12"/>
  <c r="AM253" i="1"/>
  <c r="AN253" i="1" s="1"/>
  <c r="AO253" i="1" s="1"/>
  <c r="AA45" i="1"/>
  <c r="Q24" i="27"/>
  <c r="W250" i="1"/>
  <c r="AN91" i="27"/>
  <c r="AN92" i="27" s="1"/>
  <c r="W32" i="1"/>
  <c r="P20" i="12"/>
  <c r="P32" i="1"/>
  <c r="E20" i="12"/>
  <c r="Q246" i="1"/>
  <c r="P246" i="1"/>
  <c r="BQ177" i="1"/>
  <c r="BQ246" i="1"/>
  <c r="BR244" i="1"/>
  <c r="BQ175" i="1"/>
  <c r="Z371" i="1"/>
  <c r="Z378" i="1" s="1"/>
  <c r="Z396" i="1" s="1"/>
  <c r="Z75" i="1"/>
  <c r="Z52" i="1"/>
  <c r="R52" i="1"/>
  <c r="BL43" i="1"/>
  <c r="BL45" i="1" s="1"/>
  <c r="BL371" i="1" s="1"/>
  <c r="BL378" i="1" s="1"/>
  <c r="BL396" i="1" s="1"/>
  <c r="BL397" i="1" s="1"/>
  <c r="BL33" i="1"/>
  <c r="AO90" i="27"/>
  <c r="AQ153" i="1"/>
  <c r="AQ164" i="1" s="1"/>
  <c r="AR155" i="1"/>
  <c r="AR154" i="1" s="1"/>
  <c r="AQ156" i="1"/>
  <c r="BO26" i="1"/>
  <c r="BO30" i="1"/>
  <c r="N14" i="12"/>
  <c r="BO248" i="1"/>
  <c r="BD5" i="21"/>
  <c r="BC5" i="21"/>
  <c r="AP164" i="1"/>
  <c r="BT164" i="1" s="1"/>
  <c r="AQ174" i="1"/>
  <c r="AP165" i="1"/>
  <c r="AG176" i="1"/>
  <c r="AG384" i="1"/>
  <c r="AG180" i="1"/>
  <c r="AG175" i="1" s="1"/>
  <c r="AG177" i="1" s="1"/>
  <c r="AO67" i="21"/>
  <c r="AO68" i="21" s="1"/>
  <c r="BP244" i="1"/>
  <c r="BO244" i="1"/>
  <c r="BO246" i="1"/>
  <c r="BP246" i="1"/>
  <c r="AI382" i="1"/>
  <c r="AJ382" i="1" s="1"/>
  <c r="AK382" i="1" s="1"/>
  <c r="BR382" i="1"/>
  <c r="AQ53" i="27" s="1"/>
  <c r="AH381" i="1"/>
  <c r="X30" i="27" s="1"/>
  <c r="X31" i="27" s="1"/>
  <c r="AP90" i="27"/>
  <c r="AM90" i="27"/>
  <c r="AL90" i="27"/>
  <c r="AS88" i="27"/>
  <c r="BN26" i="1"/>
  <c r="H14" i="12"/>
  <c r="BN30" i="1"/>
  <c r="BN248" i="1"/>
  <c r="BN250" i="1" s="1"/>
  <c r="BA5" i="21"/>
  <c r="BB5" i="21"/>
  <c r="BP241" i="1"/>
  <c r="BP32" i="1"/>
  <c r="T20" i="12"/>
  <c r="AQ94" i="27"/>
  <c r="O371" i="1"/>
  <c r="O378" i="1" s="1"/>
  <c r="O52" i="1"/>
  <c r="T326" i="1"/>
  <c r="U324" i="1"/>
  <c r="U384" i="1"/>
  <c r="AN334" i="1"/>
  <c r="AC67" i="21"/>
  <c r="AC68" i="21" s="1"/>
  <c r="U176" i="1"/>
  <c r="K30" i="27"/>
  <c r="K31" i="27" s="1"/>
  <c r="U180" i="1"/>
  <c r="U175" i="1" s="1"/>
  <c r="V381" i="1"/>
  <c r="AO332" i="1"/>
  <c r="AO334" i="1" s="1"/>
  <c r="AP361" i="1"/>
  <c r="BT36" i="1"/>
  <c r="AE371" i="1"/>
  <c r="AE378" i="1" s="1"/>
  <c r="AE396" i="1" s="1"/>
  <c r="AE75" i="1"/>
  <c r="AK107" i="21"/>
  <c r="AK104" i="21"/>
  <c r="AV188" i="1"/>
  <c r="AU186" i="1"/>
  <c r="AU187" i="1"/>
  <c r="AU189" i="1"/>
  <c r="AI107" i="21"/>
  <c r="AI104" i="21"/>
  <c r="AD300" i="1"/>
  <c r="AD302" i="1" s="1"/>
  <c r="AC302" i="1"/>
  <c r="AQ246" i="1"/>
  <c r="AR245" i="1"/>
  <c r="AF75" i="1"/>
  <c r="AF371" i="1"/>
  <c r="AF52" i="1"/>
  <c r="V25" i="27" s="1"/>
  <c r="AP244" i="1"/>
  <c r="AQ244" i="1"/>
  <c r="AV244" i="1"/>
  <c r="V393" i="1"/>
  <c r="BO387" i="1"/>
  <c r="BO393" i="1" s="1"/>
  <c r="AG104" i="21"/>
  <c r="AG107" i="21"/>
  <c r="AH45" i="1"/>
  <c r="AJ318" i="1"/>
  <c r="V75" i="1"/>
  <c r="V371" i="1"/>
  <c r="V52" i="1"/>
  <c r="U52" i="1"/>
  <c r="U75" i="1"/>
  <c r="U371" i="1"/>
  <c r="AQ159" i="1"/>
  <c r="AQ162" i="1"/>
  <c r="AR158" i="1"/>
  <c r="AQ250" i="1"/>
  <c r="AN328" i="1"/>
  <c r="AN330" i="1" s="1"/>
  <c r="AM356" i="1"/>
  <c r="BR250" i="1"/>
  <c r="BQ241" i="1"/>
  <c r="Z20" i="12"/>
  <c r="BQ32" i="1"/>
  <c r="AM233" i="1"/>
  <c r="BS14" i="1"/>
  <c r="BS174" i="1"/>
  <c r="AM127" i="1"/>
  <c r="BS127" i="1" s="1"/>
  <c r="AM160" i="1"/>
  <c r="BU357" i="1"/>
  <c r="AU357" i="1"/>
  <c r="AV357" i="1" s="1"/>
  <c r="AW357" i="1" s="1"/>
  <c r="AX357" i="1" s="1"/>
  <c r="AR36" i="1"/>
  <c r="AS36" i="1" s="1"/>
  <c r="AT36" i="1" s="1"/>
  <c r="AU36" i="1" s="1"/>
  <c r="AR37" i="1"/>
  <c r="AS37" i="1" s="1"/>
  <c r="AT37" i="1" s="1"/>
  <c r="AU37" i="1" s="1"/>
  <c r="AM219" i="1"/>
  <c r="AU349" i="1"/>
  <c r="AV349" i="1" s="1"/>
  <c r="AW349" i="1" s="1"/>
  <c r="AX349" i="1" s="1"/>
  <c r="BU349" i="1"/>
  <c r="AO53" i="1"/>
  <c r="BT37" i="1"/>
  <c r="AT281" i="21"/>
  <c r="BS153" i="1"/>
  <c r="AM62" i="1"/>
  <c r="AN11" i="1"/>
  <c r="AU363" i="1"/>
  <c r="AV363" i="1" s="1"/>
  <c r="AW363" i="1" s="1"/>
  <c r="AX363" i="1" s="1"/>
  <c r="BU363" i="1"/>
  <c r="BT20" i="1"/>
  <c r="AM205" i="1"/>
  <c r="AM200" i="1"/>
  <c r="AN220" i="1"/>
  <c r="AU348" i="1"/>
  <c r="AV348" i="1" s="1"/>
  <c r="AW348" i="1" s="1"/>
  <c r="AX348" i="1" s="1"/>
  <c r="BU348" i="1"/>
  <c r="AQ201" i="1"/>
  <c r="AQ206" i="1"/>
  <c r="AR221" i="1"/>
  <c r="BU350" i="1"/>
  <c r="AU350" i="1"/>
  <c r="AV350" i="1" s="1"/>
  <c r="AW350" i="1" s="1"/>
  <c r="AX350" i="1" s="1"/>
  <c r="AR20" i="1"/>
  <c r="AS20" i="1" s="1"/>
  <c r="AT20" i="1" s="1"/>
  <c r="AU20" i="1" s="1"/>
  <c r="AQ4" i="21"/>
  <c r="BT13" i="1"/>
  <c r="AH10" i="12"/>
  <c r="AQ191" i="21"/>
  <c r="AQ210" i="21"/>
  <c r="AR13" i="1"/>
  <c r="AS13" i="1" s="1"/>
  <c r="AT13" i="1" s="1"/>
  <c r="AL318" i="1" l="1"/>
  <c r="BC254" i="1"/>
  <c r="AN304" i="1"/>
  <c r="AM306" i="1"/>
  <c r="AL194" i="1"/>
  <c r="AL193" i="1" s="1"/>
  <c r="AK381" i="1"/>
  <c r="AL382" i="1"/>
  <c r="AL381" i="1" s="1"/>
  <c r="BV349" i="1"/>
  <c r="AY349" i="1"/>
  <c r="AZ349" i="1" s="1"/>
  <c r="BA349" i="1" s="1"/>
  <c r="BB349" i="1" s="1"/>
  <c r="BV348" i="1"/>
  <c r="AY348" i="1"/>
  <c r="AZ348" i="1" s="1"/>
  <c r="BA348" i="1" s="1"/>
  <c r="BB348" i="1" s="1"/>
  <c r="BV350" i="1"/>
  <c r="AY350" i="1"/>
  <c r="AZ350" i="1" s="1"/>
  <c r="BA350" i="1" s="1"/>
  <c r="BB350" i="1" s="1"/>
  <c r="BJ243" i="1"/>
  <c r="BJ244" i="1" s="1"/>
  <c r="BF244" i="1"/>
  <c r="BG244" i="1"/>
  <c r="BV357" i="1"/>
  <c r="AY357" i="1"/>
  <c r="AZ357" i="1" s="1"/>
  <c r="BA357" i="1" s="1"/>
  <c r="BB357" i="1" s="1"/>
  <c r="BV363" i="1"/>
  <c r="AY363" i="1"/>
  <c r="AZ363" i="1" s="1"/>
  <c r="BA363" i="1" s="1"/>
  <c r="BB363" i="1" s="1"/>
  <c r="Y45" i="1"/>
  <c r="O24" i="27"/>
  <c r="AF22" i="12"/>
  <c r="BR43" i="1"/>
  <c r="AA30" i="27"/>
  <c r="AA31" i="27" s="1"/>
  <c r="AK384" i="1"/>
  <c r="AK396" i="1" s="1"/>
  <c r="AD4" i="1"/>
  <c r="AD33" i="1"/>
  <c r="AD241" i="1"/>
  <c r="AL50" i="21"/>
  <c r="AL51" i="21" s="1"/>
  <c r="Y22" i="12"/>
  <c r="AD43" i="1"/>
  <c r="AD289" i="1"/>
  <c r="AQ196" i="1"/>
  <c r="Y50" i="21"/>
  <c r="Y51" i="21" s="1"/>
  <c r="Q4" i="1"/>
  <c r="Q43" i="1"/>
  <c r="Q33" i="1"/>
  <c r="Q289" i="1"/>
  <c r="Q241" i="1"/>
  <c r="R242" i="1" s="1"/>
  <c r="F22" i="12"/>
  <c r="AB34" i="27"/>
  <c r="AD34" i="27" s="1"/>
  <c r="AB36" i="27"/>
  <c r="BR33" i="1"/>
  <c r="T45" i="1"/>
  <c r="J24" i="27"/>
  <c r="AS85" i="21"/>
  <c r="AC371" i="1"/>
  <c r="AC378" i="1" s="1"/>
  <c r="AC396" i="1" s="1"/>
  <c r="AC75" i="1"/>
  <c r="AC52" i="1"/>
  <c r="AO250" i="1"/>
  <c r="AB4" i="1"/>
  <c r="AB43" i="1"/>
  <c r="AB289" i="1"/>
  <c r="AB241" i="1"/>
  <c r="AJ50" i="21"/>
  <c r="AJ51" i="21" s="1"/>
  <c r="AB33" i="1"/>
  <c r="W22" i="12"/>
  <c r="AG45" i="1"/>
  <c r="BR45" i="1" s="1"/>
  <c r="BR52" i="1" s="1"/>
  <c r="BR55" i="1" s="1"/>
  <c r="Q22" i="12"/>
  <c r="X289" i="1"/>
  <c r="X4" i="1"/>
  <c r="X43" i="1"/>
  <c r="AF50" i="21"/>
  <c r="AF51" i="21" s="1"/>
  <c r="X241" i="1"/>
  <c r="Y242" i="1" s="1"/>
  <c r="X33" i="1"/>
  <c r="J22" i="12"/>
  <c r="S4" i="1"/>
  <c r="AA50" i="21"/>
  <c r="AA51" i="21" s="1"/>
  <c r="S289" i="1"/>
  <c r="S241" i="1"/>
  <c r="S33" i="1"/>
  <c r="S43" i="1"/>
  <c r="AH242" i="1"/>
  <c r="AG242" i="1"/>
  <c r="AL104" i="21"/>
  <c r="AL107" i="21"/>
  <c r="AM195" i="1"/>
  <c r="AA371" i="1"/>
  <c r="AA378" i="1" s="1"/>
  <c r="AA396" i="1" s="1"/>
  <c r="AA75" i="1"/>
  <c r="AA52" i="1"/>
  <c r="W4" i="1"/>
  <c r="W33" i="1"/>
  <c r="P22" i="12"/>
  <c r="W241" i="1"/>
  <c r="AE50" i="21"/>
  <c r="AE51" i="21" s="1"/>
  <c r="W43" i="1"/>
  <c r="W289" i="1"/>
  <c r="AP253" i="1"/>
  <c r="P4" i="1"/>
  <c r="P43" i="1"/>
  <c r="P33" i="1"/>
  <c r="P241" i="1"/>
  <c r="E22" i="12"/>
  <c r="X50" i="21"/>
  <c r="X51" i="21" s="1"/>
  <c r="P289" i="1"/>
  <c r="AQ165" i="1"/>
  <c r="AQ168" i="1" s="1"/>
  <c r="Z55" i="1"/>
  <c r="P25" i="27"/>
  <c r="H25" i="27"/>
  <c r="R55" i="1"/>
  <c r="AR174" i="1"/>
  <c r="BR381" i="1"/>
  <c r="AH180" i="1"/>
  <c r="AH175" i="1" s="1"/>
  <c r="AP67" i="21"/>
  <c r="AP68" i="21" s="1"/>
  <c r="AH176" i="1"/>
  <c r="BR176" i="1" s="1"/>
  <c r="AH384" i="1"/>
  <c r="BP250" i="1"/>
  <c r="BO250" i="1"/>
  <c r="AN250" i="1"/>
  <c r="T22" i="12"/>
  <c r="AO76" i="27"/>
  <c r="AO77" i="27" s="1"/>
  <c r="BP33" i="1"/>
  <c r="BP43" i="1"/>
  <c r="H20" i="12"/>
  <c r="BN32" i="1"/>
  <c r="BN241" i="1"/>
  <c r="BN242" i="1" s="1"/>
  <c r="AR156" i="1"/>
  <c r="AR153" i="1"/>
  <c r="AR165" i="1" s="1"/>
  <c r="AR168" i="1" s="1"/>
  <c r="AS155" i="1"/>
  <c r="AS154" i="1" s="1"/>
  <c r="AI381" i="1"/>
  <c r="Y30" i="27" s="1"/>
  <c r="Y31" i="27" s="1"/>
  <c r="AP168" i="1"/>
  <c r="AQ166" i="1"/>
  <c r="BO241" i="1"/>
  <c r="N20" i="12"/>
  <c r="BO32" i="1"/>
  <c r="V176" i="1"/>
  <c r="AD67" i="21"/>
  <c r="AD68" i="21" s="1"/>
  <c r="L30" i="27"/>
  <c r="L31" i="27" s="1"/>
  <c r="V180" i="1"/>
  <c r="V175" i="1" s="1"/>
  <c r="V384" i="1"/>
  <c r="O55" i="1"/>
  <c r="E25" i="27"/>
  <c r="AQ361" i="1"/>
  <c r="AP332" i="1"/>
  <c r="AP334" i="1" s="1"/>
  <c r="BT361" i="1"/>
  <c r="V324" i="1"/>
  <c r="W324" i="1" s="1"/>
  <c r="BU37" i="1"/>
  <c r="AE55" i="1"/>
  <c r="U26" i="27" s="1"/>
  <c r="U326" i="1"/>
  <c r="BO381" i="1"/>
  <c r="AR85" i="21"/>
  <c r="AU13" i="1"/>
  <c r="AV189" i="1"/>
  <c r="AV186" i="1"/>
  <c r="AW188" i="1"/>
  <c r="AV187" i="1"/>
  <c r="AH75" i="1"/>
  <c r="AH371" i="1"/>
  <c r="AH378" i="1" s="1"/>
  <c r="AH52" i="1"/>
  <c r="X25" i="27" s="1"/>
  <c r="AX244" i="1"/>
  <c r="AT244" i="1"/>
  <c r="AU244" i="1"/>
  <c r="U55" i="1"/>
  <c r="K25" i="27"/>
  <c r="AF55" i="1"/>
  <c r="V26" i="27" s="1"/>
  <c r="AS245" i="1"/>
  <c r="AR246" i="1"/>
  <c r="AE301" i="1"/>
  <c r="AE300" i="1" s="1"/>
  <c r="AU250" i="1"/>
  <c r="AR159" i="1"/>
  <c r="AR162" i="1"/>
  <c r="V55" i="1"/>
  <c r="L25" i="27"/>
  <c r="AF378" i="1"/>
  <c r="AF396" i="1" s="1"/>
  <c r="AS158" i="1"/>
  <c r="AO328" i="1"/>
  <c r="AO330" i="1" s="1"/>
  <c r="AN356" i="1"/>
  <c r="BQ242" i="1"/>
  <c r="BR242" i="1"/>
  <c r="AQ63" i="27"/>
  <c r="AQ64" i="27" s="1"/>
  <c r="BQ43" i="1"/>
  <c r="Z22" i="12"/>
  <c r="BQ33" i="1"/>
  <c r="BS15" i="1"/>
  <c r="BS23" i="1"/>
  <c r="AN233" i="1"/>
  <c r="AN15" i="1" s="1"/>
  <c r="AM15" i="1"/>
  <c r="AM23" i="1" s="1"/>
  <c r="AN127" i="1"/>
  <c r="AO127" i="1" s="1"/>
  <c r="AM14" i="1"/>
  <c r="AM191" i="1" s="1"/>
  <c r="BS160" i="1"/>
  <c r="AN160" i="1"/>
  <c r="AO160" i="1" s="1"/>
  <c r="AP160" i="1" s="1"/>
  <c r="AQ160" i="1" s="1"/>
  <c r="AN200" i="1"/>
  <c r="AO220" i="1"/>
  <c r="AN205" i="1"/>
  <c r="AO11" i="1"/>
  <c r="AN219" i="1"/>
  <c r="AM199" i="1"/>
  <c r="AM204" i="1"/>
  <c r="AM203" i="1" s="1"/>
  <c r="AV36" i="1"/>
  <c r="AP53" i="1"/>
  <c r="BT53" i="1" s="1"/>
  <c r="BU36" i="1"/>
  <c r="BU20" i="1"/>
  <c r="AR206" i="1"/>
  <c r="AS221" i="1"/>
  <c r="AR201" i="1"/>
  <c r="AV20" i="1"/>
  <c r="AN62" i="1"/>
  <c r="AP166" i="1"/>
  <c r="AP167" i="1" s="1"/>
  <c r="AO166" i="1"/>
  <c r="AO167" i="1" s="1"/>
  <c r="AN166" i="1"/>
  <c r="AN167" i="1" s="1"/>
  <c r="AM166" i="1"/>
  <c r="AM167" i="1" s="1"/>
  <c r="BT174" i="1"/>
  <c r="AV37" i="1"/>
  <c r="AQ211" i="21"/>
  <c r="AQ212" i="21"/>
  <c r="AQ192" i="21"/>
  <c r="AQ193" i="21"/>
  <c r="AQ5" i="21"/>
  <c r="AQ6" i="21"/>
  <c r="AM126" i="1"/>
  <c r="BU13" i="1"/>
  <c r="BE254" i="1" l="1"/>
  <c r="BF254" i="1" s="1"/>
  <c r="BD254" i="1"/>
  <c r="AN306" i="1"/>
  <c r="AO304" i="1"/>
  <c r="AP304" i="1" s="1"/>
  <c r="AL176" i="1"/>
  <c r="AL384" i="1"/>
  <c r="AL396" i="1" s="1"/>
  <c r="AL180" i="1"/>
  <c r="AL175" i="1" s="1"/>
  <c r="AL177" i="1" s="1"/>
  <c r="BC348" i="1"/>
  <c r="BD348" i="1" s="1"/>
  <c r="BE348" i="1" s="1"/>
  <c r="BF348" i="1" s="1"/>
  <c r="BW348" i="1"/>
  <c r="AW37" i="1"/>
  <c r="AY250" i="1"/>
  <c r="BC357" i="1"/>
  <c r="BD357" i="1" s="1"/>
  <c r="BE357" i="1" s="1"/>
  <c r="BF357" i="1" s="1"/>
  <c r="BW357" i="1"/>
  <c r="AW20" i="1"/>
  <c r="BC350" i="1"/>
  <c r="BD350" i="1" s="1"/>
  <c r="BE350" i="1" s="1"/>
  <c r="BF350" i="1" s="1"/>
  <c r="BW350" i="1"/>
  <c r="BC349" i="1"/>
  <c r="BD349" i="1" s="1"/>
  <c r="BE349" i="1" s="1"/>
  <c r="BF349" i="1" s="1"/>
  <c r="BW349" i="1"/>
  <c r="AW36" i="1"/>
  <c r="BC363" i="1"/>
  <c r="BD363" i="1" s="1"/>
  <c r="BE363" i="1" s="1"/>
  <c r="BF363" i="1" s="1"/>
  <c r="BW363" i="1"/>
  <c r="Y75" i="1"/>
  <c r="Y371" i="1"/>
  <c r="Y378" i="1" s="1"/>
  <c r="Y396" i="1" s="1"/>
  <c r="Y52" i="1"/>
  <c r="AN195" i="1"/>
  <c r="T24" i="27"/>
  <c r="AD45" i="1"/>
  <c r="AR196" i="1"/>
  <c r="G24" i="27"/>
  <c r="Q45" i="1"/>
  <c r="AD242" i="1"/>
  <c r="AE242" i="1"/>
  <c r="AT85" i="21"/>
  <c r="AB35" i="27"/>
  <c r="AD35" i="27" s="1"/>
  <c r="T371" i="1"/>
  <c r="T52" i="1"/>
  <c r="AH396" i="1"/>
  <c r="AJ381" i="1"/>
  <c r="Z30" i="27" s="1"/>
  <c r="Z31" i="27" s="1"/>
  <c r="AS250" i="1"/>
  <c r="AP250" i="1"/>
  <c r="AC55" i="1"/>
  <c r="S25" i="27"/>
  <c r="I24" i="27"/>
  <c r="S45" i="1"/>
  <c r="AC242" i="1"/>
  <c r="AB242" i="1"/>
  <c r="R24" i="27"/>
  <c r="AB45" i="1"/>
  <c r="S242" i="1"/>
  <c r="T242" i="1"/>
  <c r="N24" i="27"/>
  <c r="X45" i="1"/>
  <c r="AG52" i="1"/>
  <c r="W25" i="27" s="1"/>
  <c r="AG371" i="1"/>
  <c r="AG75" i="1"/>
  <c r="AA55" i="1"/>
  <c r="Q25" i="27"/>
  <c r="M24" i="27"/>
  <c r="W45" i="1"/>
  <c r="AQ253" i="1"/>
  <c r="W242" i="1"/>
  <c r="X242" i="1"/>
  <c r="P242" i="1"/>
  <c r="Q242" i="1"/>
  <c r="F24" i="27"/>
  <c r="P45" i="1"/>
  <c r="AR166" i="1"/>
  <c r="AR167" i="1" s="1"/>
  <c r="AQ167" i="1"/>
  <c r="H26" i="27"/>
  <c r="R61" i="1"/>
  <c r="R5" i="1"/>
  <c r="G24" i="12"/>
  <c r="S24" i="12"/>
  <c r="Z66" i="1"/>
  <c r="Z5" i="1"/>
  <c r="Z61" i="1"/>
  <c r="P26" i="27"/>
  <c r="AR160" i="1"/>
  <c r="AR164" i="1"/>
  <c r="AQ67" i="21"/>
  <c r="AQ68" i="21" s="1"/>
  <c r="AI384" i="1"/>
  <c r="AI396" i="1" s="1"/>
  <c r="AI176" i="1"/>
  <c r="AI180" i="1"/>
  <c r="AI175" i="1" s="1"/>
  <c r="AS174" i="1"/>
  <c r="N22" i="12"/>
  <c r="BO33" i="1"/>
  <c r="BO43" i="1"/>
  <c r="AO91" i="27"/>
  <c r="AO92" i="27" s="1"/>
  <c r="AH177" i="1"/>
  <c r="BR177" i="1" s="1"/>
  <c r="BR175" i="1"/>
  <c r="AT155" i="1"/>
  <c r="AT154" i="1" s="1"/>
  <c r="AS156" i="1"/>
  <c r="AS153" i="1"/>
  <c r="AS165" i="1" s="1"/>
  <c r="AS168" i="1" s="1"/>
  <c r="AQ52" i="27"/>
  <c r="AQ50" i="27" s="1"/>
  <c r="AQ51" i="27" s="1"/>
  <c r="BR180" i="1"/>
  <c r="BR181" i="1"/>
  <c r="BR384" i="1"/>
  <c r="V326" i="1"/>
  <c r="BP242" i="1"/>
  <c r="BO242" i="1"/>
  <c r="AB30" i="27"/>
  <c r="AD30" i="27" s="1"/>
  <c r="BN43" i="1"/>
  <c r="H22" i="12"/>
  <c r="BN33" i="1"/>
  <c r="AQ91" i="27"/>
  <c r="AQ92" i="27" s="1"/>
  <c r="AR250" i="1"/>
  <c r="BO181" i="1"/>
  <c r="BO180" i="1"/>
  <c r="AO95" i="27"/>
  <c r="AO93" i="27" s="1"/>
  <c r="AO94" i="27" s="1"/>
  <c r="BO384" i="1"/>
  <c r="W326" i="1"/>
  <c r="X324" i="1"/>
  <c r="X326" i="1" s="1"/>
  <c r="AR361" i="1"/>
  <c r="AQ332" i="1"/>
  <c r="AQ334" i="1" s="1"/>
  <c r="AB24" i="12"/>
  <c r="AE61" i="1"/>
  <c r="U28" i="27" s="1"/>
  <c r="AE5" i="1"/>
  <c r="AE66" i="1"/>
  <c r="U27" i="27" s="1"/>
  <c r="O61" i="1"/>
  <c r="D24" i="12"/>
  <c r="E26" i="27"/>
  <c r="O5" i="1"/>
  <c r="AV13" i="1"/>
  <c r="AX188" i="1"/>
  <c r="AY188" i="1" s="1"/>
  <c r="AW186" i="1"/>
  <c r="AW189" i="1"/>
  <c r="AW187" i="1"/>
  <c r="BV188" i="1"/>
  <c r="AM22" i="1"/>
  <c r="AF301" i="1"/>
  <c r="AF300" i="1" s="1"/>
  <c r="AE302" i="1"/>
  <c r="AM316" i="1"/>
  <c r="AM318" i="1" s="1"/>
  <c r="U5" i="1"/>
  <c r="K26" i="27"/>
  <c r="L24" i="12"/>
  <c r="U66" i="1"/>
  <c r="U61" i="1"/>
  <c r="AH55" i="1"/>
  <c r="X26" i="27" s="1"/>
  <c r="AM194" i="1"/>
  <c r="AM193" i="1" s="1"/>
  <c r="V61" i="1"/>
  <c r="V5" i="1"/>
  <c r="L26" i="27"/>
  <c r="V66" i="1"/>
  <c r="M24" i="12"/>
  <c r="AF61" i="1"/>
  <c r="V28" i="27" s="1"/>
  <c r="AC24" i="12"/>
  <c r="AF5" i="1"/>
  <c r="AF66" i="1"/>
  <c r="V27" i="27" s="1"/>
  <c r="AS159" i="1"/>
  <c r="AS162" i="1"/>
  <c r="AU158" i="1"/>
  <c r="AT158" i="1"/>
  <c r="BR61" i="1"/>
  <c r="AF24" i="12"/>
  <c r="BR5" i="1"/>
  <c r="AS166" i="1"/>
  <c r="AS246" i="1"/>
  <c r="AT245" i="1"/>
  <c r="AO356" i="1"/>
  <c r="AP328" i="1"/>
  <c r="AN14" i="1"/>
  <c r="AN191" i="1" s="1"/>
  <c r="AO233" i="1"/>
  <c r="AN23" i="1"/>
  <c r="BS22" i="1"/>
  <c r="BT160" i="1"/>
  <c r="AO62" i="1"/>
  <c r="AP11" i="1"/>
  <c r="AP220" i="1"/>
  <c r="AO200" i="1"/>
  <c r="AO205" i="1"/>
  <c r="AO195" i="1" s="1"/>
  <c r="AT221" i="1"/>
  <c r="AS206" i="1"/>
  <c r="AS196" i="1" s="1"/>
  <c r="AS201" i="1"/>
  <c r="AQ53" i="1"/>
  <c r="AR53" i="1" s="1"/>
  <c r="AM198" i="1"/>
  <c r="AO219" i="1"/>
  <c r="AN204" i="1"/>
  <c r="AN203" i="1" s="1"/>
  <c r="AN199" i="1"/>
  <c r="AR4" i="21"/>
  <c r="AN126" i="1"/>
  <c r="BS126" i="1"/>
  <c r="AM134" i="1"/>
  <c r="BS134" i="1" s="1"/>
  <c r="AM128" i="1"/>
  <c r="BS128" i="1" s="1"/>
  <c r="AP127" i="1"/>
  <c r="AI10" i="12"/>
  <c r="AR210" i="21"/>
  <c r="AR191" i="21"/>
  <c r="AH12" i="12"/>
  <c r="AP306" i="1" l="1"/>
  <c r="AQ304" i="1"/>
  <c r="BG254" i="1"/>
  <c r="BI254" i="1" s="1"/>
  <c r="BJ254" i="1" s="1"/>
  <c r="BH254" i="1"/>
  <c r="AO306" i="1"/>
  <c r="AZ188" i="1"/>
  <c r="AY189" i="1"/>
  <c r="AY187" i="1"/>
  <c r="AY186" i="1"/>
  <c r="AZ250" i="1"/>
  <c r="BG357" i="1"/>
  <c r="BH357" i="1" s="1"/>
  <c r="BI357" i="1" s="1"/>
  <c r="BJ357" i="1" s="1"/>
  <c r="BY357" i="1" s="1"/>
  <c r="BX357" i="1"/>
  <c r="BC250" i="1"/>
  <c r="AX36" i="1"/>
  <c r="BG350" i="1"/>
  <c r="BH350" i="1" s="1"/>
  <c r="BI350" i="1" s="1"/>
  <c r="BJ350" i="1" s="1"/>
  <c r="BY350" i="1" s="1"/>
  <c r="BX350" i="1"/>
  <c r="AX37" i="1"/>
  <c r="BV37" i="1"/>
  <c r="BG363" i="1"/>
  <c r="BH363" i="1" s="1"/>
  <c r="BI363" i="1" s="1"/>
  <c r="BJ363" i="1" s="1"/>
  <c r="BY363" i="1" s="1"/>
  <c r="BX363" i="1"/>
  <c r="BG349" i="1"/>
  <c r="BH349" i="1" s="1"/>
  <c r="BI349" i="1" s="1"/>
  <c r="BJ349" i="1" s="1"/>
  <c r="BY349" i="1" s="1"/>
  <c r="BX349" i="1"/>
  <c r="AX20" i="1"/>
  <c r="BG348" i="1"/>
  <c r="BH348" i="1" s="1"/>
  <c r="BI348" i="1" s="1"/>
  <c r="BJ348" i="1" s="1"/>
  <c r="BY348" i="1" s="1"/>
  <c r="BX348" i="1"/>
  <c r="Y55" i="1"/>
  <c r="O25" i="27"/>
  <c r="AD371" i="1"/>
  <c r="AD378" i="1" s="1"/>
  <c r="AD396" i="1" s="1"/>
  <c r="AD52" i="1"/>
  <c r="AD75" i="1"/>
  <c r="Q52" i="1"/>
  <c r="Q371" i="1"/>
  <c r="Q378" i="1" s="1"/>
  <c r="T55" i="1"/>
  <c r="J25" i="27"/>
  <c r="AJ384" i="1"/>
  <c r="AJ396" i="1" s="1"/>
  <c r="S26" i="27"/>
  <c r="AC66" i="1"/>
  <c r="AC61" i="1"/>
  <c r="X24" i="12"/>
  <c r="AC5" i="1"/>
  <c r="AT250" i="1"/>
  <c r="AG378" i="1"/>
  <c r="AG396" i="1" s="1"/>
  <c r="BR371" i="1"/>
  <c r="BR378" i="1" s="1"/>
  <c r="BR396" i="1" s="1"/>
  <c r="AG55" i="1"/>
  <c r="W26" i="27" s="1"/>
  <c r="X75" i="1"/>
  <c r="X371" i="1"/>
  <c r="X378" i="1" s="1"/>
  <c r="X396" i="1" s="1"/>
  <c r="X52" i="1"/>
  <c r="AB52" i="1"/>
  <c r="AB371" i="1"/>
  <c r="AB75" i="1"/>
  <c r="BQ45" i="1"/>
  <c r="BQ52" i="1" s="1"/>
  <c r="BQ55" i="1" s="1"/>
  <c r="S52" i="1"/>
  <c r="S371" i="1"/>
  <c r="BO45" i="1"/>
  <c r="BO52" i="1" s="1"/>
  <c r="BO55" i="1" s="1"/>
  <c r="BR75" i="1"/>
  <c r="AA66" i="1"/>
  <c r="AA61" i="1"/>
  <c r="V24" i="12"/>
  <c r="AA5" i="1"/>
  <c r="Q26" i="27"/>
  <c r="W52" i="1"/>
  <c r="W75" i="1"/>
  <c r="W371" i="1"/>
  <c r="BP45" i="1"/>
  <c r="BP52" i="1" s="1"/>
  <c r="BP55" i="1" s="1"/>
  <c r="AR253" i="1"/>
  <c r="P371" i="1"/>
  <c r="P52" i="1"/>
  <c r="BN45" i="1"/>
  <c r="BN52" i="1" s="1"/>
  <c r="BN55" i="1" s="1"/>
  <c r="AS160" i="1"/>
  <c r="P27" i="27"/>
  <c r="Z74" i="1"/>
  <c r="G26" i="12"/>
  <c r="H28" i="27"/>
  <c r="R63" i="1"/>
  <c r="R6" i="1"/>
  <c r="P28" i="27"/>
  <c r="Z68" i="1"/>
  <c r="P29" i="27" s="1"/>
  <c r="S26" i="12"/>
  <c r="Z6" i="1"/>
  <c r="Z63" i="1"/>
  <c r="Z70" i="1" s="1"/>
  <c r="AS164" i="1"/>
  <c r="AN93" i="27"/>
  <c r="AT67" i="21"/>
  <c r="AM382" i="1"/>
  <c r="AN382" i="1" s="1"/>
  <c r="AT174" i="1"/>
  <c r="BS382" i="1"/>
  <c r="AV250" i="1"/>
  <c r="AI177" i="1"/>
  <c r="AU155" i="1"/>
  <c r="AU154" i="1" s="1"/>
  <c r="AT153" i="1"/>
  <c r="AT156" i="1"/>
  <c r="BU156" i="1" s="1"/>
  <c r="BU154" i="1"/>
  <c r="BU155" i="1"/>
  <c r="AR332" i="1"/>
  <c r="AR334" i="1" s="1"/>
  <c r="AS361" i="1"/>
  <c r="D26" i="12"/>
  <c r="O63" i="1"/>
  <c r="O6" i="1"/>
  <c r="E28" i="27"/>
  <c r="AE74" i="1"/>
  <c r="BU157" i="1"/>
  <c r="BU162" i="1" s="1"/>
  <c r="Y324" i="1"/>
  <c r="Z324" i="1" s="1"/>
  <c r="AE68" i="1"/>
  <c r="U29" i="27" s="1"/>
  <c r="AB26" i="12"/>
  <c r="AE6" i="1"/>
  <c r="AE63" i="1"/>
  <c r="AE70" i="1" s="1"/>
  <c r="AI12" i="12"/>
  <c r="AW13" i="1"/>
  <c r="AX189" i="1"/>
  <c r="BV189" i="1" s="1"/>
  <c r="AX187" i="1"/>
  <c r="BV187" i="1" s="1"/>
  <c r="AX186" i="1"/>
  <c r="AS167" i="1"/>
  <c r="AG301" i="1"/>
  <c r="AG300" i="1" s="1"/>
  <c r="AG302" i="1" s="1"/>
  <c r="AF302" i="1"/>
  <c r="AF68" i="1"/>
  <c r="V29" i="27" s="1"/>
  <c r="AF63" i="1"/>
  <c r="AF6" i="1"/>
  <c r="AC26" i="12"/>
  <c r="AN194" i="1"/>
  <c r="AN193" i="1" s="1"/>
  <c r="BR6" i="1"/>
  <c r="AF26" i="12"/>
  <c r="AF74" i="1"/>
  <c r="L28" i="27"/>
  <c r="V6" i="1"/>
  <c r="M26" i="12"/>
  <c r="V63" i="1"/>
  <c r="V70" i="1" s="1"/>
  <c r="V68" i="1"/>
  <c r="L29" i="27" s="1"/>
  <c r="L26" i="12"/>
  <c r="U63" i="1"/>
  <c r="U70" i="1" s="1"/>
  <c r="U6" i="1"/>
  <c r="K28" i="27"/>
  <c r="U68" i="1"/>
  <c r="K29" i="27" s="1"/>
  <c r="AU245" i="1"/>
  <c r="AT246" i="1"/>
  <c r="AT159" i="1"/>
  <c r="AT162" i="1"/>
  <c r="V74" i="1"/>
  <c r="L27" i="27"/>
  <c r="AH61" i="1"/>
  <c r="X28" i="27" s="1"/>
  <c r="AH66" i="1"/>
  <c r="X27" i="27" s="1"/>
  <c r="AE24" i="12"/>
  <c r="AH5" i="1"/>
  <c r="K27" i="27"/>
  <c r="U74" i="1"/>
  <c r="AT166" i="1"/>
  <c r="AN316" i="1"/>
  <c r="AN318" i="1" s="1"/>
  <c r="AP330" i="1"/>
  <c r="AQ328" i="1"/>
  <c r="AP356" i="1"/>
  <c r="BT356" i="1" s="1"/>
  <c r="AN22" i="1"/>
  <c r="AO14" i="1"/>
  <c r="AO191" i="1" s="1"/>
  <c r="AP233" i="1"/>
  <c r="AO15" i="1"/>
  <c r="AO23" i="1" s="1"/>
  <c r="AS53" i="1"/>
  <c r="AT53" i="1" s="1"/>
  <c r="BU53" i="1" s="1"/>
  <c r="AQ220" i="1"/>
  <c r="AP205" i="1"/>
  <c r="AP195" i="1" s="1"/>
  <c r="AP200" i="1"/>
  <c r="AN198" i="1"/>
  <c r="AT201" i="1"/>
  <c r="AU221" i="1"/>
  <c r="AT206" i="1"/>
  <c r="AT196" i="1" s="1"/>
  <c r="AQ11" i="1"/>
  <c r="BT11" i="1"/>
  <c r="AP219" i="1"/>
  <c r="AO204" i="1"/>
  <c r="AO203" i="1" s="1"/>
  <c r="AO199" i="1"/>
  <c r="AP62" i="1"/>
  <c r="AR211" i="21"/>
  <c r="AR212" i="21"/>
  <c r="AR5" i="21"/>
  <c r="AR6" i="21"/>
  <c r="AR192" i="21"/>
  <c r="AR193" i="21"/>
  <c r="AO126" i="1"/>
  <c r="AN128" i="1"/>
  <c r="AN134" i="1"/>
  <c r="AH14" i="12"/>
  <c r="AQ127" i="1"/>
  <c r="BT127" i="1"/>
  <c r="AQ306" i="1" l="1"/>
  <c r="AR304" i="1"/>
  <c r="AR306" i="1"/>
  <c r="BA188" i="1"/>
  <c r="AZ187" i="1"/>
  <c r="AZ186" i="1"/>
  <c r="AZ189" i="1"/>
  <c r="AX250" i="1"/>
  <c r="BH250" i="1"/>
  <c r="BD250" i="1"/>
  <c r="BG250" i="1"/>
  <c r="AS253" i="1"/>
  <c r="AY20" i="1"/>
  <c r="AZ20" i="1" s="1"/>
  <c r="BA20" i="1" s="1"/>
  <c r="BB20" i="1" s="1"/>
  <c r="BC20" i="1" s="1"/>
  <c r="BD20" i="1" s="1"/>
  <c r="BE20" i="1" s="1"/>
  <c r="BF20" i="1" s="1"/>
  <c r="BG20" i="1" s="1"/>
  <c r="BH20" i="1" s="1"/>
  <c r="BI20" i="1" s="1"/>
  <c r="BJ20" i="1" s="1"/>
  <c r="BV20" i="1"/>
  <c r="AY37" i="1"/>
  <c r="AZ37" i="1" s="1"/>
  <c r="BA37" i="1" s="1"/>
  <c r="BB37" i="1" s="1"/>
  <c r="BC37" i="1" s="1"/>
  <c r="BD37" i="1" s="1"/>
  <c r="BE37" i="1" s="1"/>
  <c r="BF37" i="1" s="1"/>
  <c r="BG37" i="1" s="1"/>
  <c r="BH37" i="1" s="1"/>
  <c r="BI37" i="1" s="1"/>
  <c r="BJ37" i="1" s="1"/>
  <c r="AY36" i="1"/>
  <c r="BV36" i="1"/>
  <c r="BV186" i="1"/>
  <c r="Y66" i="1"/>
  <c r="Y5" i="1"/>
  <c r="O26" i="27"/>
  <c r="Y61" i="1"/>
  <c r="R24" i="12"/>
  <c r="AW250" i="1"/>
  <c r="Q55" i="1"/>
  <c r="G25" i="27"/>
  <c r="T25" i="27"/>
  <c r="AD55" i="1"/>
  <c r="T5" i="1"/>
  <c r="K24" i="12"/>
  <c r="J26" i="27"/>
  <c r="T61" i="1"/>
  <c r="BP371" i="1"/>
  <c r="AC68" i="1"/>
  <c r="S29" i="27" s="1"/>
  <c r="AC6" i="1"/>
  <c r="S28" i="27"/>
  <c r="X26" i="12"/>
  <c r="AC63" i="1"/>
  <c r="AC70" i="1" s="1"/>
  <c r="AC74" i="1"/>
  <c r="S27" i="27"/>
  <c r="BO61" i="1"/>
  <c r="N24" i="12"/>
  <c r="BO5" i="1"/>
  <c r="BQ66" i="1"/>
  <c r="Z24" i="12"/>
  <c r="BQ61" i="1"/>
  <c r="BQ5" i="1"/>
  <c r="N25" i="27"/>
  <c r="X55" i="1"/>
  <c r="S377" i="1"/>
  <c r="S378" i="1" s="1"/>
  <c r="BO371" i="1"/>
  <c r="AB378" i="1"/>
  <c r="AB396" i="1" s="1"/>
  <c r="BQ371" i="1"/>
  <c r="BQ378" i="1" s="1"/>
  <c r="BQ396" i="1" s="1"/>
  <c r="BQ75" i="1"/>
  <c r="S55" i="1"/>
  <c r="I25" i="27"/>
  <c r="AB55" i="1"/>
  <c r="R25" i="27"/>
  <c r="AD24" i="12"/>
  <c r="AG61" i="1"/>
  <c r="W28" i="27" s="1"/>
  <c r="AG5" i="1"/>
  <c r="AG66" i="1"/>
  <c r="W27" i="27" s="1"/>
  <c r="AA6" i="1"/>
  <c r="V26" i="12"/>
  <c r="AA63" i="1"/>
  <c r="AA70" i="1" s="1"/>
  <c r="AA68" i="1"/>
  <c r="Q29" i="27" s="1"/>
  <c r="Q28" i="27"/>
  <c r="AA74" i="1"/>
  <c r="Q27" i="27"/>
  <c r="BP5" i="1"/>
  <c r="BP61" i="1"/>
  <c r="T24" i="12"/>
  <c r="BP75" i="1"/>
  <c r="AT253" i="1"/>
  <c r="M25" i="27"/>
  <c r="W55" i="1"/>
  <c r="BN5" i="1"/>
  <c r="BN61" i="1"/>
  <c r="H24" i="12"/>
  <c r="F25" i="27"/>
  <c r="P55" i="1"/>
  <c r="P378" i="1"/>
  <c r="BN371" i="1"/>
  <c r="BN378" i="1" s="1"/>
  <c r="AT160" i="1"/>
  <c r="BU160" i="1" s="1"/>
  <c r="AT164" i="1"/>
  <c r="BU164" i="1" s="1"/>
  <c r="AT165" i="1"/>
  <c r="AT168" i="1" s="1"/>
  <c r="BU174" i="1"/>
  <c r="Y326" i="1"/>
  <c r="BU153" i="1"/>
  <c r="AU174" i="1"/>
  <c r="AP37" i="27"/>
  <c r="AU53" i="1"/>
  <c r="AV155" i="1"/>
  <c r="AV154" i="1" s="1"/>
  <c r="AU153" i="1"/>
  <c r="AU165" i="1" s="1"/>
  <c r="AU156" i="1"/>
  <c r="AT361" i="1"/>
  <c r="AS332" i="1"/>
  <c r="Z326" i="1"/>
  <c r="AA324" i="1"/>
  <c r="AX13" i="1"/>
  <c r="AH68" i="1"/>
  <c r="X29" i="27" s="1"/>
  <c r="AH63" i="1"/>
  <c r="AH6" i="1"/>
  <c r="AE26" i="12"/>
  <c r="AU246" i="1"/>
  <c r="AV245" i="1"/>
  <c r="AH301" i="1"/>
  <c r="AH300" i="1" s="1"/>
  <c r="AH302" i="1" s="1"/>
  <c r="AO316" i="1"/>
  <c r="AO318" i="1" s="1"/>
  <c r="AU162" i="1"/>
  <c r="AW158" i="1"/>
  <c r="AU159" i="1"/>
  <c r="AV158" i="1"/>
  <c r="AF70" i="1"/>
  <c r="AH74" i="1"/>
  <c r="AS4" i="21"/>
  <c r="AQ330" i="1"/>
  <c r="AR328" i="1"/>
  <c r="AQ356" i="1"/>
  <c r="AO22" i="1"/>
  <c r="AP14" i="1"/>
  <c r="AQ233" i="1"/>
  <c r="AP15" i="1"/>
  <c r="AQ219" i="1"/>
  <c r="AP199" i="1"/>
  <c r="AP204" i="1"/>
  <c r="AP203" i="1" s="1"/>
  <c r="AR11" i="1"/>
  <c r="AO194" i="1"/>
  <c r="AO193" i="1" s="1"/>
  <c r="AQ62" i="1"/>
  <c r="AQ200" i="1"/>
  <c r="AR220" i="1"/>
  <c r="AQ205" i="1"/>
  <c r="AQ195" i="1" s="1"/>
  <c r="AU206" i="1"/>
  <c r="AU196" i="1" s="1"/>
  <c r="AV221" i="1"/>
  <c r="AU201" i="1"/>
  <c r="AO198" i="1"/>
  <c r="AO134" i="1"/>
  <c r="AP126" i="1"/>
  <c r="AO128" i="1"/>
  <c r="AH20" i="12"/>
  <c r="AI14" i="12"/>
  <c r="AR127" i="1"/>
  <c r="AH18" i="12"/>
  <c r="AS210" i="21"/>
  <c r="AS191" i="21"/>
  <c r="AJ10" i="12"/>
  <c r="AO382" i="1"/>
  <c r="AH16" i="12"/>
  <c r="BW20" i="1" l="1"/>
  <c r="AS304" i="1"/>
  <c r="AS306" i="1" s="1"/>
  <c r="BY20" i="1"/>
  <c r="BA189" i="1"/>
  <c r="BA186" i="1"/>
  <c r="BB188" i="1"/>
  <c r="BA187" i="1"/>
  <c r="BW188" i="1"/>
  <c r="AH70" i="1"/>
  <c r="BX63" i="1"/>
  <c r="BA250" i="1"/>
  <c r="BB250" i="1"/>
  <c r="AU253" i="1"/>
  <c r="AV253" i="1" s="1"/>
  <c r="BY37" i="1"/>
  <c r="BW37" i="1"/>
  <c r="AV53" i="1"/>
  <c r="AZ36" i="1"/>
  <c r="BW36" i="1"/>
  <c r="BX37" i="1"/>
  <c r="BX20" i="1"/>
  <c r="AU168" i="1"/>
  <c r="BV13" i="1"/>
  <c r="AY13" i="1"/>
  <c r="O28" i="27"/>
  <c r="Y6" i="1"/>
  <c r="Y63" i="1"/>
  <c r="Y70" i="1" s="1"/>
  <c r="R26" i="12"/>
  <c r="Y68" i="1"/>
  <c r="O29" i="27" s="1"/>
  <c r="Y74" i="1"/>
  <c r="O27" i="27"/>
  <c r="F24" i="12"/>
  <c r="Q61" i="1"/>
  <c r="Q5" i="1"/>
  <c r="G26" i="27"/>
  <c r="Y24" i="12"/>
  <c r="T26" i="27"/>
  <c r="AD66" i="1"/>
  <c r="AD61" i="1"/>
  <c r="AD5" i="1"/>
  <c r="T6" i="1"/>
  <c r="K26" i="12"/>
  <c r="T63" i="1"/>
  <c r="J28" i="27"/>
  <c r="AN99" i="27"/>
  <c r="AG74" i="1"/>
  <c r="S5" i="1"/>
  <c r="S61" i="1"/>
  <c r="I26" i="27"/>
  <c r="J24" i="12"/>
  <c r="BQ74" i="1"/>
  <c r="AQ69" i="27"/>
  <c r="BR66" i="1"/>
  <c r="BR74" i="1" s="1"/>
  <c r="AB5" i="1"/>
  <c r="R26" i="27"/>
  <c r="AB66" i="1"/>
  <c r="W24" i="12"/>
  <c r="AB61" i="1"/>
  <c r="T377" i="1"/>
  <c r="T378" i="1" s="1"/>
  <c r="S396" i="1"/>
  <c r="BQ68" i="1"/>
  <c r="Z26" i="12"/>
  <c r="BQ6" i="1"/>
  <c r="AG63" i="1"/>
  <c r="AG6" i="1"/>
  <c r="AG68" i="1"/>
  <c r="W29" i="27" s="1"/>
  <c r="AD26" i="12"/>
  <c r="X5" i="1"/>
  <c r="X66" i="1"/>
  <c r="N26" i="27"/>
  <c r="Q24" i="12"/>
  <c r="X61" i="1"/>
  <c r="N26" i="12"/>
  <c r="BO6" i="1"/>
  <c r="T26" i="12"/>
  <c r="BP6" i="1"/>
  <c r="P24" i="12"/>
  <c r="M26" i="27"/>
  <c r="W61" i="1"/>
  <c r="W66" i="1"/>
  <c r="W5" i="1"/>
  <c r="BT14" i="1"/>
  <c r="AQ14" i="1"/>
  <c r="AQ191" i="1" s="1"/>
  <c r="BN6" i="1"/>
  <c r="H26" i="12"/>
  <c r="F26" i="27"/>
  <c r="E24" i="12"/>
  <c r="P61" i="1"/>
  <c r="P5" i="1"/>
  <c r="AT167" i="1"/>
  <c r="AU166" i="1"/>
  <c r="AU167" i="1" s="1"/>
  <c r="AU164" i="1"/>
  <c r="AU160" i="1"/>
  <c r="AV174" i="1"/>
  <c r="AV153" i="1"/>
  <c r="AV156" i="1"/>
  <c r="AW155" i="1"/>
  <c r="AW154" i="1" s="1"/>
  <c r="AP194" i="1"/>
  <c r="AP193" i="1" s="1"/>
  <c r="AB325" i="1"/>
  <c r="AB324" i="1" s="1"/>
  <c r="AB326" i="1" s="1"/>
  <c r="AA339" i="1"/>
  <c r="AS334" i="1"/>
  <c r="AA326" i="1"/>
  <c r="AT332" i="1"/>
  <c r="BU361" i="1"/>
  <c r="AU361" i="1"/>
  <c r="AI301" i="1"/>
  <c r="AV246" i="1"/>
  <c r="AW245" i="1"/>
  <c r="AV159" i="1"/>
  <c r="AX158" i="1"/>
  <c r="AV162" i="1"/>
  <c r="AV166" i="1"/>
  <c r="AP316" i="1"/>
  <c r="AP318" i="1" s="1"/>
  <c r="AS6" i="21"/>
  <c r="AS5" i="21"/>
  <c r="AR330" i="1"/>
  <c r="AR356" i="1"/>
  <c r="AS328" i="1"/>
  <c r="AS330" i="1" s="1"/>
  <c r="AP191" i="1"/>
  <c r="AP22" i="1"/>
  <c r="BT22" i="1" s="1"/>
  <c r="BT15" i="1"/>
  <c r="AP23" i="1"/>
  <c r="BT23" i="1" s="1"/>
  <c r="AR233" i="1"/>
  <c r="AQ15" i="1"/>
  <c r="AQ23" i="1" s="1"/>
  <c r="AS11" i="1"/>
  <c r="AR219" i="1"/>
  <c r="AQ199" i="1"/>
  <c r="AQ204" i="1"/>
  <c r="AQ203" i="1" s="1"/>
  <c r="AW53" i="1"/>
  <c r="AR205" i="1"/>
  <c r="AR195" i="1" s="1"/>
  <c r="AR200" i="1"/>
  <c r="AS220" i="1"/>
  <c r="AR62" i="1"/>
  <c r="AW221" i="1"/>
  <c r="AV201" i="1"/>
  <c r="AV206" i="1"/>
  <c r="AV196" i="1" s="1"/>
  <c r="AP198" i="1"/>
  <c r="AS192" i="21"/>
  <c r="AS193" i="21"/>
  <c r="AS211" i="21"/>
  <c r="AS212" i="21"/>
  <c r="BT126" i="1"/>
  <c r="AP134" i="1"/>
  <c r="BT134" i="1" s="1"/>
  <c r="AP128" i="1"/>
  <c r="BT128" i="1" s="1"/>
  <c r="AQ126" i="1"/>
  <c r="AJ12" i="12"/>
  <c r="AS127" i="1"/>
  <c r="AI16" i="12"/>
  <c r="AI18" i="12"/>
  <c r="AB11" i="27"/>
  <c r="BS12" i="1"/>
  <c r="AQ50" i="21"/>
  <c r="AQ51" i="21" s="1"/>
  <c r="AT304" i="1" l="1"/>
  <c r="AU304" i="1" s="1"/>
  <c r="BB186" i="1"/>
  <c r="BW186" i="1" s="1"/>
  <c r="BB189" i="1"/>
  <c r="BW189" i="1" s="1"/>
  <c r="BB187" i="1"/>
  <c r="BW187" i="1" s="1"/>
  <c r="BC188" i="1"/>
  <c r="BE250" i="1"/>
  <c r="BF250" i="1"/>
  <c r="BU63" i="1"/>
  <c r="BW63" i="1"/>
  <c r="BA36" i="1"/>
  <c r="BB36" i="1" s="1"/>
  <c r="BC36" i="1" s="1"/>
  <c r="BD36" i="1" s="1"/>
  <c r="BE36" i="1" s="1"/>
  <c r="BF36" i="1" s="1"/>
  <c r="BG36" i="1" s="1"/>
  <c r="BH36" i="1" s="1"/>
  <c r="BI36" i="1" s="1"/>
  <c r="BJ36" i="1" s="1"/>
  <c r="AW253" i="1"/>
  <c r="BX36" i="1"/>
  <c r="AZ13" i="1"/>
  <c r="BA13" i="1" s="1"/>
  <c r="AV165" i="1"/>
  <c r="AV167" i="1" s="1"/>
  <c r="AD74" i="1"/>
  <c r="T27" i="27"/>
  <c r="T28" i="27"/>
  <c r="AD6" i="1"/>
  <c r="Y26" i="12"/>
  <c r="AD68" i="1"/>
  <c r="T29" i="27" s="1"/>
  <c r="AD63" i="1"/>
  <c r="Q63" i="1"/>
  <c r="Q6" i="1"/>
  <c r="F26" i="12"/>
  <c r="G28" i="27"/>
  <c r="AB13" i="27"/>
  <c r="AB12" i="27"/>
  <c r="AF12" i="27" s="1"/>
  <c r="AB31" i="27"/>
  <c r="AD31" i="27" s="1"/>
  <c r="AF11" i="27"/>
  <c r="AD11" i="27"/>
  <c r="BR67" i="1"/>
  <c r="AQ54" i="27"/>
  <c r="BV63" i="1"/>
  <c r="AJ14" i="12"/>
  <c r="N27" i="27"/>
  <c r="X74" i="1"/>
  <c r="T396" i="1"/>
  <c r="BR68" i="1"/>
  <c r="AB68" i="1"/>
  <c r="R29" i="27" s="1"/>
  <c r="AB6" i="1"/>
  <c r="R28" i="27"/>
  <c r="W26" i="12"/>
  <c r="AB63" i="1"/>
  <c r="AG70" i="1"/>
  <c r="BR70" i="1" s="1"/>
  <c r="BT63" i="1"/>
  <c r="U377" i="1"/>
  <c r="U378" i="1" s="1"/>
  <c r="U396" i="1" s="1"/>
  <c r="S6" i="1"/>
  <c r="J26" i="12"/>
  <c r="S63" i="1"/>
  <c r="BO63" i="1" s="1"/>
  <c r="I28" i="27"/>
  <c r="X68" i="1"/>
  <c r="N29" i="27" s="1"/>
  <c r="Q26" i="12"/>
  <c r="X6" i="1"/>
  <c r="X63" i="1"/>
  <c r="X70" i="1" s="1"/>
  <c r="N28" i="27"/>
  <c r="AQ70" i="27"/>
  <c r="R27" i="27"/>
  <c r="AB74" i="1"/>
  <c r="W6" i="1"/>
  <c r="P26" i="12"/>
  <c r="W68" i="1"/>
  <c r="M28" i="27"/>
  <c r="W63" i="1"/>
  <c r="BP66" i="1"/>
  <c r="W74" i="1"/>
  <c r="M27" i="27"/>
  <c r="BS60" i="1"/>
  <c r="E26" i="12"/>
  <c r="F28" i="27"/>
  <c r="P63" i="1"/>
  <c r="BN63" i="1" s="1"/>
  <c r="P6" i="1"/>
  <c r="AQ194" i="1"/>
  <c r="AQ193" i="1" s="1"/>
  <c r="AV160" i="1"/>
  <c r="AV164" i="1"/>
  <c r="AW174" i="1"/>
  <c r="AX155" i="1"/>
  <c r="AY155" i="1" s="1"/>
  <c r="AW156" i="1"/>
  <c r="AW153" i="1"/>
  <c r="AU332" i="1"/>
  <c r="AV361" i="1"/>
  <c r="AT334" i="1"/>
  <c r="AC325" i="1"/>
  <c r="AC324" i="1" s="1"/>
  <c r="AC326" i="1" s="1"/>
  <c r="AB339" i="1"/>
  <c r="AQ316" i="1"/>
  <c r="AQ318" i="1" s="1"/>
  <c r="AW159" i="1"/>
  <c r="AW162" i="1"/>
  <c r="BV157" i="1"/>
  <c r="BV162" i="1" s="1"/>
  <c r="AW246" i="1"/>
  <c r="AX245" i="1"/>
  <c r="AT4" i="21"/>
  <c r="AT6" i="21" s="1"/>
  <c r="BS56" i="1"/>
  <c r="AT328" i="1"/>
  <c r="AS356" i="1"/>
  <c r="AR14" i="1"/>
  <c r="AQ22" i="1"/>
  <c r="AS233" i="1"/>
  <c r="AR15" i="1"/>
  <c r="AR23" i="1" s="1"/>
  <c r="AX53" i="1"/>
  <c r="AS62" i="1"/>
  <c r="AS205" i="1"/>
  <c r="AS195" i="1" s="1"/>
  <c r="AT220" i="1"/>
  <c r="AS200" i="1"/>
  <c r="AR199" i="1"/>
  <c r="AS219" i="1"/>
  <c r="AR204" i="1"/>
  <c r="AR203" i="1" s="1"/>
  <c r="AT11" i="1"/>
  <c r="BU11" i="1" s="1"/>
  <c r="AW201" i="1"/>
  <c r="AW206" i="1"/>
  <c r="AW196" i="1" s="1"/>
  <c r="AX221" i="1"/>
  <c r="AY221" i="1" s="1"/>
  <c r="AQ198" i="1"/>
  <c r="AQ128" i="1"/>
  <c r="AR126" i="1"/>
  <c r="AQ134" i="1"/>
  <c r="AI20" i="12"/>
  <c r="AR50" i="21"/>
  <c r="AR51" i="21" s="1"/>
  <c r="AK10" i="12"/>
  <c r="AT191" i="21"/>
  <c r="AM12" i="1"/>
  <c r="AT210" i="21"/>
  <c r="BS24" i="1"/>
  <c r="BS9" i="1"/>
  <c r="AU16" i="27" s="1"/>
  <c r="AU17" i="27" s="1"/>
  <c r="AI4" i="1"/>
  <c r="AH22" i="12"/>
  <c r="BS21" i="1"/>
  <c r="AP382" i="1"/>
  <c r="AT127" i="1"/>
  <c r="AT306" i="1" l="1"/>
  <c r="AU306" i="1"/>
  <c r="AV304" i="1"/>
  <c r="BB13" i="1"/>
  <c r="BW13" i="1" s="1"/>
  <c r="BD188" i="1"/>
  <c r="BC186" i="1"/>
  <c r="BC189" i="1"/>
  <c r="BC187" i="1"/>
  <c r="AY154" i="1"/>
  <c r="AY153" i="1"/>
  <c r="AY156" i="1"/>
  <c r="AZ155" i="1"/>
  <c r="BI250" i="1"/>
  <c r="BJ250" i="1"/>
  <c r="AZ221" i="1"/>
  <c r="AY206" i="1"/>
  <c r="AY201" i="1"/>
  <c r="BV53" i="1"/>
  <c r="AX253" i="1"/>
  <c r="AX246" i="1"/>
  <c r="AY245" i="1"/>
  <c r="BY36" i="1"/>
  <c r="AY53" i="1"/>
  <c r="AW166" i="1"/>
  <c r="AV168" i="1"/>
  <c r="AD70" i="1"/>
  <c r="BS63" i="1"/>
  <c r="BV155" i="1"/>
  <c r="AX154" i="1"/>
  <c r="BV154" i="1" s="1"/>
  <c r="AD13" i="27"/>
  <c r="AF13" i="27"/>
  <c r="BR69" i="1"/>
  <c r="AJ16" i="12"/>
  <c r="AJ18" i="12"/>
  <c r="AJ20" i="12"/>
  <c r="V377" i="1"/>
  <c r="V378" i="1" s="1"/>
  <c r="V396" i="1" s="1"/>
  <c r="BR63" i="1"/>
  <c r="BQ63" i="1"/>
  <c r="AB70" i="1"/>
  <c r="BP74" i="1"/>
  <c r="AO82" i="27"/>
  <c r="BQ67" i="1"/>
  <c r="BP63" i="1"/>
  <c r="W70" i="1"/>
  <c r="BP70" i="1" s="1"/>
  <c r="BP68" i="1"/>
  <c r="M29" i="27"/>
  <c r="AW160" i="1"/>
  <c r="AW164" i="1"/>
  <c r="AW165" i="1"/>
  <c r="AX174" i="1"/>
  <c r="AR194" i="1"/>
  <c r="AR193" i="1" s="1"/>
  <c r="AX156" i="1"/>
  <c r="BV156" i="1" s="1"/>
  <c r="AX153" i="1"/>
  <c r="AW361" i="1"/>
  <c r="AV332" i="1"/>
  <c r="AV334" i="1" s="1"/>
  <c r="AC339" i="1"/>
  <c r="AD324" i="1"/>
  <c r="AU334" i="1"/>
  <c r="AX159" i="1"/>
  <c r="AX162" i="1"/>
  <c r="AR316" i="1"/>
  <c r="AR318" i="1" s="1"/>
  <c r="AT5" i="21"/>
  <c r="AT68" i="21"/>
  <c r="AU328" i="1"/>
  <c r="AU330" i="1" s="1"/>
  <c r="AT356" i="1"/>
  <c r="BU356" i="1" s="1"/>
  <c r="AT330" i="1"/>
  <c r="AR22" i="1"/>
  <c r="AS14" i="1"/>
  <c r="AT14" i="1" s="1"/>
  <c r="BU14" i="1" s="1"/>
  <c r="AR191" i="1"/>
  <c r="AT233" i="1"/>
  <c r="AS15" i="1"/>
  <c r="AS23" i="1" s="1"/>
  <c r="AX206" i="1"/>
  <c r="AX196" i="1" s="1"/>
  <c r="AX201" i="1"/>
  <c r="AT62" i="1"/>
  <c r="AU11" i="1"/>
  <c r="AT205" i="1"/>
  <c r="AT195" i="1" s="1"/>
  <c r="AT200" i="1"/>
  <c r="AU220" i="1"/>
  <c r="AT219" i="1"/>
  <c r="AS199" i="1"/>
  <c r="AS204" i="1"/>
  <c r="AS203" i="1" s="1"/>
  <c r="AR198" i="1"/>
  <c r="AT211" i="21"/>
  <c r="AT212" i="21"/>
  <c r="AT192" i="21"/>
  <c r="AT193" i="21"/>
  <c r="AR128" i="1"/>
  <c r="AS126" i="1"/>
  <c r="AR134" i="1"/>
  <c r="AJ4" i="1"/>
  <c r="AI22" i="12"/>
  <c r="BT382" i="1"/>
  <c r="AM21" i="27" s="1"/>
  <c r="BU127" i="1"/>
  <c r="AU127" i="1"/>
  <c r="BS10" i="1"/>
  <c r="AP29" i="27" s="1"/>
  <c r="AP28" i="27"/>
  <c r="BE4" i="21"/>
  <c r="BE5" i="21" s="1"/>
  <c r="AL10" i="12"/>
  <c r="AM21" i="1"/>
  <c r="AM9" i="1"/>
  <c r="AM60" i="1" s="1"/>
  <c r="AM56" i="1" l="1"/>
  <c r="AM373" i="1" s="1"/>
  <c r="AV306" i="1"/>
  <c r="AW304" i="1"/>
  <c r="BC13" i="1"/>
  <c r="BD186" i="1"/>
  <c r="BE188" i="1"/>
  <c r="BD187" i="1"/>
  <c r="BD189" i="1"/>
  <c r="AZ174" i="1"/>
  <c r="AY165" i="1"/>
  <c r="AY164" i="1"/>
  <c r="AZ154" i="1"/>
  <c r="BA155" i="1"/>
  <c r="AZ153" i="1"/>
  <c r="AZ156" i="1"/>
  <c r="AY253" i="1"/>
  <c r="AZ253" i="1" s="1"/>
  <c r="BA253" i="1" s="1"/>
  <c r="AY196" i="1"/>
  <c r="AZ53" i="1"/>
  <c r="BA221" i="1"/>
  <c r="AZ201" i="1"/>
  <c r="AZ206" i="1"/>
  <c r="AZ196" i="1" s="1"/>
  <c r="AZ245" i="1"/>
  <c r="AY246" i="1"/>
  <c r="AY174" i="1"/>
  <c r="AW168" i="1"/>
  <c r="BQ70" i="1"/>
  <c r="BR71" i="1" s="1"/>
  <c r="BO377" i="1"/>
  <c r="BO378" i="1" s="1"/>
  <c r="BO396" i="1" s="1"/>
  <c r="BS19" i="1"/>
  <c r="BS25" i="1" s="1"/>
  <c r="AB14" i="27"/>
  <c r="AK4" i="1"/>
  <c r="AO83" i="27"/>
  <c r="BQ69" i="1"/>
  <c r="AW167" i="1"/>
  <c r="BV174" i="1"/>
  <c r="AX166" i="1"/>
  <c r="AX164" i="1"/>
  <c r="AX160" i="1"/>
  <c r="BV153" i="1"/>
  <c r="AX165" i="1"/>
  <c r="AY166" i="1" s="1"/>
  <c r="AD339" i="1"/>
  <c r="AE324" i="1"/>
  <c r="AE326" i="1" s="1"/>
  <c r="AD326" i="1"/>
  <c r="AW332" i="1"/>
  <c r="AW334" i="1" s="1"/>
  <c r="AX361" i="1"/>
  <c r="AY361" i="1" s="1"/>
  <c r="AS316" i="1"/>
  <c r="AS318" i="1" s="1"/>
  <c r="BS17" i="1"/>
  <c r="BS16" i="1"/>
  <c r="BS373" i="1"/>
  <c r="AV328" i="1"/>
  <c r="AU356" i="1"/>
  <c r="AS191" i="1"/>
  <c r="AS22" i="1"/>
  <c r="AT22" i="1" s="1"/>
  <c r="BU22" i="1" s="1"/>
  <c r="AU233" i="1"/>
  <c r="AT15" i="1"/>
  <c r="AT23" i="1" s="1"/>
  <c r="BU23" i="1" s="1"/>
  <c r="AS194" i="1"/>
  <c r="AS193" i="1" s="1"/>
  <c r="AS198" i="1"/>
  <c r="AU205" i="1"/>
  <c r="AU195" i="1" s="1"/>
  <c r="AU200" i="1"/>
  <c r="AV220" i="1"/>
  <c r="AV11" i="1"/>
  <c r="AU219" i="1"/>
  <c r="AT204" i="1"/>
  <c r="AT203" i="1" s="1"/>
  <c r="AT199" i="1"/>
  <c r="AU62" i="1"/>
  <c r="AT126" i="1"/>
  <c r="AS128" i="1"/>
  <c r="AS134" i="1"/>
  <c r="AK12" i="12"/>
  <c r="AT191" i="1"/>
  <c r="AU14" i="1"/>
  <c r="AN10" i="12"/>
  <c r="AN12" i="1"/>
  <c r="AM24" i="1"/>
  <c r="AM19" i="1" s="1"/>
  <c r="AM10" i="1"/>
  <c r="AM130" i="1"/>
  <c r="AM132" i="1"/>
  <c r="AV127" i="1"/>
  <c r="AQ382" i="1"/>
  <c r="AW306" i="1" l="1"/>
  <c r="AX304" i="1"/>
  <c r="BD13" i="1"/>
  <c r="AY167" i="1"/>
  <c r="BE186" i="1"/>
  <c r="BF188" i="1"/>
  <c r="BE187" i="1"/>
  <c r="BE189" i="1"/>
  <c r="BX188" i="1"/>
  <c r="AZ164" i="1"/>
  <c r="AZ165" i="1"/>
  <c r="BA166" i="1" s="1"/>
  <c r="BA174" i="1"/>
  <c r="AY168" i="1"/>
  <c r="BA153" i="1"/>
  <c r="BA156" i="1"/>
  <c r="BB155" i="1"/>
  <c r="BW155" i="1" s="1"/>
  <c r="BA154" i="1"/>
  <c r="BA53" i="1"/>
  <c r="AY332" i="1"/>
  <c r="AZ361" i="1"/>
  <c r="BB253" i="1"/>
  <c r="BA245" i="1"/>
  <c r="AZ246" i="1"/>
  <c r="BA206" i="1"/>
  <c r="BA196" i="1" s="1"/>
  <c r="BA201" i="1"/>
  <c r="BB221" i="1"/>
  <c r="BV164" i="1"/>
  <c r="AX168" i="1"/>
  <c r="BV160" i="1"/>
  <c r="AY160" i="1"/>
  <c r="AZ166" i="1"/>
  <c r="BQ71" i="1"/>
  <c r="BS243" i="1"/>
  <c r="BS244" i="1" s="1"/>
  <c r="AL12" i="12"/>
  <c r="AB16" i="27"/>
  <c r="AD16" i="27" s="1"/>
  <c r="AD14" i="27"/>
  <c r="AB15" i="27"/>
  <c r="AM25" i="1"/>
  <c r="AM58" i="1" s="1"/>
  <c r="AJ22" i="12"/>
  <c r="AS50" i="21"/>
  <c r="AS51" i="21" s="1"/>
  <c r="AX167" i="1"/>
  <c r="AX332" i="1"/>
  <c r="BV361" i="1"/>
  <c r="AF324" i="1"/>
  <c r="AF326" i="1" s="1"/>
  <c r="AE339" i="1"/>
  <c r="AM17" i="1"/>
  <c r="AM16" i="1" s="1"/>
  <c r="AT316" i="1"/>
  <c r="BS58" i="1"/>
  <c r="AV330" i="1"/>
  <c r="AW328" i="1"/>
  <c r="AW330" i="1" s="1"/>
  <c r="AV356" i="1"/>
  <c r="AV233" i="1"/>
  <c r="AU15" i="1"/>
  <c r="AU23" i="1" s="1"/>
  <c r="BU15" i="1"/>
  <c r="AT198" i="1"/>
  <c r="AW11" i="1"/>
  <c r="AV62" i="1"/>
  <c r="AV219" i="1"/>
  <c r="AU204" i="1"/>
  <c r="AU203" i="1" s="1"/>
  <c r="AU199" i="1"/>
  <c r="AW220" i="1"/>
  <c r="AV200" i="1"/>
  <c r="AV205" i="1"/>
  <c r="AV195" i="1" s="1"/>
  <c r="AT194" i="1"/>
  <c r="AT193" i="1" s="1"/>
  <c r="AK14" i="12"/>
  <c r="AT134" i="1"/>
  <c r="BU134" i="1" s="1"/>
  <c r="AT128" i="1"/>
  <c r="BU128" i="1" s="1"/>
  <c r="AU126" i="1"/>
  <c r="BU126" i="1"/>
  <c r="AV14" i="1"/>
  <c r="AU191" i="1"/>
  <c r="AU22" i="1"/>
  <c r="AN21" i="1"/>
  <c r="AN9" i="1"/>
  <c r="AW127" i="1"/>
  <c r="AN12" i="12"/>
  <c r="BS26" i="1"/>
  <c r="AL14" i="12"/>
  <c r="AM27" i="1" l="1"/>
  <c r="AM247" i="1" s="1"/>
  <c r="AX306" i="1"/>
  <c r="AY304" i="1"/>
  <c r="BE13" i="1"/>
  <c r="AZ167" i="1"/>
  <c r="BF189" i="1"/>
  <c r="BX189" i="1" s="1"/>
  <c r="BG188" i="1"/>
  <c r="BF186" i="1"/>
  <c r="BX186" i="1" s="1"/>
  <c r="BF187" i="1"/>
  <c r="BX187" i="1" s="1"/>
  <c r="BA165" i="1"/>
  <c r="BA167" i="1" s="1"/>
  <c r="BB174" i="1"/>
  <c r="BA164" i="1"/>
  <c r="AZ168" i="1"/>
  <c r="BW154" i="1"/>
  <c r="BB153" i="1"/>
  <c r="BC155" i="1"/>
  <c r="BB154" i="1"/>
  <c r="BB156" i="1"/>
  <c r="BW156" i="1" s="1"/>
  <c r="AX334" i="1"/>
  <c r="AY334" i="1"/>
  <c r="BC253" i="1"/>
  <c r="BB201" i="1"/>
  <c r="BB206" i="1"/>
  <c r="BB196" i="1" s="1"/>
  <c r="BC221" i="1"/>
  <c r="AZ332" i="1"/>
  <c r="BA361" i="1"/>
  <c r="BB53" i="1"/>
  <c r="BA246" i="1"/>
  <c r="BB245" i="1"/>
  <c r="AZ334" i="1"/>
  <c r="AZ160" i="1"/>
  <c r="BA160" i="1" s="1"/>
  <c r="BS27" i="1"/>
  <c r="BS247" i="1" s="1"/>
  <c r="AB17" i="27"/>
  <c r="AD17" i="27" s="1"/>
  <c r="AB18" i="27"/>
  <c r="AD18" i="27" s="1"/>
  <c r="AD15" i="27"/>
  <c r="AM28" i="1"/>
  <c r="AM26" i="1"/>
  <c r="AN14" i="12"/>
  <c r="AN60" i="1"/>
  <c r="AG324" i="1"/>
  <c r="AF339" i="1"/>
  <c r="AU194" i="1"/>
  <c r="AU193" i="1" s="1"/>
  <c r="AT318" i="1"/>
  <c r="AU316" i="1"/>
  <c r="AK18" i="12"/>
  <c r="BS28" i="1"/>
  <c r="AL18" i="12" s="1"/>
  <c r="AR382" i="1"/>
  <c r="AN56" i="1"/>
  <c r="AX328" i="1"/>
  <c r="AW356" i="1"/>
  <c r="AW233" i="1"/>
  <c r="AV15" i="1"/>
  <c r="AV23" i="1" s="1"/>
  <c r="AW219" i="1"/>
  <c r="AV204" i="1"/>
  <c r="AV203" i="1" s="1"/>
  <c r="AV199" i="1"/>
  <c r="AW200" i="1"/>
  <c r="AW205" i="1"/>
  <c r="AW195" i="1" s="1"/>
  <c r="AX220" i="1"/>
  <c r="AY220" i="1" s="1"/>
  <c r="AW62" i="1"/>
  <c r="AU198" i="1"/>
  <c r="AX11" i="1"/>
  <c r="AK16" i="12"/>
  <c r="AK20" i="12"/>
  <c r="AV126" i="1"/>
  <c r="AU134" i="1"/>
  <c r="AU128" i="1"/>
  <c r="AV22" i="1"/>
  <c r="AW14" i="1"/>
  <c r="AV191" i="1"/>
  <c r="AX127" i="1"/>
  <c r="AY127" i="1" s="1"/>
  <c r="AN130" i="1"/>
  <c r="AO12" i="1"/>
  <c r="AO10" i="12"/>
  <c r="AN24" i="1"/>
  <c r="AN19" i="1" s="1"/>
  <c r="AN10" i="1"/>
  <c r="AN132" i="1"/>
  <c r="AN16" i="12" l="1"/>
  <c r="AM30" i="1"/>
  <c r="BD53" i="1"/>
  <c r="BE53" i="1" s="1"/>
  <c r="BC53" i="1"/>
  <c r="AY306" i="1"/>
  <c r="AZ304" i="1"/>
  <c r="BF13" i="1"/>
  <c r="BX13" i="1" s="1"/>
  <c r="BH188" i="1"/>
  <c r="BG186" i="1"/>
  <c r="BG187" i="1"/>
  <c r="BG189" i="1"/>
  <c r="BB160" i="1"/>
  <c r="BW160" i="1" s="1"/>
  <c r="BC156" i="1"/>
  <c r="BD155" i="1"/>
  <c r="BC153" i="1"/>
  <c r="BC154" i="1"/>
  <c r="BW174" i="1"/>
  <c r="BW153" i="1"/>
  <c r="BC174" i="1"/>
  <c r="BB164" i="1"/>
  <c r="BW164" i="1" s="1"/>
  <c r="BB165" i="1"/>
  <c r="BC166" i="1" s="1"/>
  <c r="BA168" i="1"/>
  <c r="BB166" i="1"/>
  <c r="BV11" i="1"/>
  <c r="AY11" i="1"/>
  <c r="AX356" i="1"/>
  <c r="BV356" i="1" s="1"/>
  <c r="AY328" i="1"/>
  <c r="AY330" i="1" s="1"/>
  <c r="BB246" i="1"/>
  <c r="BC245" i="1"/>
  <c r="BA332" i="1"/>
  <c r="BB361" i="1"/>
  <c r="BD253" i="1"/>
  <c r="AZ220" i="1"/>
  <c r="AY200" i="1"/>
  <c r="AY205" i="1"/>
  <c r="BF53" i="1"/>
  <c r="BX53" i="1" s="1"/>
  <c r="BW53" i="1"/>
  <c r="BD221" i="1"/>
  <c r="BC201" i="1"/>
  <c r="BC206" i="1"/>
  <c r="BC196" i="1" s="1"/>
  <c r="AZ127" i="1"/>
  <c r="AL16" i="12"/>
  <c r="BS245" i="1"/>
  <c r="BS246" i="1" s="1"/>
  <c r="AB20" i="27"/>
  <c r="AD20" i="27" s="1"/>
  <c r="BS375" i="1"/>
  <c r="AB21" i="27"/>
  <c r="AD21" i="27" s="1"/>
  <c r="AM249" i="1"/>
  <c r="AN18" i="12"/>
  <c r="AM31" i="1"/>
  <c r="AM59" i="1" s="1"/>
  <c r="AM375" i="1" s="1"/>
  <c r="AN20" i="12"/>
  <c r="AH324" i="1"/>
  <c r="AG339" i="1"/>
  <c r="AG326" i="1"/>
  <c r="AV316" i="1"/>
  <c r="AU318" i="1"/>
  <c r="BS31" i="1"/>
  <c r="BS248" i="1"/>
  <c r="BS250" i="1" s="1"/>
  <c r="BS30" i="1"/>
  <c r="BS249" i="1"/>
  <c r="AN17" i="1"/>
  <c r="AN373" i="1"/>
  <c r="AX330" i="1"/>
  <c r="AX233" i="1"/>
  <c r="AW15" i="1"/>
  <c r="AW23" i="1" s="1"/>
  <c r="AV194" i="1"/>
  <c r="AV193" i="1" s="1"/>
  <c r="AX62" i="1"/>
  <c r="AY62" i="1" s="1"/>
  <c r="AZ62" i="1" s="1"/>
  <c r="BA62" i="1" s="1"/>
  <c r="BB62" i="1" s="1"/>
  <c r="BC62" i="1" s="1"/>
  <c r="BD62" i="1" s="1"/>
  <c r="BE62" i="1" s="1"/>
  <c r="BF62" i="1" s="1"/>
  <c r="BG62" i="1" s="1"/>
  <c r="BH62" i="1" s="1"/>
  <c r="BI62" i="1" s="1"/>
  <c r="BJ62" i="1" s="1"/>
  <c r="AV198" i="1"/>
  <c r="AX200" i="1"/>
  <c r="AX205" i="1"/>
  <c r="AX195" i="1" s="1"/>
  <c r="AX219" i="1"/>
  <c r="AY219" i="1" s="1"/>
  <c r="AW204" i="1"/>
  <c r="AW203" i="1" s="1"/>
  <c r="AW199" i="1"/>
  <c r="AV128" i="1"/>
  <c r="AW126" i="1"/>
  <c r="AV134" i="1"/>
  <c r="AX14" i="1"/>
  <c r="AW191" i="1"/>
  <c r="AW22" i="1"/>
  <c r="AO12" i="12"/>
  <c r="AO21" i="1"/>
  <c r="AO9" i="1"/>
  <c r="AN25" i="1"/>
  <c r="BV127" i="1"/>
  <c r="BA304" i="1" l="1"/>
  <c r="BA306" i="1" s="1"/>
  <c r="AZ306" i="1"/>
  <c r="BG53" i="1"/>
  <c r="BG13" i="1"/>
  <c r="BH189" i="1"/>
  <c r="BH186" i="1"/>
  <c r="BI188" i="1"/>
  <c r="BH187" i="1"/>
  <c r="BB167" i="1"/>
  <c r="BC164" i="1"/>
  <c r="BC165" i="1"/>
  <c r="BD166" i="1" s="1"/>
  <c r="BD174" i="1"/>
  <c r="BB168" i="1"/>
  <c r="BD154" i="1"/>
  <c r="BD156" i="1"/>
  <c r="BE155" i="1"/>
  <c r="BD153" i="1"/>
  <c r="BC160" i="1"/>
  <c r="BH53" i="1"/>
  <c r="BI53" i="1" s="1"/>
  <c r="BJ53" i="1" s="1"/>
  <c r="BD206" i="1"/>
  <c r="BE221" i="1"/>
  <c r="BD201" i="1"/>
  <c r="BE253" i="1"/>
  <c r="BF253" i="1" s="1"/>
  <c r="AX15" i="1"/>
  <c r="AX23" i="1" s="1"/>
  <c r="BV23" i="1" s="1"/>
  <c r="AY233" i="1"/>
  <c r="AZ219" i="1"/>
  <c r="AY199" i="1"/>
  <c r="AY204" i="1"/>
  <c r="AY203" i="1" s="1"/>
  <c r="BA220" i="1"/>
  <c r="AZ205" i="1"/>
  <c r="AZ200" i="1"/>
  <c r="AZ11" i="1"/>
  <c r="BA11" i="1" s="1"/>
  <c r="BB11" i="1" s="1"/>
  <c r="BC11" i="1" s="1"/>
  <c r="BA334" i="1"/>
  <c r="AZ328" i="1"/>
  <c r="AZ330" i="1" s="1"/>
  <c r="AY356" i="1"/>
  <c r="BD196" i="1"/>
  <c r="AY195" i="1"/>
  <c r="BW361" i="1"/>
  <c r="BB332" i="1"/>
  <c r="BB334" i="1" s="1"/>
  <c r="BC361" i="1"/>
  <c r="BD245" i="1"/>
  <c r="BC246" i="1"/>
  <c r="AY14" i="1"/>
  <c r="BA127" i="1"/>
  <c r="AB22" i="27"/>
  <c r="AB23" i="27" s="1"/>
  <c r="BS59" i="1"/>
  <c r="AM32" i="1"/>
  <c r="AN58" i="1"/>
  <c r="AO60" i="1"/>
  <c r="AI325" i="1"/>
  <c r="AI324" i="1" s="1"/>
  <c r="AH339" i="1"/>
  <c r="AH326" i="1"/>
  <c r="AO56" i="1"/>
  <c r="AO17" i="1" s="1"/>
  <c r="AO16" i="1" s="1"/>
  <c r="AT50" i="21"/>
  <c r="AT51" i="21" s="1"/>
  <c r="AW316" i="1"/>
  <c r="AV318" i="1"/>
  <c r="BS32" i="1"/>
  <c r="AV16" i="27" s="1"/>
  <c r="AV17" i="27" s="1"/>
  <c r="AL20" i="12"/>
  <c r="BS241" i="1"/>
  <c r="BS242" i="1" s="1"/>
  <c r="AN16" i="1"/>
  <c r="AX199" i="1"/>
  <c r="AX204" i="1"/>
  <c r="AX203" i="1" s="1"/>
  <c r="AW194" i="1"/>
  <c r="AW193" i="1" s="1"/>
  <c r="AW198" i="1"/>
  <c r="AK22" i="12"/>
  <c r="BS41" i="1"/>
  <c r="AX126" i="1"/>
  <c r="AY126" i="1" s="1"/>
  <c r="AW128" i="1"/>
  <c r="AW134" i="1"/>
  <c r="AX191" i="1"/>
  <c r="AX22" i="1"/>
  <c r="BV14" i="1"/>
  <c r="AO24" i="1"/>
  <c r="AO19" i="1" s="1"/>
  <c r="AP10" i="12"/>
  <c r="AO10" i="1"/>
  <c r="AP12" i="1"/>
  <c r="AO130" i="1"/>
  <c r="AO132" i="1"/>
  <c r="AS382" i="1"/>
  <c r="AN26" i="1"/>
  <c r="AN28" i="1"/>
  <c r="AO14" i="12"/>
  <c r="AN27" i="1"/>
  <c r="AZ195" i="1" l="1"/>
  <c r="BY53" i="1"/>
  <c r="BB304" i="1"/>
  <c r="BB306" i="1"/>
  <c r="BH13" i="1"/>
  <c r="BI189" i="1"/>
  <c r="BI186" i="1"/>
  <c r="BI187" i="1"/>
  <c r="BJ188" i="1"/>
  <c r="BY188" i="1" s="1"/>
  <c r="BD160" i="1"/>
  <c r="BD165" i="1"/>
  <c r="BE166" i="1" s="1"/>
  <c r="BE174" i="1"/>
  <c r="BD164" i="1"/>
  <c r="BE156" i="1"/>
  <c r="BE153" i="1"/>
  <c r="BF155" i="1"/>
  <c r="BE154" i="1"/>
  <c r="BC167" i="1"/>
  <c r="BC168" i="1"/>
  <c r="BX155" i="1"/>
  <c r="BV15" i="1"/>
  <c r="BG253" i="1"/>
  <c r="BH253" i="1" s="1"/>
  <c r="BI253" i="1" s="1"/>
  <c r="BJ253" i="1" s="1"/>
  <c r="AX198" i="1"/>
  <c r="BE245" i="1"/>
  <c r="BD246" i="1"/>
  <c r="AZ356" i="1"/>
  <c r="BA328" i="1"/>
  <c r="BA330" i="1" s="1"/>
  <c r="BW11" i="1"/>
  <c r="AY198" i="1"/>
  <c r="BD361" i="1"/>
  <c r="BC332" i="1"/>
  <c r="BC334" i="1" s="1"/>
  <c r="BD11" i="1"/>
  <c r="BE11" i="1" s="1"/>
  <c r="BF11" i="1" s="1"/>
  <c r="BG11" i="1" s="1"/>
  <c r="BA219" i="1"/>
  <c r="AZ199" i="1"/>
  <c r="AZ204" i="1"/>
  <c r="AZ203" i="1" s="1"/>
  <c r="BB220" i="1"/>
  <c r="BA205" i="1"/>
  <c r="BA195" i="1" s="1"/>
  <c r="BA200" i="1"/>
  <c r="AY15" i="1"/>
  <c r="AZ233" i="1"/>
  <c r="BF221" i="1"/>
  <c r="BE201" i="1"/>
  <c r="BE206" i="1"/>
  <c r="BE196" i="1" s="1"/>
  <c r="AZ14" i="1"/>
  <c r="AZ191" i="1" s="1"/>
  <c r="AY191" i="1"/>
  <c r="BV22" i="1"/>
  <c r="BB127" i="1"/>
  <c r="BW127" i="1" s="1"/>
  <c r="AY134" i="1"/>
  <c r="AZ126" i="1"/>
  <c r="AY128" i="1"/>
  <c r="AY22" i="1"/>
  <c r="AD22" i="27"/>
  <c r="AF22" i="27"/>
  <c r="AD23" i="27"/>
  <c r="AF23" i="27"/>
  <c r="AM241" i="1"/>
  <c r="AM242" i="1" s="1"/>
  <c r="AN22" i="12"/>
  <c r="AM33" i="1"/>
  <c r="AM4" i="1"/>
  <c r="AI326" i="1"/>
  <c r="AJ325" i="1"/>
  <c r="AJ324" i="1" s="1"/>
  <c r="AK325" i="1" s="1"/>
  <c r="AO373" i="1"/>
  <c r="AL22" i="12"/>
  <c r="AW318" i="1"/>
  <c r="AX316" i="1"/>
  <c r="BS33" i="1"/>
  <c r="AP32" i="27"/>
  <c r="AP33" i="27" s="1"/>
  <c r="AX194" i="1"/>
  <c r="AX193" i="1" s="1"/>
  <c r="AM41" i="1"/>
  <c r="AX128" i="1"/>
  <c r="BV128" i="1" s="1"/>
  <c r="BV126" i="1"/>
  <c r="AX134" i="1"/>
  <c r="BV134" i="1" s="1"/>
  <c r="AO16" i="12"/>
  <c r="AN247" i="1"/>
  <c r="AN30" i="1"/>
  <c r="AP9" i="1"/>
  <c r="AP21" i="1"/>
  <c r="BT12" i="1"/>
  <c r="AP12" i="12"/>
  <c r="AN249" i="1"/>
  <c r="AN31" i="1"/>
  <c r="AN59" i="1" s="1"/>
  <c r="AO18" i="12"/>
  <c r="AO25" i="1"/>
  <c r="BC306" i="1" l="1"/>
  <c r="BC304" i="1"/>
  <c r="BD304" i="1" s="1"/>
  <c r="BI13" i="1"/>
  <c r="BJ186" i="1"/>
  <c r="BY186" i="1" s="1"/>
  <c r="BJ187" i="1"/>
  <c r="BY187" i="1" s="1"/>
  <c r="BJ189" i="1"/>
  <c r="BY189" i="1" s="1"/>
  <c r="BE160" i="1"/>
  <c r="BG155" i="1"/>
  <c r="BF153" i="1"/>
  <c r="BF154" i="1"/>
  <c r="BX154" i="1" s="1"/>
  <c r="BF156" i="1"/>
  <c r="BX156" i="1" s="1"/>
  <c r="BF174" i="1"/>
  <c r="BE164" i="1"/>
  <c r="BE165" i="1"/>
  <c r="BF166" i="1" s="1"/>
  <c r="BD167" i="1"/>
  <c r="BD168" i="1"/>
  <c r="AX318" i="1"/>
  <c r="AY316" i="1"/>
  <c r="AY318" i="1"/>
  <c r="BG221" i="1"/>
  <c r="BF201" i="1"/>
  <c r="BF206" i="1"/>
  <c r="BA199" i="1"/>
  <c r="BB219" i="1"/>
  <c r="BA204" i="1"/>
  <c r="BA203" i="1" s="1"/>
  <c r="BE361" i="1"/>
  <c r="BD332" i="1"/>
  <c r="BD334" i="1" s="1"/>
  <c r="AZ15" i="1"/>
  <c r="AZ23" i="1" s="1"/>
  <c r="BA233" i="1"/>
  <c r="BB205" i="1"/>
  <c r="BB195" i="1" s="1"/>
  <c r="BC220" i="1"/>
  <c r="BB200" i="1"/>
  <c r="BH11" i="1"/>
  <c r="BI11" i="1" s="1"/>
  <c r="BJ11" i="1" s="1"/>
  <c r="BB328" i="1"/>
  <c r="BA356" i="1"/>
  <c r="BE246" i="1"/>
  <c r="BF245" i="1"/>
  <c r="AY23" i="1"/>
  <c r="BX11" i="1"/>
  <c r="AY194" i="1"/>
  <c r="AY193" i="1" s="1"/>
  <c r="BF196" i="1"/>
  <c r="AZ198" i="1"/>
  <c r="BA14" i="1"/>
  <c r="BB14" i="1" s="1"/>
  <c r="AZ22" i="1"/>
  <c r="BW22" i="1"/>
  <c r="BC127" i="1"/>
  <c r="BA126" i="1"/>
  <c r="AZ134" i="1"/>
  <c r="AZ128" i="1"/>
  <c r="AO58" i="1"/>
  <c r="AP60" i="1"/>
  <c r="BT60" i="1" s="1"/>
  <c r="AJ326" i="1"/>
  <c r="AK324" i="1"/>
  <c r="AN375" i="1"/>
  <c r="AT382" i="1"/>
  <c r="BU382" i="1" s="1"/>
  <c r="AP56" i="1"/>
  <c r="BT56" i="1" s="1"/>
  <c r="AO26" i="1"/>
  <c r="AO28" i="1"/>
  <c r="AP14" i="12"/>
  <c r="AO27" i="1"/>
  <c r="BT21" i="1"/>
  <c r="AN32" i="1"/>
  <c r="AO20" i="12"/>
  <c r="AQ10" i="12"/>
  <c r="AQ12" i="1"/>
  <c r="AP132" i="1"/>
  <c r="AP130" i="1"/>
  <c r="AP10" i="1"/>
  <c r="AP24" i="1"/>
  <c r="BT24" i="1" s="1"/>
  <c r="BT9" i="1"/>
  <c r="AM12" i="27" s="1"/>
  <c r="AK326" i="1" l="1"/>
  <c r="AL325" i="1"/>
  <c r="AL324" i="1" s="1"/>
  <c r="AL326" i="1" s="1"/>
  <c r="BD306" i="1"/>
  <c r="BE304" i="1"/>
  <c r="BJ13" i="1"/>
  <c r="BY13" i="1" s="1"/>
  <c r="BX174" i="1"/>
  <c r="BE167" i="1"/>
  <c r="BE168" i="1"/>
  <c r="BX153" i="1"/>
  <c r="BF165" i="1"/>
  <c r="BG166" i="1" s="1"/>
  <c r="BG174" i="1"/>
  <c r="BF164" i="1"/>
  <c r="BX164" i="1" s="1"/>
  <c r="BF160" i="1"/>
  <c r="BG156" i="1"/>
  <c r="BH155" i="1"/>
  <c r="BG153" i="1"/>
  <c r="BG154" i="1"/>
  <c r="BY11" i="1"/>
  <c r="BX23" i="1"/>
  <c r="BW23" i="1"/>
  <c r="BF246" i="1"/>
  <c r="BG245" i="1"/>
  <c r="BC328" i="1"/>
  <c r="BB356" i="1"/>
  <c r="BW356" i="1" s="1"/>
  <c r="BC219" i="1"/>
  <c r="BB204" i="1"/>
  <c r="BB203" i="1" s="1"/>
  <c r="BB199" i="1"/>
  <c r="BH221" i="1"/>
  <c r="BG201" i="1"/>
  <c r="BG206" i="1"/>
  <c r="BG196" i="1" s="1"/>
  <c r="AZ194" i="1"/>
  <c r="AZ193" i="1" s="1"/>
  <c r="BD220" i="1"/>
  <c r="BC200" i="1"/>
  <c r="BC205" i="1"/>
  <c r="BC195" i="1" s="1"/>
  <c r="BA198" i="1"/>
  <c r="BB330" i="1"/>
  <c r="BF361" i="1"/>
  <c r="BE332" i="1"/>
  <c r="AZ316" i="1"/>
  <c r="BA15" i="1"/>
  <c r="BB233" i="1"/>
  <c r="BA191" i="1"/>
  <c r="BA22" i="1"/>
  <c r="BY22" i="1" s="1"/>
  <c r="BW14" i="1"/>
  <c r="BX22" i="1"/>
  <c r="BB126" i="1"/>
  <c r="BW126" i="1" s="1"/>
  <c r="BW128" i="1" s="1"/>
  <c r="BA134" i="1"/>
  <c r="BA128" i="1"/>
  <c r="BC14" i="1"/>
  <c r="BB191" i="1"/>
  <c r="BD127" i="1"/>
  <c r="AP17" i="1"/>
  <c r="AP373" i="1"/>
  <c r="AO30" i="1"/>
  <c r="AP19" i="1"/>
  <c r="AP16" i="12"/>
  <c r="AO247" i="1"/>
  <c r="BF4" i="21"/>
  <c r="BF5" i="21" s="1"/>
  <c r="AR10" i="12"/>
  <c r="BT10" i="1"/>
  <c r="AM13" i="27" s="1"/>
  <c r="AN241" i="1"/>
  <c r="AN242" i="1" s="1"/>
  <c r="AN4" i="1"/>
  <c r="AN33" i="1"/>
  <c r="AO22" i="12"/>
  <c r="AN41" i="1"/>
  <c r="AO249" i="1"/>
  <c r="AO31" i="1"/>
  <c r="AO59" i="1" s="1"/>
  <c r="AP18" i="12"/>
  <c r="AQ21" i="1"/>
  <c r="AQ9" i="1"/>
  <c r="BF304" i="1" l="1"/>
  <c r="BG304" i="1" s="1"/>
  <c r="BE306" i="1"/>
  <c r="BG165" i="1"/>
  <c r="BG164" i="1"/>
  <c r="BH174" i="1"/>
  <c r="BG160" i="1"/>
  <c r="BX160" i="1"/>
  <c r="BF168" i="1"/>
  <c r="BF167" i="1"/>
  <c r="BH156" i="1"/>
  <c r="BI155" i="1"/>
  <c r="BH154" i="1"/>
  <c r="BH153" i="1"/>
  <c r="BA23" i="1"/>
  <c r="BY23" i="1" s="1"/>
  <c r="BX361" i="1"/>
  <c r="BF332" i="1"/>
  <c r="BF334" i="1" s="1"/>
  <c r="BG361" i="1"/>
  <c r="BD205" i="1"/>
  <c r="BE220" i="1"/>
  <c r="BD200" i="1"/>
  <c r="BC199" i="1"/>
  <c r="BD219" i="1"/>
  <c r="BC204" i="1"/>
  <c r="BC203" i="1" s="1"/>
  <c r="BC233" i="1"/>
  <c r="BB15" i="1"/>
  <c r="BB23" i="1" s="1"/>
  <c r="AZ318" i="1"/>
  <c r="BA316" i="1"/>
  <c r="BH206" i="1"/>
  <c r="BH196" i="1" s="1"/>
  <c r="BI221" i="1"/>
  <c r="BH201" i="1"/>
  <c r="BA194" i="1"/>
  <c r="BA193" i="1" s="1"/>
  <c r="BB198" i="1"/>
  <c r="BC330" i="1"/>
  <c r="BC356" i="1"/>
  <c r="BD328" i="1"/>
  <c r="BD330" i="1" s="1"/>
  <c r="BE334" i="1"/>
  <c r="BD195" i="1"/>
  <c r="BG246" i="1"/>
  <c r="BH245" i="1"/>
  <c r="BB22" i="1"/>
  <c r="BC22" i="1" s="1"/>
  <c r="BE127" i="1"/>
  <c r="BD14" i="1"/>
  <c r="BC191" i="1"/>
  <c r="BB134" i="1"/>
  <c r="BW134" i="1" s="1"/>
  <c r="BC126" i="1"/>
  <c r="BB128" i="1"/>
  <c r="AT10" i="12"/>
  <c r="AP25" i="1"/>
  <c r="AQ60" i="1"/>
  <c r="AM324" i="1"/>
  <c r="AM326" i="1" s="1"/>
  <c r="AQ56" i="1"/>
  <c r="AQ373" i="1" s="1"/>
  <c r="AO375" i="1"/>
  <c r="BT373" i="1"/>
  <c r="BT17" i="1"/>
  <c r="AP16" i="1"/>
  <c r="BT16" i="1" s="1"/>
  <c r="AO32" i="1"/>
  <c r="AP20" i="12"/>
  <c r="AQ12" i="12"/>
  <c r="BT19" i="1"/>
  <c r="AR12" i="1"/>
  <c r="AQ132" i="1"/>
  <c r="AQ130" i="1"/>
  <c r="AQ24" i="1"/>
  <c r="AQ19" i="1" s="1"/>
  <c r="AT12" i="12" s="1"/>
  <c r="AQ10" i="1"/>
  <c r="AU382" i="1"/>
  <c r="BF306" i="1" l="1"/>
  <c r="BG306" i="1"/>
  <c r="BH304" i="1"/>
  <c r="BI156" i="1"/>
  <c r="BI153" i="1"/>
  <c r="BJ155" i="1"/>
  <c r="BI154" i="1"/>
  <c r="BI174" i="1"/>
  <c r="BH164" i="1"/>
  <c r="BH165" i="1"/>
  <c r="BH160" i="1"/>
  <c r="BH166" i="1"/>
  <c r="BG167" i="1"/>
  <c r="BG168" i="1"/>
  <c r="BY155" i="1"/>
  <c r="BI201" i="1"/>
  <c r="BI206" i="1"/>
  <c r="BJ221" i="1"/>
  <c r="BB316" i="1"/>
  <c r="BE200" i="1"/>
  <c r="BF220" i="1"/>
  <c r="BE205" i="1"/>
  <c r="BI245" i="1"/>
  <c r="BH246" i="1"/>
  <c r="BD199" i="1"/>
  <c r="BD204" i="1"/>
  <c r="BD203" i="1" s="1"/>
  <c r="BE219" i="1"/>
  <c r="BD356" i="1"/>
  <c r="BE328" i="1"/>
  <c r="BA318" i="1"/>
  <c r="BC198" i="1"/>
  <c r="BB194" i="1"/>
  <c r="BW15" i="1"/>
  <c r="BI196" i="1"/>
  <c r="BD233" i="1"/>
  <c r="BC15" i="1"/>
  <c r="BE195" i="1"/>
  <c r="BG332" i="1"/>
  <c r="BG334" i="1" s="1"/>
  <c r="BH361" i="1"/>
  <c r="BD126" i="1"/>
  <c r="BC134" i="1"/>
  <c r="BC128" i="1"/>
  <c r="BE14" i="1"/>
  <c r="BD191" i="1"/>
  <c r="BD22" i="1"/>
  <c r="BF127" i="1"/>
  <c r="BX127" i="1" s="1"/>
  <c r="AQ14" i="12"/>
  <c r="AP28" i="1"/>
  <c r="AP31" i="1" s="1"/>
  <c r="AP27" i="1"/>
  <c r="BT27" i="1" s="1"/>
  <c r="AP58" i="1"/>
  <c r="BT58" i="1" s="1"/>
  <c r="AP26" i="1"/>
  <c r="BT243" i="1"/>
  <c r="BT244" i="1" s="1"/>
  <c r="AN324" i="1"/>
  <c r="AN326" i="1" s="1"/>
  <c r="AM359" i="1"/>
  <c r="AQ17" i="1"/>
  <c r="AQ16" i="1" s="1"/>
  <c r="AO241" i="1"/>
  <c r="AO242" i="1" s="1"/>
  <c r="AP22" i="12"/>
  <c r="AO4" i="1"/>
  <c r="BT25" i="1"/>
  <c r="AO41" i="1"/>
  <c r="AO33" i="1"/>
  <c r="AR12" i="12"/>
  <c r="AR9" i="1"/>
  <c r="AR21" i="1"/>
  <c r="AQ25" i="1"/>
  <c r="BI306" i="1" l="1"/>
  <c r="BI304" i="1"/>
  <c r="BJ304" i="1" s="1"/>
  <c r="BJ306" i="1" s="1"/>
  <c r="BH306" i="1"/>
  <c r="BI160" i="1"/>
  <c r="BI165" i="1"/>
  <c r="BJ174" i="1"/>
  <c r="BI164" i="1"/>
  <c r="BI166" i="1"/>
  <c r="BH168" i="1"/>
  <c r="BH167" i="1"/>
  <c r="BJ153" i="1"/>
  <c r="BJ154" i="1"/>
  <c r="BY154" i="1" s="1"/>
  <c r="BJ156" i="1"/>
  <c r="BY156" i="1" s="1"/>
  <c r="BB318" i="1"/>
  <c r="BC316" i="1"/>
  <c r="BC318" i="1"/>
  <c r="BC23" i="1"/>
  <c r="BB193" i="1"/>
  <c r="BC194" i="1"/>
  <c r="BE330" i="1"/>
  <c r="BF328" i="1"/>
  <c r="BF330" i="1" s="1"/>
  <c r="BE356" i="1"/>
  <c r="BD198" i="1"/>
  <c r="BI361" i="1"/>
  <c r="BH332" i="1"/>
  <c r="BD15" i="1"/>
  <c r="BD23" i="1" s="1"/>
  <c r="BE233" i="1"/>
  <c r="BG220" i="1"/>
  <c r="BF200" i="1"/>
  <c r="BF205" i="1"/>
  <c r="BF195" i="1" s="1"/>
  <c r="BJ201" i="1"/>
  <c r="BJ206" i="1"/>
  <c r="BJ196" i="1" s="1"/>
  <c r="BH334" i="1"/>
  <c r="BE199" i="1"/>
  <c r="BE204" i="1"/>
  <c r="BE203" i="1" s="1"/>
  <c r="BF219" i="1"/>
  <c r="BI246" i="1"/>
  <c r="BJ245" i="1"/>
  <c r="BJ246" i="1" s="1"/>
  <c r="BF14" i="1"/>
  <c r="BX14" i="1" s="1"/>
  <c r="BE191" i="1"/>
  <c r="BE22" i="1"/>
  <c r="BG127" i="1"/>
  <c r="BE126" i="1"/>
  <c r="BD134" i="1"/>
  <c r="BD128" i="1"/>
  <c r="BT28" i="1"/>
  <c r="AR18" i="12" s="1"/>
  <c r="AQ18" i="12"/>
  <c r="AU10" i="12"/>
  <c r="AP249" i="1"/>
  <c r="AQ58" i="1"/>
  <c r="AT14" i="12"/>
  <c r="AR16" i="12"/>
  <c r="BT247" i="1"/>
  <c r="AQ16" i="12"/>
  <c r="AP30" i="1"/>
  <c r="AP247" i="1"/>
  <c r="BT26" i="1"/>
  <c r="BT245" i="1"/>
  <c r="BT246" i="1" s="1"/>
  <c r="AR60" i="1"/>
  <c r="AO324" i="1"/>
  <c r="AN359" i="1"/>
  <c r="AR56" i="1"/>
  <c r="AR17" i="1" s="1"/>
  <c r="AR16" i="1" s="1"/>
  <c r="BT31" i="1"/>
  <c r="AP59" i="1"/>
  <c r="AR14" i="12"/>
  <c r="AQ28" i="1"/>
  <c r="AT18" i="12" s="1"/>
  <c r="AQ26" i="1"/>
  <c r="AQ27" i="1"/>
  <c r="AT16" i="12" s="1"/>
  <c r="AR130" i="1"/>
  <c r="AS12" i="1"/>
  <c r="AR132" i="1"/>
  <c r="AR24" i="1"/>
  <c r="AR19" i="1" s="1"/>
  <c r="AU12" i="12" s="1"/>
  <c r="AR10" i="1"/>
  <c r="AV382" i="1"/>
  <c r="BJ166" i="1" l="1"/>
  <c r="BI167" i="1"/>
  <c r="BI168" i="1"/>
  <c r="BY174" i="1"/>
  <c r="BY153" i="1"/>
  <c r="BJ165" i="1"/>
  <c r="BJ164" i="1"/>
  <c r="BY164" i="1" s="1"/>
  <c r="BJ160" i="1"/>
  <c r="BY160" i="1" s="1"/>
  <c r="BC193" i="1"/>
  <c r="BD194" i="1"/>
  <c r="BD193" i="1" s="1"/>
  <c r="BJ361" i="1"/>
  <c r="BI332" i="1"/>
  <c r="BE15" i="1"/>
  <c r="BE23" i="1" s="1"/>
  <c r="BF233" i="1"/>
  <c r="BE194" i="1"/>
  <c r="BE193" i="1" s="1"/>
  <c r="BF356" i="1"/>
  <c r="BX356" i="1" s="1"/>
  <c r="BG328" i="1"/>
  <c r="BD316" i="1"/>
  <c r="BD318" i="1"/>
  <c r="BG219" i="1"/>
  <c r="BF199" i="1"/>
  <c r="BF204" i="1"/>
  <c r="BF203" i="1" s="1"/>
  <c r="BG200" i="1"/>
  <c r="BG205" i="1"/>
  <c r="BG195" i="1" s="1"/>
  <c r="BH220" i="1"/>
  <c r="BE198" i="1"/>
  <c r="BF126" i="1"/>
  <c r="BX126" i="1" s="1"/>
  <c r="BX128" i="1" s="1"/>
  <c r="BE134" i="1"/>
  <c r="BE128" i="1"/>
  <c r="BH127" i="1"/>
  <c r="BG14" i="1"/>
  <c r="BF191" i="1"/>
  <c r="BF22" i="1"/>
  <c r="BT248" i="1"/>
  <c r="BT250" i="1" s="1"/>
  <c r="BT249" i="1"/>
  <c r="BT30" i="1"/>
  <c r="AQ20" i="12"/>
  <c r="AP32" i="1"/>
  <c r="AP41" i="1" s="1"/>
  <c r="BT41" i="1" s="1"/>
  <c r="AO326" i="1"/>
  <c r="AP324" i="1"/>
  <c r="AP326" i="1" s="1"/>
  <c r="AO359" i="1"/>
  <c r="AR373" i="1"/>
  <c r="AP375" i="1"/>
  <c r="BT375" i="1" s="1"/>
  <c r="BT59" i="1"/>
  <c r="AQ30" i="1"/>
  <c r="AT20" i="12" s="1"/>
  <c r="AS9" i="1"/>
  <c r="AS21" i="1"/>
  <c r="AQ31" i="1"/>
  <c r="AQ59" i="1" s="1"/>
  <c r="AQ249" i="1"/>
  <c r="AQ247" i="1"/>
  <c r="AR25" i="1"/>
  <c r="BJ167" i="1" l="1"/>
  <c r="BJ168" i="1"/>
  <c r="BF194" i="1"/>
  <c r="BF193" i="1" s="1"/>
  <c r="BG356" i="1"/>
  <c r="BH328" i="1"/>
  <c r="BH330" i="1" s="1"/>
  <c r="BF15" i="1"/>
  <c r="BG233" i="1"/>
  <c r="BH219" i="1"/>
  <c r="BG204" i="1"/>
  <c r="BG203" i="1" s="1"/>
  <c r="BG199" i="1"/>
  <c r="BJ332" i="1"/>
  <c r="BY361" i="1"/>
  <c r="BH200" i="1"/>
  <c r="BH205" i="1"/>
  <c r="BH195" i="1" s="1"/>
  <c r="BI220" i="1"/>
  <c r="BF198" i="1"/>
  <c r="BG194" i="1"/>
  <c r="BG193" i="1" s="1"/>
  <c r="BE316" i="1"/>
  <c r="BG330" i="1"/>
  <c r="BJ334" i="1"/>
  <c r="BI334" i="1"/>
  <c r="BH14" i="1"/>
  <c r="BG191" i="1"/>
  <c r="BG22" i="1"/>
  <c r="BI127" i="1"/>
  <c r="BF134" i="1"/>
  <c r="BX134" i="1" s="1"/>
  <c r="BG126" i="1"/>
  <c r="BF128" i="1"/>
  <c r="AR20" i="12"/>
  <c r="BT241" i="1"/>
  <c r="BT242" i="1" s="1"/>
  <c r="BT32" i="1"/>
  <c r="AP241" i="1"/>
  <c r="AP242" i="1" s="1"/>
  <c r="AQ22" i="12"/>
  <c r="AP33" i="1"/>
  <c r="AP4" i="1"/>
  <c r="AR58" i="1"/>
  <c r="AU14" i="12"/>
  <c r="AS60" i="1"/>
  <c r="AV10" i="12"/>
  <c r="AQ324" i="1"/>
  <c r="AP359" i="1"/>
  <c r="AQ375" i="1"/>
  <c r="AW382" i="1"/>
  <c r="AS56" i="1"/>
  <c r="AR28" i="1"/>
  <c r="AU18" i="12" s="1"/>
  <c r="AR26" i="1"/>
  <c r="AR27" i="1"/>
  <c r="AU16" i="12" s="1"/>
  <c r="AS132" i="1"/>
  <c r="AT12" i="1"/>
  <c r="AS130" i="1"/>
  <c r="AS10" i="1"/>
  <c r="AS24" i="1"/>
  <c r="AS19" i="1" s="1"/>
  <c r="AV12" i="12" s="1"/>
  <c r="AQ32" i="1"/>
  <c r="BI219" i="1" l="1"/>
  <c r="BH199" i="1"/>
  <c r="BH204" i="1"/>
  <c r="BH203" i="1" s="1"/>
  <c r="BH356" i="1"/>
  <c r="BI328" i="1"/>
  <c r="BE318" i="1"/>
  <c r="BF316" i="1"/>
  <c r="BF318" i="1" s="1"/>
  <c r="BI205" i="1"/>
  <c r="BI195" i="1" s="1"/>
  <c r="BJ220" i="1"/>
  <c r="BI200" i="1"/>
  <c r="BH233" i="1"/>
  <c r="BG15" i="1"/>
  <c r="BG198" i="1"/>
  <c r="BF23" i="1"/>
  <c r="BX15" i="1"/>
  <c r="BH126" i="1"/>
  <c r="BG134" i="1"/>
  <c r="BG128" i="1"/>
  <c r="BJ127" i="1"/>
  <c r="BY127" i="1" s="1"/>
  <c r="BI14" i="1"/>
  <c r="BH191" i="1"/>
  <c r="BH22" i="1"/>
  <c r="BT33" i="1"/>
  <c r="AM16" i="27"/>
  <c r="AM17" i="27" s="1"/>
  <c r="AR22" i="12"/>
  <c r="AT22" i="12"/>
  <c r="AQ326" i="1"/>
  <c r="AR324" i="1"/>
  <c r="AQ359" i="1"/>
  <c r="AS17" i="1"/>
  <c r="AS373" i="1"/>
  <c r="AR30" i="1"/>
  <c r="AU20" i="12" s="1"/>
  <c r="AR31" i="1"/>
  <c r="AR59" i="1" s="1"/>
  <c r="AR249" i="1"/>
  <c r="AS25" i="1"/>
  <c r="AQ4" i="1"/>
  <c r="AQ33" i="1"/>
  <c r="AQ241" i="1"/>
  <c r="AQ242" i="1" s="1"/>
  <c r="AQ41" i="1"/>
  <c r="AT21" i="1"/>
  <c r="AT9" i="1"/>
  <c r="AW10" i="12" s="1"/>
  <c r="BU12" i="1"/>
  <c r="AR247" i="1"/>
  <c r="BG23" i="1" l="1"/>
  <c r="BH198" i="1"/>
  <c r="BH15" i="1"/>
  <c r="BH23" i="1" s="1"/>
  <c r="BI233" i="1"/>
  <c r="BI330" i="1"/>
  <c r="BI356" i="1"/>
  <c r="BJ328" i="1"/>
  <c r="BJ356" i="1" s="1"/>
  <c r="BY356" i="1" s="1"/>
  <c r="BJ219" i="1"/>
  <c r="BI199" i="1"/>
  <c r="BI204" i="1"/>
  <c r="BI203" i="1" s="1"/>
  <c r="BJ200" i="1"/>
  <c r="BJ205" i="1"/>
  <c r="BG316" i="1"/>
  <c r="BH194" i="1"/>
  <c r="BH193" i="1" s="1"/>
  <c r="BJ195" i="1"/>
  <c r="BJ14" i="1"/>
  <c r="BY14" i="1" s="1"/>
  <c r="BI191" i="1"/>
  <c r="BI22" i="1"/>
  <c r="BI126" i="1"/>
  <c r="BH134" i="1"/>
  <c r="BH128" i="1"/>
  <c r="AS58" i="1"/>
  <c r="AV14" i="12"/>
  <c r="AT56" i="1"/>
  <c r="BU56" i="1" s="1"/>
  <c r="AT60" i="1"/>
  <c r="AR326" i="1"/>
  <c r="AR359" i="1"/>
  <c r="AS324" i="1"/>
  <c r="AS326" i="1" s="1"/>
  <c r="AR375" i="1"/>
  <c r="AS16" i="1"/>
  <c r="AR32" i="1"/>
  <c r="BU21" i="1"/>
  <c r="AS28" i="1"/>
  <c r="AV18" i="12" s="1"/>
  <c r="AS26" i="1"/>
  <c r="AS27" i="1"/>
  <c r="AV16" i="12" s="1"/>
  <c r="AU12" i="1"/>
  <c r="AT132" i="1"/>
  <c r="AT10" i="1"/>
  <c r="AT130" i="1"/>
  <c r="AT24" i="1"/>
  <c r="BU24" i="1" s="1"/>
  <c r="AX382" i="1"/>
  <c r="BU9" i="1"/>
  <c r="AX10" i="12" s="1"/>
  <c r="BI194" i="1" l="1"/>
  <c r="BI193" i="1" s="1"/>
  <c r="BJ330" i="1"/>
  <c r="BG318" i="1"/>
  <c r="BH316" i="1"/>
  <c r="BH318" i="1" s="1"/>
  <c r="BI198" i="1"/>
  <c r="BJ199" i="1"/>
  <c r="BJ198" i="1" s="1"/>
  <c r="BJ204" i="1"/>
  <c r="BJ203" i="1" s="1"/>
  <c r="BI15" i="1"/>
  <c r="BI23" i="1" s="1"/>
  <c r="BJ233" i="1"/>
  <c r="BJ15" i="1" s="1"/>
  <c r="BJ23" i="1" s="1"/>
  <c r="BJ191" i="1"/>
  <c r="BJ22" i="1"/>
  <c r="BJ126" i="1"/>
  <c r="BY126" i="1" s="1"/>
  <c r="BY128" i="1" s="1"/>
  <c r="BI134" i="1"/>
  <c r="BI128" i="1"/>
  <c r="AU22" i="12"/>
  <c r="AT373" i="1"/>
  <c r="BU373" i="1" s="1"/>
  <c r="AT17" i="1"/>
  <c r="AT16" i="1" s="1"/>
  <c r="BU16" i="1" s="1"/>
  <c r="BU60" i="1"/>
  <c r="AT324" i="1"/>
  <c r="AT326" i="1" s="1"/>
  <c r="AS359" i="1"/>
  <c r="AR41" i="1"/>
  <c r="AR33" i="1"/>
  <c r="AR241" i="1"/>
  <c r="AR242" i="1" s="1"/>
  <c r="AR4" i="1"/>
  <c r="AS30" i="1"/>
  <c r="AV20" i="12" s="1"/>
  <c r="BU10" i="1"/>
  <c r="BG4" i="21"/>
  <c r="BG5" i="21" s="1"/>
  <c r="AU21" i="1"/>
  <c r="AU9" i="1"/>
  <c r="AU56" i="1" s="1"/>
  <c r="AS247" i="1"/>
  <c r="BV382" i="1"/>
  <c r="AT19" i="1"/>
  <c r="AW12" i="12" s="1"/>
  <c r="AS31" i="1"/>
  <c r="AS59" i="1" s="1"/>
  <c r="AS249" i="1"/>
  <c r="BY15" i="1" l="1"/>
  <c r="BJ194" i="1"/>
  <c r="BJ193" i="1" s="1"/>
  <c r="BI316" i="1"/>
  <c r="BI318" i="1" s="1"/>
  <c r="BJ134" i="1"/>
  <c r="BY134" i="1" s="1"/>
  <c r="BJ128" i="1"/>
  <c r="AY382" i="1"/>
  <c r="BU17" i="1"/>
  <c r="AU60" i="1"/>
  <c r="AU324" i="1"/>
  <c r="AU326" i="1" s="1"/>
  <c r="AT359" i="1"/>
  <c r="AS375" i="1"/>
  <c r="AU373" i="1"/>
  <c r="AU17" i="1"/>
  <c r="AU16" i="1" s="1"/>
  <c r="AS32" i="1"/>
  <c r="BU19" i="1"/>
  <c r="AX12" i="12" s="1"/>
  <c r="AT25" i="1"/>
  <c r="AV12" i="1"/>
  <c r="AU24" i="1"/>
  <c r="AU19" i="1" s="1"/>
  <c r="AU130" i="1"/>
  <c r="AU132" i="1"/>
  <c r="AU10" i="1"/>
  <c r="BJ316" i="1" l="1"/>
  <c r="BJ318" i="1" s="1"/>
  <c r="AT58" i="1"/>
  <c r="BU58" i="1" s="1"/>
  <c r="AW14" i="12"/>
  <c r="AS33" i="1"/>
  <c r="AV22" i="12"/>
  <c r="AV324" i="1"/>
  <c r="AU359" i="1"/>
  <c r="AS41" i="1"/>
  <c r="AS4" i="1"/>
  <c r="AS241" i="1"/>
  <c r="AS242" i="1" s="1"/>
  <c r="AU25" i="1"/>
  <c r="AU58" i="1" s="1"/>
  <c r="AV21" i="1"/>
  <c r="AV9" i="1"/>
  <c r="AT27" i="1"/>
  <c r="AW16" i="12" s="1"/>
  <c r="AT26" i="1"/>
  <c r="AT28" i="1"/>
  <c r="AW18" i="12" s="1"/>
  <c r="BU243" i="1"/>
  <c r="BU244" i="1" s="1"/>
  <c r="BU25" i="1"/>
  <c r="AX14" i="12" s="1"/>
  <c r="AV56" i="1" l="1"/>
  <c r="AV373" i="1" s="1"/>
  <c r="AZ382" i="1"/>
  <c r="AV60" i="1"/>
  <c r="AW324" i="1"/>
  <c r="AV359" i="1"/>
  <c r="AV326" i="1"/>
  <c r="BU26" i="1"/>
  <c r="AT31" i="1"/>
  <c r="AT249" i="1"/>
  <c r="BU28" i="1"/>
  <c r="AX18" i="12" s="1"/>
  <c r="AW12" i="1"/>
  <c r="AV24" i="1"/>
  <c r="AV10" i="1"/>
  <c r="AV132" i="1"/>
  <c r="AV130" i="1"/>
  <c r="AT247" i="1"/>
  <c r="BU27" i="1"/>
  <c r="AX16" i="12" s="1"/>
  <c r="AU28" i="1"/>
  <c r="AU27" i="1"/>
  <c r="AU26" i="1"/>
  <c r="AT30" i="1"/>
  <c r="AW20" i="12" s="1"/>
  <c r="AV17" i="1" l="1"/>
  <c r="AV16" i="1" s="1"/>
  <c r="AV19" i="1"/>
  <c r="AX324" i="1"/>
  <c r="AW359" i="1"/>
  <c r="AW326" i="1"/>
  <c r="BU31" i="1"/>
  <c r="AT59" i="1"/>
  <c r="AT32" i="1"/>
  <c r="AW21" i="1"/>
  <c r="AW9" i="1"/>
  <c r="AU31" i="1"/>
  <c r="AU59" i="1" s="1"/>
  <c r="AU249" i="1"/>
  <c r="BU248" i="1"/>
  <c r="BU250" i="1" s="1"/>
  <c r="BU249" i="1"/>
  <c r="AU247" i="1"/>
  <c r="AU30" i="1"/>
  <c r="BU245" i="1"/>
  <c r="BU246" i="1" s="1"/>
  <c r="BU247" i="1"/>
  <c r="BU30" i="1"/>
  <c r="AX359" i="1" l="1"/>
  <c r="AY324" i="1"/>
  <c r="AW56" i="1"/>
  <c r="AW17" i="1" s="1"/>
  <c r="AV25" i="1"/>
  <c r="BA382" i="1"/>
  <c r="AX20" i="12"/>
  <c r="AT41" i="1"/>
  <c r="BU41" i="1" s="1"/>
  <c r="AW22" i="12"/>
  <c r="AW60" i="1"/>
  <c r="AX326" i="1"/>
  <c r="AT375" i="1"/>
  <c r="BU375" i="1" s="1"/>
  <c r="BU59" i="1"/>
  <c r="AU375" i="1"/>
  <c r="AT33" i="1"/>
  <c r="AT241" i="1"/>
  <c r="AT242" i="1" s="1"/>
  <c r="AU32" i="1"/>
  <c r="AU241" i="1" s="1"/>
  <c r="AT4" i="1"/>
  <c r="BU32" i="1"/>
  <c r="BU241" i="1"/>
  <c r="BU242" i="1" s="1"/>
  <c r="AW24" i="1"/>
  <c r="AW132" i="1"/>
  <c r="AX12" i="1"/>
  <c r="AW130" i="1"/>
  <c r="AW10" i="1"/>
  <c r="AZ324" i="1" l="1"/>
  <c r="AY359" i="1"/>
  <c r="AY387" i="1" s="1"/>
  <c r="AY326" i="1"/>
  <c r="AW373" i="1"/>
  <c r="AV58" i="1"/>
  <c r="AV27" i="1"/>
  <c r="AV26" i="1"/>
  <c r="AV28" i="1"/>
  <c r="AW16" i="1"/>
  <c r="AW19" i="1"/>
  <c r="AW25" i="1" s="1"/>
  <c r="AW58" i="1" s="1"/>
  <c r="AX22" i="12"/>
  <c r="AU41" i="1"/>
  <c r="AU4" i="1"/>
  <c r="AU242" i="1"/>
  <c r="AU33" i="1"/>
  <c r="AX9" i="1"/>
  <c r="AX21" i="1"/>
  <c r="BV12" i="1"/>
  <c r="BU33" i="1"/>
  <c r="AY266" i="1" l="1"/>
  <c r="BA324" i="1"/>
  <c r="AZ359" i="1"/>
  <c r="AZ387" i="1" s="1"/>
  <c r="AZ266" i="1" s="1"/>
  <c r="AZ326" i="1"/>
  <c r="AV247" i="1"/>
  <c r="AV30" i="1"/>
  <c r="AV249" i="1"/>
  <c r="AV31" i="1"/>
  <c r="AX56" i="1"/>
  <c r="AX17" i="1" s="1"/>
  <c r="AY12" i="1"/>
  <c r="BB382" i="1"/>
  <c r="BW382" i="1" s="1"/>
  <c r="AX60" i="1"/>
  <c r="AW27" i="1"/>
  <c r="AW26" i="1"/>
  <c r="AW28" i="1"/>
  <c r="AX132" i="1"/>
  <c r="AX24" i="1"/>
  <c r="AX130" i="1"/>
  <c r="AX10" i="1"/>
  <c r="BV9" i="1"/>
  <c r="BV21" i="1"/>
  <c r="BB324" i="1" l="1"/>
  <c r="BA359" i="1"/>
  <c r="BA387" i="1" s="1"/>
  <c r="BA266" i="1" s="1"/>
  <c r="BA326" i="1"/>
  <c r="AX373" i="1"/>
  <c r="BV373" i="1" s="1"/>
  <c r="BV17" i="1"/>
  <c r="BV56" i="1"/>
  <c r="BV24" i="1"/>
  <c r="AV59" i="1"/>
  <c r="AV32" i="1"/>
  <c r="BV60" i="1"/>
  <c r="AY21" i="1"/>
  <c r="AY9" i="1"/>
  <c r="AX16" i="1"/>
  <c r="AW31" i="1"/>
  <c r="AW249" i="1"/>
  <c r="AX19" i="1"/>
  <c r="AW30" i="1"/>
  <c r="BH4" i="21"/>
  <c r="BH5" i="21" s="1"/>
  <c r="BV10" i="1"/>
  <c r="AW247" i="1"/>
  <c r="BC324" i="1" l="1"/>
  <c r="BB359" i="1"/>
  <c r="BB326" i="1"/>
  <c r="AV33" i="1"/>
  <c r="AV4" i="1"/>
  <c r="AV241" i="1"/>
  <c r="AV242" i="1" s="1"/>
  <c r="AV41" i="1"/>
  <c r="BW21" i="1"/>
  <c r="AW59" i="1"/>
  <c r="AW375" i="1" s="1"/>
  <c r="BV16" i="1"/>
  <c r="AV375" i="1"/>
  <c r="AY10" i="1"/>
  <c r="AY130" i="1"/>
  <c r="AY132" i="1"/>
  <c r="AY24" i="1"/>
  <c r="AY56" i="1"/>
  <c r="AZ12" i="1"/>
  <c r="AY60" i="1"/>
  <c r="BC382" i="1"/>
  <c r="AW32" i="1"/>
  <c r="AW241" i="1" s="1"/>
  <c r="BV19" i="1"/>
  <c r="AX25" i="1"/>
  <c r="AX58" i="1" s="1"/>
  <c r="BC326" i="1" l="1"/>
  <c r="BD324" i="1"/>
  <c r="BC359" i="1"/>
  <c r="BC387" i="1" s="1"/>
  <c r="BW359" i="1"/>
  <c r="BB387" i="1"/>
  <c r="AW242" i="1"/>
  <c r="AY19" i="1"/>
  <c r="BW24" i="1"/>
  <c r="BV58" i="1"/>
  <c r="AY17" i="1"/>
  <c r="AY373" i="1"/>
  <c r="AZ21" i="1"/>
  <c r="AZ9" i="1"/>
  <c r="AW33" i="1"/>
  <c r="AW4" i="1"/>
  <c r="AW41" i="1"/>
  <c r="AX28" i="1"/>
  <c r="AX26" i="1"/>
  <c r="AX27" i="1"/>
  <c r="BV243" i="1"/>
  <c r="BV244" i="1" s="1"/>
  <c r="BV25" i="1"/>
  <c r="BB266" i="1" l="1"/>
  <c r="BW387" i="1"/>
  <c r="BC266" i="1"/>
  <c r="BD326" i="1"/>
  <c r="BE324" i="1"/>
  <c r="BD359" i="1"/>
  <c r="BD387" i="1" s="1"/>
  <c r="BD266" i="1" s="1"/>
  <c r="BX21" i="1"/>
  <c r="AY16" i="1"/>
  <c r="AY25" i="1"/>
  <c r="AZ60" i="1"/>
  <c r="AZ10" i="1"/>
  <c r="AZ130" i="1"/>
  <c r="AZ132" i="1"/>
  <c r="AZ56" i="1"/>
  <c r="AZ24" i="1"/>
  <c r="BA12" i="1"/>
  <c r="BD382" i="1"/>
  <c r="AX30" i="1"/>
  <c r="AX247" i="1"/>
  <c r="BV27" i="1"/>
  <c r="BV26" i="1"/>
  <c r="AX249" i="1"/>
  <c r="AX31" i="1"/>
  <c r="BV28" i="1"/>
  <c r="BE326" i="1" l="1"/>
  <c r="BF324" i="1"/>
  <c r="BE359" i="1"/>
  <c r="BE387" i="1" s="1"/>
  <c r="BE266" i="1" s="1"/>
  <c r="AZ19" i="1"/>
  <c r="BX24" i="1"/>
  <c r="AY27" i="1"/>
  <c r="AY28" i="1"/>
  <c r="AY26" i="1"/>
  <c r="AY58" i="1"/>
  <c r="AZ17" i="1"/>
  <c r="AZ373" i="1"/>
  <c r="BA21" i="1"/>
  <c r="BY21" i="1" s="1"/>
  <c r="BA9" i="1"/>
  <c r="BV31" i="1"/>
  <c r="AX59" i="1"/>
  <c r="AX32" i="1"/>
  <c r="AX241" i="1" s="1"/>
  <c r="AX242" i="1" s="1"/>
  <c r="BV248" i="1"/>
  <c r="BV250" i="1" s="1"/>
  <c r="BV249" i="1"/>
  <c r="BV245" i="1"/>
  <c r="BV246" i="1" s="1"/>
  <c r="BV247" i="1"/>
  <c r="BV30" i="1"/>
  <c r="BG324" i="1" l="1"/>
  <c r="BF359" i="1"/>
  <c r="BF326" i="1"/>
  <c r="AY30" i="1"/>
  <c r="AY247" i="1"/>
  <c r="AY249" i="1"/>
  <c r="AY31" i="1"/>
  <c r="BE382" i="1"/>
  <c r="AZ16" i="1"/>
  <c r="AZ25" i="1"/>
  <c r="BA10" i="1"/>
  <c r="BA130" i="1"/>
  <c r="BA132" i="1"/>
  <c r="BA24" i="1"/>
  <c r="BB12" i="1"/>
  <c r="BW12" i="1" s="1"/>
  <c r="BA56" i="1"/>
  <c r="BA60" i="1"/>
  <c r="AX375" i="1"/>
  <c r="BV59" i="1"/>
  <c r="AX4" i="1"/>
  <c r="AX33" i="1"/>
  <c r="AX41" i="1"/>
  <c r="BV241" i="1"/>
  <c r="BV242" i="1" s="1"/>
  <c r="BV32" i="1"/>
  <c r="BH324" i="1" l="1"/>
  <c r="BG359" i="1"/>
  <c r="BG387" i="1" s="1"/>
  <c r="BX359" i="1"/>
  <c r="BF387" i="1"/>
  <c r="BG326" i="1"/>
  <c r="BV375" i="1"/>
  <c r="BA19" i="1"/>
  <c r="BY24" i="1"/>
  <c r="AZ27" i="1"/>
  <c r="AZ58" i="1"/>
  <c r="AZ28" i="1"/>
  <c r="AZ26" i="1"/>
  <c r="AY59" i="1"/>
  <c r="AY32" i="1"/>
  <c r="BA17" i="1"/>
  <c r="BA373" i="1"/>
  <c r="BV41" i="1"/>
  <c r="BB21" i="1"/>
  <c r="BB9" i="1"/>
  <c r="BV33" i="1"/>
  <c r="BF266" i="1" l="1"/>
  <c r="BX387" i="1"/>
  <c r="BG266" i="1"/>
  <c r="BH326" i="1"/>
  <c r="BI324" i="1"/>
  <c r="BH359" i="1"/>
  <c r="BH387" i="1" s="1"/>
  <c r="BH266" i="1" s="1"/>
  <c r="BB60" i="1"/>
  <c r="BW60" i="1" s="1"/>
  <c r="BW9" i="1"/>
  <c r="AY241" i="1"/>
  <c r="AY242" i="1" s="1"/>
  <c r="AY4" i="1"/>
  <c r="AY33" i="1"/>
  <c r="AY41" i="1"/>
  <c r="AZ249" i="1"/>
  <c r="AZ31" i="1"/>
  <c r="BA25" i="1"/>
  <c r="AY375" i="1"/>
  <c r="AZ247" i="1"/>
  <c r="BA16" i="1"/>
  <c r="AZ30" i="1"/>
  <c r="BB10" i="1"/>
  <c r="BB130" i="1"/>
  <c r="BB132" i="1"/>
  <c r="BB24" i="1"/>
  <c r="BB19" i="1" s="1"/>
  <c r="BB25" i="1" s="1"/>
  <c r="BC12" i="1"/>
  <c r="BB56" i="1"/>
  <c r="BW56" i="1" s="1"/>
  <c r="BF382" i="1"/>
  <c r="BX382" i="1" s="1"/>
  <c r="AH24" i="12"/>
  <c r="AI5" i="1"/>
  <c r="AI275" i="1"/>
  <c r="AI300" i="1"/>
  <c r="BJ324" i="1" l="1"/>
  <c r="BJ359" i="1" s="1"/>
  <c r="BI359" i="1"/>
  <c r="BI387" i="1" s="1"/>
  <c r="BI266" i="1" s="1"/>
  <c r="BI326" i="1"/>
  <c r="BW19" i="1"/>
  <c r="BW243" i="1" s="1"/>
  <c r="AZ32" i="1"/>
  <c r="AZ4" i="1" s="1"/>
  <c r="BW10" i="1"/>
  <c r="BA26" i="1"/>
  <c r="BA28" i="1"/>
  <c r="BA27" i="1"/>
  <c r="BA58" i="1"/>
  <c r="AZ59" i="1"/>
  <c r="BB28" i="1"/>
  <c r="BB27" i="1"/>
  <c r="BB247" i="1" s="1"/>
  <c r="BB58" i="1"/>
  <c r="BB26" i="1"/>
  <c r="BB17" i="1"/>
  <c r="BB373" i="1"/>
  <c r="BW373" i="1" s="1"/>
  <c r="BC21" i="1"/>
  <c r="BC9" i="1"/>
  <c r="AJ300" i="1"/>
  <c r="AI339" i="1"/>
  <c r="AI302" i="1"/>
  <c r="BJ326" i="1" l="1"/>
  <c r="BY359" i="1"/>
  <c r="BJ387" i="1"/>
  <c r="BJ266" i="1" s="1"/>
  <c r="BW58" i="1"/>
  <c r="BW28" i="1"/>
  <c r="BW249" i="1" s="1"/>
  <c r="AZ241" i="1"/>
  <c r="AZ242" i="1" s="1"/>
  <c r="BW25" i="1"/>
  <c r="BW26" i="1" s="1"/>
  <c r="BW27" i="1"/>
  <c r="BW245" i="1" s="1"/>
  <c r="BW246" i="1" s="1"/>
  <c r="BB16" i="1"/>
  <c r="BW16" i="1" s="1"/>
  <c r="BW17" i="1"/>
  <c r="AZ41" i="1"/>
  <c r="AZ33" i="1"/>
  <c r="BG382" i="1"/>
  <c r="BW244" i="1"/>
  <c r="BA249" i="1"/>
  <c r="BA31" i="1"/>
  <c r="BA30" i="1"/>
  <c r="BA247" i="1"/>
  <c r="AZ375" i="1"/>
  <c r="BB30" i="1"/>
  <c r="BC10" i="1"/>
  <c r="BC130" i="1"/>
  <c r="BC132" i="1"/>
  <c r="BC24" i="1"/>
  <c r="BC19" i="1" s="1"/>
  <c r="BD12" i="1"/>
  <c r="BC56" i="1"/>
  <c r="BC60" i="1"/>
  <c r="BB249" i="1"/>
  <c r="BB31" i="1"/>
  <c r="BB59" i="1" s="1"/>
  <c r="BB375" i="1" s="1"/>
  <c r="AJ302" i="1"/>
  <c r="AK300" i="1"/>
  <c r="AL302" i="1" l="1"/>
  <c r="AL300" i="1"/>
  <c r="BY387" i="1"/>
  <c r="BW248" i="1"/>
  <c r="BW250" i="1" s="1"/>
  <c r="BW31" i="1"/>
  <c r="BW30" i="1"/>
  <c r="BW241" i="1" s="1"/>
  <c r="BW242" i="1" s="1"/>
  <c r="BW247" i="1"/>
  <c r="BC25" i="1"/>
  <c r="BC28" i="1" s="1"/>
  <c r="BA59" i="1"/>
  <c r="BW59" i="1" s="1"/>
  <c r="BA32" i="1"/>
  <c r="BC17" i="1"/>
  <c r="BC373" i="1"/>
  <c r="BD21" i="1"/>
  <c r="BD9" i="1"/>
  <c r="BB32" i="1"/>
  <c r="AK302" i="1"/>
  <c r="AM300" i="1"/>
  <c r="BW32" i="1" l="1"/>
  <c r="BW33" i="1" s="1"/>
  <c r="BC26" i="1"/>
  <c r="BC58" i="1"/>
  <c r="BC27" i="1"/>
  <c r="BC30" i="1" s="1"/>
  <c r="BC16" i="1"/>
  <c r="BA4" i="1"/>
  <c r="BA33" i="1"/>
  <c r="BA41" i="1"/>
  <c r="BA241" i="1"/>
  <c r="BA242" i="1" s="1"/>
  <c r="BA375" i="1"/>
  <c r="BW375" i="1" s="1"/>
  <c r="BC249" i="1"/>
  <c r="BC31" i="1"/>
  <c r="BD10" i="1"/>
  <c r="BD130" i="1"/>
  <c r="BD132" i="1"/>
  <c r="BD24" i="1"/>
  <c r="BD19" i="1" s="1"/>
  <c r="BE12" i="1"/>
  <c r="BD56" i="1"/>
  <c r="BH382" i="1"/>
  <c r="BD60" i="1"/>
  <c r="BB4" i="1"/>
  <c r="BB33" i="1"/>
  <c r="BB241" i="1"/>
  <c r="AN300" i="1"/>
  <c r="AN302" i="1" s="1"/>
  <c r="AM302" i="1"/>
  <c r="BS359" i="1"/>
  <c r="BC247" i="1" l="1"/>
  <c r="BC59" i="1"/>
  <c r="BD25" i="1"/>
  <c r="BD58" i="1" s="1"/>
  <c r="BB41" i="1"/>
  <c r="BW41" i="1" s="1"/>
  <c r="BB242" i="1"/>
  <c r="BC32" i="1"/>
  <c r="BC241" i="1" s="1"/>
  <c r="BC242" i="1" s="1"/>
  <c r="BE21" i="1"/>
  <c r="BE9" i="1"/>
  <c r="BD17" i="1"/>
  <c r="BD373" i="1"/>
  <c r="AO300" i="1"/>
  <c r="AO302" i="1" s="1"/>
  <c r="AM387" i="1"/>
  <c r="AM266" i="1" s="1"/>
  <c r="BS387" i="1"/>
  <c r="BC375" i="1" l="1"/>
  <c r="BD28" i="1"/>
  <c r="BD31" i="1" s="1"/>
  <c r="BD27" i="1"/>
  <c r="BD247" i="1" s="1"/>
  <c r="BD26" i="1"/>
  <c r="BD16" i="1"/>
  <c r="BC33" i="1"/>
  <c r="BC4" i="1"/>
  <c r="BC41" i="1"/>
  <c r="BI382" i="1"/>
  <c r="BE10" i="1"/>
  <c r="BE130" i="1"/>
  <c r="BE132" i="1"/>
  <c r="BF12" i="1"/>
  <c r="BX12" i="1" s="1"/>
  <c r="BE24" i="1"/>
  <c r="BE19" i="1" s="1"/>
  <c r="BE56" i="1"/>
  <c r="BE60" i="1"/>
  <c r="AP300" i="1"/>
  <c r="AP302" i="1" s="1"/>
  <c r="AN387" i="1"/>
  <c r="AN266" i="1" s="1"/>
  <c r="BD249" i="1" l="1"/>
  <c r="BD30" i="1"/>
  <c r="BD32" i="1" s="1"/>
  <c r="BD59" i="1"/>
  <c r="BE25" i="1"/>
  <c r="BE58" i="1" s="1"/>
  <c r="BF21" i="1"/>
  <c r="BF9" i="1"/>
  <c r="BX9" i="1" s="1"/>
  <c r="BE17" i="1"/>
  <c r="BE373" i="1"/>
  <c r="AO387" i="1"/>
  <c r="AO266" i="1" s="1"/>
  <c r="AQ300" i="1"/>
  <c r="AQ302" i="1" s="1"/>
  <c r="BD375" i="1" l="1"/>
  <c r="BE28" i="1"/>
  <c r="BE26" i="1"/>
  <c r="BE27" i="1"/>
  <c r="BE16" i="1"/>
  <c r="BX10" i="1"/>
  <c r="BF10" i="1"/>
  <c r="BF130" i="1"/>
  <c r="BF132" i="1"/>
  <c r="BF24" i="1"/>
  <c r="BF19" i="1" s="1"/>
  <c r="BG12" i="1"/>
  <c r="BF56" i="1"/>
  <c r="BX56" i="1" s="1"/>
  <c r="BJ382" i="1"/>
  <c r="BY382" i="1" s="1"/>
  <c r="BF60" i="1"/>
  <c r="BX60" i="1" s="1"/>
  <c r="BD4" i="1"/>
  <c r="BD33" i="1"/>
  <c r="BD241" i="1"/>
  <c r="BD242" i="1" s="1"/>
  <c r="BD41" i="1"/>
  <c r="BT359" i="1"/>
  <c r="AP387" i="1"/>
  <c r="AP266" i="1" s="1"/>
  <c r="AR300" i="1"/>
  <c r="BE249" i="1" l="1"/>
  <c r="BE31" i="1"/>
  <c r="BE247" i="1"/>
  <c r="BF25" i="1"/>
  <c r="BF27" i="1" s="1"/>
  <c r="BF247" i="1" s="1"/>
  <c r="BX19" i="1"/>
  <c r="BE30" i="1"/>
  <c r="BF17" i="1"/>
  <c r="BF373" i="1"/>
  <c r="BX373" i="1" s="1"/>
  <c r="BG21" i="1"/>
  <c r="BG9" i="1"/>
  <c r="BT387" i="1"/>
  <c r="AS300" i="1"/>
  <c r="AS302" i="1" s="1"/>
  <c r="AQ387" i="1"/>
  <c r="AQ266" i="1" s="1"/>
  <c r="AR302" i="1"/>
  <c r="BE32" i="1" l="1"/>
  <c r="BE4" i="1" s="1"/>
  <c r="BE59" i="1"/>
  <c r="BF28" i="1"/>
  <c r="BX28" i="1" s="1"/>
  <c r="BX249" i="1" s="1"/>
  <c r="BF26" i="1"/>
  <c r="BX27" i="1"/>
  <c r="BX247" i="1" s="1"/>
  <c r="BF58" i="1"/>
  <c r="BX58" i="1" s="1"/>
  <c r="BX25" i="1"/>
  <c r="BX243" i="1"/>
  <c r="BX244" i="1" s="1"/>
  <c r="BF16" i="1"/>
  <c r="BX16" i="1" s="1"/>
  <c r="BX17" i="1"/>
  <c r="BG60" i="1"/>
  <c r="BG10" i="1"/>
  <c r="BG130" i="1"/>
  <c r="BG132" i="1"/>
  <c r="BG24" i="1"/>
  <c r="BG19" i="1" s="1"/>
  <c r="BH12" i="1"/>
  <c r="BG56" i="1"/>
  <c r="AR387" i="1"/>
  <c r="AR266" i="1" s="1"/>
  <c r="AT300" i="1"/>
  <c r="BE241" i="1" l="1"/>
  <c r="BE242" i="1" s="1"/>
  <c r="BE33" i="1"/>
  <c r="BE41" i="1"/>
  <c r="BE375" i="1"/>
  <c r="BF249" i="1"/>
  <c r="BF30" i="1"/>
  <c r="BF31" i="1"/>
  <c r="BF59" i="1" s="1"/>
  <c r="BF375" i="1" s="1"/>
  <c r="BX245" i="1"/>
  <c r="BX246" i="1" s="1"/>
  <c r="BG25" i="1"/>
  <c r="BG27" i="1" s="1"/>
  <c r="BX26" i="1"/>
  <c r="BX30" i="1"/>
  <c r="BX248" i="1"/>
  <c r="BX250" i="1" s="1"/>
  <c r="BG17" i="1"/>
  <c r="BG373" i="1"/>
  <c r="BH21" i="1"/>
  <c r="BH9" i="1"/>
  <c r="AU300" i="1"/>
  <c r="AU302" i="1" s="1"/>
  <c r="AS387" i="1"/>
  <c r="AS266" i="1" s="1"/>
  <c r="AT302" i="1"/>
  <c r="BX375" i="1" l="1"/>
  <c r="BX59" i="1"/>
  <c r="BG26" i="1"/>
  <c r="BX31" i="1"/>
  <c r="BX32" i="1" s="1"/>
  <c r="BX33" i="1" s="1"/>
  <c r="BF32" i="1"/>
  <c r="BF41" i="1" s="1"/>
  <c r="BX41" i="1" s="1"/>
  <c r="BG58" i="1"/>
  <c r="BG28" i="1"/>
  <c r="BG31" i="1" s="1"/>
  <c r="BG247" i="1"/>
  <c r="BX241" i="1"/>
  <c r="BX242" i="1" s="1"/>
  <c r="BG16" i="1"/>
  <c r="BH10" i="1"/>
  <c r="BH130" i="1"/>
  <c r="BH132" i="1"/>
  <c r="BH24" i="1"/>
  <c r="BH19" i="1" s="1"/>
  <c r="BI12" i="1"/>
  <c r="BH56" i="1"/>
  <c r="BH60" i="1"/>
  <c r="AT387" i="1"/>
  <c r="AT266" i="1" s="1"/>
  <c r="BU359" i="1"/>
  <c r="AV300" i="1"/>
  <c r="BF241" i="1" l="1"/>
  <c r="BF242" i="1" s="1"/>
  <c r="BG249" i="1"/>
  <c r="BF33" i="1"/>
  <c r="BF4" i="1"/>
  <c r="BG30" i="1"/>
  <c r="BG32" i="1" s="1"/>
  <c r="BG59" i="1"/>
  <c r="BH25" i="1"/>
  <c r="BH58" i="1" s="1"/>
  <c r="BH17" i="1"/>
  <c r="BH373" i="1"/>
  <c r="BI21" i="1"/>
  <c r="BI9" i="1"/>
  <c r="BU387" i="1"/>
  <c r="AW300" i="1"/>
  <c r="AW302" i="1" s="1"/>
  <c r="AU387" i="1"/>
  <c r="AU266" i="1" s="1"/>
  <c r="AV302" i="1"/>
  <c r="BG375" i="1" l="1"/>
  <c r="BH26" i="1"/>
  <c r="BH27" i="1"/>
  <c r="BH247" i="1" s="1"/>
  <c r="BH28" i="1"/>
  <c r="BH249" i="1" s="1"/>
  <c r="BH16" i="1"/>
  <c r="BI60" i="1"/>
  <c r="BG4" i="1"/>
  <c r="BG33" i="1"/>
  <c r="BG241" i="1"/>
  <c r="BG242" i="1" s="1"/>
  <c r="BG41" i="1"/>
  <c r="BI10" i="1"/>
  <c r="BI130" i="1"/>
  <c r="BI132" i="1"/>
  <c r="BI24" i="1"/>
  <c r="BI19" i="1" s="1"/>
  <c r="BJ12" i="1"/>
  <c r="BY12" i="1" s="1"/>
  <c r="BI56" i="1"/>
  <c r="AX300" i="1"/>
  <c r="AV387" i="1"/>
  <c r="AV266" i="1" s="1"/>
  <c r="AX302" i="1" l="1"/>
  <c r="AY300" i="1"/>
  <c r="AZ300" i="1" s="1"/>
  <c r="AY302" i="1"/>
  <c r="BH31" i="1"/>
  <c r="BH30" i="1"/>
  <c r="BI25" i="1"/>
  <c r="BI28" i="1" s="1"/>
  <c r="BI17" i="1"/>
  <c r="BI373" i="1"/>
  <c r="BJ21" i="1"/>
  <c r="BJ9" i="1"/>
  <c r="BY9" i="1" s="1"/>
  <c r="AW387" i="1"/>
  <c r="AW266" i="1" s="1"/>
  <c r="AZ302" i="1" l="1"/>
  <c r="BA300" i="1"/>
  <c r="BH32" i="1"/>
  <c r="BH59" i="1"/>
  <c r="BI58" i="1"/>
  <c r="BI26" i="1"/>
  <c r="BI27" i="1"/>
  <c r="BI30" i="1" s="1"/>
  <c r="BI16" i="1"/>
  <c r="BY10" i="1"/>
  <c r="BI249" i="1"/>
  <c r="BI31" i="1"/>
  <c r="BI59" i="1" s="1"/>
  <c r="BI375" i="1" s="1"/>
  <c r="BJ10" i="1"/>
  <c r="BJ130" i="1"/>
  <c r="BJ132" i="1"/>
  <c r="BJ24" i="1"/>
  <c r="BJ19" i="1" s="1"/>
  <c r="BJ56" i="1"/>
  <c r="BY56" i="1" s="1"/>
  <c r="BJ60" i="1"/>
  <c r="BY60" i="1" s="1"/>
  <c r="AX387" i="1"/>
  <c r="AX266" i="1" s="1"/>
  <c r="BV359" i="1"/>
  <c r="BH41" i="1" l="1"/>
  <c r="BA302" i="1"/>
  <c r="BB300" i="1"/>
  <c r="BH375" i="1"/>
  <c r="BH241" i="1"/>
  <c r="BH242" i="1" s="1"/>
  <c r="BH33" i="1"/>
  <c r="BH4" i="1"/>
  <c r="BI247" i="1"/>
  <c r="BJ25" i="1"/>
  <c r="BJ58" i="1" s="1"/>
  <c r="BY58" i="1" s="1"/>
  <c r="BY19" i="1"/>
  <c r="BJ17" i="1"/>
  <c r="BJ373" i="1"/>
  <c r="BY373" i="1" s="1"/>
  <c r="BI32" i="1"/>
  <c r="BV387" i="1"/>
  <c r="BC302" i="1" l="1"/>
  <c r="BC300" i="1"/>
  <c r="BB302" i="1"/>
  <c r="BJ28" i="1"/>
  <c r="BY28" i="1" s="1"/>
  <c r="BY249" i="1" s="1"/>
  <c r="BJ27" i="1"/>
  <c r="BJ26" i="1"/>
  <c r="BY25" i="1"/>
  <c r="BY243" i="1"/>
  <c r="BY244" i="1" s="1"/>
  <c r="BJ16" i="1"/>
  <c r="BY16" i="1" s="1"/>
  <c r="BY17" i="1"/>
  <c r="BI4" i="1"/>
  <c r="BI33" i="1"/>
  <c r="BI241" i="1"/>
  <c r="BI242" i="1" s="1"/>
  <c r="BI41" i="1"/>
  <c r="AI24" i="12"/>
  <c r="AI26" i="12"/>
  <c r="AJ5" i="1"/>
  <c r="AJ6" i="1"/>
  <c r="AJ321" i="1"/>
  <c r="AJ320" i="1" s="1"/>
  <c r="AJ339" i="1" s="1"/>
  <c r="AJ287" i="1"/>
  <c r="BD300" i="1" l="1"/>
  <c r="BD302" i="1" s="1"/>
  <c r="BJ31" i="1"/>
  <c r="BJ30" i="1"/>
  <c r="BJ249" i="1"/>
  <c r="BJ247" i="1"/>
  <c r="BY27" i="1"/>
  <c r="BY248" i="1"/>
  <c r="BY250" i="1" s="1"/>
  <c r="BY26" i="1"/>
  <c r="AJ289" i="1"/>
  <c r="AJ322" i="1"/>
  <c r="AJ258" i="1"/>
  <c r="AJ259" i="1"/>
  <c r="AJ260" i="1"/>
  <c r="BE300" i="1" l="1"/>
  <c r="BF300" i="1" s="1"/>
  <c r="BJ32" i="1"/>
  <c r="BJ4" i="1" s="1"/>
  <c r="BY31" i="1"/>
  <c r="BJ59" i="1"/>
  <c r="BY247" i="1"/>
  <c r="BY245" i="1"/>
  <c r="BY246" i="1" s="1"/>
  <c r="BY30" i="1"/>
  <c r="AR67" i="21"/>
  <c r="AR68" i="21" s="1"/>
  <c r="AJ176" i="1"/>
  <c r="AJ180" i="1"/>
  <c r="AJ175" i="1" s="1"/>
  <c r="BF302" i="1" l="1"/>
  <c r="BG300" i="1"/>
  <c r="BH300" i="1" s="1"/>
  <c r="BG302" i="1"/>
  <c r="BE302" i="1"/>
  <c r="BJ375" i="1"/>
  <c r="BY375" i="1" s="1"/>
  <c r="BY59" i="1"/>
  <c r="BJ41" i="1"/>
  <c r="BY41" i="1" s="1"/>
  <c r="BY32" i="1"/>
  <c r="BY33" i="1" s="1"/>
  <c r="BJ241" i="1"/>
  <c r="BJ242" i="1" s="1"/>
  <c r="BJ33" i="1"/>
  <c r="BY241" i="1"/>
  <c r="BY242" i="1" s="1"/>
  <c r="AJ177" i="1"/>
  <c r="AJ275" i="1"/>
  <c r="BH302" i="1" l="1"/>
  <c r="BI300" i="1"/>
  <c r="AD36" i="27"/>
  <c r="AJ24" i="12"/>
  <c r="AJ26" i="12"/>
  <c r="AK5" i="1"/>
  <c r="AK6" i="1"/>
  <c r="BS388" i="1"/>
  <c r="BI302" i="1" l="1"/>
  <c r="BJ300" i="1"/>
  <c r="BJ302" i="1" s="1"/>
  <c r="AK321" i="1"/>
  <c r="AK320" i="1" s="1"/>
  <c r="AL320" i="1" l="1"/>
  <c r="AL339" i="1" s="1"/>
  <c r="D3" i="16" s="1"/>
  <c r="AK322" i="1"/>
  <c r="AK338" i="1" s="1"/>
  <c r="AK339" i="1"/>
  <c r="AL322" i="1" l="1"/>
  <c r="AL338" i="1" s="1"/>
  <c r="AK287" i="1"/>
  <c r="AK289" i="1" l="1"/>
  <c r="AM283" i="1"/>
  <c r="AN283" i="1" s="1"/>
  <c r="AO283" i="1" s="1"/>
  <c r="AP283" i="1" s="1"/>
  <c r="AQ283" i="1" s="1"/>
  <c r="AR283" i="1" s="1"/>
  <c r="AS283" i="1" s="1"/>
  <c r="AT283" i="1" s="1"/>
  <c r="AU283" i="1" s="1"/>
  <c r="AV283" i="1" s="1"/>
  <c r="AW283" i="1" s="1"/>
  <c r="AX283" i="1" s="1"/>
  <c r="AY283" i="1" s="1"/>
  <c r="AZ283" i="1" s="1"/>
  <c r="BA283" i="1" s="1"/>
  <c r="BB283" i="1" s="1"/>
  <c r="BC283" i="1" s="1"/>
  <c r="BD283" i="1" s="1"/>
  <c r="BE283" i="1" s="1"/>
  <c r="BF283" i="1" s="1"/>
  <c r="BG283" i="1" s="1"/>
  <c r="BH283" i="1" s="1"/>
  <c r="BI283" i="1" s="1"/>
  <c r="BJ283" i="1" s="1"/>
  <c r="AK258" i="1"/>
  <c r="AM258" i="1" s="1"/>
  <c r="AN258" i="1" s="1"/>
  <c r="AO258" i="1" s="1"/>
  <c r="AP258" i="1" s="1"/>
  <c r="AQ258" i="1" s="1"/>
  <c r="AR258" i="1" s="1"/>
  <c r="AS258" i="1" s="1"/>
  <c r="AT258" i="1" s="1"/>
  <c r="AU258" i="1" s="1"/>
  <c r="AV258" i="1" s="1"/>
  <c r="AW258" i="1" s="1"/>
  <c r="AX258" i="1" s="1"/>
  <c r="AY258" i="1" s="1"/>
  <c r="AZ258" i="1" s="1"/>
  <c r="BA258" i="1" s="1"/>
  <c r="BB258" i="1" s="1"/>
  <c r="BC258" i="1" s="1"/>
  <c r="BD258" i="1" s="1"/>
  <c r="BE258" i="1" s="1"/>
  <c r="BF258" i="1" s="1"/>
  <c r="BG258" i="1" s="1"/>
  <c r="BH258" i="1" s="1"/>
  <c r="BI258" i="1" s="1"/>
  <c r="BJ258" i="1" s="1"/>
  <c r="AK259" i="1"/>
  <c r="AM259" i="1" s="1"/>
  <c r="AN259" i="1" s="1"/>
  <c r="AO259" i="1" s="1"/>
  <c r="AP259" i="1" s="1"/>
  <c r="AQ259" i="1" s="1"/>
  <c r="AR259" i="1" s="1"/>
  <c r="AS259" i="1" s="1"/>
  <c r="AT259" i="1" s="1"/>
  <c r="AU259" i="1" s="1"/>
  <c r="AV259" i="1" s="1"/>
  <c r="AW259" i="1" s="1"/>
  <c r="AX259" i="1" s="1"/>
  <c r="AY259" i="1" s="1"/>
  <c r="AZ259" i="1" s="1"/>
  <c r="BA259" i="1" s="1"/>
  <c r="BB259" i="1" s="1"/>
  <c r="BC259" i="1" s="1"/>
  <c r="BD259" i="1" s="1"/>
  <c r="BE259" i="1" s="1"/>
  <c r="BF259" i="1" s="1"/>
  <c r="BG259" i="1" s="1"/>
  <c r="BH259" i="1" s="1"/>
  <c r="BI259" i="1" s="1"/>
  <c r="BJ259" i="1" s="1"/>
  <c r="AK260" i="1"/>
  <c r="AM260" i="1" s="1"/>
  <c r="AN260" i="1" s="1"/>
  <c r="AO260" i="1" s="1"/>
  <c r="AP260" i="1" s="1"/>
  <c r="AQ260" i="1" s="1"/>
  <c r="AR260" i="1" s="1"/>
  <c r="AS260" i="1" s="1"/>
  <c r="AT260" i="1" s="1"/>
  <c r="AU260" i="1" s="1"/>
  <c r="AV260" i="1" s="1"/>
  <c r="AW260" i="1" s="1"/>
  <c r="AX260" i="1" s="1"/>
  <c r="AY260" i="1" s="1"/>
  <c r="AZ260" i="1" s="1"/>
  <c r="BA260" i="1" s="1"/>
  <c r="BB260" i="1" s="1"/>
  <c r="BC260" i="1" s="1"/>
  <c r="BD260" i="1" s="1"/>
  <c r="BE260" i="1" s="1"/>
  <c r="BF260" i="1" s="1"/>
  <c r="BG260" i="1" s="1"/>
  <c r="BH260" i="1" s="1"/>
  <c r="BI260" i="1" s="1"/>
  <c r="BJ260" i="1" s="1"/>
  <c r="BS355" i="1" l="1"/>
  <c r="BS372" i="1"/>
  <c r="BS344" i="1"/>
  <c r="BS39" i="1"/>
  <c r="BS354" i="1" l="1"/>
  <c r="BS351" i="1"/>
  <c r="BS376" i="1"/>
  <c r="BS47" i="1"/>
  <c r="BS46" i="1"/>
  <c r="BS345" i="1"/>
  <c r="BS48" i="1" l="1"/>
  <c r="AS67" i="21" l="1"/>
  <c r="AS68" i="21" s="1"/>
  <c r="AK176" i="1"/>
  <c r="BS176" i="1" s="1"/>
  <c r="AK180" i="1"/>
  <c r="AK175" i="1" s="1"/>
  <c r="BS381" i="1"/>
  <c r="BS384" i="1" s="1"/>
  <c r="AK177" i="1" l="1"/>
  <c r="BS177" i="1" s="1"/>
  <c r="AM175" i="1"/>
  <c r="AP36" i="27"/>
  <c r="BS180" i="1"/>
  <c r="AP34" i="27" s="1"/>
  <c r="AP35" i="27" s="1"/>
  <c r="BS181" i="1"/>
  <c r="BS175" i="1"/>
  <c r="AM163" i="1" l="1"/>
  <c r="AM177" i="1"/>
  <c r="AM179" i="1" s="1"/>
  <c r="AM176" i="1"/>
  <c r="AN175" i="1"/>
  <c r="AM178" i="1" l="1"/>
  <c r="AM381" i="1"/>
  <c r="AO175" i="1"/>
  <c r="AN163" i="1"/>
  <c r="AN176" i="1"/>
  <c r="AN381" i="1" s="1"/>
  <c r="AN177" i="1"/>
  <c r="AN179" i="1" s="1"/>
  <c r="AM265" i="1" l="1"/>
  <c r="AM384" i="1"/>
  <c r="AM344" i="1" s="1"/>
  <c r="AM180" i="1"/>
  <c r="AM181" i="1"/>
  <c r="AN178" i="1"/>
  <c r="AN265" i="1"/>
  <c r="AN180" i="1"/>
  <c r="AN384" i="1"/>
  <c r="AN181" i="1"/>
  <c r="AP175" i="1"/>
  <c r="AO176" i="1"/>
  <c r="AO381" i="1" s="1"/>
  <c r="AO177" i="1"/>
  <c r="AO179" i="1" s="1"/>
  <c r="AO163" i="1"/>
  <c r="BT175" i="1"/>
  <c r="BT163" i="1" s="1"/>
  <c r="AN344" i="1" l="1"/>
  <c r="AM39" i="1"/>
  <c r="AM351" i="1"/>
  <c r="AM355" i="1"/>
  <c r="AM354" i="1"/>
  <c r="AO178" i="1"/>
  <c r="AO265" i="1"/>
  <c r="AO384" i="1"/>
  <c r="AO180" i="1"/>
  <c r="AO181" i="1"/>
  <c r="AQ175" i="1"/>
  <c r="AP176" i="1"/>
  <c r="AP163" i="1"/>
  <c r="AP177" i="1"/>
  <c r="BT177" i="1" s="1"/>
  <c r="AM376" i="1" l="1"/>
  <c r="AP178" i="1"/>
  <c r="AM372" i="1"/>
  <c r="AM345" i="1" s="1"/>
  <c r="AM47" i="1"/>
  <c r="AN39" i="1"/>
  <c r="AN354" i="1"/>
  <c r="AO344" i="1"/>
  <c r="AN351" i="1"/>
  <c r="AN355" i="1"/>
  <c r="AR175" i="1"/>
  <c r="AQ163" i="1"/>
  <c r="AQ177" i="1"/>
  <c r="AQ176" i="1"/>
  <c r="AP381" i="1"/>
  <c r="BT176" i="1"/>
  <c r="AP179" i="1"/>
  <c r="AQ179" i="1" l="1"/>
  <c r="AN376" i="1"/>
  <c r="AQ381" i="1"/>
  <c r="AS175" i="1"/>
  <c r="AR176" i="1"/>
  <c r="AR381" i="1" s="1"/>
  <c r="AR177" i="1"/>
  <c r="AR163" i="1"/>
  <c r="AQ178" i="1"/>
  <c r="AO354" i="1"/>
  <c r="AO355" i="1"/>
  <c r="AO351" i="1"/>
  <c r="AN372" i="1"/>
  <c r="AN345" i="1" s="1"/>
  <c r="AO39" i="1"/>
  <c r="AN47" i="1"/>
  <c r="AP265" i="1"/>
  <c r="AP180" i="1"/>
  <c r="AP384" i="1"/>
  <c r="AP344" i="1" s="1"/>
  <c r="AP181" i="1"/>
  <c r="BT381" i="1"/>
  <c r="AM48" i="1"/>
  <c r="AM46" i="1"/>
  <c r="AR179" i="1" l="1"/>
  <c r="AR178" i="1"/>
  <c r="AP355" i="1"/>
  <c r="BT355" i="1" s="1"/>
  <c r="AP351" i="1"/>
  <c r="BT344" i="1"/>
  <c r="AP354" i="1"/>
  <c r="BT354" i="1" s="1"/>
  <c r="AN48" i="1"/>
  <c r="AN46" i="1" s="1"/>
  <c r="AT175" i="1"/>
  <c r="AS163" i="1"/>
  <c r="AS176" i="1"/>
  <c r="AS177" i="1"/>
  <c r="BU175" i="1"/>
  <c r="BU163" i="1" s="1"/>
  <c r="AO372" i="1"/>
  <c r="AO345" i="1" s="1"/>
  <c r="AO47" i="1"/>
  <c r="AP39" i="1"/>
  <c r="AO376" i="1"/>
  <c r="AQ265" i="1"/>
  <c r="AQ180" i="1"/>
  <c r="AQ384" i="1"/>
  <c r="AQ344" i="1" s="1"/>
  <c r="AQ181" i="1"/>
  <c r="AM20" i="27"/>
  <c r="BT384" i="1"/>
  <c r="BT180" i="1"/>
  <c r="AM18" i="27" s="1"/>
  <c r="AM19" i="27" s="1"/>
  <c r="BT181" i="1"/>
  <c r="AR265" i="1"/>
  <c r="AR384" i="1"/>
  <c r="AR180" i="1"/>
  <c r="AR181" i="1"/>
  <c r="AS179" i="1" l="1"/>
  <c r="AP376" i="1"/>
  <c r="BT376" i="1" s="1"/>
  <c r="AQ355" i="1"/>
  <c r="AQ354" i="1"/>
  <c r="AR344" i="1"/>
  <c r="AQ351" i="1"/>
  <c r="AS381" i="1"/>
  <c r="BT39" i="1"/>
  <c r="AP47" i="1"/>
  <c r="BT47" i="1" s="1"/>
  <c r="AQ39" i="1"/>
  <c r="AP372" i="1"/>
  <c r="BT372" i="1" s="1"/>
  <c r="AO48" i="1"/>
  <c r="AO46" i="1" s="1"/>
  <c r="AU175" i="1"/>
  <c r="AT163" i="1"/>
  <c r="AT176" i="1"/>
  <c r="AT381" i="1" s="1"/>
  <c r="AT177" i="1"/>
  <c r="BU177" i="1" s="1"/>
  <c r="BT351" i="1"/>
  <c r="AS178" i="1"/>
  <c r="AQ376" i="1" l="1"/>
  <c r="AS265" i="1"/>
  <c r="AS384" i="1"/>
  <c r="AS344" i="1" s="1"/>
  <c r="AS180" i="1"/>
  <c r="AS181" i="1"/>
  <c r="BU381" i="1"/>
  <c r="AR351" i="1"/>
  <c r="AR354" i="1"/>
  <c r="AR355" i="1"/>
  <c r="AP48" i="1"/>
  <c r="BT48" i="1" s="1"/>
  <c r="AT178" i="1"/>
  <c r="AT179" i="1"/>
  <c r="AP345" i="1"/>
  <c r="AT265" i="1"/>
  <c r="AT180" i="1"/>
  <c r="AT384" i="1"/>
  <c r="AT181" i="1"/>
  <c r="AV175" i="1"/>
  <c r="AU163" i="1"/>
  <c r="AU176" i="1"/>
  <c r="AU381" i="1" s="1"/>
  <c r="AU177" i="1"/>
  <c r="AR39" i="1"/>
  <c r="AQ372" i="1"/>
  <c r="AQ47" i="1"/>
  <c r="BU176" i="1"/>
  <c r="AR376" i="1" l="1"/>
  <c r="AS355" i="1"/>
  <c r="AT344" i="1"/>
  <c r="AS351" i="1"/>
  <c r="AS354" i="1"/>
  <c r="AW175" i="1"/>
  <c r="AV163" i="1"/>
  <c r="AV177" i="1"/>
  <c r="AV176" i="1"/>
  <c r="AV381" i="1" s="1"/>
  <c r="BT345" i="1"/>
  <c r="AQ345" i="1"/>
  <c r="AP46" i="1"/>
  <c r="BT46" i="1" s="1"/>
  <c r="AQ48" i="1"/>
  <c r="AU265" i="1"/>
  <c r="AU384" i="1"/>
  <c r="AU180" i="1"/>
  <c r="AU181" i="1"/>
  <c r="AU179" i="1"/>
  <c r="BU180" i="1"/>
  <c r="BU384" i="1"/>
  <c r="BU181" i="1"/>
  <c r="AR47" i="1"/>
  <c r="AR372" i="1"/>
  <c r="AS39" i="1"/>
  <c r="AU178" i="1"/>
  <c r="AV178" i="1" l="1"/>
  <c r="AS376" i="1"/>
  <c r="AR345" i="1"/>
  <c r="AV179" i="1"/>
  <c r="AT39" i="1"/>
  <c r="BU39" i="1" s="1"/>
  <c r="AS47" i="1"/>
  <c r="AS372" i="1"/>
  <c r="AR48" i="1"/>
  <c r="AR46" i="1" s="1"/>
  <c r="AQ46" i="1"/>
  <c r="AX175" i="1"/>
  <c r="AW177" i="1"/>
  <c r="AW163" i="1"/>
  <c r="AW176" i="1"/>
  <c r="AW381" i="1" s="1"/>
  <c r="AT354" i="1"/>
  <c r="BU354" i="1" s="1"/>
  <c r="AT351" i="1"/>
  <c r="AT355" i="1"/>
  <c r="BU355" i="1" s="1"/>
  <c r="BU344" i="1"/>
  <c r="AU344" i="1"/>
  <c r="AV265" i="1"/>
  <c r="AV384" i="1"/>
  <c r="AV180" i="1"/>
  <c r="AV181" i="1"/>
  <c r="AK24" i="12"/>
  <c r="AK26" i="12"/>
  <c r="BS34" i="1"/>
  <c r="BS35" i="1"/>
  <c r="BS43" i="1"/>
  <c r="BS45" i="1"/>
  <c r="BS52" i="1" s="1"/>
  <c r="BS55" i="1" s="1"/>
  <c r="AL24" i="12" s="1"/>
  <c r="BY63" i="1"/>
  <c r="BS66" i="1"/>
  <c r="BS67" i="1" s="1"/>
  <c r="BS68" i="1"/>
  <c r="BS69" i="1"/>
  <c r="BS70" i="1"/>
  <c r="BS71" i="1" s="1"/>
  <c r="BS74" i="1"/>
  <c r="BS75" i="1"/>
  <c r="BS79" i="1"/>
  <c r="BS81" i="1"/>
  <c r="BS80" i="1" s="1"/>
  <c r="BS83" i="1"/>
  <c r="BS84" i="1"/>
  <c r="BS275" i="1"/>
  <c r="BS281" i="1"/>
  <c r="BS360" i="1"/>
  <c r="BS362" i="1"/>
  <c r="BS364" i="1"/>
  <c r="BS371" i="1"/>
  <c r="BS378" i="1" s="1"/>
  <c r="BS386" i="1"/>
  <c r="AM388" i="1"/>
  <c r="BS389" i="1"/>
  <c r="AB24" i="27"/>
  <c r="AF24" i="27" s="1"/>
  <c r="AB25" i="27"/>
  <c r="AD25" i="27" s="1"/>
  <c r="AB26" i="27"/>
  <c r="AD26" i="27" s="1"/>
  <c r="AB27" i="27"/>
  <c r="AF27" i="27" s="1"/>
  <c r="AB28" i="27"/>
  <c r="AD28" i="27" s="1"/>
  <c r="AB29" i="27"/>
  <c r="AD29" i="27" s="1"/>
  <c r="AP38" i="27"/>
  <c r="BS393" i="1" l="1"/>
  <c r="BS396" i="1" s="1"/>
  <c r="AS345" i="1"/>
  <c r="AW179" i="1"/>
  <c r="AT376" i="1"/>
  <c r="BU376" i="1" s="1"/>
  <c r="AU355" i="1"/>
  <c r="AU351" i="1"/>
  <c r="AU354" i="1"/>
  <c r="AV344" i="1"/>
  <c r="AY175" i="1"/>
  <c r="AX163" i="1"/>
  <c r="AX177" i="1"/>
  <c r="BV177" i="1" s="1"/>
  <c r="AX176" i="1"/>
  <c r="BV175" i="1"/>
  <c r="BV163" i="1" s="1"/>
  <c r="AW265" i="1"/>
  <c r="AW384" i="1"/>
  <c r="AW180" i="1"/>
  <c r="AW181" i="1"/>
  <c r="AW178" i="1"/>
  <c r="BU351" i="1"/>
  <c r="AS48" i="1"/>
  <c r="AT372" i="1"/>
  <c r="BU372" i="1" s="1"/>
  <c r="AU39" i="1"/>
  <c r="AT47" i="1"/>
  <c r="AD24" i="27"/>
  <c r="AF29" i="27"/>
  <c r="AD27" i="27"/>
  <c r="BS5" i="1"/>
  <c r="BS61" i="1"/>
  <c r="AU376" i="1" l="1"/>
  <c r="AX179" i="1"/>
  <c r="AS46" i="1"/>
  <c r="AT48" i="1"/>
  <c r="AT46" i="1" s="1"/>
  <c r="AY163" i="1"/>
  <c r="AZ175" i="1"/>
  <c r="AY177" i="1"/>
  <c r="AY176" i="1"/>
  <c r="BU47" i="1"/>
  <c r="AU372" i="1"/>
  <c r="AV39" i="1"/>
  <c r="AU47" i="1"/>
  <c r="BV176" i="1"/>
  <c r="AX381" i="1"/>
  <c r="AV354" i="1"/>
  <c r="AW344" i="1"/>
  <c r="AV355" i="1"/>
  <c r="AV351" i="1"/>
  <c r="AX178" i="1"/>
  <c r="AT345" i="1"/>
  <c r="BS6" i="1"/>
  <c r="AL26" i="12"/>
  <c r="AN72" i="1"/>
  <c r="AO72" i="1" s="1"/>
  <c r="AP72" i="1" s="1"/>
  <c r="AP73" i="1" s="1"/>
  <c r="AM73" i="1"/>
  <c r="AY179" i="1" l="1"/>
  <c r="AV376" i="1"/>
  <c r="BU46" i="1"/>
  <c r="BU48" i="1"/>
  <c r="AY178" i="1"/>
  <c r="AW355" i="1"/>
  <c r="AW354" i="1"/>
  <c r="AW351" i="1"/>
  <c r="AZ163" i="1"/>
  <c r="BA175" i="1"/>
  <c r="AZ176" i="1"/>
  <c r="AZ381" i="1" s="1"/>
  <c r="AZ177" i="1"/>
  <c r="BV381" i="1"/>
  <c r="AX265" i="1"/>
  <c r="AX384" i="1"/>
  <c r="AX344" i="1" s="1"/>
  <c r="AX180" i="1"/>
  <c r="AX181" i="1"/>
  <c r="AV372" i="1"/>
  <c r="AW39" i="1"/>
  <c r="AV47" i="1"/>
  <c r="AY381" i="1"/>
  <c r="AU48" i="1"/>
  <c r="AU46" i="1" s="1"/>
  <c r="BU345" i="1"/>
  <c r="AU345" i="1"/>
  <c r="AN73" i="1"/>
  <c r="BT72" i="1"/>
  <c r="AO73" i="1"/>
  <c r="AZ179" i="1" l="1"/>
  <c r="AW376" i="1"/>
  <c r="BV344" i="1"/>
  <c r="AX355" i="1"/>
  <c r="BV355" i="1" s="1"/>
  <c r="AX351" i="1"/>
  <c r="AX354" i="1"/>
  <c r="BV354" i="1" s="1"/>
  <c r="AY265" i="1"/>
  <c r="AY384" i="1"/>
  <c r="AY344" i="1" s="1"/>
  <c r="AY180" i="1"/>
  <c r="AY181" i="1"/>
  <c r="BV180" i="1"/>
  <c r="BV384" i="1"/>
  <c r="BV181" i="1"/>
  <c r="AZ265" i="1"/>
  <c r="AZ384" i="1"/>
  <c r="AZ180" i="1"/>
  <c r="AZ181" i="1"/>
  <c r="AV345" i="1"/>
  <c r="BA163" i="1"/>
  <c r="BB175" i="1"/>
  <c r="BW175" i="1" s="1"/>
  <c r="BW163" i="1" s="1"/>
  <c r="BA176" i="1"/>
  <c r="BA177" i="1"/>
  <c r="AV48" i="1"/>
  <c r="AV46" i="1" s="1"/>
  <c r="AX39" i="1"/>
  <c r="AW372" i="1"/>
  <c r="AW47" i="1"/>
  <c r="AZ178" i="1"/>
  <c r="BT73" i="1"/>
  <c r="BA179" i="1" l="1"/>
  <c r="AX376" i="1"/>
  <c r="BV376" i="1" s="1"/>
  <c r="BA178" i="1"/>
  <c r="AY351" i="1"/>
  <c r="AZ344" i="1"/>
  <c r="AY354" i="1"/>
  <c r="AY355" i="1"/>
  <c r="BV351" i="1"/>
  <c r="AX372" i="1"/>
  <c r="BV372" i="1" s="1"/>
  <c r="AX47" i="1"/>
  <c r="BV47" i="1" s="1"/>
  <c r="AY39" i="1"/>
  <c r="BV39" i="1"/>
  <c r="BA381" i="1"/>
  <c r="AW345" i="1"/>
  <c r="AW48" i="1"/>
  <c r="AW46" i="1" s="1"/>
  <c r="BB163" i="1"/>
  <c r="BC175" i="1"/>
  <c r="BB176" i="1"/>
  <c r="BB381" i="1" s="1"/>
  <c r="BB177" i="1"/>
  <c r="BW177" i="1" s="1"/>
  <c r="AX345" i="1" l="1"/>
  <c r="BV345" i="1" s="1"/>
  <c r="AY376" i="1"/>
  <c r="BW176" i="1"/>
  <c r="AY47" i="1"/>
  <c r="AZ39" i="1"/>
  <c r="AY372" i="1"/>
  <c r="BA265" i="1"/>
  <c r="BA180" i="1"/>
  <c r="BA384" i="1"/>
  <c r="BA344" i="1" s="1"/>
  <c r="BA181" i="1"/>
  <c r="BW381" i="1"/>
  <c r="BB265" i="1"/>
  <c r="BB180" i="1"/>
  <c r="BB384" i="1"/>
  <c r="BB181" i="1"/>
  <c r="BC163" i="1"/>
  <c r="BD175" i="1"/>
  <c r="BC176" i="1"/>
  <c r="BC177" i="1"/>
  <c r="BB179" i="1"/>
  <c r="AZ351" i="1"/>
  <c r="AZ354" i="1"/>
  <c r="AZ355" i="1"/>
  <c r="AX48" i="1"/>
  <c r="AY48" i="1" s="1"/>
  <c r="BB178" i="1"/>
  <c r="AY345" i="1" l="1"/>
  <c r="BC178" i="1"/>
  <c r="AX46" i="1"/>
  <c r="BV46" i="1" s="1"/>
  <c r="AZ376" i="1"/>
  <c r="BA354" i="1"/>
  <c r="BA355" i="1"/>
  <c r="BB344" i="1"/>
  <c r="BA351" i="1"/>
  <c r="BE175" i="1"/>
  <c r="BD163" i="1"/>
  <c r="BD176" i="1"/>
  <c r="BD381" i="1" s="1"/>
  <c r="BD177" i="1"/>
  <c r="AZ47" i="1"/>
  <c r="AZ48" i="1" s="1"/>
  <c r="BA39" i="1"/>
  <c r="AZ372" i="1"/>
  <c r="BW47" i="1"/>
  <c r="AY46" i="1"/>
  <c r="BW48" i="1"/>
  <c r="BC179" i="1"/>
  <c r="BC381" i="1"/>
  <c r="BW180" i="1"/>
  <c r="BW384" i="1"/>
  <c r="BW181" i="1"/>
  <c r="BV48" i="1"/>
  <c r="AZ345" i="1" l="1"/>
  <c r="BD178" i="1"/>
  <c r="BD265" i="1"/>
  <c r="BD384" i="1"/>
  <c r="BD180" i="1"/>
  <c r="BD181" i="1"/>
  <c r="BW344" i="1"/>
  <c r="BB351" i="1"/>
  <c r="BB354" i="1"/>
  <c r="BW354" i="1" s="1"/>
  <c r="BB355" i="1"/>
  <c r="BW355" i="1" s="1"/>
  <c r="BD179" i="1"/>
  <c r="BA376" i="1"/>
  <c r="BA47" i="1"/>
  <c r="BY47" i="1" s="1"/>
  <c r="BA372" i="1"/>
  <c r="BB39" i="1"/>
  <c r="BC265" i="1"/>
  <c r="BC180" i="1"/>
  <c r="BC384" i="1"/>
  <c r="BC344" i="1" s="1"/>
  <c r="BC181" i="1"/>
  <c r="AZ46" i="1"/>
  <c r="BX48" i="1"/>
  <c r="BX47" i="1"/>
  <c r="BF175" i="1"/>
  <c r="BE163" i="1"/>
  <c r="BE177" i="1"/>
  <c r="BE176" i="1"/>
  <c r="BA48" i="1" l="1"/>
  <c r="BA46" i="1" s="1"/>
  <c r="BA345" i="1"/>
  <c r="BE178" i="1"/>
  <c r="BE179" i="1"/>
  <c r="BC355" i="1"/>
  <c r="BD344" i="1"/>
  <c r="BC351" i="1"/>
  <c r="BC354" i="1"/>
  <c r="BF163" i="1"/>
  <c r="BG175" i="1"/>
  <c r="BF177" i="1"/>
  <c r="BX177" i="1" s="1"/>
  <c r="BF176" i="1"/>
  <c r="BF381" i="1" s="1"/>
  <c r="BX175" i="1"/>
  <c r="BX163" i="1" s="1"/>
  <c r="BW351" i="1"/>
  <c r="BW39" i="1"/>
  <c r="BB372" i="1"/>
  <c r="BW372" i="1" s="1"/>
  <c r="BC39" i="1"/>
  <c r="BB47" i="1"/>
  <c r="BE381" i="1"/>
  <c r="BB376" i="1"/>
  <c r="BW376" i="1" s="1"/>
  <c r="BY48" i="1" l="1"/>
  <c r="BC376" i="1"/>
  <c r="BX176" i="1"/>
  <c r="BB48" i="1"/>
  <c r="BD39" i="1"/>
  <c r="BC372" i="1"/>
  <c r="BC47" i="1"/>
  <c r="BH175" i="1"/>
  <c r="BG163" i="1"/>
  <c r="BG176" i="1"/>
  <c r="BG177" i="1"/>
  <c r="BE265" i="1"/>
  <c r="BE384" i="1"/>
  <c r="BE344" i="1" s="1"/>
  <c r="BE180" i="1"/>
  <c r="BE181" i="1"/>
  <c r="BX381" i="1"/>
  <c r="BB345" i="1"/>
  <c r="BD355" i="1"/>
  <c r="BD351" i="1"/>
  <c r="BD354" i="1"/>
  <c r="BF265" i="1"/>
  <c r="BF384" i="1"/>
  <c r="BF180" i="1"/>
  <c r="BF181" i="1"/>
  <c r="BF179" i="1"/>
  <c r="BF178" i="1"/>
  <c r="BG179" i="1" l="1"/>
  <c r="BG178" i="1"/>
  <c r="BD376" i="1"/>
  <c r="BC48" i="1"/>
  <c r="BC46" i="1" s="1"/>
  <c r="BX384" i="1"/>
  <c r="BX180" i="1"/>
  <c r="BX181" i="1"/>
  <c r="BD47" i="1"/>
  <c r="BE39" i="1"/>
  <c r="BD372" i="1"/>
  <c r="BH163" i="1"/>
  <c r="BI175" i="1"/>
  <c r="BH176" i="1"/>
  <c r="BH381" i="1" s="1"/>
  <c r="BH177" i="1"/>
  <c r="BE355" i="1"/>
  <c r="BF344" i="1"/>
  <c r="BE354" i="1"/>
  <c r="BE351" i="1"/>
  <c r="BW345" i="1"/>
  <c r="BC345" i="1"/>
  <c r="BG381" i="1"/>
  <c r="BB46" i="1"/>
  <c r="BW46" i="1" s="1"/>
  <c r="BD48" i="1" l="1"/>
  <c r="BD46" i="1" s="1"/>
  <c r="BD345" i="1"/>
  <c r="BH178" i="1"/>
  <c r="BH179" i="1"/>
  <c r="BH265" i="1"/>
  <c r="BH384" i="1"/>
  <c r="BH180" i="1"/>
  <c r="BH181" i="1"/>
  <c r="BE376" i="1"/>
  <c r="BG265" i="1"/>
  <c r="BG180" i="1"/>
  <c r="BG384" i="1"/>
  <c r="BG344" i="1" s="1"/>
  <c r="BG181" i="1"/>
  <c r="BI163" i="1"/>
  <c r="BJ175" i="1"/>
  <c r="BY175" i="1" s="1"/>
  <c r="BY163" i="1" s="1"/>
  <c r="BI176" i="1"/>
  <c r="BI177" i="1"/>
  <c r="BX344" i="1"/>
  <c r="BF354" i="1"/>
  <c r="BX354" i="1" s="1"/>
  <c r="BF355" i="1"/>
  <c r="BX355" i="1" s="1"/>
  <c r="BF351" i="1"/>
  <c r="BE47" i="1"/>
  <c r="BF39" i="1"/>
  <c r="BE372" i="1"/>
  <c r="BE48" i="1" l="1"/>
  <c r="BE46" i="1" s="1"/>
  <c r="BE345" i="1"/>
  <c r="BI178" i="1"/>
  <c r="BI179" i="1"/>
  <c r="BX39" i="1"/>
  <c r="BG39" i="1"/>
  <c r="BF372" i="1"/>
  <c r="BX372" i="1" s="1"/>
  <c r="BF47" i="1"/>
  <c r="BX351" i="1"/>
  <c r="BI381" i="1"/>
  <c r="BH344" i="1"/>
  <c r="BG351" i="1"/>
  <c r="BG354" i="1"/>
  <c r="BG355" i="1"/>
  <c r="BJ163" i="1"/>
  <c r="BJ176" i="1"/>
  <c r="BJ381" i="1" s="1"/>
  <c r="BJ177" i="1"/>
  <c r="BY177" i="1" s="1"/>
  <c r="BF376" i="1"/>
  <c r="BX376" i="1" s="1"/>
  <c r="BF48" i="1" l="1"/>
  <c r="BF46" i="1" s="1"/>
  <c r="BX46" i="1" s="1"/>
  <c r="BJ178" i="1"/>
  <c r="BG376" i="1"/>
  <c r="BG372" i="1"/>
  <c r="BG47" i="1"/>
  <c r="BH39" i="1"/>
  <c r="BJ265" i="1"/>
  <c r="BJ384" i="1"/>
  <c r="BJ180" i="1"/>
  <c r="BJ181" i="1"/>
  <c r="BH351" i="1"/>
  <c r="BH354" i="1"/>
  <c r="BH355" i="1"/>
  <c r="BI265" i="1"/>
  <c r="BI384" i="1"/>
  <c r="BI344" i="1" s="1"/>
  <c r="BI180" i="1"/>
  <c r="BI181" i="1"/>
  <c r="BY381" i="1"/>
  <c r="BY176" i="1"/>
  <c r="BJ179" i="1"/>
  <c r="BF345" i="1"/>
  <c r="BG48" i="1" l="1"/>
  <c r="BG46" i="1" s="1"/>
  <c r="BJ344" i="1"/>
  <c r="BI351" i="1"/>
  <c r="BI354" i="1"/>
  <c r="BI355" i="1"/>
  <c r="BX345" i="1"/>
  <c r="BG345" i="1"/>
  <c r="BI39" i="1"/>
  <c r="BH47" i="1"/>
  <c r="BH372" i="1"/>
  <c r="BH376" i="1"/>
  <c r="BY180" i="1"/>
  <c r="BY384" i="1"/>
  <c r="BY181" i="1"/>
  <c r="BH48" i="1" l="1"/>
  <c r="BH46" i="1" s="1"/>
  <c r="BH345" i="1"/>
  <c r="BI372" i="1"/>
  <c r="BJ39" i="1"/>
  <c r="BI47" i="1"/>
  <c r="BI376" i="1"/>
  <c r="BY344" i="1"/>
  <c r="BJ355" i="1"/>
  <c r="BY355" i="1" s="1"/>
  <c r="BJ354" i="1"/>
  <c r="BY354" i="1" s="1"/>
  <c r="BJ351" i="1"/>
  <c r="BY351" i="1" s="1"/>
  <c r="BI48" i="1" l="1"/>
  <c r="BI46" i="1" s="1"/>
  <c r="BI345" i="1"/>
  <c r="BJ376" i="1"/>
  <c r="BY376" i="1" s="1"/>
  <c r="BY39" i="1"/>
  <c r="BJ47" i="1"/>
  <c r="BJ372" i="1"/>
  <c r="BY372" i="1" s="1"/>
  <c r="BJ48" i="1" l="1"/>
  <c r="BJ46" i="1" s="1"/>
  <c r="BY46" i="1" s="1"/>
  <c r="BJ345" i="1"/>
  <c r="BY345" i="1" s="1"/>
  <c r="E20" i="16" l="1"/>
  <c r="E22" i="16" s="1"/>
  <c r="E29" i="16"/>
  <c r="E31" i="16" s="1"/>
  <c r="E33" i="16" s="1"/>
  <c r="E42" i="16"/>
  <c r="E44" i="16" s="1"/>
  <c r="AN24" i="12" l="1"/>
  <c r="AO24" i="12"/>
  <c r="AP24" i="12"/>
  <c r="AQ24" i="12"/>
  <c r="AR24" i="12"/>
  <c r="AT24" i="12"/>
  <c r="AU24" i="12"/>
  <c r="AV24" i="12"/>
  <c r="AW24" i="12"/>
  <c r="AX24" i="12"/>
  <c r="AN26" i="12"/>
  <c r="AO26" i="12"/>
  <c r="AP26" i="12"/>
  <c r="AQ26" i="12"/>
  <c r="AR26" i="12"/>
  <c r="AT26" i="12"/>
  <c r="AU26" i="12"/>
  <c r="AV26" i="12"/>
  <c r="AW26" i="12"/>
  <c r="AX26" i="12"/>
  <c r="AM5" i="1"/>
  <c r="AN5" i="1"/>
  <c r="AO5" i="1"/>
  <c r="AP5" i="1"/>
  <c r="AQ5" i="1"/>
  <c r="AR5" i="1"/>
  <c r="AS5" i="1"/>
  <c r="AT5" i="1"/>
  <c r="AU5" i="1"/>
  <c r="AV5" i="1"/>
  <c r="AW5" i="1"/>
  <c r="AX5" i="1"/>
  <c r="AY5" i="1"/>
  <c r="AZ5" i="1"/>
  <c r="BA5" i="1"/>
  <c r="BB5" i="1"/>
  <c r="BC5" i="1"/>
  <c r="BD5" i="1"/>
  <c r="BE5" i="1"/>
  <c r="BF5" i="1"/>
  <c r="BG5" i="1"/>
  <c r="BH5" i="1"/>
  <c r="BI5" i="1"/>
  <c r="BJ5" i="1"/>
  <c r="BT5" i="1"/>
  <c r="BU5" i="1"/>
  <c r="BV5" i="1"/>
  <c r="BW5" i="1"/>
  <c r="BX5" i="1"/>
  <c r="BY5" i="1"/>
  <c r="AM6" i="1"/>
  <c r="AN6" i="1"/>
  <c r="AO6" i="1"/>
  <c r="AP6" i="1"/>
  <c r="AQ6" i="1"/>
  <c r="AR6" i="1"/>
  <c r="AS6" i="1"/>
  <c r="AT6" i="1"/>
  <c r="AU6" i="1"/>
  <c r="AV6" i="1"/>
  <c r="AW6" i="1"/>
  <c r="AX6" i="1"/>
  <c r="AY6" i="1"/>
  <c r="AZ6" i="1"/>
  <c r="BA6" i="1"/>
  <c r="BB6" i="1"/>
  <c r="BC6" i="1"/>
  <c r="BD6" i="1"/>
  <c r="BE6" i="1"/>
  <c r="BF6" i="1"/>
  <c r="BG6" i="1"/>
  <c r="BH6" i="1"/>
  <c r="BI6" i="1"/>
  <c r="BJ6" i="1"/>
  <c r="BT6" i="1"/>
  <c r="BU6" i="1"/>
  <c r="BV6" i="1"/>
  <c r="BW6" i="1"/>
  <c r="BX6" i="1"/>
  <c r="BY6" i="1"/>
  <c r="AM34" i="1"/>
  <c r="AN34" i="1"/>
  <c r="AO34" i="1"/>
  <c r="AP34" i="1"/>
  <c r="AQ34" i="1"/>
  <c r="AR34" i="1"/>
  <c r="AS34" i="1"/>
  <c r="AT34" i="1"/>
  <c r="AU34" i="1"/>
  <c r="AV34" i="1"/>
  <c r="AW34" i="1"/>
  <c r="AX34" i="1"/>
  <c r="AY34" i="1"/>
  <c r="AZ34" i="1"/>
  <c r="BA34" i="1"/>
  <c r="BB34" i="1"/>
  <c r="BC34" i="1"/>
  <c r="BD34" i="1"/>
  <c r="BE34" i="1"/>
  <c r="BF34" i="1"/>
  <c r="BG34" i="1"/>
  <c r="BH34" i="1"/>
  <c r="BI34" i="1"/>
  <c r="BJ34" i="1"/>
  <c r="BT34" i="1"/>
  <c r="BU34" i="1"/>
  <c r="BV34" i="1"/>
  <c r="BW34" i="1"/>
  <c r="BX34" i="1"/>
  <c r="BY34" i="1"/>
  <c r="AM35" i="1"/>
  <c r="AN35" i="1"/>
  <c r="AO35" i="1"/>
  <c r="AP35" i="1"/>
  <c r="AQ35" i="1"/>
  <c r="AR35" i="1"/>
  <c r="AS35" i="1"/>
  <c r="AT35" i="1"/>
  <c r="AU35" i="1"/>
  <c r="AV35" i="1"/>
  <c r="AW35" i="1"/>
  <c r="AX35" i="1"/>
  <c r="AY35" i="1"/>
  <c r="AZ35" i="1"/>
  <c r="BA35" i="1"/>
  <c r="BB35" i="1"/>
  <c r="BC35" i="1"/>
  <c r="BD35" i="1"/>
  <c r="BE35" i="1"/>
  <c r="BF35" i="1"/>
  <c r="BG35" i="1"/>
  <c r="BH35" i="1"/>
  <c r="BI35" i="1"/>
  <c r="BJ35" i="1"/>
  <c r="BT35" i="1"/>
  <c r="BU35" i="1"/>
  <c r="BV35" i="1"/>
  <c r="BW35" i="1"/>
  <c r="BX35" i="1"/>
  <c r="BY35" i="1"/>
  <c r="AM43" i="1"/>
  <c r="AN43" i="1"/>
  <c r="AO43" i="1"/>
  <c r="AP43" i="1"/>
  <c r="AQ43" i="1"/>
  <c r="AR43" i="1"/>
  <c r="AS43" i="1"/>
  <c r="AT43" i="1"/>
  <c r="AU43" i="1"/>
  <c r="AV43" i="1"/>
  <c r="AW43" i="1"/>
  <c r="AX43" i="1"/>
  <c r="AY43" i="1"/>
  <c r="AZ43" i="1"/>
  <c r="BA43" i="1"/>
  <c r="BB43" i="1"/>
  <c r="BC43" i="1"/>
  <c r="BD43" i="1"/>
  <c r="BE43" i="1"/>
  <c r="BF43" i="1"/>
  <c r="BG43" i="1"/>
  <c r="BH43" i="1"/>
  <c r="BI43" i="1"/>
  <c r="BJ43" i="1"/>
  <c r="BT43" i="1"/>
  <c r="BU43" i="1"/>
  <c r="BV43" i="1"/>
  <c r="BW43" i="1"/>
  <c r="BX43" i="1"/>
  <c r="BY43" i="1"/>
  <c r="AM45" i="1"/>
  <c r="AN45" i="1"/>
  <c r="AO45" i="1"/>
  <c r="AP45" i="1"/>
  <c r="AQ45" i="1"/>
  <c r="AR45" i="1"/>
  <c r="AS45" i="1"/>
  <c r="AT45" i="1"/>
  <c r="AU45" i="1"/>
  <c r="AV45" i="1"/>
  <c r="AW45" i="1"/>
  <c r="AX45" i="1"/>
  <c r="AY45" i="1"/>
  <c r="AZ45" i="1"/>
  <c r="BA45" i="1"/>
  <c r="BB45" i="1"/>
  <c r="BC45" i="1"/>
  <c r="BD45" i="1"/>
  <c r="BE45" i="1"/>
  <c r="BF45" i="1"/>
  <c r="BG45" i="1"/>
  <c r="BH45" i="1"/>
  <c r="BI45" i="1"/>
  <c r="BJ45" i="1"/>
  <c r="BT45" i="1"/>
  <c r="BU45" i="1"/>
  <c r="BV45" i="1"/>
  <c r="BW45" i="1"/>
  <c r="BX45" i="1"/>
  <c r="BY45" i="1"/>
  <c r="AM52" i="1"/>
  <c r="AN52" i="1"/>
  <c r="AO52" i="1"/>
  <c r="AP52" i="1"/>
  <c r="AQ52" i="1"/>
  <c r="AR52" i="1"/>
  <c r="AS52" i="1"/>
  <c r="AT52" i="1"/>
  <c r="AU52" i="1"/>
  <c r="AV52" i="1"/>
  <c r="AW52" i="1"/>
  <c r="AX52" i="1"/>
  <c r="AY52" i="1"/>
  <c r="AZ52" i="1"/>
  <c r="BA52" i="1"/>
  <c r="BB52" i="1"/>
  <c r="BC52" i="1"/>
  <c r="BD52" i="1"/>
  <c r="BE52" i="1"/>
  <c r="BF52" i="1"/>
  <c r="BG52" i="1"/>
  <c r="BH52" i="1"/>
  <c r="BI52" i="1"/>
  <c r="BJ52" i="1"/>
  <c r="BT52" i="1"/>
  <c r="BU52" i="1"/>
  <c r="BV52" i="1"/>
  <c r="BW52" i="1"/>
  <c r="BX52" i="1"/>
  <c r="BY52" i="1"/>
  <c r="AM55" i="1"/>
  <c r="AN55" i="1"/>
  <c r="AO55" i="1"/>
  <c r="AP55" i="1"/>
  <c r="AQ55" i="1"/>
  <c r="AR55" i="1"/>
  <c r="AS55" i="1"/>
  <c r="AT55" i="1"/>
  <c r="AU55" i="1"/>
  <c r="AV55" i="1"/>
  <c r="AW55" i="1"/>
  <c r="AX55" i="1"/>
  <c r="AY55" i="1"/>
  <c r="AZ55" i="1"/>
  <c r="BA55" i="1"/>
  <c r="BB55" i="1"/>
  <c r="BC55" i="1"/>
  <c r="BD55" i="1"/>
  <c r="BE55" i="1"/>
  <c r="BF55" i="1"/>
  <c r="BG55" i="1"/>
  <c r="BH55" i="1"/>
  <c r="BI55" i="1"/>
  <c r="BJ55" i="1"/>
  <c r="BT55" i="1"/>
  <c r="BU55" i="1"/>
  <c r="BV55" i="1"/>
  <c r="BW55" i="1"/>
  <c r="BX55" i="1"/>
  <c r="BY55" i="1"/>
  <c r="AM61" i="1"/>
  <c r="AN61" i="1"/>
  <c r="AO61" i="1"/>
  <c r="AP61" i="1"/>
  <c r="AQ61" i="1"/>
  <c r="AR61" i="1"/>
  <c r="AS61" i="1"/>
  <c r="AT61" i="1"/>
  <c r="AU61" i="1"/>
  <c r="AV61" i="1"/>
  <c r="AW61" i="1"/>
  <c r="AX61" i="1"/>
  <c r="AY61" i="1"/>
  <c r="AZ61" i="1"/>
  <c r="BA61" i="1"/>
  <c r="BB61" i="1"/>
  <c r="BC61" i="1"/>
  <c r="BD61" i="1"/>
  <c r="BE61" i="1"/>
  <c r="BF61" i="1"/>
  <c r="BG61" i="1"/>
  <c r="BH61" i="1"/>
  <c r="BI61" i="1"/>
  <c r="BJ61" i="1"/>
  <c r="BT61" i="1"/>
  <c r="BU61" i="1"/>
  <c r="BV61" i="1"/>
  <c r="BW61" i="1"/>
  <c r="BX61" i="1"/>
  <c r="BY61" i="1"/>
  <c r="AM63" i="1"/>
  <c r="AN63" i="1"/>
  <c r="AO63" i="1"/>
  <c r="AP63" i="1"/>
  <c r="AQ63" i="1"/>
  <c r="AR63" i="1"/>
  <c r="AS63" i="1"/>
  <c r="AT63" i="1"/>
  <c r="AU63" i="1"/>
  <c r="AV63" i="1"/>
  <c r="AW63" i="1"/>
  <c r="AX63" i="1"/>
  <c r="AY63" i="1"/>
  <c r="AZ63" i="1"/>
  <c r="BA63" i="1"/>
  <c r="BB63" i="1"/>
  <c r="BC63" i="1"/>
  <c r="BD63" i="1"/>
  <c r="BE63" i="1"/>
  <c r="BF63" i="1"/>
  <c r="BG63" i="1"/>
  <c r="BH63" i="1"/>
  <c r="BI63" i="1"/>
  <c r="BJ63" i="1"/>
  <c r="O66" i="1"/>
  <c r="P66" i="1"/>
  <c r="Q66" i="1"/>
  <c r="R66" i="1"/>
  <c r="S66" i="1"/>
  <c r="T66" i="1"/>
  <c r="AM66" i="1"/>
  <c r="AN66" i="1"/>
  <c r="AO66" i="1"/>
  <c r="AP66" i="1"/>
  <c r="AQ66" i="1"/>
  <c r="AR66" i="1"/>
  <c r="AS66" i="1"/>
  <c r="AT66" i="1"/>
  <c r="AU66" i="1"/>
  <c r="AV66" i="1"/>
  <c r="AW66" i="1"/>
  <c r="AX66" i="1"/>
  <c r="AY66" i="1"/>
  <c r="AZ66" i="1"/>
  <c r="BA66" i="1"/>
  <c r="BB66" i="1"/>
  <c r="BC66" i="1"/>
  <c r="BD66" i="1"/>
  <c r="BE66" i="1"/>
  <c r="BF66" i="1"/>
  <c r="BG66" i="1"/>
  <c r="BH66" i="1"/>
  <c r="BI66" i="1"/>
  <c r="BJ66" i="1"/>
  <c r="BN66" i="1"/>
  <c r="BO66" i="1"/>
  <c r="BT66" i="1"/>
  <c r="BU66" i="1"/>
  <c r="BV66" i="1"/>
  <c r="BW66" i="1"/>
  <c r="BX66" i="1"/>
  <c r="BY66" i="1"/>
  <c r="AM67" i="1"/>
  <c r="AN67" i="1"/>
  <c r="AO67" i="1"/>
  <c r="AP67" i="1"/>
  <c r="AQ67" i="1"/>
  <c r="AR67" i="1"/>
  <c r="AS67" i="1"/>
  <c r="AT67" i="1"/>
  <c r="AU67" i="1"/>
  <c r="AV67" i="1"/>
  <c r="AW67" i="1"/>
  <c r="AX67" i="1"/>
  <c r="AY67" i="1"/>
  <c r="AZ67" i="1"/>
  <c r="BA67" i="1"/>
  <c r="BB67" i="1"/>
  <c r="BC67" i="1"/>
  <c r="BD67" i="1"/>
  <c r="BE67" i="1"/>
  <c r="BF67" i="1"/>
  <c r="BG67" i="1"/>
  <c r="BH67" i="1"/>
  <c r="BI67" i="1"/>
  <c r="BJ67" i="1"/>
  <c r="BP67" i="1"/>
  <c r="BT67" i="1"/>
  <c r="BU67" i="1"/>
  <c r="BV67" i="1"/>
  <c r="BW67" i="1"/>
  <c r="BX67" i="1"/>
  <c r="BY67" i="1"/>
  <c r="O68" i="1"/>
  <c r="P68" i="1"/>
  <c r="Q68" i="1"/>
  <c r="R68" i="1"/>
  <c r="S68" i="1"/>
  <c r="T68" i="1"/>
  <c r="AM68" i="1"/>
  <c r="AN68" i="1"/>
  <c r="AO68" i="1"/>
  <c r="AP68" i="1"/>
  <c r="AQ68" i="1"/>
  <c r="AR68" i="1"/>
  <c r="AS68" i="1"/>
  <c r="AT68" i="1"/>
  <c r="AU68" i="1"/>
  <c r="AV68" i="1"/>
  <c r="AW68" i="1"/>
  <c r="AX68" i="1"/>
  <c r="AY68" i="1"/>
  <c r="AZ68" i="1"/>
  <c r="BA68" i="1"/>
  <c r="BB68" i="1"/>
  <c r="BC68" i="1"/>
  <c r="BD68" i="1"/>
  <c r="BE68" i="1"/>
  <c r="BF68" i="1"/>
  <c r="BG68" i="1"/>
  <c r="BH68" i="1"/>
  <c r="BI68" i="1"/>
  <c r="BJ68" i="1"/>
  <c r="BN68" i="1"/>
  <c r="BO68" i="1"/>
  <c r="BT68" i="1"/>
  <c r="BU68" i="1"/>
  <c r="BV68" i="1"/>
  <c r="BW68" i="1"/>
  <c r="BX68" i="1"/>
  <c r="BY68" i="1"/>
  <c r="BP69" i="1"/>
  <c r="BT69" i="1"/>
  <c r="BU69" i="1"/>
  <c r="BV69" i="1"/>
  <c r="BW69" i="1"/>
  <c r="BX69" i="1"/>
  <c r="BY69" i="1"/>
  <c r="O70" i="1"/>
  <c r="P70" i="1"/>
  <c r="Q70" i="1"/>
  <c r="R70" i="1"/>
  <c r="S70" i="1"/>
  <c r="T70" i="1"/>
  <c r="AM70" i="1"/>
  <c r="AN70" i="1"/>
  <c r="AO70" i="1"/>
  <c r="AP70" i="1"/>
  <c r="AQ70" i="1"/>
  <c r="AR70" i="1"/>
  <c r="AS70" i="1"/>
  <c r="AT70" i="1"/>
  <c r="AU70" i="1"/>
  <c r="AV70" i="1"/>
  <c r="AW70" i="1"/>
  <c r="AX70" i="1"/>
  <c r="AY70" i="1"/>
  <c r="AZ70" i="1"/>
  <c r="BA70" i="1"/>
  <c r="BB70" i="1"/>
  <c r="BC70" i="1"/>
  <c r="BD70" i="1"/>
  <c r="BE70" i="1"/>
  <c r="BF70" i="1"/>
  <c r="BG70" i="1"/>
  <c r="BH70" i="1"/>
  <c r="BI70" i="1"/>
  <c r="BJ70" i="1"/>
  <c r="BN70" i="1"/>
  <c r="BO70" i="1"/>
  <c r="BT70" i="1"/>
  <c r="BU70" i="1"/>
  <c r="BV70" i="1"/>
  <c r="BW70" i="1"/>
  <c r="BX70" i="1"/>
  <c r="BY70" i="1"/>
  <c r="BP71" i="1"/>
  <c r="BT71" i="1"/>
  <c r="BU71" i="1"/>
  <c r="BV71" i="1"/>
  <c r="BW71" i="1"/>
  <c r="BX71" i="1"/>
  <c r="BY71" i="1"/>
  <c r="AQ72" i="1"/>
  <c r="AR72" i="1"/>
  <c r="AS72" i="1"/>
  <c r="AT72" i="1"/>
  <c r="AU72" i="1"/>
  <c r="AV72" i="1"/>
  <c r="AW72" i="1"/>
  <c r="AX72" i="1"/>
  <c r="AY72" i="1"/>
  <c r="AZ72" i="1"/>
  <c r="BA72" i="1"/>
  <c r="BB72" i="1"/>
  <c r="BC72" i="1"/>
  <c r="BD72" i="1"/>
  <c r="BE72" i="1"/>
  <c r="BF72" i="1"/>
  <c r="BG72" i="1"/>
  <c r="BH72" i="1"/>
  <c r="BI72" i="1"/>
  <c r="BJ72" i="1"/>
  <c r="BU72" i="1"/>
  <c r="BV72" i="1"/>
  <c r="BW72" i="1"/>
  <c r="BX72" i="1"/>
  <c r="BY72" i="1"/>
  <c r="AQ73" i="1"/>
  <c r="AR73" i="1"/>
  <c r="AS73" i="1"/>
  <c r="AT73" i="1"/>
  <c r="AU73" i="1"/>
  <c r="AV73" i="1"/>
  <c r="AW73" i="1"/>
  <c r="AX73" i="1"/>
  <c r="AY73" i="1"/>
  <c r="AZ73" i="1"/>
  <c r="BA73" i="1"/>
  <c r="BB73" i="1"/>
  <c r="BC73" i="1"/>
  <c r="BD73" i="1"/>
  <c r="BE73" i="1"/>
  <c r="BF73" i="1"/>
  <c r="BG73" i="1"/>
  <c r="BH73" i="1"/>
  <c r="BI73" i="1"/>
  <c r="BJ73" i="1"/>
  <c r="BU73" i="1"/>
  <c r="BV73" i="1"/>
  <c r="BW73" i="1"/>
  <c r="BX73" i="1"/>
  <c r="BY73" i="1"/>
  <c r="S74" i="1"/>
  <c r="T74" i="1"/>
  <c r="AM74" i="1"/>
  <c r="AN74" i="1"/>
  <c r="AO74" i="1"/>
  <c r="AP74" i="1"/>
  <c r="BO74" i="1"/>
  <c r="BT74" i="1"/>
  <c r="BU74" i="1"/>
  <c r="BV74" i="1"/>
  <c r="BW74" i="1"/>
  <c r="BX74" i="1"/>
  <c r="BY74" i="1"/>
  <c r="O75" i="1"/>
  <c r="P75" i="1"/>
  <c r="Q75" i="1"/>
  <c r="R75" i="1"/>
  <c r="S75" i="1"/>
  <c r="T75" i="1"/>
  <c r="AM75" i="1"/>
  <c r="AN75" i="1"/>
  <c r="AO75" i="1"/>
  <c r="AP75" i="1"/>
  <c r="AQ75" i="1"/>
  <c r="AR75" i="1"/>
  <c r="AS75" i="1"/>
  <c r="AT75" i="1"/>
  <c r="AU75" i="1"/>
  <c r="AV75" i="1"/>
  <c r="AW75" i="1"/>
  <c r="AX75" i="1"/>
  <c r="AY75" i="1"/>
  <c r="AZ75" i="1"/>
  <c r="BA75" i="1"/>
  <c r="BB75" i="1"/>
  <c r="BC75" i="1"/>
  <c r="BD75" i="1"/>
  <c r="BE75" i="1"/>
  <c r="BF75" i="1"/>
  <c r="BG75" i="1"/>
  <c r="BH75" i="1"/>
  <c r="BI75" i="1"/>
  <c r="BJ75" i="1"/>
  <c r="BN75" i="1"/>
  <c r="BO75" i="1"/>
  <c r="BT75" i="1"/>
  <c r="BU75" i="1"/>
  <c r="BV75" i="1"/>
  <c r="BW75" i="1"/>
  <c r="BX75" i="1"/>
  <c r="BY75" i="1"/>
  <c r="O79" i="1"/>
  <c r="P79" i="1"/>
  <c r="Q79" i="1"/>
  <c r="R79" i="1"/>
  <c r="S79" i="1"/>
  <c r="T79" i="1"/>
  <c r="AM79" i="1"/>
  <c r="AN79" i="1"/>
  <c r="AO79" i="1"/>
  <c r="AP79" i="1"/>
  <c r="AQ79" i="1"/>
  <c r="AR79" i="1"/>
  <c r="AS79" i="1"/>
  <c r="AT79" i="1"/>
  <c r="AU79" i="1"/>
  <c r="AV79" i="1"/>
  <c r="AW79" i="1"/>
  <c r="AX79" i="1"/>
  <c r="AY79" i="1"/>
  <c r="AZ79" i="1"/>
  <c r="BA79" i="1"/>
  <c r="BB79" i="1"/>
  <c r="BC79" i="1"/>
  <c r="BD79" i="1"/>
  <c r="BE79" i="1"/>
  <c r="BF79" i="1"/>
  <c r="BG79" i="1"/>
  <c r="BH79" i="1"/>
  <c r="BI79" i="1"/>
  <c r="BJ79" i="1"/>
  <c r="BL79" i="1"/>
  <c r="BM79" i="1"/>
  <c r="BN79" i="1"/>
  <c r="BT79" i="1"/>
  <c r="BU79" i="1"/>
  <c r="BV79" i="1"/>
  <c r="BW79" i="1"/>
  <c r="BX79" i="1"/>
  <c r="BY79" i="1"/>
  <c r="O80" i="1"/>
  <c r="P80" i="1"/>
  <c r="Q80" i="1"/>
  <c r="R80" i="1"/>
  <c r="S80" i="1"/>
  <c r="T80" i="1"/>
  <c r="AM80" i="1"/>
  <c r="AN80" i="1"/>
  <c r="AO80" i="1"/>
  <c r="AP80" i="1"/>
  <c r="AQ80" i="1"/>
  <c r="AR80" i="1"/>
  <c r="AS80" i="1"/>
  <c r="AT80" i="1"/>
  <c r="AU80" i="1"/>
  <c r="AV80" i="1"/>
  <c r="AW80" i="1"/>
  <c r="AX80" i="1"/>
  <c r="AY80" i="1"/>
  <c r="AZ80" i="1"/>
  <c r="BA80" i="1"/>
  <c r="BB80" i="1"/>
  <c r="BC80" i="1"/>
  <c r="BD80" i="1"/>
  <c r="BE80" i="1"/>
  <c r="BF80" i="1"/>
  <c r="BG80" i="1"/>
  <c r="BH80" i="1"/>
  <c r="BI80" i="1"/>
  <c r="BJ80" i="1"/>
  <c r="BL80" i="1"/>
  <c r="BM80" i="1"/>
  <c r="BN80" i="1"/>
  <c r="BO80" i="1"/>
  <c r="BT80" i="1"/>
  <c r="BU80" i="1"/>
  <c r="BV80" i="1"/>
  <c r="BW80" i="1"/>
  <c r="BX80" i="1"/>
  <c r="BY80" i="1"/>
  <c r="O81" i="1"/>
  <c r="P81" i="1"/>
  <c r="Q81" i="1"/>
  <c r="R81" i="1"/>
  <c r="S81" i="1"/>
  <c r="T81" i="1"/>
  <c r="AM81" i="1"/>
  <c r="AN81" i="1"/>
  <c r="AO81" i="1"/>
  <c r="AP81" i="1"/>
  <c r="AQ81" i="1"/>
  <c r="AR81" i="1"/>
  <c r="AS81" i="1"/>
  <c r="AT81" i="1"/>
  <c r="AU81" i="1"/>
  <c r="AV81" i="1"/>
  <c r="AW81" i="1"/>
  <c r="AX81" i="1"/>
  <c r="AY81" i="1"/>
  <c r="AZ81" i="1"/>
  <c r="BA81" i="1"/>
  <c r="BB81" i="1"/>
  <c r="BC81" i="1"/>
  <c r="BD81" i="1"/>
  <c r="BE81" i="1"/>
  <c r="BF81" i="1"/>
  <c r="BG81" i="1"/>
  <c r="BH81" i="1"/>
  <c r="BI81" i="1"/>
  <c r="BJ81" i="1"/>
  <c r="BL81" i="1"/>
  <c r="BM81" i="1"/>
  <c r="BN81" i="1"/>
  <c r="BO81" i="1"/>
  <c r="BT81" i="1"/>
  <c r="BU81" i="1"/>
  <c r="BV81" i="1"/>
  <c r="BW81" i="1"/>
  <c r="BX81" i="1"/>
  <c r="BY81" i="1"/>
  <c r="O83" i="1"/>
  <c r="P83" i="1"/>
  <c r="Q83" i="1"/>
  <c r="R83" i="1"/>
  <c r="S83" i="1"/>
  <c r="T83" i="1"/>
  <c r="AM83" i="1"/>
  <c r="AN83" i="1"/>
  <c r="AO83" i="1"/>
  <c r="AP83" i="1"/>
  <c r="AQ83" i="1"/>
  <c r="AR83" i="1"/>
  <c r="AS83" i="1"/>
  <c r="AT83" i="1"/>
  <c r="AU83" i="1"/>
  <c r="AV83" i="1"/>
  <c r="AW83" i="1"/>
  <c r="AX83" i="1"/>
  <c r="AY83" i="1"/>
  <c r="AZ83" i="1"/>
  <c r="BA83" i="1"/>
  <c r="BB83" i="1"/>
  <c r="BC83" i="1"/>
  <c r="BD83" i="1"/>
  <c r="BE83" i="1"/>
  <c r="BF83" i="1"/>
  <c r="BG83" i="1"/>
  <c r="BH83" i="1"/>
  <c r="BI83" i="1"/>
  <c r="BJ83" i="1"/>
  <c r="BN83" i="1"/>
  <c r="BT83" i="1"/>
  <c r="BU83" i="1"/>
  <c r="BV83" i="1"/>
  <c r="BW83" i="1"/>
  <c r="BX83" i="1"/>
  <c r="BY83" i="1"/>
  <c r="O84" i="1"/>
  <c r="P84" i="1"/>
  <c r="Q84" i="1"/>
  <c r="R84" i="1"/>
  <c r="S84" i="1"/>
  <c r="T84" i="1"/>
  <c r="AM84" i="1"/>
  <c r="AN84" i="1"/>
  <c r="AO84" i="1"/>
  <c r="AP84" i="1"/>
  <c r="AQ84" i="1"/>
  <c r="AR84" i="1"/>
  <c r="AS84" i="1"/>
  <c r="AT84" i="1"/>
  <c r="AU84" i="1"/>
  <c r="AV84" i="1"/>
  <c r="AW84" i="1"/>
  <c r="AX84" i="1"/>
  <c r="AY84" i="1"/>
  <c r="AZ84" i="1"/>
  <c r="BA84" i="1"/>
  <c r="BB84" i="1"/>
  <c r="BC84" i="1"/>
  <c r="BD84" i="1"/>
  <c r="BE84" i="1"/>
  <c r="BF84" i="1"/>
  <c r="BG84" i="1"/>
  <c r="BH84" i="1"/>
  <c r="BI84" i="1"/>
  <c r="BJ84" i="1"/>
  <c r="BN84" i="1"/>
  <c r="BO84" i="1"/>
  <c r="BT84" i="1"/>
  <c r="BU84" i="1"/>
  <c r="BV84" i="1"/>
  <c r="BW84" i="1"/>
  <c r="BX84" i="1"/>
  <c r="BY84" i="1"/>
  <c r="P257" i="1"/>
  <c r="Q257" i="1"/>
  <c r="R257" i="1"/>
  <c r="S257" i="1"/>
  <c r="T257" i="1"/>
  <c r="U257" i="1"/>
  <c r="V257" i="1"/>
  <c r="W257" i="1"/>
  <c r="X257" i="1"/>
  <c r="Y257" i="1"/>
  <c r="Z257" i="1"/>
  <c r="AA257" i="1"/>
  <c r="AB257" i="1"/>
  <c r="AC257" i="1"/>
  <c r="AD257" i="1"/>
  <c r="AE257" i="1"/>
  <c r="AF257" i="1"/>
  <c r="AG257" i="1"/>
  <c r="AH257" i="1"/>
  <c r="AI257" i="1"/>
  <c r="AJ257" i="1"/>
  <c r="AK257" i="1"/>
  <c r="AL257" i="1"/>
  <c r="AM257" i="1"/>
  <c r="AN257" i="1"/>
  <c r="AO257" i="1"/>
  <c r="AP257" i="1"/>
  <c r="AQ257" i="1"/>
  <c r="AR257" i="1"/>
  <c r="AS257" i="1"/>
  <c r="AT257" i="1"/>
  <c r="AU257" i="1"/>
  <c r="AV257" i="1"/>
  <c r="AW257" i="1"/>
  <c r="AX257" i="1"/>
  <c r="AY257" i="1"/>
  <c r="AZ257" i="1"/>
  <c r="BA257" i="1"/>
  <c r="BB257" i="1"/>
  <c r="BC257" i="1"/>
  <c r="BD257" i="1"/>
  <c r="BE257" i="1"/>
  <c r="BF257" i="1"/>
  <c r="BG257" i="1"/>
  <c r="BH257" i="1"/>
  <c r="BI257" i="1"/>
  <c r="BJ257" i="1"/>
  <c r="AM263" i="1"/>
  <c r="AN263" i="1"/>
  <c r="AO263" i="1"/>
  <c r="AP263" i="1"/>
  <c r="AQ263" i="1"/>
  <c r="AR263" i="1"/>
  <c r="AS263" i="1"/>
  <c r="AT263" i="1"/>
  <c r="AU263" i="1"/>
  <c r="AV263" i="1"/>
  <c r="AW263" i="1"/>
  <c r="AX263" i="1"/>
  <c r="AY263" i="1"/>
  <c r="AZ263" i="1"/>
  <c r="BA263" i="1"/>
  <c r="BB263" i="1"/>
  <c r="BC263" i="1"/>
  <c r="BD263" i="1"/>
  <c r="BE263" i="1"/>
  <c r="BF263" i="1"/>
  <c r="BG263" i="1"/>
  <c r="BH263" i="1"/>
  <c r="BI263" i="1"/>
  <c r="BJ263" i="1"/>
  <c r="AM264" i="1"/>
  <c r="AN264" i="1"/>
  <c r="AO264" i="1"/>
  <c r="AP264" i="1"/>
  <c r="AQ264" i="1"/>
  <c r="AR264" i="1"/>
  <c r="AS264" i="1"/>
  <c r="AT264" i="1"/>
  <c r="AU264" i="1"/>
  <c r="AV264" i="1"/>
  <c r="AW264" i="1"/>
  <c r="AX264" i="1"/>
  <c r="AY264" i="1"/>
  <c r="AZ264" i="1"/>
  <c r="BA264" i="1"/>
  <c r="BB264" i="1"/>
  <c r="BC264" i="1"/>
  <c r="BD264" i="1"/>
  <c r="BE264" i="1"/>
  <c r="BF264" i="1"/>
  <c r="BG264" i="1"/>
  <c r="BH264" i="1"/>
  <c r="BI264" i="1"/>
  <c r="BJ264" i="1"/>
  <c r="AM267" i="1"/>
  <c r="AN267" i="1"/>
  <c r="AO267" i="1"/>
  <c r="AP267" i="1"/>
  <c r="AQ267" i="1"/>
  <c r="AR267" i="1"/>
  <c r="AS267" i="1"/>
  <c r="AT267" i="1"/>
  <c r="AU267" i="1"/>
  <c r="AV267" i="1"/>
  <c r="AW267" i="1"/>
  <c r="AX267" i="1"/>
  <c r="AY267" i="1"/>
  <c r="AZ267" i="1"/>
  <c r="BA267" i="1"/>
  <c r="BB267" i="1"/>
  <c r="BC267" i="1"/>
  <c r="BD267" i="1"/>
  <c r="BE267" i="1"/>
  <c r="BF267" i="1"/>
  <c r="BG267" i="1"/>
  <c r="BH267" i="1"/>
  <c r="BI267" i="1"/>
  <c r="BJ267" i="1"/>
  <c r="S268" i="1"/>
  <c r="T268" i="1"/>
  <c r="U268" i="1"/>
  <c r="V268" i="1"/>
  <c r="W268" i="1"/>
  <c r="X268" i="1"/>
  <c r="Y268" i="1"/>
  <c r="Z268" i="1"/>
  <c r="AA268" i="1"/>
  <c r="AB268" i="1"/>
  <c r="AC268" i="1"/>
  <c r="AD268" i="1"/>
  <c r="AE268" i="1"/>
  <c r="AF268" i="1"/>
  <c r="AG268" i="1"/>
  <c r="AH268" i="1"/>
  <c r="AI268" i="1"/>
  <c r="AJ268" i="1"/>
  <c r="AK268" i="1"/>
  <c r="AL268" i="1"/>
  <c r="AM268" i="1"/>
  <c r="AN268" i="1"/>
  <c r="AO268" i="1"/>
  <c r="AP268" i="1"/>
  <c r="AQ268" i="1"/>
  <c r="AR268" i="1"/>
  <c r="AS268" i="1"/>
  <c r="AT268" i="1"/>
  <c r="AU268" i="1"/>
  <c r="AV268" i="1"/>
  <c r="AW268" i="1"/>
  <c r="AX268" i="1"/>
  <c r="AY268" i="1"/>
  <c r="AZ268" i="1"/>
  <c r="BA268" i="1"/>
  <c r="BB268" i="1"/>
  <c r="BC268" i="1"/>
  <c r="BD268" i="1"/>
  <c r="BE268" i="1"/>
  <c r="BF268" i="1"/>
  <c r="BG268" i="1"/>
  <c r="BH268" i="1"/>
  <c r="BI268" i="1"/>
  <c r="BJ268" i="1"/>
  <c r="AM270" i="1"/>
  <c r="AN270" i="1"/>
  <c r="AO270" i="1"/>
  <c r="AP270" i="1"/>
  <c r="AQ270" i="1"/>
  <c r="AR270" i="1"/>
  <c r="AS270" i="1"/>
  <c r="AT270" i="1"/>
  <c r="AU270" i="1"/>
  <c r="AV270" i="1"/>
  <c r="AW270" i="1"/>
  <c r="AX270" i="1"/>
  <c r="AY270" i="1"/>
  <c r="AZ270" i="1"/>
  <c r="BA270" i="1"/>
  <c r="BB270" i="1"/>
  <c r="BC270" i="1"/>
  <c r="BD270" i="1"/>
  <c r="BE270" i="1"/>
  <c r="BF270" i="1"/>
  <c r="BG270" i="1"/>
  <c r="BH270" i="1"/>
  <c r="BI270" i="1"/>
  <c r="BJ270" i="1"/>
  <c r="AM272" i="1"/>
  <c r="AN272" i="1"/>
  <c r="AO272" i="1"/>
  <c r="AP272" i="1"/>
  <c r="AQ272" i="1"/>
  <c r="AR272" i="1"/>
  <c r="AS272" i="1"/>
  <c r="AT272" i="1"/>
  <c r="AU272" i="1"/>
  <c r="AV272" i="1"/>
  <c r="AW272" i="1"/>
  <c r="AX272" i="1"/>
  <c r="AY272" i="1"/>
  <c r="AZ272" i="1"/>
  <c r="BA272" i="1"/>
  <c r="BB272" i="1"/>
  <c r="BC272" i="1"/>
  <c r="BD272" i="1"/>
  <c r="BE272" i="1"/>
  <c r="BF272" i="1"/>
  <c r="BG272" i="1"/>
  <c r="BH272" i="1"/>
  <c r="BI272" i="1"/>
  <c r="BJ272" i="1"/>
  <c r="AH275" i="1"/>
  <c r="AM275" i="1"/>
  <c r="AN275" i="1"/>
  <c r="AO275" i="1"/>
  <c r="AP275" i="1"/>
  <c r="AQ275" i="1"/>
  <c r="AR275" i="1"/>
  <c r="AS275" i="1"/>
  <c r="AT275" i="1"/>
  <c r="AU275" i="1"/>
  <c r="AV275" i="1"/>
  <c r="AW275" i="1"/>
  <c r="AX275" i="1"/>
  <c r="AY275" i="1"/>
  <c r="AZ275" i="1"/>
  <c r="BA275" i="1"/>
  <c r="BB275" i="1"/>
  <c r="BC275" i="1"/>
  <c r="BD275" i="1"/>
  <c r="BE275" i="1"/>
  <c r="BF275" i="1"/>
  <c r="BG275" i="1"/>
  <c r="BH275" i="1"/>
  <c r="BI275" i="1"/>
  <c r="BJ275" i="1"/>
  <c r="BR275" i="1"/>
  <c r="BT275" i="1"/>
  <c r="BU275" i="1"/>
  <c r="BV275" i="1"/>
  <c r="BW275" i="1"/>
  <c r="BX275" i="1"/>
  <c r="BY275" i="1"/>
  <c r="AM277" i="1"/>
  <c r="AN277" i="1"/>
  <c r="AO277" i="1"/>
  <c r="AP277" i="1"/>
  <c r="AQ277" i="1"/>
  <c r="AR277" i="1"/>
  <c r="AS277" i="1"/>
  <c r="AT277" i="1"/>
  <c r="AU277" i="1"/>
  <c r="AV277" i="1"/>
  <c r="AW277" i="1"/>
  <c r="AX277" i="1"/>
  <c r="AY277" i="1"/>
  <c r="AZ277" i="1"/>
  <c r="BA277" i="1"/>
  <c r="BB277" i="1"/>
  <c r="BC277" i="1"/>
  <c r="BD277" i="1"/>
  <c r="BE277" i="1"/>
  <c r="BF277" i="1"/>
  <c r="BG277" i="1"/>
  <c r="BH277" i="1"/>
  <c r="BI277" i="1"/>
  <c r="BJ277" i="1"/>
  <c r="AH280" i="1"/>
  <c r="AM280" i="1"/>
  <c r="AN280" i="1"/>
  <c r="AO280" i="1"/>
  <c r="AP280" i="1"/>
  <c r="AQ280" i="1"/>
  <c r="AR280" i="1"/>
  <c r="AS280" i="1"/>
  <c r="AT280" i="1"/>
  <c r="AU280" i="1"/>
  <c r="AV280" i="1"/>
  <c r="AW280" i="1"/>
  <c r="AX280" i="1"/>
  <c r="AY280" i="1"/>
  <c r="AZ280" i="1"/>
  <c r="BA280" i="1"/>
  <c r="BB280" i="1"/>
  <c r="BC280" i="1"/>
  <c r="BD280" i="1"/>
  <c r="BE280" i="1"/>
  <c r="BF280" i="1"/>
  <c r="BG280" i="1"/>
  <c r="BH280" i="1"/>
  <c r="BI280" i="1"/>
  <c r="BJ280" i="1"/>
  <c r="AM281" i="1"/>
  <c r="AN281" i="1"/>
  <c r="AO281" i="1"/>
  <c r="AP281" i="1"/>
  <c r="AQ281" i="1"/>
  <c r="AR281" i="1"/>
  <c r="AS281" i="1"/>
  <c r="AT281" i="1"/>
  <c r="AU281" i="1"/>
  <c r="AV281" i="1"/>
  <c r="AW281" i="1"/>
  <c r="AX281" i="1"/>
  <c r="AY281" i="1"/>
  <c r="AZ281" i="1"/>
  <c r="BA281" i="1"/>
  <c r="BB281" i="1"/>
  <c r="BC281" i="1"/>
  <c r="BD281" i="1"/>
  <c r="BE281" i="1"/>
  <c r="BF281" i="1"/>
  <c r="BG281" i="1"/>
  <c r="BH281" i="1"/>
  <c r="BI281" i="1"/>
  <c r="BJ281" i="1"/>
  <c r="BT281" i="1"/>
  <c r="BU281" i="1"/>
  <c r="BV281" i="1"/>
  <c r="BW281" i="1"/>
  <c r="BX281" i="1"/>
  <c r="BY281" i="1"/>
  <c r="AH282" i="1"/>
  <c r="AM282" i="1"/>
  <c r="AN282" i="1"/>
  <c r="AO282" i="1"/>
  <c r="AP282" i="1"/>
  <c r="AQ282" i="1"/>
  <c r="AR282" i="1"/>
  <c r="AS282" i="1"/>
  <c r="AT282" i="1"/>
  <c r="AU282" i="1"/>
  <c r="AV282" i="1"/>
  <c r="AW282" i="1"/>
  <c r="AX282" i="1"/>
  <c r="AY282" i="1"/>
  <c r="AZ282" i="1"/>
  <c r="BA282" i="1"/>
  <c r="BB282" i="1"/>
  <c r="BC282" i="1"/>
  <c r="BD282" i="1"/>
  <c r="BE282" i="1"/>
  <c r="BF282" i="1"/>
  <c r="BG282" i="1"/>
  <c r="BH282" i="1"/>
  <c r="BI282" i="1"/>
  <c r="BJ282" i="1"/>
  <c r="AM287" i="1"/>
  <c r="AN287" i="1"/>
  <c r="AO287" i="1"/>
  <c r="AP287" i="1"/>
  <c r="AQ287" i="1"/>
  <c r="AR287" i="1"/>
  <c r="AS287" i="1"/>
  <c r="AT287" i="1"/>
  <c r="AU287" i="1"/>
  <c r="AV287" i="1"/>
  <c r="AW287" i="1"/>
  <c r="AX287" i="1"/>
  <c r="AY287" i="1"/>
  <c r="AZ287" i="1"/>
  <c r="BA287" i="1"/>
  <c r="BB287" i="1"/>
  <c r="BC287" i="1"/>
  <c r="BD287" i="1"/>
  <c r="BE287" i="1"/>
  <c r="BF287" i="1"/>
  <c r="BG287" i="1"/>
  <c r="BH287" i="1"/>
  <c r="BI287" i="1"/>
  <c r="BJ287" i="1"/>
  <c r="W288" i="1"/>
  <c r="X288" i="1"/>
  <c r="Y288" i="1"/>
  <c r="Z288" i="1"/>
  <c r="AA288" i="1"/>
  <c r="AB288" i="1"/>
  <c r="AC288" i="1"/>
  <c r="AD288" i="1"/>
  <c r="AE288" i="1"/>
  <c r="AF288" i="1"/>
  <c r="AG288" i="1"/>
  <c r="AH288" i="1"/>
  <c r="AI288" i="1"/>
  <c r="AJ288" i="1"/>
  <c r="AK288" i="1"/>
  <c r="AL288" i="1"/>
  <c r="AM288" i="1"/>
  <c r="AN288" i="1"/>
  <c r="AO288" i="1"/>
  <c r="AP288" i="1"/>
  <c r="AQ288" i="1"/>
  <c r="AR288" i="1"/>
  <c r="AS288" i="1"/>
  <c r="AT288" i="1"/>
  <c r="AU288" i="1"/>
  <c r="AV288" i="1"/>
  <c r="AW288" i="1"/>
  <c r="AX288" i="1"/>
  <c r="AY288" i="1"/>
  <c r="AZ288" i="1"/>
  <c r="BA288" i="1"/>
  <c r="BB288" i="1"/>
  <c r="BC288" i="1"/>
  <c r="BD288" i="1"/>
  <c r="BE288" i="1"/>
  <c r="BF288" i="1"/>
  <c r="BG288" i="1"/>
  <c r="BH288" i="1"/>
  <c r="BI288" i="1"/>
  <c r="BJ288" i="1"/>
  <c r="AM289" i="1"/>
  <c r="AN289" i="1"/>
  <c r="AO289" i="1"/>
  <c r="AP289" i="1"/>
  <c r="AQ289" i="1"/>
  <c r="AR289" i="1"/>
  <c r="AS289" i="1"/>
  <c r="AT289" i="1"/>
  <c r="AU289" i="1"/>
  <c r="AV289" i="1"/>
  <c r="AW289" i="1"/>
  <c r="AX289" i="1"/>
  <c r="AY289" i="1"/>
  <c r="AZ289" i="1"/>
  <c r="BA289" i="1"/>
  <c r="BB289" i="1"/>
  <c r="BC289" i="1"/>
  <c r="BD289" i="1"/>
  <c r="BE289" i="1"/>
  <c r="BF289" i="1"/>
  <c r="BG289" i="1"/>
  <c r="BH289" i="1"/>
  <c r="BI289" i="1"/>
  <c r="BJ289" i="1"/>
  <c r="P290" i="1"/>
  <c r="Q290" i="1"/>
  <c r="R290" i="1"/>
  <c r="S290" i="1"/>
  <c r="T290" i="1"/>
  <c r="U290" i="1"/>
  <c r="V290" i="1"/>
  <c r="W290" i="1"/>
  <c r="X290" i="1"/>
  <c r="Y290" i="1"/>
  <c r="Z290" i="1"/>
  <c r="AA290" i="1"/>
  <c r="AB290" i="1"/>
  <c r="AC290" i="1"/>
  <c r="AD290" i="1"/>
  <c r="AE290" i="1"/>
  <c r="AF290" i="1"/>
  <c r="AG290" i="1"/>
  <c r="AH290" i="1"/>
  <c r="AI290" i="1"/>
  <c r="AJ290" i="1"/>
  <c r="AK290" i="1"/>
  <c r="AL290" i="1"/>
  <c r="AM290" i="1"/>
  <c r="AN290" i="1"/>
  <c r="AO290" i="1"/>
  <c r="AP290" i="1"/>
  <c r="AQ290" i="1"/>
  <c r="AR290" i="1"/>
  <c r="AS290" i="1"/>
  <c r="AT290" i="1"/>
  <c r="AU290" i="1"/>
  <c r="AV290" i="1"/>
  <c r="AW290" i="1"/>
  <c r="AX290" i="1"/>
  <c r="AY290" i="1"/>
  <c r="AZ290" i="1"/>
  <c r="BA290" i="1"/>
  <c r="BB290" i="1"/>
  <c r="BC290" i="1"/>
  <c r="BD290" i="1"/>
  <c r="BE290" i="1"/>
  <c r="BF290" i="1"/>
  <c r="BG290" i="1"/>
  <c r="BH290" i="1"/>
  <c r="BI290" i="1"/>
  <c r="BJ290" i="1"/>
  <c r="AM320" i="1"/>
  <c r="AN320" i="1"/>
  <c r="AO320" i="1"/>
  <c r="AP320" i="1"/>
  <c r="AQ320" i="1"/>
  <c r="AR320" i="1"/>
  <c r="AS320" i="1"/>
  <c r="AT320" i="1"/>
  <c r="AU320" i="1"/>
  <c r="AV320" i="1"/>
  <c r="AW320" i="1"/>
  <c r="AX320" i="1"/>
  <c r="AY320" i="1"/>
  <c r="AZ320" i="1"/>
  <c r="BA320" i="1"/>
  <c r="BB320" i="1"/>
  <c r="BC320" i="1"/>
  <c r="BD320" i="1"/>
  <c r="BE320" i="1"/>
  <c r="BF320" i="1"/>
  <c r="BG320" i="1"/>
  <c r="BH320" i="1"/>
  <c r="BI320" i="1"/>
  <c r="BJ320" i="1"/>
  <c r="AM321" i="1"/>
  <c r="AN321" i="1"/>
  <c r="AO321" i="1"/>
  <c r="AP321" i="1"/>
  <c r="AQ321" i="1"/>
  <c r="AR321" i="1"/>
  <c r="AS321" i="1"/>
  <c r="AT321" i="1"/>
  <c r="AU321" i="1"/>
  <c r="AV321" i="1"/>
  <c r="AW321" i="1"/>
  <c r="AX321" i="1"/>
  <c r="AY321" i="1"/>
  <c r="AZ321" i="1"/>
  <c r="BA321" i="1"/>
  <c r="BB321" i="1"/>
  <c r="BC321" i="1"/>
  <c r="BD321" i="1"/>
  <c r="BE321" i="1"/>
  <c r="BF321" i="1"/>
  <c r="BG321" i="1"/>
  <c r="BH321" i="1"/>
  <c r="BI321" i="1"/>
  <c r="BJ321" i="1"/>
  <c r="AM322" i="1"/>
  <c r="AN322" i="1"/>
  <c r="AO322" i="1"/>
  <c r="AP322" i="1"/>
  <c r="AQ322" i="1"/>
  <c r="AR322" i="1"/>
  <c r="AS322" i="1"/>
  <c r="AT322" i="1"/>
  <c r="AU322" i="1"/>
  <c r="AV322" i="1"/>
  <c r="AW322" i="1"/>
  <c r="AX322" i="1"/>
  <c r="AY322" i="1"/>
  <c r="AZ322" i="1"/>
  <c r="BA322" i="1"/>
  <c r="BB322" i="1"/>
  <c r="BC322" i="1"/>
  <c r="BD322" i="1"/>
  <c r="BE322" i="1"/>
  <c r="BF322" i="1"/>
  <c r="BG322" i="1"/>
  <c r="BH322" i="1"/>
  <c r="BI322" i="1"/>
  <c r="BJ322" i="1"/>
  <c r="AM338" i="1"/>
  <c r="AN338" i="1"/>
  <c r="AO338" i="1"/>
  <c r="AP338" i="1"/>
  <c r="AQ338" i="1"/>
  <c r="AR338" i="1"/>
  <c r="AS338" i="1"/>
  <c r="AT338" i="1"/>
  <c r="AU338" i="1"/>
  <c r="AV338" i="1"/>
  <c r="AW338" i="1"/>
  <c r="AX338" i="1"/>
  <c r="AY338" i="1"/>
  <c r="AZ338" i="1"/>
  <c r="BA338" i="1"/>
  <c r="BB338" i="1"/>
  <c r="BC338" i="1"/>
  <c r="BD338" i="1"/>
  <c r="BE338" i="1"/>
  <c r="BF338" i="1"/>
  <c r="BG338" i="1"/>
  <c r="BH338" i="1"/>
  <c r="BI338" i="1"/>
  <c r="BJ338" i="1"/>
  <c r="AM339" i="1"/>
  <c r="AN339" i="1"/>
  <c r="AO339" i="1"/>
  <c r="AP339" i="1"/>
  <c r="AQ339" i="1"/>
  <c r="AR339" i="1"/>
  <c r="AS339" i="1"/>
  <c r="AT339" i="1"/>
  <c r="AU339" i="1"/>
  <c r="AV339" i="1"/>
  <c r="AW339" i="1"/>
  <c r="AX339" i="1"/>
  <c r="AY339" i="1"/>
  <c r="AZ339" i="1"/>
  <c r="BA339" i="1"/>
  <c r="BB339" i="1"/>
  <c r="BC339" i="1"/>
  <c r="BD339" i="1"/>
  <c r="BE339" i="1"/>
  <c r="BF339" i="1"/>
  <c r="BG339" i="1"/>
  <c r="BH339" i="1"/>
  <c r="BI339" i="1"/>
  <c r="BJ339" i="1"/>
  <c r="O346" i="1"/>
  <c r="P346" i="1"/>
  <c r="Q346" i="1"/>
  <c r="R346" i="1"/>
  <c r="S346" i="1"/>
  <c r="T346" i="1"/>
  <c r="U346" i="1"/>
  <c r="V346" i="1"/>
  <c r="W346" i="1"/>
  <c r="X346" i="1"/>
  <c r="Y346" i="1"/>
  <c r="Z346" i="1"/>
  <c r="AA346" i="1"/>
  <c r="AB346" i="1"/>
  <c r="AC346" i="1"/>
  <c r="AD346" i="1"/>
  <c r="AE346" i="1"/>
  <c r="AF346" i="1"/>
  <c r="AG346" i="1"/>
  <c r="AH346" i="1"/>
  <c r="AI346" i="1"/>
  <c r="AJ346" i="1"/>
  <c r="AK346" i="1"/>
  <c r="AL346" i="1"/>
  <c r="AM346" i="1"/>
  <c r="AN346" i="1"/>
  <c r="AO346" i="1"/>
  <c r="AP346" i="1"/>
  <c r="AQ346" i="1"/>
  <c r="AR346" i="1"/>
  <c r="AS346" i="1"/>
  <c r="AT346" i="1"/>
  <c r="AU346" i="1"/>
  <c r="AV346" i="1"/>
  <c r="AW346" i="1"/>
  <c r="AX346" i="1"/>
  <c r="AY346" i="1"/>
  <c r="AZ346" i="1"/>
  <c r="BA346" i="1"/>
  <c r="BB346" i="1"/>
  <c r="BC346" i="1"/>
  <c r="BD346" i="1"/>
  <c r="BE346" i="1"/>
  <c r="BF346" i="1"/>
  <c r="BG346" i="1"/>
  <c r="BH346" i="1"/>
  <c r="BI346" i="1"/>
  <c r="BJ346" i="1"/>
  <c r="BN346" i="1"/>
  <c r="BO346" i="1"/>
  <c r="BP346" i="1"/>
  <c r="BQ346" i="1"/>
  <c r="BR346" i="1"/>
  <c r="BS346" i="1"/>
  <c r="BT346" i="1"/>
  <c r="BU346" i="1"/>
  <c r="BV346" i="1"/>
  <c r="BW346" i="1"/>
  <c r="BX346" i="1"/>
  <c r="BY346" i="1"/>
  <c r="O352" i="1"/>
  <c r="P352" i="1"/>
  <c r="Q352" i="1"/>
  <c r="R352" i="1"/>
  <c r="S352" i="1"/>
  <c r="T352" i="1"/>
  <c r="U352" i="1"/>
  <c r="V352" i="1"/>
  <c r="W352" i="1"/>
  <c r="X352" i="1"/>
  <c r="Y352" i="1"/>
  <c r="Z352" i="1"/>
  <c r="AA352" i="1"/>
  <c r="AB352" i="1"/>
  <c r="AC352" i="1"/>
  <c r="AD352" i="1"/>
  <c r="AE352" i="1"/>
  <c r="AF352" i="1"/>
  <c r="AG352" i="1"/>
  <c r="AH352" i="1"/>
  <c r="AI352" i="1"/>
  <c r="AJ352" i="1"/>
  <c r="AK352" i="1"/>
  <c r="AL352" i="1"/>
  <c r="AM352" i="1"/>
  <c r="AN352" i="1"/>
  <c r="AO352" i="1"/>
  <c r="AP352" i="1"/>
  <c r="AQ352" i="1"/>
  <c r="AR352" i="1"/>
  <c r="AS352" i="1"/>
  <c r="AT352" i="1"/>
  <c r="AU352" i="1"/>
  <c r="AV352" i="1"/>
  <c r="AW352" i="1"/>
  <c r="AX352" i="1"/>
  <c r="AY352" i="1"/>
  <c r="AZ352" i="1"/>
  <c r="BA352" i="1"/>
  <c r="BB352" i="1"/>
  <c r="BC352" i="1"/>
  <c r="BD352" i="1"/>
  <c r="BE352" i="1"/>
  <c r="BF352" i="1"/>
  <c r="BG352" i="1"/>
  <c r="BH352" i="1"/>
  <c r="BI352" i="1"/>
  <c r="BJ352" i="1"/>
  <c r="BN352" i="1"/>
  <c r="BO352" i="1"/>
  <c r="BP352" i="1"/>
  <c r="BQ352" i="1"/>
  <c r="BR352" i="1"/>
  <c r="BS352" i="1"/>
  <c r="BT352" i="1"/>
  <c r="BU352" i="1"/>
  <c r="BV352" i="1"/>
  <c r="BW352" i="1"/>
  <c r="BX352" i="1"/>
  <c r="BY352" i="1"/>
  <c r="AM360" i="1"/>
  <c r="AN360" i="1"/>
  <c r="AO360" i="1"/>
  <c r="AP360" i="1"/>
  <c r="AQ360" i="1"/>
  <c r="AR360" i="1"/>
  <c r="AS360" i="1"/>
  <c r="AT360" i="1"/>
  <c r="AU360" i="1"/>
  <c r="AV360" i="1"/>
  <c r="AW360" i="1"/>
  <c r="AX360" i="1"/>
  <c r="AY360" i="1"/>
  <c r="AZ360" i="1"/>
  <c r="BA360" i="1"/>
  <c r="BB360" i="1"/>
  <c r="BC360" i="1"/>
  <c r="BD360" i="1"/>
  <c r="BE360" i="1"/>
  <c r="BF360" i="1"/>
  <c r="BG360" i="1"/>
  <c r="BH360" i="1"/>
  <c r="BI360" i="1"/>
  <c r="BJ360" i="1"/>
  <c r="BT360" i="1"/>
  <c r="BU360" i="1"/>
  <c r="BV360" i="1"/>
  <c r="BW360" i="1"/>
  <c r="BX360" i="1"/>
  <c r="BY360" i="1"/>
  <c r="AM362" i="1"/>
  <c r="AN362" i="1"/>
  <c r="AO362" i="1"/>
  <c r="AP362" i="1"/>
  <c r="AQ362" i="1"/>
  <c r="AR362" i="1"/>
  <c r="AS362" i="1"/>
  <c r="AT362" i="1"/>
  <c r="AU362" i="1"/>
  <c r="AV362" i="1"/>
  <c r="AW362" i="1"/>
  <c r="AX362" i="1"/>
  <c r="AY362" i="1"/>
  <c r="AZ362" i="1"/>
  <c r="BA362" i="1"/>
  <c r="BB362" i="1"/>
  <c r="BC362" i="1"/>
  <c r="BD362" i="1"/>
  <c r="BE362" i="1"/>
  <c r="BF362" i="1"/>
  <c r="BG362" i="1"/>
  <c r="BH362" i="1"/>
  <c r="BI362" i="1"/>
  <c r="BJ362" i="1"/>
  <c r="BT362" i="1"/>
  <c r="BU362" i="1"/>
  <c r="BV362" i="1"/>
  <c r="BW362" i="1"/>
  <c r="BX362" i="1"/>
  <c r="BY362" i="1"/>
  <c r="AM364" i="1"/>
  <c r="AN364" i="1"/>
  <c r="AO364" i="1"/>
  <c r="AP364" i="1"/>
  <c r="AQ364" i="1"/>
  <c r="AR364" i="1"/>
  <c r="AS364" i="1"/>
  <c r="AT364" i="1"/>
  <c r="AU364" i="1"/>
  <c r="AV364" i="1"/>
  <c r="AW364" i="1"/>
  <c r="AX364" i="1"/>
  <c r="AY364" i="1"/>
  <c r="AZ364" i="1"/>
  <c r="BA364" i="1"/>
  <c r="BB364" i="1"/>
  <c r="BC364" i="1"/>
  <c r="BD364" i="1"/>
  <c r="BE364" i="1"/>
  <c r="BF364" i="1"/>
  <c r="BG364" i="1"/>
  <c r="BH364" i="1"/>
  <c r="BI364" i="1"/>
  <c r="BJ364" i="1"/>
  <c r="BT364" i="1"/>
  <c r="BU364" i="1"/>
  <c r="BV364" i="1"/>
  <c r="BW364" i="1"/>
  <c r="BX364" i="1"/>
  <c r="BY364" i="1"/>
  <c r="O366" i="1"/>
  <c r="P366" i="1"/>
  <c r="Q366" i="1"/>
  <c r="R366" i="1"/>
  <c r="S366" i="1"/>
  <c r="T366" i="1"/>
  <c r="U366" i="1"/>
  <c r="V366" i="1"/>
  <c r="W366" i="1"/>
  <c r="X366" i="1"/>
  <c r="Y366" i="1"/>
  <c r="Z366" i="1"/>
  <c r="AA366" i="1"/>
  <c r="AB366" i="1"/>
  <c r="AC366" i="1"/>
  <c r="AD366" i="1"/>
  <c r="AE366" i="1"/>
  <c r="AF366" i="1"/>
  <c r="AG366" i="1"/>
  <c r="AH366" i="1"/>
  <c r="AI366" i="1"/>
  <c r="AJ366" i="1"/>
  <c r="AK366" i="1"/>
  <c r="AL366" i="1"/>
  <c r="AM366" i="1"/>
  <c r="AN366" i="1"/>
  <c r="AO366" i="1"/>
  <c r="AP366" i="1"/>
  <c r="AQ366" i="1"/>
  <c r="AR366" i="1"/>
  <c r="AS366" i="1"/>
  <c r="AT366" i="1"/>
  <c r="AU366" i="1"/>
  <c r="AV366" i="1"/>
  <c r="AW366" i="1"/>
  <c r="AX366" i="1"/>
  <c r="AY366" i="1"/>
  <c r="AZ366" i="1"/>
  <c r="BA366" i="1"/>
  <c r="BB366" i="1"/>
  <c r="BC366" i="1"/>
  <c r="BD366" i="1"/>
  <c r="BE366" i="1"/>
  <c r="BF366" i="1"/>
  <c r="BG366" i="1"/>
  <c r="BH366" i="1"/>
  <c r="BI366" i="1"/>
  <c r="BJ366" i="1"/>
  <c r="BN366" i="1"/>
  <c r="BO366" i="1"/>
  <c r="BP366" i="1"/>
  <c r="BQ366" i="1"/>
  <c r="BR366" i="1"/>
  <c r="BS366" i="1"/>
  <c r="BT366" i="1"/>
  <c r="BU366" i="1"/>
  <c r="BV366" i="1"/>
  <c r="BW366" i="1"/>
  <c r="BX366" i="1"/>
  <c r="BY366" i="1"/>
  <c r="AM371" i="1"/>
  <c r="AN371" i="1"/>
  <c r="AO371" i="1"/>
  <c r="AP371" i="1"/>
  <c r="AQ371" i="1"/>
  <c r="AR371" i="1"/>
  <c r="AS371" i="1"/>
  <c r="AT371" i="1"/>
  <c r="AU371" i="1"/>
  <c r="AV371" i="1"/>
  <c r="AW371" i="1"/>
  <c r="AX371" i="1"/>
  <c r="AY371" i="1"/>
  <c r="AZ371" i="1"/>
  <c r="BA371" i="1"/>
  <c r="BB371" i="1"/>
  <c r="BC371" i="1"/>
  <c r="BD371" i="1"/>
  <c r="BE371" i="1"/>
  <c r="BF371" i="1"/>
  <c r="BG371" i="1"/>
  <c r="BH371" i="1"/>
  <c r="BI371" i="1"/>
  <c r="BJ371" i="1"/>
  <c r="BT371" i="1"/>
  <c r="BU371" i="1"/>
  <c r="BV371" i="1"/>
  <c r="BW371" i="1"/>
  <c r="BX371" i="1"/>
  <c r="BY371" i="1"/>
  <c r="W377" i="1"/>
  <c r="BP377" i="1"/>
  <c r="W378" i="1"/>
  <c r="AM378" i="1"/>
  <c r="AN378" i="1"/>
  <c r="AO378" i="1"/>
  <c r="AP378" i="1"/>
  <c r="AQ378" i="1"/>
  <c r="AR378" i="1"/>
  <c r="AS378" i="1"/>
  <c r="AT378" i="1"/>
  <c r="AU378" i="1"/>
  <c r="AV378" i="1"/>
  <c r="AW378" i="1"/>
  <c r="AX378" i="1"/>
  <c r="AY378" i="1"/>
  <c r="AZ378" i="1"/>
  <c r="BA378" i="1"/>
  <c r="BB378" i="1"/>
  <c r="BC378" i="1"/>
  <c r="BD378" i="1"/>
  <c r="BE378" i="1"/>
  <c r="BF378" i="1"/>
  <c r="BG378" i="1"/>
  <c r="BH378" i="1"/>
  <c r="BI378" i="1"/>
  <c r="BJ378" i="1"/>
  <c r="BP378" i="1"/>
  <c r="BT378" i="1"/>
  <c r="BU378" i="1"/>
  <c r="BV378" i="1"/>
  <c r="BW378" i="1"/>
  <c r="BX378" i="1"/>
  <c r="BY378" i="1"/>
  <c r="AM386" i="1"/>
  <c r="AN386" i="1"/>
  <c r="AO386" i="1"/>
  <c r="AP386" i="1"/>
  <c r="AQ386" i="1"/>
  <c r="AR386" i="1"/>
  <c r="AS386" i="1"/>
  <c r="AT386" i="1"/>
  <c r="AU386" i="1"/>
  <c r="AV386" i="1"/>
  <c r="AW386" i="1"/>
  <c r="AX386" i="1"/>
  <c r="AY386" i="1"/>
  <c r="AZ386" i="1"/>
  <c r="BA386" i="1"/>
  <c r="BB386" i="1"/>
  <c r="BC386" i="1"/>
  <c r="BD386" i="1"/>
  <c r="BE386" i="1"/>
  <c r="BF386" i="1"/>
  <c r="BG386" i="1"/>
  <c r="BH386" i="1"/>
  <c r="BI386" i="1"/>
  <c r="BJ386" i="1"/>
  <c r="BT386" i="1"/>
  <c r="BU386" i="1"/>
  <c r="BV386" i="1"/>
  <c r="BW386" i="1"/>
  <c r="BX386" i="1"/>
  <c r="BY386" i="1"/>
  <c r="O388" i="1"/>
  <c r="P388" i="1"/>
  <c r="Q388" i="1"/>
  <c r="R388" i="1"/>
  <c r="AN388" i="1"/>
  <c r="AO388" i="1"/>
  <c r="AP388" i="1"/>
  <c r="AQ388" i="1"/>
  <c r="AR388" i="1"/>
  <c r="AS388" i="1"/>
  <c r="AT388" i="1"/>
  <c r="AU388" i="1"/>
  <c r="AV388" i="1"/>
  <c r="AW388" i="1"/>
  <c r="AX388" i="1"/>
  <c r="AY388" i="1"/>
  <c r="AZ388" i="1"/>
  <c r="BA388" i="1"/>
  <c r="BB388" i="1"/>
  <c r="BC388" i="1"/>
  <c r="BD388" i="1"/>
  <c r="BE388" i="1"/>
  <c r="BF388" i="1"/>
  <c r="BG388" i="1"/>
  <c r="BH388" i="1"/>
  <c r="BI388" i="1"/>
  <c r="BJ388" i="1"/>
  <c r="BN388" i="1"/>
  <c r="BT388" i="1"/>
  <c r="BU388" i="1"/>
  <c r="BV388" i="1"/>
  <c r="BW388" i="1"/>
  <c r="BX388" i="1"/>
  <c r="BY388" i="1"/>
  <c r="AM389" i="1"/>
  <c r="AN389" i="1"/>
  <c r="AO389" i="1"/>
  <c r="AP389" i="1"/>
  <c r="AQ389" i="1"/>
  <c r="AR389" i="1"/>
  <c r="AS389" i="1"/>
  <c r="AT389" i="1"/>
  <c r="AU389" i="1"/>
  <c r="AV389" i="1"/>
  <c r="AW389" i="1"/>
  <c r="AX389" i="1"/>
  <c r="AY389" i="1"/>
  <c r="AZ389" i="1"/>
  <c r="BA389" i="1"/>
  <c r="BB389" i="1"/>
  <c r="BC389" i="1"/>
  <c r="BD389" i="1"/>
  <c r="BE389" i="1"/>
  <c r="BF389" i="1"/>
  <c r="BG389" i="1"/>
  <c r="BH389" i="1"/>
  <c r="BI389" i="1"/>
  <c r="BJ389" i="1"/>
  <c r="BT389" i="1"/>
  <c r="BU389" i="1"/>
  <c r="BV389" i="1"/>
  <c r="BW389" i="1"/>
  <c r="BX389" i="1"/>
  <c r="BY389" i="1"/>
  <c r="O392" i="1"/>
  <c r="P392" i="1"/>
  <c r="Q392" i="1"/>
  <c r="R392" i="1"/>
  <c r="BN392" i="1"/>
  <c r="O393" i="1"/>
  <c r="P393" i="1"/>
  <c r="Q393" i="1"/>
  <c r="R393" i="1"/>
  <c r="AM393" i="1"/>
  <c r="AN393" i="1"/>
  <c r="AO393" i="1"/>
  <c r="AP393" i="1"/>
  <c r="AQ393" i="1"/>
  <c r="AR393" i="1"/>
  <c r="AS393" i="1"/>
  <c r="AT393" i="1"/>
  <c r="AU393" i="1"/>
  <c r="AV393" i="1"/>
  <c r="AW393" i="1"/>
  <c r="AX393" i="1"/>
  <c r="AY393" i="1"/>
  <c r="AZ393" i="1"/>
  <c r="BA393" i="1"/>
  <c r="BB393" i="1"/>
  <c r="BC393" i="1"/>
  <c r="BD393" i="1"/>
  <c r="BE393" i="1"/>
  <c r="BF393" i="1"/>
  <c r="BG393" i="1"/>
  <c r="BH393" i="1"/>
  <c r="BI393" i="1"/>
  <c r="BJ393" i="1"/>
  <c r="BN393" i="1"/>
  <c r="BT393" i="1"/>
  <c r="BU393" i="1"/>
  <c r="BV393" i="1"/>
  <c r="BW393" i="1"/>
  <c r="BX393" i="1"/>
  <c r="BY393" i="1"/>
  <c r="P395" i="1"/>
  <c r="Q395" i="1"/>
  <c r="R395" i="1"/>
  <c r="S395" i="1"/>
  <c r="T395" i="1"/>
  <c r="U395" i="1"/>
  <c r="V395" i="1"/>
  <c r="W395" i="1"/>
  <c r="X395" i="1"/>
  <c r="Y395" i="1"/>
  <c r="Z395" i="1"/>
  <c r="AA395" i="1"/>
  <c r="AB395" i="1"/>
  <c r="AC395" i="1"/>
  <c r="AD395" i="1"/>
  <c r="AE395" i="1"/>
  <c r="AF395" i="1"/>
  <c r="AG395" i="1"/>
  <c r="AH395" i="1"/>
  <c r="AI395" i="1"/>
  <c r="AJ395" i="1"/>
  <c r="AK395" i="1"/>
  <c r="AL395" i="1"/>
  <c r="AM395" i="1"/>
  <c r="AN395" i="1"/>
  <c r="AO395" i="1"/>
  <c r="AP395" i="1"/>
  <c r="AQ395" i="1"/>
  <c r="AR395" i="1"/>
  <c r="AS395" i="1"/>
  <c r="AT395" i="1"/>
  <c r="AU395" i="1"/>
  <c r="AV395" i="1"/>
  <c r="AW395" i="1"/>
  <c r="AX395" i="1"/>
  <c r="AY395" i="1"/>
  <c r="AZ395" i="1"/>
  <c r="BA395" i="1"/>
  <c r="BB395" i="1"/>
  <c r="BC395" i="1"/>
  <c r="BD395" i="1"/>
  <c r="BE395" i="1"/>
  <c r="BF395" i="1"/>
  <c r="BG395" i="1"/>
  <c r="BH395" i="1"/>
  <c r="BI395" i="1"/>
  <c r="BJ395" i="1"/>
  <c r="BO395" i="1"/>
  <c r="BP395" i="1"/>
  <c r="BQ395" i="1"/>
  <c r="BR395" i="1"/>
  <c r="BS395" i="1"/>
  <c r="BT395" i="1"/>
  <c r="BU395" i="1"/>
  <c r="BV395" i="1"/>
  <c r="BW395" i="1"/>
  <c r="BX395" i="1"/>
  <c r="BY395" i="1"/>
  <c r="O396" i="1"/>
  <c r="P396" i="1"/>
  <c r="Q396" i="1"/>
  <c r="R396" i="1"/>
  <c r="W396" i="1"/>
  <c r="AM396" i="1"/>
  <c r="AN396" i="1"/>
  <c r="AO396" i="1"/>
  <c r="AP396" i="1"/>
  <c r="AQ396" i="1"/>
  <c r="AR396" i="1"/>
  <c r="AS396" i="1"/>
  <c r="AT396" i="1"/>
  <c r="AU396" i="1"/>
  <c r="AV396" i="1"/>
  <c r="AW396" i="1"/>
  <c r="AX396" i="1"/>
  <c r="AY396" i="1"/>
  <c r="AZ396" i="1"/>
  <c r="BA396" i="1"/>
  <c r="BB396" i="1"/>
  <c r="BC396" i="1"/>
  <c r="BD396" i="1"/>
  <c r="BE396" i="1"/>
  <c r="BF396" i="1"/>
  <c r="BG396" i="1"/>
  <c r="BH396" i="1"/>
  <c r="BI396" i="1"/>
  <c r="BJ396" i="1"/>
  <c r="BN396" i="1"/>
  <c r="BP396" i="1"/>
  <c r="BT396" i="1"/>
  <c r="BU396" i="1"/>
  <c r="BV396" i="1"/>
  <c r="BW396" i="1"/>
  <c r="BX396" i="1"/>
  <c r="BY396" i="1"/>
  <c r="O397" i="1"/>
  <c r="P397" i="1"/>
  <c r="Q397" i="1"/>
  <c r="R397" i="1"/>
  <c r="S397" i="1"/>
  <c r="T397" i="1"/>
  <c r="U397" i="1"/>
  <c r="V397" i="1"/>
  <c r="W397" i="1"/>
  <c r="X397" i="1"/>
  <c r="Y397" i="1"/>
  <c r="Z397" i="1"/>
  <c r="AA397" i="1"/>
  <c r="AB397" i="1"/>
  <c r="AC397" i="1"/>
  <c r="AD397" i="1"/>
  <c r="AE397" i="1"/>
  <c r="AF397" i="1"/>
  <c r="AG397" i="1"/>
  <c r="AH397" i="1"/>
  <c r="AI397" i="1"/>
  <c r="AJ397" i="1"/>
  <c r="AK397" i="1"/>
  <c r="AL397" i="1"/>
  <c r="AM397" i="1"/>
  <c r="AN397" i="1"/>
  <c r="AO397" i="1"/>
  <c r="AP397" i="1"/>
  <c r="AQ397" i="1"/>
  <c r="AR397" i="1"/>
  <c r="AS397" i="1"/>
  <c r="AT397" i="1"/>
  <c r="AU397" i="1"/>
  <c r="AV397" i="1"/>
  <c r="AW397" i="1"/>
  <c r="AX397" i="1"/>
  <c r="AY397" i="1"/>
  <c r="AZ397" i="1"/>
  <c r="BA397" i="1"/>
  <c r="BB397" i="1"/>
  <c r="BC397" i="1"/>
  <c r="BD397" i="1"/>
  <c r="BE397" i="1"/>
  <c r="BF397" i="1"/>
  <c r="BG397" i="1"/>
  <c r="BH397" i="1"/>
  <c r="BI397" i="1"/>
  <c r="BJ397" i="1"/>
  <c r="BN397" i="1"/>
  <c r="BO397" i="1"/>
  <c r="BP397" i="1"/>
  <c r="BQ397" i="1"/>
  <c r="BR397" i="1"/>
  <c r="BS397" i="1"/>
  <c r="BT397" i="1"/>
  <c r="BU397" i="1"/>
  <c r="BV397" i="1"/>
  <c r="BW397" i="1"/>
  <c r="BX397" i="1"/>
  <c r="BY397" i="1"/>
  <c r="AM22" i="27"/>
  <c r="E27" i="27"/>
  <c r="F27" i="27"/>
  <c r="G27" i="27"/>
  <c r="H27" i="27"/>
  <c r="I27" i="27"/>
  <c r="J27" i="27"/>
  <c r="E29" i="27"/>
  <c r="F29" i="27"/>
  <c r="G29" i="27"/>
  <c r="H29" i="27"/>
  <c r="I29" i="27"/>
  <c r="J29" i="27"/>
  <c r="AO99" i="27"/>
  <c r="AO100" i="27"/>
  <c r="D4" i="16"/>
  <c r="D12" i="16"/>
  <c r="D20" i="16"/>
  <c r="F20" i="16"/>
  <c r="D22" i="16"/>
  <c r="F22" i="16"/>
  <c r="D23" i="16"/>
  <c r="E23" i="16"/>
  <c r="F23" i="16"/>
  <c r="D24" i="16"/>
  <c r="E24" i="16"/>
  <c r="F24" i="16"/>
  <c r="D26" i="16"/>
  <c r="E26" i="16"/>
  <c r="F26" i="16"/>
  <c r="D29" i="16"/>
  <c r="F29" i="16"/>
  <c r="D31" i="16"/>
  <c r="F31" i="16"/>
  <c r="D33" i="16"/>
  <c r="F33" i="16"/>
  <c r="D34" i="16"/>
  <c r="E34" i="16"/>
  <c r="F34" i="16"/>
  <c r="D35" i="16"/>
  <c r="E35" i="16"/>
  <c r="F35" i="16"/>
  <c r="D36" i="16"/>
  <c r="E36" i="16"/>
  <c r="F36" i="16"/>
  <c r="D37" i="16"/>
  <c r="E37" i="16"/>
  <c r="F37" i="16"/>
  <c r="D42" i="16"/>
  <c r="F42" i="16"/>
  <c r="D44" i="16"/>
  <c r="F44" i="16"/>
  <c r="D45" i="16"/>
  <c r="E45" i="16"/>
  <c r="F45" i="16"/>
  <c r="D46" i="16"/>
  <c r="E46" i="16"/>
  <c r="F46" i="16"/>
  <c r="D48" i="16"/>
  <c r="E48" i="16"/>
  <c r="F48" i="16"/>
  <c r="D51" i="16"/>
  <c r="E51" i="16"/>
  <c r="F51" i="16"/>
  <c r="D53" i="16"/>
  <c r="E53" i="16"/>
  <c r="F53" i="16"/>
  <c r="D55" i="16"/>
  <c r="E55" i="16"/>
  <c r="F55" i="16"/>
  <c r="D56" i="16"/>
  <c r="E56" i="16"/>
  <c r="F56" i="16"/>
  <c r="D57" i="16"/>
  <c r="E57" i="16"/>
  <c r="F57" i="16"/>
  <c r="D58" i="16"/>
  <c r="E58" i="16"/>
  <c r="F58" i="16"/>
  <c r="D59" i="16"/>
  <c r="E59" i="16"/>
  <c r="F59" i="16"/>
</calcChain>
</file>

<file path=xl/comments1.xml><?xml version="1.0" encoding="utf-8"?>
<comments xmlns="http://schemas.openxmlformats.org/spreadsheetml/2006/main">
  <authors>
    <author>Lam, Lisa (Research)</author>
  </authors>
  <commentList>
    <comment ref="AG9" authorId="0">
      <text>
        <r>
          <rPr>
            <u/>
            <sz val="10"/>
            <color indexed="81"/>
            <rFont val="Tahoma"/>
            <family val="2"/>
          </rPr>
          <t xml:space="preserve">one timers (rolling off from 4Q16)
</t>
        </r>
        <r>
          <rPr>
            <sz val="10"/>
            <color indexed="81"/>
            <rFont val="Tahoma"/>
            <family val="2"/>
          </rPr>
          <t>$2M seasonally higher electricity costs
$7M equipment sales
$1.5-2M accelerated churn</t>
        </r>
      </text>
    </comment>
    <comment ref="AG29" authorId="0">
      <text>
        <r>
          <rPr>
            <sz val="9"/>
            <color indexed="81"/>
            <rFont val="Tahoma"/>
            <family val="2"/>
          </rPr>
          <t>legal claim cost</t>
        </r>
      </text>
    </comment>
    <comment ref="AH29" authorId="0">
      <text>
        <r>
          <rPr>
            <sz val="9"/>
            <color indexed="81"/>
            <rFont val="Tahoma"/>
            <family val="2"/>
          </rPr>
          <t>legal claim cost
severance and management transition</t>
        </r>
      </text>
    </comment>
    <comment ref="AI29" authorId="0">
      <text>
        <r>
          <rPr>
            <sz val="9"/>
            <color indexed="81"/>
            <rFont val="Tahoma"/>
            <family val="2"/>
          </rPr>
          <t>legal claim cost
severance and management transition</t>
        </r>
      </text>
    </comment>
    <comment ref="AJ29" authorId="0">
      <text>
        <r>
          <rPr>
            <sz val="9"/>
            <color indexed="81"/>
            <rFont val="Tahoma"/>
            <family val="2"/>
          </rPr>
          <t>legal claim cost
new accounting standards and system implementation costs</t>
        </r>
      </text>
    </comment>
    <comment ref="AK29" authorId="0">
      <text>
        <r>
          <rPr>
            <sz val="9"/>
            <color indexed="81"/>
            <rFont val="Tahoma"/>
            <family val="2"/>
          </rPr>
          <t>legal claim cost
new accounting standards and system implementation costs</t>
        </r>
      </text>
    </comment>
    <comment ref="AL29" authorId="0">
      <text>
        <r>
          <rPr>
            <sz val="9"/>
            <color indexed="81"/>
            <rFont val="Tahoma"/>
            <family val="2"/>
          </rPr>
          <t>new accounting standards and system implementation costs</t>
        </r>
      </text>
    </comment>
    <comment ref="AG42" authorId="0">
      <text>
        <r>
          <rPr>
            <sz val="9"/>
            <color indexed="81"/>
            <rFont val="Tahoma"/>
            <family val="2"/>
          </rPr>
          <t>transaction and acquisition costs</t>
        </r>
      </text>
    </comment>
    <comment ref="AH42" authorId="0">
      <text>
        <r>
          <rPr>
            <sz val="9"/>
            <color indexed="81"/>
            <rFont val="Tahoma"/>
            <family val="2"/>
          </rPr>
          <t>transaction and integration costs</t>
        </r>
      </text>
    </comment>
    <comment ref="AI42" authorId="0">
      <text>
        <r>
          <rPr>
            <sz val="9"/>
            <color indexed="81"/>
            <rFont val="Tahoma"/>
            <family val="2"/>
          </rPr>
          <t>transaction and integration costs
asset impairments and loss on disposal
loss on debt extinguishment</t>
        </r>
      </text>
    </comment>
    <comment ref="AJ42" authorId="0">
      <text>
        <r>
          <rPr>
            <sz val="9"/>
            <color indexed="81"/>
            <rFont val="Tahoma"/>
            <family val="2"/>
          </rPr>
          <t>transaction and integration costs
asset impairments and loss on disposal
loss on debt extinguishment</t>
        </r>
      </text>
    </comment>
    <comment ref="AK42" authorId="0">
      <text>
        <r>
          <rPr>
            <sz val="9"/>
            <color indexed="81"/>
            <rFont val="Tahoma"/>
            <family val="2"/>
          </rPr>
          <t xml:space="preserve">transaction and integration costs
asset impairments and loss on disposal
</t>
        </r>
      </text>
    </comment>
    <comment ref="AL42" authorId="0">
      <text>
        <r>
          <rPr>
            <sz val="9"/>
            <color indexed="81"/>
            <rFont val="Tahoma"/>
            <family val="2"/>
          </rPr>
          <t xml:space="preserve">transaction and integration costs
asset impairments and loss on disposal
</t>
        </r>
      </text>
    </comment>
    <comment ref="AI229" authorId="0">
      <text>
        <r>
          <rPr>
            <sz val="9"/>
            <color indexed="81"/>
            <rFont val="Tahoma"/>
            <family val="2"/>
          </rPr>
          <t>Sentinel - 2 data centers
Raleigh-Durham
Somerset, NJ
$34 ebitda
14.4x
160k CSF
21MW
immediately accretive to normalized FFO/diluted share</t>
        </r>
        <r>
          <rPr>
            <sz val="9"/>
            <color indexed="81"/>
            <rFont val="Tahoma"/>
            <family val="2"/>
          </rPr>
          <t xml:space="preserve">
</t>
        </r>
      </text>
    </comment>
    <comment ref="AN229" authorId="0">
      <text>
        <r>
          <rPr>
            <b/>
            <sz val="9"/>
            <color indexed="81"/>
            <rFont val="Tahoma"/>
            <family val="2"/>
          </rPr>
          <t>Zenium</t>
        </r>
        <r>
          <rPr>
            <sz val="9"/>
            <color indexed="81"/>
            <rFont val="Tahoma"/>
            <family val="2"/>
          </rPr>
          <t xml:space="preserve">
4 data centers:  2 in Frankfurt, 2 in London
fully built out:  260k CSF, 49.3MW
current leasing:  26.8MW, 22.5MW incremental capacity
4/30/18 close
$442M purchase price
18x on contracted EBITDA
dilutive in first 12 months
slightly accretive in next 12 months
2018 adjusted EBITDA:  $17-19M 
2019 adjusted EBITDA:  $32-34M</t>
        </r>
      </text>
    </comment>
    <comment ref="AI230" authorId="0">
      <text>
        <r>
          <rPr>
            <sz val="9"/>
            <color indexed="81"/>
            <rFont val="Tahoma"/>
            <family val="2"/>
          </rPr>
          <t>4Q16 presentation</t>
        </r>
      </text>
    </comment>
    <comment ref="AN243" authorId="0">
      <text>
        <r>
          <rPr>
            <sz val="9"/>
            <color indexed="81"/>
            <rFont val="Tahoma"/>
            <family val="2"/>
          </rPr>
          <t>Zenium higher margins</t>
        </r>
      </text>
    </comment>
    <comment ref="AI281" authorId="0">
      <text>
        <r>
          <rPr>
            <sz val="9"/>
            <color indexed="81"/>
            <rFont val="Tahoma"/>
            <family val="2"/>
          </rPr>
          <t>$379.1M net proceeds
August equity raise - forward portion
assume all drawn down on Jan 1st</t>
        </r>
      </text>
    </comment>
    <comment ref="AJ281" authorId="0">
      <text>
        <r>
          <rPr>
            <sz val="9"/>
            <color indexed="81"/>
            <rFont val="Tahoma"/>
            <family val="2"/>
          </rPr>
          <t>$379.1M net proceeds
August equity raise - forward portion
assume all drawn down on Jan 1st</t>
        </r>
      </text>
    </comment>
    <comment ref="AG284" authorId="0">
      <text>
        <r>
          <rPr>
            <sz val="9"/>
            <color indexed="81"/>
            <rFont val="Tahoma"/>
            <family val="2"/>
          </rPr>
          <t>august 15th close</t>
        </r>
      </text>
    </comment>
    <comment ref="AI284" authorId="0">
      <text>
        <r>
          <rPr>
            <sz val="9"/>
            <color indexed="81"/>
            <rFont val="Tahoma"/>
            <family val="2"/>
          </rPr>
          <t>$379.1M net proceeds
August equity raise - forward portion
assume all drawn down on Jan 1st</t>
        </r>
      </text>
    </comment>
    <comment ref="AJ317" authorId="0">
      <text>
        <r>
          <rPr>
            <sz val="9"/>
            <color indexed="81"/>
            <rFont val="Tahoma"/>
            <family val="2"/>
          </rPr>
          <t>include all debt discounts / deferred financing costs</t>
        </r>
      </text>
    </comment>
    <comment ref="AK317" authorId="0">
      <text>
        <r>
          <rPr>
            <sz val="9"/>
            <color indexed="81"/>
            <rFont val="Tahoma"/>
            <family val="2"/>
          </rPr>
          <t>include all debt discounts / deferred financing costs</t>
        </r>
      </text>
    </comment>
    <comment ref="AL317" authorId="0">
      <text>
        <r>
          <rPr>
            <sz val="9"/>
            <color indexed="81"/>
            <rFont val="Tahoma"/>
            <family val="2"/>
          </rPr>
          <t>include all debt discounts / deferred financing costs</t>
        </r>
      </text>
    </comment>
    <comment ref="AL392" authorId="0">
      <text>
        <r>
          <rPr>
            <sz val="9"/>
            <color indexed="81"/>
            <rFont val="Tahoma"/>
            <family val="2"/>
          </rPr>
          <t>rounding</t>
        </r>
      </text>
    </comment>
  </commentList>
</comments>
</file>

<file path=xl/sharedStrings.xml><?xml version="1.0" encoding="utf-8"?>
<sst xmlns="http://schemas.openxmlformats.org/spreadsheetml/2006/main" count="1919" uniqueCount="1107">
  <si>
    <t>Revenue</t>
  </si>
  <si>
    <t>Operating Expenses</t>
  </si>
  <si>
    <t>Sales &amp; Marketing</t>
  </si>
  <si>
    <t>General &amp; Administrative</t>
  </si>
  <si>
    <t>Depreciation</t>
  </si>
  <si>
    <t>Impairments</t>
  </si>
  <si>
    <t>Interest Expense</t>
  </si>
  <si>
    <t>Net Operating Income</t>
  </si>
  <si>
    <t>EBITDA</t>
  </si>
  <si>
    <t>Income Statement (000s except per share data)</t>
  </si>
  <si>
    <t>Net Income</t>
  </si>
  <si>
    <t>Tax</t>
  </si>
  <si>
    <t>Other</t>
  </si>
  <si>
    <t>CYRUSONE (CONE)</t>
  </si>
  <si>
    <t>Balance Sheet</t>
  </si>
  <si>
    <t>PP&amp;E</t>
  </si>
  <si>
    <t>Accumulated Depreciation</t>
  </si>
  <si>
    <t>Cash</t>
  </si>
  <si>
    <t>Goodwill</t>
  </si>
  <si>
    <t>Intangible Assets</t>
  </si>
  <si>
    <t>Total Assets</t>
  </si>
  <si>
    <t>Accounts Payable</t>
  </si>
  <si>
    <t>Deferred Revenue</t>
  </si>
  <si>
    <t>Capital Lease</t>
  </si>
  <si>
    <t>Debt</t>
  </si>
  <si>
    <t>Common Equity</t>
  </si>
  <si>
    <t>Noncontrolling Interests</t>
  </si>
  <si>
    <t>Total Liabilities and Shareholder Equity</t>
  </si>
  <si>
    <t>Preferred Dividends</t>
  </si>
  <si>
    <t>Net Income to Common</t>
  </si>
  <si>
    <t>Real Estate Depreciation</t>
  </si>
  <si>
    <t>Funds From Operations (FFO)</t>
  </si>
  <si>
    <t>Non Cash Revenue</t>
  </si>
  <si>
    <t>Non Cash Interest</t>
  </si>
  <si>
    <t>Maintenance Cap Ex</t>
  </si>
  <si>
    <t>Stock Comp</t>
  </si>
  <si>
    <t>Related Party Receivables</t>
  </si>
  <si>
    <t>Operating Data</t>
  </si>
  <si>
    <t>Percent Leased</t>
  </si>
  <si>
    <t>Op Ex as a % of Revenue</t>
  </si>
  <si>
    <t>EBITDA Margin</t>
  </si>
  <si>
    <t>Statement of Cash Flows</t>
  </si>
  <si>
    <t>Changes in Operating Accounts</t>
  </si>
  <si>
    <t>Acquisitions</t>
  </si>
  <si>
    <t>Development Cap Ex</t>
  </si>
  <si>
    <t>Net Acquisition Cap Ex</t>
  </si>
  <si>
    <t>Debt Worksheet</t>
  </si>
  <si>
    <t>Interest Rate</t>
  </si>
  <si>
    <t>Originations</t>
  </si>
  <si>
    <t>Related Party Loan</t>
  </si>
  <si>
    <t>Cash Interest</t>
  </si>
  <si>
    <t>LIBOR</t>
  </si>
  <si>
    <t>Ten Year T Bond</t>
  </si>
  <si>
    <t>Assumed Fixed Rate Financings</t>
  </si>
  <si>
    <t>Cash Revenue</t>
  </si>
  <si>
    <t>Straight Line Rent</t>
  </si>
  <si>
    <t>Maintenance as a % of NOI</t>
  </si>
  <si>
    <t>Cap Rate, GAAP</t>
  </si>
  <si>
    <t>Current Period NOI</t>
  </si>
  <si>
    <t>Cumulative New Acquisition NOI</t>
  </si>
  <si>
    <t>Growth (qtr/qtr)</t>
  </si>
  <si>
    <t>Cost, $M</t>
  </si>
  <si>
    <t>AP</t>
  </si>
  <si>
    <t>Net Borrowing Activity</t>
  </si>
  <si>
    <t>Common Dividends</t>
  </si>
  <si>
    <t>Common Issuance</t>
  </si>
  <si>
    <t>Preferred Issuance</t>
  </si>
  <si>
    <t>Cash from Operating Activities</t>
  </si>
  <si>
    <t>Cash from Investing Activities</t>
  </si>
  <si>
    <t>Cash from Financing Activity</t>
  </si>
  <si>
    <t>Balance Sheet Ratios</t>
  </si>
  <si>
    <t>Per Share Data</t>
  </si>
  <si>
    <t>growth, yr/yr</t>
  </si>
  <si>
    <t>AFFO</t>
  </si>
  <si>
    <t>Dividend</t>
  </si>
  <si>
    <t>EPS</t>
  </si>
  <si>
    <t>Share Count Data</t>
  </si>
  <si>
    <t>For Net Income</t>
  </si>
  <si>
    <t>Shares, EOP</t>
  </si>
  <si>
    <t>Shares, Weighted Avg</t>
  </si>
  <si>
    <t>For FFO</t>
  </si>
  <si>
    <t>Share Issuance Assumptions</t>
  </si>
  <si>
    <t>$ raised, net of offering cost</t>
  </si>
  <si>
    <t>Shares Issued</t>
  </si>
  <si>
    <t>$/share raised</t>
  </si>
  <si>
    <t>Expense Margins</t>
  </si>
  <si>
    <t>CYRUSONE</t>
  </si>
  <si>
    <t>CONE</t>
  </si>
  <si>
    <t>Share Price</t>
  </si>
  <si>
    <t>Day in Period</t>
  </si>
  <si>
    <t>FFO</t>
  </si>
  <si>
    <t>Beginning Period Cash</t>
  </si>
  <si>
    <t>Net Change to Cash</t>
  </si>
  <si>
    <t>Ending Period Cash</t>
  </si>
  <si>
    <t>Existing Revenue</t>
  </si>
  <si>
    <t>Sales &amp; Marketing as a % of NOI</t>
  </si>
  <si>
    <t>Assumed Acquisitions</t>
  </si>
  <si>
    <t>New Investment</t>
  </si>
  <si>
    <t>Leased CIP</t>
  </si>
  <si>
    <t>Cost Incurred on Unleased CIP, End of Period</t>
  </si>
  <si>
    <t>chng, sequential</t>
  </si>
  <si>
    <t>Retained Cash Flow (Operating Cash Less Cap Ex &amp; Divi)</t>
  </si>
  <si>
    <t>Growth Cap Ex</t>
  </si>
  <si>
    <t>Net Borrowings for Operations</t>
  </si>
  <si>
    <t>Cash, Beginning of Period</t>
  </si>
  <si>
    <t>Cash, End of Period</t>
  </si>
  <si>
    <t>Change in Fixed Borrowing</t>
  </si>
  <si>
    <t>Sources &amp; Uses Analysis (includes plug for cash balance)</t>
  </si>
  <si>
    <t>Leverage</t>
  </si>
  <si>
    <t>% as Fee Simple</t>
  </si>
  <si>
    <t>Cap Rate</t>
  </si>
  <si>
    <t>Real Estate Value (Fee Simple)</t>
  </si>
  <si>
    <t>Multiple</t>
  </si>
  <si>
    <t>Real Estate Value (Lease Hold)</t>
  </si>
  <si>
    <t>Real Estate Value, Total</t>
  </si>
  <si>
    <t>CIP, Book Value</t>
  </si>
  <si>
    <t>CIP, Market Value</t>
  </si>
  <si>
    <t>Net Asset Value</t>
  </si>
  <si>
    <t>Total Debt</t>
  </si>
  <si>
    <t>Other Liabilities</t>
  </si>
  <si>
    <t>Gross Asset Value</t>
  </si>
  <si>
    <t>Total Liabilities</t>
  </si>
  <si>
    <t>Cash &amp; Other Assets</t>
  </si>
  <si>
    <t>Revenue, Fee Simple, Current Q</t>
  </si>
  <si>
    <t>NOI Margin</t>
  </si>
  <si>
    <t>Revenue, Lease Hold</t>
  </si>
  <si>
    <t>Cost Incurred, Leased CIP</t>
  </si>
  <si>
    <t>Total Revenue on Existing Assets</t>
  </si>
  <si>
    <t>Price</t>
  </si>
  <si>
    <t>Adjustment Factor</t>
  </si>
  <si>
    <t>NOI, Fee Simple, Annualized</t>
  </si>
  <si>
    <t>EBITDA, Lease Hold, Annualized</t>
  </si>
  <si>
    <t>Equivalent NOI Cap Rate</t>
  </si>
  <si>
    <t>G&amp;A as a % of NOI</t>
  </si>
  <si>
    <t>Required Sources</t>
  </si>
  <si>
    <t>Fixed Borrowings, share</t>
  </si>
  <si>
    <t>Amount</t>
  </si>
  <si>
    <t>Equity, share</t>
  </si>
  <si>
    <t>Floating Borrowings, share</t>
  </si>
  <si>
    <t>Adjusted Funds From Operations (AFFO)</t>
  </si>
  <si>
    <t>Maintenance Cap Ex &amp; LCs</t>
  </si>
  <si>
    <t>NOI Yield</t>
  </si>
  <si>
    <t>Monthly incremental revenue, 000s</t>
  </si>
  <si>
    <t>Stock Comp as a % of G&amp;A</t>
  </si>
  <si>
    <t>EV</t>
  </si>
  <si>
    <t>Total Depreciation</t>
  </si>
  <si>
    <t>Non Real Estate Depreciation</t>
  </si>
  <si>
    <t>NNN Rent</t>
  </si>
  <si>
    <t>Rent Payments as Debt</t>
  </si>
  <si>
    <t>Existing Expense</t>
  </si>
  <si>
    <t>Day Occurring in Quarter</t>
  </si>
  <si>
    <t>Colo sf</t>
  </si>
  <si>
    <t>$/ft</t>
  </si>
  <si>
    <t>Paritally Leased Properties, Market Value</t>
  </si>
  <si>
    <t>Churn</t>
  </si>
  <si>
    <t>Vacancy &amp; Development Lease Up</t>
  </si>
  <si>
    <t>Vacancy &amp; Development Leasing</t>
  </si>
  <si>
    <t>Rent as Interest (also cash)</t>
  </si>
  <si>
    <t>Straightline Rent as a %</t>
  </si>
  <si>
    <t>Amortization of Customer Relationship</t>
  </si>
  <si>
    <t>Churn (annualized loss factor)</t>
  </si>
  <si>
    <t>Cash Fees (LOC, etc)</t>
  </si>
  <si>
    <t>Adjustment for Capital Leases</t>
  </si>
  <si>
    <t>AFFO, net of Cap Lease Adjustment</t>
  </si>
  <si>
    <t xml:space="preserve">AFFO </t>
  </si>
  <si>
    <t>AFFO, net of Incremental Cap Lease Charge</t>
  </si>
  <si>
    <t>Other Assets</t>
  </si>
  <si>
    <t>Signed Contracts</t>
  </si>
  <si>
    <t>Stage 4 Negotiations</t>
  </si>
  <si>
    <t>Stage 3 Negotiations</t>
  </si>
  <si>
    <t>Leasing Buildup Schedule</t>
  </si>
  <si>
    <t>Days in quarter</t>
  </si>
  <si>
    <t>Quarterly incremental revenue, 000s</t>
  </si>
  <si>
    <t>Re-leasing</t>
  </si>
  <si>
    <t>Re-leasing on same store pool</t>
  </si>
  <si>
    <t>Adjusted EBITDA</t>
  </si>
  <si>
    <t>Adj. EBITDA</t>
  </si>
  <si>
    <t>End Of Quarter Quarterly Rent</t>
  </si>
  <si>
    <t>Incremental Rent for Quarter</t>
  </si>
  <si>
    <t>Percent Billing (time wtd)</t>
  </si>
  <si>
    <t>End Of Quarter</t>
  </si>
  <si>
    <t>Ann. Prob. Wtd. NOI</t>
  </si>
  <si>
    <t>Margins</t>
  </si>
  <si>
    <t>Total Rent</t>
  </si>
  <si>
    <t>1Q '12A</t>
  </si>
  <si>
    <t>2Q '12A</t>
  </si>
  <si>
    <t>3Q '12A</t>
  </si>
  <si>
    <t>Total</t>
  </si>
  <si>
    <t>South Ellis Street (Phoenix)</t>
  </si>
  <si>
    <t>Phoenix</t>
  </si>
  <si>
    <t>  </t>
  </si>
  <si>
    <t>Frankford Road (Carrollton)</t>
  </si>
  <si>
    <t>Dallas</t>
  </si>
  <si>
    <t>San Antonio</t>
  </si>
  <si>
    <t>Westway Park Blvd (Houston West)</t>
  </si>
  <si>
    <t>Houston</t>
  </si>
  <si>
    <t>Customer Relationship Intangible impairments</t>
  </si>
  <si>
    <t>Bull</t>
  </si>
  <si>
    <t>Base</t>
  </si>
  <si>
    <t>Bear</t>
  </si>
  <si>
    <t>Market Cap</t>
  </si>
  <si>
    <t>Net Debt</t>
  </si>
  <si>
    <t>IPO Price</t>
  </si>
  <si>
    <t>Net proceeds</t>
  </si>
  <si>
    <t>Gross proceeds raised</t>
  </si>
  <si>
    <t>CASE</t>
  </si>
  <si>
    <t>BULL</t>
  </si>
  <si>
    <t>BASE</t>
  </si>
  <si>
    <t>BEAR</t>
  </si>
  <si>
    <t>Sequential Growth (%)</t>
  </si>
  <si>
    <t>Margin (% of revenues)</t>
  </si>
  <si>
    <t>S&amp;M % of revenue</t>
  </si>
  <si>
    <t>G&amp;A % of revenue</t>
  </si>
  <si>
    <t>Total Capex as % of Revenues</t>
  </si>
  <si>
    <t>Facilities</t>
  </si>
  <si>
    <t>South</t>
  </si>
  <si>
    <t>Southwest Fwy (Galleria)</t>
  </si>
  <si>
    <t>S. State Hwy 121 Business (Lewisville)*</t>
  </si>
  <si>
    <t>Westway Park Blvd (Houston West)</t>
  </si>
  <si>
    <t>E. Ben White Blvd (Austin 1)*</t>
  </si>
  <si>
    <t>Austin</t>
  </si>
  <si>
    <t>Metropolis Drive (Austin 2)*</t>
  </si>
  <si>
    <t>Other South Properties (four properties)</t>
  </si>
  <si>
    <t>South Total</t>
  </si>
  <si>
    <t>Midwest</t>
  </si>
  <si>
    <t>West Seventh Street (7th St.)**</t>
  </si>
  <si>
    <t>Kingsview Drive (Lebanon)</t>
  </si>
  <si>
    <t>Industrial Road (Florence)*</t>
  </si>
  <si>
    <t>Knightsbridge Drive (Hamilton)*</t>
  </si>
  <si>
    <t>Parkway (Mason)</t>
  </si>
  <si>
    <t>Springer Street (Lombard)*</t>
  </si>
  <si>
    <t>Goldcoast Drive (Goldcoast)</t>
  </si>
  <si>
    <t>Other Midwest Properties (three properties)</t>
  </si>
  <si>
    <t>Midwest Total</t>
  </si>
  <si>
    <t>Cincinnati</t>
  </si>
  <si>
    <t>Chicago</t>
  </si>
  <si>
    <t>International</t>
  </si>
  <si>
    <t>Kestral Way (London)***</t>
  </si>
  <si>
    <t>London</t>
  </si>
  <si>
    <t>Jurong East (Singapore)***</t>
  </si>
  <si>
    <t>Singapore</t>
  </si>
  <si>
    <t>International Total</t>
  </si>
  <si>
    <t>Total (f)</t>
  </si>
  <si>
    <t>Powered Shell Available for Future Development (NRSF)</t>
  </si>
  <si>
    <t>Available Utility Power (MW)</t>
  </si>
  <si>
    <t>Metropolitan Area</t>
  </si>
  <si>
    <t>Annualized Rent</t>
  </si>
  <si>
    <t>Colocation Space (CSF)</t>
  </si>
  <si>
    <t>Office &amp; Other</t>
  </si>
  <si>
    <t>Supporting Infrastructure</t>
  </si>
  <si>
    <t>Westover Hills Blvd (San Antonio)</t>
  </si>
  <si>
    <t>Operating Properties NRSF</t>
  </si>
  <si>
    <t>TOTAL</t>
  </si>
  <si>
    <t>Powered Shell</t>
  </si>
  <si>
    <t>Actual to Date</t>
  </si>
  <si>
    <t>Estimated Costs to Completion</t>
  </si>
  <si>
    <t>Under Development</t>
  </si>
  <si>
    <t>Under Development Costs</t>
  </si>
  <si>
    <t>Principal Customer Industry</t>
  </si>
  <si>
    <t>Energy</t>
  </si>
  <si>
    <t>Research and Consulting Services</t>
  </si>
  <si>
    <t>Telecommunications</t>
  </si>
  <si>
    <t>Financials</t>
  </si>
  <si>
    <t>Information Technology</t>
  </si>
  <si>
    <t>Number of Locations</t>
  </si>
  <si>
    <t>Percentage of Portfolio Annualized Rent</t>
  </si>
  <si>
    <t>Weighted Average Remaining Lease Term in Months</t>
  </si>
  <si>
    <t>Telecommunications (CBI)</t>
  </si>
  <si>
    <t>TOP 20 CUSTOMERS</t>
  </si>
  <si>
    <t>0-999</t>
  </si>
  <si>
    <t>1000-2499</t>
  </si>
  <si>
    <t>2500-4999</t>
  </si>
  <si>
    <t>5000-9999</t>
  </si>
  <si>
    <t>10000+</t>
  </si>
  <si>
    <r>
      <t>NRSF Under Lease </t>
    </r>
    <r>
      <rPr>
        <b/>
        <vertAlign val="superscript"/>
        <sz val="7.5"/>
        <rFont val="Times New Roman"/>
        <family val="1"/>
      </rPr>
      <t>(a)</t>
    </r>
  </si>
  <si>
    <t>Number of Customers</t>
  </si>
  <si>
    <t>Percentage of All Customers</t>
  </si>
  <si>
    <t>Total Leased NRSF</t>
  </si>
  <si>
    <t>% of Portfolio Leased NRSF</t>
  </si>
  <si>
    <t>Portfolio Annualized Rent</t>
  </si>
  <si>
    <t>% of Portfolio Annualized Rent</t>
  </si>
  <si>
    <t>LEASE DISTRIBUTION</t>
  </si>
  <si>
    <t>Consolidated</t>
  </si>
  <si>
    <t>Available</t>
  </si>
  <si>
    <r>
      <t>Month-to-Month </t>
    </r>
    <r>
      <rPr>
        <vertAlign val="superscript"/>
        <sz val="7.5"/>
        <rFont val="Times New Roman"/>
        <family val="1"/>
      </rPr>
      <t>(d)</t>
    </r>
  </si>
  <si>
    <t>Remainder of 2012</t>
  </si>
  <si>
    <t>Number of Leases Expiring</t>
  </si>
  <si>
    <t>Total Operating NRSF Expiring</t>
  </si>
  <si>
    <t>% of Total NRSF</t>
  </si>
  <si>
    <t>Annualized Rent at Expiration</t>
  </si>
  <si>
    <t>% of Portfolio Annualized Rent of Expiration</t>
  </si>
  <si>
    <t>LEASE EXPIRATIONS</t>
  </si>
  <si>
    <t>Rent, Face Rate ($/CSF/Qtr)</t>
  </si>
  <si>
    <t>x</t>
  </si>
  <si>
    <t>New Build (Leased Plus an Inventory Factor) - CSF</t>
  </si>
  <si>
    <t>Construction Costs ($/CSF/Qtr)</t>
  </si>
  <si>
    <t>New Leased CSF/Qtr</t>
  </si>
  <si>
    <t>Lease-up</t>
  </si>
  <si>
    <t>Rent, NNN ($/CSF/Qtr)</t>
  </si>
  <si>
    <t>Utilization</t>
  </si>
  <si>
    <t>Operating Portfolio (CSF)</t>
  </si>
  <si>
    <t>Colocation Square Feet (CSF) - Total</t>
  </si>
  <si>
    <t>Colocation Square Feet (CSF) - Leased</t>
  </si>
  <si>
    <t>Net Rentable Square Feet (NRSF)</t>
  </si>
  <si>
    <t>Office &amp; Other</t>
  </si>
  <si>
    <t>Colocation Square Feet (CSF)</t>
  </si>
  <si>
    <t>% NRSF Leased</t>
  </si>
  <si>
    <t>Powered Shell Avail for future Development (NRSF)</t>
  </si>
  <si>
    <t>Portfolio Metrics</t>
  </si>
  <si>
    <t>laml</t>
  </si>
  <si>
    <t>USD</t>
  </si>
  <si>
    <t>CONE.O</t>
  </si>
  <si>
    <t>CyrusOne Inc</t>
  </si>
  <si>
    <t>1Q07</t>
  </si>
  <si>
    <t>2Q07</t>
  </si>
  <si>
    <t>3Q07</t>
  </si>
  <si>
    <t>4Q07</t>
  </si>
  <si>
    <t>1Q08</t>
  </si>
  <si>
    <t>2Q08</t>
  </si>
  <si>
    <t>3Q08</t>
  </si>
  <si>
    <t>4Q08</t>
  </si>
  <si>
    <t>1Q09</t>
  </si>
  <si>
    <t>2Q09</t>
  </si>
  <si>
    <t>3Q09</t>
  </si>
  <si>
    <t>4Q09</t>
  </si>
  <si>
    <t>1Q10</t>
  </si>
  <si>
    <t>2Q10</t>
  </si>
  <si>
    <t>3Q10</t>
  </si>
  <si>
    <t>4Q10</t>
  </si>
  <si>
    <t>1Q11</t>
  </si>
  <si>
    <t>2Q11</t>
  </si>
  <si>
    <t>3Q11</t>
  </si>
  <si>
    <t>4Q11</t>
  </si>
  <si>
    <t>1Q12</t>
  </si>
  <si>
    <t>2Q12</t>
  </si>
  <si>
    <t>3Q12</t>
  </si>
  <si>
    <t>4Q12</t>
  </si>
  <si>
    <t>AS OF</t>
  </si>
  <si>
    <t>NRSF under development</t>
  </si>
  <si>
    <t>NRSF</t>
  </si>
  <si>
    <t>% of NRSF leased</t>
  </si>
  <si>
    <t>Leased NRSF</t>
  </si>
  <si>
    <t>Total NRSF</t>
  </si>
  <si>
    <t>Under development</t>
  </si>
  <si>
    <t>Avail. for lease</t>
  </si>
  <si>
    <t>IT</t>
  </si>
  <si>
    <t>Telecom</t>
  </si>
  <si>
    <t>Healthcare</t>
  </si>
  <si>
    <t>Customer Mix (% of Revenue)</t>
  </si>
  <si>
    <t>Portfolio Quality</t>
  </si>
  <si>
    <t>Investment Grade</t>
  </si>
  <si>
    <t>Fortune 1000 (1)</t>
  </si>
  <si>
    <t>Fortune 100 (1)</t>
  </si>
  <si>
    <t>(1) Includes private or foreign enterprises of equivalent sizes</t>
  </si>
  <si>
    <t>Lease Expiration</t>
  </si>
  <si>
    <t>Month (1)</t>
  </si>
  <si>
    <t>1.  Month to month</t>
  </si>
  <si>
    <t>-</t>
  </si>
  <si>
    <t>Currency</t>
  </si>
  <si>
    <t>Current Stock Price</t>
  </si>
  <si>
    <t>Count</t>
  </si>
  <si>
    <t>CONE.O,mscalc:targetPrice,,,,USD</t>
  </si>
  <si>
    <t>CONE.O,mscalc:sedolCodeCalc</t>
  </si>
  <si>
    <t>CONE.O,mscalc:closePriceCurrencyCalc</t>
  </si>
  <si>
    <t>$F$2</t>
  </si>
  <si>
    <t>MSe</t>
  </si>
  <si>
    <t>Actual</t>
  </si>
  <si>
    <t>Diff Pos./</t>
  </si>
  <si>
    <t>+ / –</t>
  </si>
  <si>
    <t>WHAT WE LIKED / WHAT WE DID NOT LIKE</t>
  </si>
  <si>
    <t xml:space="preserve"> (Neg.)</t>
  </si>
  <si>
    <t>Cons.</t>
  </si>
  <si>
    <t>Source</t>
  </si>
  <si>
    <t>FINANCIALS</t>
  </si>
  <si>
    <t>Total Revenue ($MM)</t>
  </si>
  <si>
    <t xml:space="preserve">% y/y growth </t>
  </si>
  <si>
    <t xml:space="preserve">% q/q growth </t>
  </si>
  <si>
    <t>Cost of Revenues</t>
  </si>
  <si>
    <t>% gross margin</t>
  </si>
  <si>
    <t>% margin</t>
  </si>
  <si>
    <t>Capex</t>
  </si>
  <si>
    <t>% of Revenue</t>
  </si>
  <si>
    <t>Free Cash Flow</t>
  </si>
  <si>
    <t>OTHER</t>
  </si>
  <si>
    <t>Stock comp</t>
  </si>
  <si>
    <t>Total Colocation Sq. Ft (CSF)</t>
  </si>
  <si>
    <t>B7YRLH9</t>
  </si>
  <si>
    <t>Total Capex</t>
  </si>
  <si>
    <t># shares</t>
  </si>
  <si>
    <t># shares sold</t>
  </si>
  <si>
    <t>% Y/Y</t>
  </si>
  <si>
    <t>% Q/Q</t>
  </si>
  <si>
    <t>Statutory Tax Rate</t>
  </si>
  <si>
    <t>Modelware - Required Tags</t>
  </si>
  <si>
    <t>Shares, Weighted Avg - Basic</t>
  </si>
  <si>
    <t>Shares, Weighted Avg - Diluted</t>
  </si>
  <si>
    <t>Retained Earnings</t>
  </si>
  <si>
    <t>ND</t>
  </si>
  <si>
    <t>Unrecorded goodwill</t>
  </si>
  <si>
    <t># shares (includes greenshoe) + OP units</t>
  </si>
  <si>
    <t>Price (rounded)</t>
  </si>
  <si>
    <t>MS Rev</t>
  </si>
  <si>
    <t>MS OpEx</t>
  </si>
  <si>
    <t>MS NOI</t>
  </si>
  <si>
    <t>MS S&amp;M</t>
  </si>
  <si>
    <t>MS G&amp;A</t>
  </si>
  <si>
    <t>MS FFO</t>
  </si>
  <si>
    <t>MS AFFO</t>
  </si>
  <si>
    <t>TBU</t>
  </si>
  <si>
    <t>Bloomberg</t>
  </si>
  <si>
    <t>+</t>
  </si>
  <si>
    <t>Churn (quarterly)</t>
  </si>
  <si>
    <t>2023+</t>
  </si>
  <si>
    <t>2023-Thereafter</t>
  </si>
  <si>
    <t>Customer Staples</t>
  </si>
  <si>
    <t>Customer Discretionary</t>
  </si>
  <si>
    <t>% Margin</t>
  </si>
  <si>
    <t>4Q '12A</t>
  </si>
  <si>
    <t>EBITDA margin</t>
  </si>
  <si>
    <t>% of rev</t>
  </si>
  <si>
    <t>EBITDA (excl stock comp)</t>
  </si>
  <si>
    <t>Adjusted EBITDA (incl stock comp)</t>
  </si>
  <si>
    <t>Net leverage</t>
  </si>
  <si>
    <t>FCF</t>
  </si>
  <si>
    <t>1Q13</t>
  </si>
  <si>
    <t>Adjusted FFO (AFFO)</t>
  </si>
  <si>
    <t>Churn (annualized)</t>
  </si>
  <si>
    <t>FFO, as Adjusted (per share)</t>
  </si>
  <si>
    <t>AFFO (per share)</t>
  </si>
  <si>
    <t>CYRUSONE - 2013 GUIDANCE</t>
  </si>
  <si>
    <t>% Revenue</t>
  </si>
  <si>
    <t>Development</t>
  </si>
  <si>
    <t>$170 - 180M</t>
  </si>
  <si>
    <t>Recurring</t>
  </si>
  <si>
    <t>$5 - 10M</t>
  </si>
  <si>
    <t>$20 - 35M</t>
  </si>
  <si>
    <t>$20 - 25M</t>
  </si>
  <si>
    <t>$260 - 270M</t>
  </si>
  <si>
    <t>$133 - 137M</t>
  </si>
  <si>
    <t>$215 - 250M</t>
  </si>
  <si>
    <t>$1.15 - $1.25</t>
  </si>
  <si>
    <t>EBITDA (includes stock comp)</t>
  </si>
  <si>
    <t>Adjusted EBITDA (excludes stock comp)</t>
  </si>
  <si>
    <t>Management fee charged by CBI</t>
  </si>
  <si>
    <t>Transaction-related compensation / costs</t>
  </si>
  <si>
    <t>Funds From Operations (FFO) - Normalized</t>
  </si>
  <si>
    <t>Funds From Operations (FFO) - As reported</t>
  </si>
  <si>
    <t>FFO - Normalized</t>
  </si>
  <si>
    <t>Management fee to CBI</t>
  </si>
  <si>
    <t>Revenue / Average CSF Leased</t>
  </si>
  <si>
    <t>Revenue / Average NRSF Leased</t>
  </si>
  <si>
    <t>Revenue / EOP NRSF Leased</t>
  </si>
  <si>
    <t>Annualized Revenue / EOP CSF Leased</t>
  </si>
  <si>
    <t>1Q '13A</t>
  </si>
  <si>
    <t>MS EBITDA (includes stock comp)</t>
  </si>
  <si>
    <t>Churn (Annualized)</t>
  </si>
  <si>
    <t>Remainder of 2013</t>
  </si>
  <si>
    <t>Consumer Staples</t>
  </si>
  <si>
    <t>Industrials</t>
  </si>
  <si>
    <t>Source:  S-11, 12/12/12</t>
  </si>
  <si>
    <t>Annualized Rent (as of 9/30/12)</t>
  </si>
  <si>
    <t>$ in thousands</t>
  </si>
  <si>
    <t>Westover Hills Blvd (San Antonio)</t>
  </si>
  <si>
    <t>San Antonio</t>
  </si>
  <si>
    <t>Top 10 cities for Fortune 500 HQ</t>
  </si>
  <si>
    <t>Kestral Way (London)</t>
  </si>
  <si>
    <t>Jurong East (Singapore)</t>
  </si>
  <si>
    <t>CSF Capacity (as of 3/31/13)</t>
  </si>
  <si>
    <t>Acq. of Leased Facilities</t>
  </si>
  <si>
    <t>Acq. of Land for Future Development</t>
  </si>
  <si>
    <t>MS Adj EBITDA (excludes stock comp)</t>
  </si>
  <si>
    <t xml:space="preserve"> </t>
  </si>
  <si>
    <t>2Q13</t>
  </si>
  <si>
    <t>Capital Leases</t>
  </si>
  <si>
    <t>2Q '13A</t>
  </si>
  <si>
    <t>3Q13</t>
  </si>
  <si>
    <t>CONE (OLD)</t>
  </si>
  <si>
    <t>$260 - 265M</t>
  </si>
  <si>
    <t>$4 - 6M</t>
  </si>
  <si>
    <t>$210- 216M</t>
  </si>
  <si>
    <t>$242 - 250M</t>
  </si>
  <si>
    <t>CONE (NEW)</t>
  </si>
  <si>
    <t>4Q13</t>
  </si>
  <si>
    <t>CYRUSONE - 2014 GUIDANCE</t>
  </si>
  <si>
    <t>Midpoint</t>
  </si>
  <si>
    <t>$305 - 315M</t>
  </si>
  <si>
    <t>$160 - 165M</t>
  </si>
  <si>
    <t>$275 - 300M</t>
  </si>
  <si>
    <t>$280 - 310M</t>
  </si>
  <si>
    <t>Higher on front-loaded costs in new facilities and expansions</t>
  </si>
  <si>
    <t>Gross Debt/EBITDA (excludes stock comp)</t>
  </si>
  <si>
    <t>Net Debt/EBITDA (excludes stock comp)</t>
  </si>
  <si>
    <t>$ raised, gross</t>
  </si>
  <si>
    <t>$1.55 - 1.65</t>
  </si>
  <si>
    <t>1Q14</t>
  </si>
  <si>
    <t>Signed 100k CSF (41k attributed to one customer in Phoenix).  40% of these leases commenced during 1Q14 with 74% expected to commence in 2Q14</t>
  </si>
  <si>
    <t>Maybe higher in 2Q14 due to seasonal marketing events</t>
  </si>
  <si>
    <t>Expected to be impacted by higher electricity costs in 2Q-3Q14.  Will also see front-loaded costs of new expansions</t>
  </si>
  <si>
    <t>Improved 57% Y/Y.  Dividend was reiterated at $0.21 in 2Q14.  This will likely remain the same for the remainder of 2014</t>
  </si>
  <si>
    <t>Driven by stronger revenues.  Margins expected to be impacted by seasonality and front-loaded costs</t>
  </si>
  <si>
    <t>Maintains 2014 capex guide.  Introduced CyrusOne Solutions that could have lower capex requirements</t>
  </si>
  <si>
    <t>3Q '13A</t>
  </si>
  <si>
    <t>4Q '13A</t>
  </si>
  <si>
    <t>1Q '14A</t>
  </si>
  <si>
    <t>New Leases (CSF)</t>
  </si>
  <si>
    <t>2Q14</t>
  </si>
  <si>
    <t>CONE  (4Q13)</t>
  </si>
  <si>
    <t>CONE  (NEW)</t>
  </si>
  <si>
    <t>$325- 330M</t>
  </si>
  <si>
    <t>$165 - 170M</t>
  </si>
  <si>
    <t>$1.58 - 1.63</t>
  </si>
  <si>
    <t>2Q '14A</t>
  </si>
  <si>
    <t>3Q14</t>
  </si>
  <si>
    <t>2016e EBITDA</t>
  </si>
  <si>
    <t>2016e EBITDA (includes stock comp)</t>
  </si>
  <si>
    <t>2016e AFFO</t>
  </si>
  <si>
    <t>Implied 2016e EBITDA multiple</t>
  </si>
  <si>
    <t>Implied 2016e AFFO multiple</t>
  </si>
  <si>
    <t>CONE  (2Q14)</t>
  </si>
  <si>
    <t>$1.64 - 1.68</t>
  </si>
  <si>
    <t>2016 VALUATION</t>
  </si>
  <si>
    <t>3Q '14A</t>
  </si>
  <si>
    <t>4Q14</t>
  </si>
  <si>
    <t>CYRUSONE - 2015 GUIDANCE</t>
  </si>
  <si>
    <t>$370- 385M</t>
  </si>
  <si>
    <t>$185 - 195M</t>
  </si>
  <si>
    <t>$215 - 240M</t>
  </si>
  <si>
    <t>$210 - 230M</t>
  </si>
  <si>
    <t>$1.90 - 2.00</t>
  </si>
  <si>
    <t>% Y/Y (from 2014 actual)</t>
  </si>
  <si>
    <t>Slightly higher than the normal 5-6% level</t>
  </si>
  <si>
    <t>4Q '14A</t>
  </si>
  <si>
    <t>Total Cash</t>
  </si>
  <si>
    <t>1Q15</t>
  </si>
  <si>
    <t>1Q '15A</t>
  </si>
  <si>
    <t>Geographic Mix (% of Revenue)</t>
  </si>
  <si>
    <t>NY/NJ/CT</t>
  </si>
  <si>
    <t>Pro forma</t>
  </si>
  <si>
    <t>Original</t>
  </si>
  <si>
    <t>2Q15</t>
  </si>
  <si>
    <t>CONE  (1Q15)</t>
  </si>
  <si>
    <t>$361- 365M</t>
  </si>
  <si>
    <t>Total Revenue</t>
  </si>
  <si>
    <t>Base Revenue</t>
  </si>
  <si>
    <t>Metered Revenue</t>
  </si>
  <si>
    <t>$322- 332M</t>
  </si>
  <si>
    <t>$48- 53M</t>
  </si>
  <si>
    <t>$322- 325M</t>
  </si>
  <si>
    <t>$39- 40M</t>
  </si>
  <si>
    <t>$37- 39M</t>
  </si>
  <si>
    <t>$33- 34M</t>
  </si>
  <si>
    <t>$4- 5M</t>
  </si>
  <si>
    <t>$355- 359M</t>
  </si>
  <si>
    <t>$43- 45M</t>
  </si>
  <si>
    <t>$209 - 213M</t>
  </si>
  <si>
    <t>$260 - 275M</t>
  </si>
  <si>
    <t>$255 - 265M</t>
  </si>
  <si>
    <t>$2.07 - 2.13</t>
  </si>
  <si>
    <t>$1 - 2M</t>
  </si>
  <si>
    <t>$34 - 38M</t>
  </si>
  <si>
    <t>$35 - 40M</t>
  </si>
  <si>
    <t>$18 - 20M</t>
  </si>
  <si>
    <t>$398- 404M</t>
  </si>
  <si>
    <t>$225 - 235M</t>
  </si>
  <si>
    <t>$221 - 227M</t>
  </si>
  <si>
    <t>$4 - 8M</t>
  </si>
  <si>
    <t>$191 - 193M</t>
  </si>
  <si>
    <t>Term Loan ($300M)</t>
  </si>
  <si>
    <t>Originations / Prepayments</t>
  </si>
  <si>
    <t>Revolving credit facility ($650M)</t>
  </si>
  <si>
    <t>6.375% Senior Notes due 2022 - 2nd issuance</t>
  </si>
  <si>
    <t>6.375% Senior Notes due 2022 - 1st issuance</t>
  </si>
  <si>
    <t>Debt - Related Party</t>
  </si>
  <si>
    <t>Debt - Senior</t>
  </si>
  <si>
    <t>Debt - Assumed Fixed Rate Debt</t>
  </si>
  <si>
    <t>Capital leases</t>
  </si>
  <si>
    <t>2Q '15A</t>
  </si>
  <si>
    <t>1Q '17E</t>
  </si>
  <si>
    <t>2Q '17E</t>
  </si>
  <si>
    <t>3Q '17E</t>
  </si>
  <si>
    <t>4Q '17E</t>
  </si>
  <si>
    <t>9710 leases</t>
  </si>
  <si>
    <t>3Q15</t>
  </si>
  <si>
    <t>Total Interest Expense (including capital leases and 9710)</t>
  </si>
  <si>
    <t>Total debt (less capital leases and 9710)</t>
  </si>
  <si>
    <t>CONE  (COMBINED - 2Q15)</t>
  </si>
  <si>
    <t>CONE  (CERVALIS - 2Q15)</t>
  </si>
  <si>
    <t>CONE  (STANDALONE - 2Q15)</t>
  </si>
  <si>
    <t>CONE  (CURRENT)</t>
  </si>
  <si>
    <t>$2.11 - 2.15</t>
  </si>
  <si>
    <t>$210 - 213M</t>
  </si>
  <si>
    <t>kW signed</t>
  </si>
  <si>
    <t>Weighted average lease term</t>
  </si>
  <si>
    <t>Total MRR signed</t>
  </si>
  <si>
    <t>Trailing 4 quarter average</t>
  </si>
  <si>
    <t>Number of leases</t>
  </si>
  <si>
    <t>4Q15</t>
  </si>
  <si>
    <t>CYRUSONE - 2016 GUIDANCE</t>
  </si>
  <si>
    <t>$2.45 - 2.55</t>
  </si>
  <si>
    <t>$258 - 268M</t>
  </si>
  <si>
    <t>$320 - 345M</t>
  </si>
  <si>
    <t>$316 - 337M</t>
  </si>
  <si>
    <t>=</t>
  </si>
  <si>
    <t>CONE (4Q15)</t>
  </si>
  <si>
    <t>CONE (Investor Day)</t>
  </si>
  <si>
    <t>$500 - 515M</t>
  </si>
  <si>
    <t>$485 - 500M</t>
  </si>
  <si>
    <t>$438 - 448M</t>
  </si>
  <si>
    <t>$47 - 52M</t>
  </si>
  <si>
    <t>$50 - 55M</t>
  </si>
  <si>
    <t>$450 - 460M</t>
  </si>
  <si>
    <t>$266 - 276M</t>
  </si>
  <si>
    <t>$380 - 405M</t>
  </si>
  <si>
    <t>$375 - 396M</t>
  </si>
  <si>
    <t>$5 - 9M</t>
  </si>
  <si>
    <t>Backlog (booked-not-billed) - annualized</t>
  </si>
  <si>
    <t>Net rentable square footage</t>
  </si>
  <si>
    <t>% CSF</t>
  </si>
  <si>
    <t>CSF leased (%)</t>
  </si>
  <si>
    <t>2016E</t>
  </si>
  <si>
    <t>2017E</t>
  </si>
  <si>
    <t>2018E</t>
  </si>
  <si>
    <t>2019E</t>
  </si>
  <si>
    <t>2020E</t>
  </si>
  <si>
    <t>1Q16</t>
  </si>
  <si>
    <t>$520 - 530M</t>
  </si>
  <si>
    <t>$470 - 475M</t>
  </si>
  <si>
    <t>$270 - 280M</t>
  </si>
  <si>
    <t>$2.48 - 2.58</t>
  </si>
  <si>
    <t>2Q16</t>
  </si>
  <si>
    <t>CONE (1Q16)</t>
  </si>
  <si>
    <t>CONE (2Q16)</t>
  </si>
  <si>
    <t>$635 - 655M</t>
  </si>
  <si>
    <t>$630 - 646M</t>
  </si>
  <si>
    <t>$2.50 - 2.58</t>
  </si>
  <si>
    <t>as a % of FFO</t>
  </si>
  <si>
    <t>3Q16</t>
  </si>
  <si>
    <t>Amortization adjustment</t>
  </si>
  <si>
    <t>CONE (3Q16)</t>
  </si>
  <si>
    <t>$522 - 530M</t>
  </si>
  <si>
    <t>$472 - 476M</t>
  </si>
  <si>
    <t>$51 - 54M</t>
  </si>
  <si>
    <t>$275 - 278M</t>
  </si>
  <si>
    <t>$2.59 - 2.62</t>
  </si>
  <si>
    <t>4Q16</t>
  </si>
  <si>
    <t>CYRUSONE - 2017 GUIDANCE</t>
  </si>
  <si>
    <t>$663 - 678M</t>
  </si>
  <si>
    <t>$588 - 598M</t>
  </si>
  <si>
    <t>$75 - 80M</t>
  </si>
  <si>
    <t>$359 - 369M</t>
  </si>
  <si>
    <t>$550 - 600M</t>
  </si>
  <si>
    <t>$545 - 590M</t>
  </si>
  <si>
    <t>Adjusted EBITDA (1)</t>
  </si>
  <si>
    <t>$2.85 - 2.95</t>
  </si>
  <si>
    <t>3Q '15A</t>
  </si>
  <si>
    <t>4Q '15A</t>
  </si>
  <si>
    <t>1Q '16A</t>
  </si>
  <si>
    <t>2Q '16A</t>
  </si>
  <si>
    <t>3Q '16A</t>
  </si>
  <si>
    <t>4Q '16A</t>
  </si>
  <si>
    <t>1Q '18E</t>
  </si>
  <si>
    <t>2Q '18E</t>
  </si>
  <si>
    <t>3Q '18E</t>
  </si>
  <si>
    <t>4Q '18E</t>
  </si>
  <si>
    <t>1Q17</t>
  </si>
  <si>
    <t>3Q17E</t>
  </si>
  <si>
    <t>4Q17E</t>
  </si>
  <si>
    <t>$2.95 - 3.05</t>
  </si>
  <si>
    <t>$666 - 681M</t>
  </si>
  <si>
    <t>$591 - 601M</t>
  </si>
  <si>
    <t>$364 - 374M</t>
  </si>
  <si>
    <t>$600 - 650M</t>
  </si>
  <si>
    <t>$595 - 640M</t>
  </si>
  <si>
    <t>5.000% Senior Notes due 2024</t>
  </si>
  <si>
    <t>5.375% Senior Notes due 2027</t>
  </si>
  <si>
    <t>Annualized MRR signed</t>
  </si>
  <si>
    <t>2Q17</t>
  </si>
  <si>
    <t>$3.00-3.10</t>
  </si>
  <si>
    <t>$700-750M</t>
  </si>
  <si>
    <t>$695-740M</t>
  </si>
  <si>
    <t>Total MRR Signed</t>
  </si>
  <si>
    <t>Restricted Cash</t>
  </si>
  <si>
    <t>CONE (2Q17)</t>
  </si>
  <si>
    <t>3Q17</t>
  </si>
  <si>
    <t>FFO, as Adjusted</t>
  </si>
  <si>
    <t>CONE (3Q17)</t>
  </si>
  <si>
    <t>$670 - 677M</t>
  </si>
  <si>
    <t>$600 - 604M</t>
  </si>
  <si>
    <t>$70 - 73M</t>
  </si>
  <si>
    <t>$369 - 372M</t>
  </si>
  <si>
    <t>$775-825M</t>
  </si>
  <si>
    <t>$770-817M</t>
  </si>
  <si>
    <t>$5 - 8M</t>
  </si>
  <si>
    <t>$3.05-3.10</t>
  </si>
  <si>
    <t>1Q '19E</t>
  </si>
  <si>
    <t>2Q '19E</t>
  </si>
  <si>
    <t>3Q '19E</t>
  </si>
  <si>
    <t>4Q '19E</t>
  </si>
  <si>
    <t>2019 VALUATION</t>
  </si>
  <si>
    <t>2019e EBITDA</t>
  </si>
  <si>
    <t>2019e EBITDA (includes stock comp)</t>
  </si>
  <si>
    <t>2019e AFFO</t>
  </si>
  <si>
    <t>Implied 2019e EBITDA multiple</t>
  </si>
  <si>
    <t>Implied 2019e AFFO multiple</t>
  </si>
  <si>
    <t>4Q17</t>
  </si>
  <si>
    <t>CYRUSONE - 2018 GUIDANCE</t>
  </si>
  <si>
    <t>$810 - 825M</t>
  </si>
  <si>
    <t>$735 - 745M</t>
  </si>
  <si>
    <t>$460 - 470M</t>
  </si>
  <si>
    <t>$850-900M</t>
  </si>
  <si>
    <t>$845-890M</t>
  </si>
  <si>
    <t>$3.18-3.28</t>
  </si>
  <si>
    <t>Guidance Midpoint</t>
  </si>
  <si>
    <t>2017A</t>
  </si>
  <si>
    <t>Zenium (FY 2018) (1)</t>
  </si>
  <si>
    <t xml:space="preserve">1.  Adjusted EBITDA ($17-19M) and 63% margin </t>
  </si>
  <si>
    <t>(12/21 presentation)</t>
  </si>
  <si>
    <t>Zenium impact (4/30 close)</t>
  </si>
  <si>
    <t>2018 guidance (ex. Zenium)</t>
  </si>
  <si>
    <t>% Y/Y (organic) - Current</t>
  </si>
  <si>
    <t>% Y/Y (organic) - 12/21/17</t>
  </si>
  <si>
    <t>17 - 20%</t>
  </si>
  <si>
    <t>19 - 22%</t>
  </si>
  <si>
    <t>70</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</si>
  <si>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</si>
  <si>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</si>
  <si>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</si>
  <si>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</si>
  <si>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</si>
  <si>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</si>
  <si>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</si>
  <si>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</si>
  <si>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Simon Flannery, Lisa Lam</t>
  </si>
  <si>
    <t>Date: 23 Apr 2018</t>
  </si>
  <si>
    <t>Ticker: CONE.O</t>
  </si>
  <si>
    <t>Stock Rating: Overweight</t>
  </si>
  <si>
    <t>Industry: Telecom Services</t>
  </si>
  <si>
    <t>Industry View: Cautious</t>
  </si>
  <si>
    <t>Price as of 23 Apr 2018: 51.37</t>
  </si>
  <si>
    <t>Target Price: 68</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</si>
  <si>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</si>
  <si>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</si>
  <si>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</si>
  <si>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</si>
  <si>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CyrusOne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</si>
  <si>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</si>
  <si>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</si>
  <si>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</si>
  <si>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</si>
  <si>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</si>
  <si>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</si>
  <si>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</si>
  <si>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</si>
  <si>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</si>
  <si>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</si>
  <si>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</si>
  <si>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</si>
  <si>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</si>
  <si>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</si>
  <si>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</si>
  <si>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</si>
  <si>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</si>
  <si>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</si>
  <si>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</si>
  <si>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</si>
  <si>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</si>
  <si>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</si>
  <si>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</si>
  <si>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</si>
  <si>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</si>
  <si>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</si>
  <si>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</si>
  <si>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</si>
  <si>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</si>
  <si>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</si>
  <si>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</si>
  <si>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</si>
  <si>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</si>
  <si>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</si>
  <si>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</si>
  <si>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</si>
  <si>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</si>
  <si>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</si>
  <si>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</si>
  <si>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</si>
  <si>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</si>
  <si>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</si>
  <si>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</si>
  <si>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</si>
  <si>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</si>
  <si>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</si>
  <si>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</si>
  <si>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</si>
  <si>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</si>
  <si>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</si>
  <si>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</si>
  <si>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</si>
  <si>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</si>
  <si>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</si>
  <si>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</si>
  <si>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</si>
  <si>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</si>
  <si>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</si>
  <si>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</si>
  <si>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</si>
  <si>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</si>
  <si>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</si>
  <si>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</si>
  <si>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</si>
  <si>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</si>
  <si>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</si>
  <si>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</si>
  <si>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</si>
  <si>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</si>
  <si>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</si>
  <si>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</si>
  <si>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</si>
  <si>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</si>
  <si>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</si>
  <si>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</si>
  <si>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</si>
  <si>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</si>
  <si>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</si>
  <si>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</si>
  <si>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</si>
  <si>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</si>
  <si>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</si>
  <si>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</si>
  <si>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</si>
  <si>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</si>
  <si>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</si>
  <si>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</si>
  <si>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</si>
  <si>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</si>
  <si>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</si>
  <si>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</si>
  <si>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</si>
  <si>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</si>
  <si>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</si>
  <si>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</si>
  <si>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</si>
  <si>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</si>
  <si>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</si>
  <si>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</si>
  <si>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</si>
  <si>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</si>
  <si>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</si>
  <si>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</si>
  <si>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</si>
  <si>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</si>
  <si>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</si>
  <si>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</si>
  <si>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</si>
  <si>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</si>
  <si>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</si>
  <si>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</si>
  <si>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</si>
  <si>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</si>
  <si>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</si>
  <si>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</si>
  <si>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</si>
  <si>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</si>
  <si>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</si>
  <si>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</si>
  <si>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</si>
  <si>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</si>
  <si>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</si>
  <si>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</si>
  <si>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</si>
  <si>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</si>
  <si>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</si>
  <si>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</si>
  <si>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</si>
  <si>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</si>
  <si>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</si>
  <si>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</si>
  <si>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</si>
  <si>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</si>
  <si>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</si>
  <si>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</si>
  <si>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</si>
  <si>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</si>
  <si>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</si>
  <si>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</si>
  <si>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</si>
  <si>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</si>
  <si>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</si>
  <si>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</si>
  <si>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</si>
  <si>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</si>
  <si>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</si>
  <si>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</si>
  <si>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</si>
  <si>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</si>
  <si>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</si>
  <si>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</si>
  <si>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</si>
  <si>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</si>
  <si>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</si>
  <si>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</si>
  <si>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</si>
  <si>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</si>
  <si>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</si>
  <si>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</si>
  <si>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</si>
  <si>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</si>
  <si>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</si>
  <si>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</si>
  <si>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</si>
  <si>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</si>
  <si>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</si>
  <si>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</si>
  <si>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</si>
  <si>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</si>
  <si>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</si>
  <si>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</si>
  <si>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</si>
  <si>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</si>
  <si>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</si>
  <si>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</si>
  <si>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</si>
  <si>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</si>
  <si>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</si>
  <si>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</si>
  <si>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</si>
  <si>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</si>
  <si>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</si>
  <si>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</si>
  <si>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</si>
  <si>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</si>
  <si>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</si>
  <si>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</si>
  <si>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</si>
  <si>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</si>
  <si>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</si>
  <si>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</si>
  <si>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</si>
  <si>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</si>
  <si>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</si>
  <si>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</si>
  <si>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</si>
  <si>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</si>
  <si>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</si>
  <si>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</si>
  <si>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</si>
  <si>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</si>
  <si>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</si>
  <si>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</si>
  <si>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</si>
  <si>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</si>
  <si>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</si>
  <si>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</si>
  <si>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</si>
  <si>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</si>
  <si>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</si>
  <si>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</si>
  <si>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</si>
  <si>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</si>
  <si>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</si>
  <si>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</si>
  <si>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</si>
  <si>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</si>
  <si>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</si>
  <si>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</si>
  <si>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</si>
  <si>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</si>
  <si>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</si>
  <si>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</si>
  <si>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</si>
  <si>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</si>
  <si>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</si>
  <si>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</si>
  <si>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</si>
  <si>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</si>
  <si>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</si>
  <si>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</si>
  <si>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</si>
  <si>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</si>
  <si>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</si>
  <si>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</si>
  <si>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</si>
  <si>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</si>
  <si>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</si>
  <si>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</si>
  <si>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</si>
  <si>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</si>
  <si>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</si>
  <si>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CyrusOne Inc.</t>
  </si>
  <si>
    <t>In the next 3 months, Morgan Stanley expects to receive or intends to seek compensation for investment</t>
  </si>
  <si>
    <t>banking services from CyrusOne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</si>
  <si>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</si>
  <si>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</si>
  <si>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</si>
  <si>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</si>
  <si>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</si>
  <si>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Simon Flannery.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</si>
  <si>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</si>
  <si>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</si>
  <si>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</si>
  <si>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</si>
  <si>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</si>
  <si>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</si>
  <si>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</si>
  <si>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</si>
  <si>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</si>
  <si>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</si>
  <si>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</si>
  <si>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</si>
  <si>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</si>
  <si>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</si>
  <si>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</si>
  <si>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</si>
  <si>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</si>
  <si>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</si>
  <si>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</si>
  <si>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</si>
  <si>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</si>
  <si>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</si>
  <si>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</si>
  <si>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</si>
  <si>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</si>
  <si>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</si>
  <si>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</si>
  <si>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</si>
  <si>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</si>
  <si>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</si>
  <si>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</si>
  <si>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</si>
  <si>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</si>
  <si>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</si>
  <si>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</si>
  <si>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</si>
  <si>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</si>
  <si>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</si>
  <si>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</si>
  <si>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</si>
  <si>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</si>
  <si>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</si>
  <si>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</si>
  <si>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</si>
  <si>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</si>
  <si>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</si>
  <si>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</si>
  <si>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</si>
  <si>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</si>
  <si>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</si>
  <si>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</si>
  <si>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</si>
  <si>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</si>
  <si>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</si>
  <si>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</si>
  <si>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</si>
  <si>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</si>
  <si>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</si>
  <si>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</si>
  <si>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</si>
  <si>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</si>
  <si>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</si>
  <si>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</si>
  <si>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</si>
  <si>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</si>
  <si>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</si>
  <si>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</si>
  <si>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</si>
  <si>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</si>
  <si>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Regular Update</t>
  </si>
  <si>
    <t>NorthAmerica</t>
  </si>
  <si>
    <t>MSA10787, MSA79FGL</t>
  </si>
  <si>
    <t>23283R100</t>
  </si>
  <si>
    <t>L:\ER13\CLECs\CLEC\CONE\Model\CONE Morgan Stanley - v6.xlsm</t>
  </si>
  <si>
    <t>[BRO MSA]</t>
  </si>
  <si>
    <t>[PRODUCT MODEL]</t>
  </si>
  <si>
    <t>[EMAIL_ALERT YES]</t>
  </si>
  <si>
    <t>[DISCIPLINE Company]</t>
  </si>
  <si>
    <t>[SUPPRESSED NO]</t>
  </si>
  <si>
    <t>[DOCDAT 2018-04-23]</t>
  </si>
  <si>
    <t>[DOCTIME 09:25]</t>
  </si>
  <si>
    <t>[PSYM CONE.O(S&amp;P) (None)]</t>
  </si>
  <si>
    <t>[COU 1]</t>
  </si>
  <si>
    <t>[ANA MSA79FGL]</t>
  </si>
  <si>
    <t>[HL CONE.O Model]</t>
  </si>
  <si>
    <t>[IND UTITEL DIVTEC TELEPH]</t>
  </si>
  <si>
    <t>[PANA MSA10787]</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</si>
  <si>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</si>
  <si>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</si>
  <si>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</si>
  <si>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</si>
  <si>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</si>
  <si>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</si>
  <si>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</si>
  <si>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</si>
  <si>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</si>
  <si>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Rents</t>
  </si>
  <si>
    <t>Cervalis charts</t>
  </si>
  <si>
    <t>Estimates</t>
  </si>
  <si>
    <t>Q</t>
  </si>
  <si>
    <t>Link</t>
  </si>
  <si>
    <t>ImportantDisclosures</t>
  </si>
  <si>
    <t>SheetVisibilityStatus</t>
  </si>
  <si>
    <t>CircularReferenceAlert</t>
  </si>
  <si>
    <t>Charts</t>
  </si>
  <si>
    <t>Valuation</t>
  </si>
  <si>
    <t>IndexInformation</t>
  </si>
  <si>
    <t>ModPubIndex</t>
  </si>
  <si>
    <t>Customer Mix</t>
  </si>
  <si>
    <t>Portfolio</t>
  </si>
  <si>
    <t>MW-Cache</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</si>
</sst>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5" formatCode="&quot;$&quot;#,##0_);\(&quot;$&quot;#,##0\)"/>
    <numFmt numFmtId="7" formatCode="&quot;$&quot;#,##0.00_);\(&quot;$&quot;#,##0.00\)"/>
    <numFmt numFmtId="41" formatCode="_(* #,##0_);_(* \(#,##0\);_(* &quot;-&quot;_);_(@_)"/>
    <numFmt numFmtId="44" formatCode="_(&quot;$&quot;* #,##0.00_);_(&quot;$&quot;* \(#,##0.00\);_(&quot;$&quot;* &quot;-&quot;??_);_(@_)"/>
    <numFmt numFmtId="43" formatCode="_(* #,##0.00_);_(* \(#,##0.00\);_(* &quot;-&quot;??_);_(@_)"/>
    <numFmt numFmtId="164" formatCode="#,##0.0_);\(#,##0.0\)"/>
    <numFmt numFmtId="165" formatCode="0.0%"/>
    <numFmt numFmtId="166" formatCode="&quot;Loan &quot;0"/>
    <numFmt numFmtId="167" formatCode="General_)"/>
    <numFmt numFmtId="168" formatCode="0.0"/>
    <numFmt numFmtId="169" formatCode="0.0\x"/>
    <numFmt numFmtId="171" formatCode="0.0%_);\(0.0%\);&quot;–&quot;_)"/>
    <numFmt numFmtId="172" formatCode="&quot;$&quot;#,##0.0_);\(&quot;$&quot;#,##0.0\)"/>
    <numFmt numFmtId="173" formatCode="0&quot;E&quot;"/>
    <numFmt numFmtId="180" formatCode="_ * #,##0_ ;_ * \-#,##0_ ;_ * &quot;-&quot;_ ;_ @_ "/>
    <numFmt numFmtId="181" formatCode="#,##0\ &quot;bps&quot;"/>
    <numFmt numFmtId="182" formatCode="0%_);\(0%\);&quot;–&quot;_)"/>
    <numFmt numFmtId="183" formatCode="#,##0.0"/>
    <numFmt numFmtId="184" formatCode="0.000%"/>
    <numFmt numFmtId="190" formatCode="mm/dd/yy\ hh:mm"/>
  </numFmts>
  <fonts count="102">
    <font>
      <sz val="8"/>
      <name val="Arial"/>
    </font>
    <font>
      <sz val="8"/>
      <name val="Arial"/>
      <family val="2"/>
    </font>
    <font>
      <b/>
      <sz val="8"/>
      <color indexed="9"/>
      <name val="Arial"/>
      <family val="2"/>
    </font>
    <font>
      <i/>
      <sz val="8"/>
      <color indexed="9"/>
      <name val="Arial"/>
      <family val="2"/>
    </font>
    <font>
      <sz val="8"/>
      <color indexed="62"/>
      <name val="Arial"/>
      <family val="2"/>
    </font>
    <font>
      <b/>
      <sz val="8"/>
      <name val="Arial"/>
      <family val="2"/>
    </font>
    <font>
      <sz val="8"/>
      <color indexed="10"/>
      <name val="Arial"/>
      <family val="2"/>
    </font>
    <font>
      <i/>
      <sz val="8"/>
      <name val="Arial"/>
      <family val="2"/>
    </font>
    <font>
      <i/>
      <sz val="8"/>
      <color indexed="62"/>
      <name val="Arial"/>
      <family val="2"/>
    </font>
    <font>
      <sz val="8"/>
      <color indexed="23"/>
      <name val="Arial"/>
      <family val="2"/>
    </font>
    <font>
      <sz val="8"/>
      <name val="Arial"/>
      <family val="2"/>
    </font>
    <font>
      <sz val="8"/>
      <color indexed="10"/>
      <name val="Arial"/>
      <family val="2"/>
    </font>
    <font>
      <b/>
      <sz val="8"/>
      <name val="Arial"/>
      <family val="2"/>
    </font>
    <font>
      <sz val="8"/>
      <name val="Arial"/>
      <family val="2"/>
    </font>
    <font>
      <sz val="8"/>
      <color indexed="32"/>
      <name val="Arial"/>
      <family val="2"/>
    </font>
    <font>
      <sz val="10"/>
      <color indexed="8"/>
      <name val="Arial"/>
      <family val="2"/>
    </font>
    <font>
      <sz val="8"/>
      <color indexed="8"/>
      <name val="Arial"/>
      <family val="2"/>
    </font>
    <font>
      <b/>
      <sz val="8"/>
      <color indexed="8"/>
      <name val="Arial"/>
      <family val="2"/>
    </font>
    <font>
      <b/>
      <sz val="8"/>
      <color indexed="10"/>
      <name val="Arial"/>
      <family val="2"/>
    </font>
    <font>
      <sz val="10"/>
      <name val="Arial"/>
      <family val="2"/>
    </font>
    <font>
      <sz val="10"/>
      <color indexed="9"/>
      <name val="Arial"/>
      <family val="2"/>
    </font>
    <font>
      <b/>
      <sz val="10"/>
      <name val="Arial"/>
      <family val="2"/>
    </font>
    <font>
      <b/>
      <sz val="8"/>
      <color indexed="9"/>
      <name val="Arial"/>
      <family val="2"/>
    </font>
    <font>
      <sz val="8"/>
      <color indexed="18"/>
      <name val="Arial"/>
      <family val="2"/>
    </font>
    <font>
      <sz val="8"/>
      <color indexed="18"/>
      <name val="Arial"/>
      <family val="2"/>
    </font>
    <font>
      <sz val="8"/>
      <color indexed="17"/>
      <name val="Arial"/>
      <family val="2"/>
    </font>
    <font>
      <sz val="8"/>
      <color indexed="12"/>
      <name val="Arial"/>
      <family val="2"/>
    </font>
    <font>
      <b/>
      <sz val="10"/>
      <color indexed="12"/>
      <name val="Arial"/>
      <family val="2"/>
    </font>
    <font>
      <sz val="10"/>
      <name val="Arial"/>
      <family val="2"/>
    </font>
    <font>
      <sz val="8"/>
      <color indexed="12"/>
      <name val="Arial"/>
      <family val="2"/>
    </font>
    <font>
      <sz val="11"/>
      <color indexed="8"/>
      <name val="Calibri"/>
      <family val="2"/>
    </font>
    <font>
      <b/>
      <u/>
      <sz val="8"/>
      <name val="Arial"/>
      <family val="2"/>
    </font>
    <font>
      <b/>
      <i/>
      <sz val="8"/>
      <name val="Arial"/>
      <family val="2"/>
    </font>
    <font>
      <sz val="10"/>
      <color indexed="8"/>
      <name val="MS Sans Serif"/>
      <family val="2"/>
    </font>
    <font>
      <b/>
      <vertAlign val="superscript"/>
      <sz val="7.5"/>
      <name val="Times New Roman"/>
      <family val="1"/>
    </font>
    <font>
      <b/>
      <sz val="8"/>
      <color indexed="12"/>
      <name val="Arial"/>
      <family val="2"/>
    </font>
    <font>
      <vertAlign val="superscript"/>
      <sz val="7.5"/>
      <name val="Times New Roman"/>
      <family val="1"/>
    </font>
    <font>
      <sz val="11"/>
      <name val="Arial"/>
      <family val="2"/>
    </font>
    <font>
      <sz val="8"/>
      <color indexed="21"/>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b/>
      <sz val="9"/>
      <name val="Arial"/>
      <family val="2"/>
    </font>
    <font>
      <sz val="9"/>
      <color indexed="12"/>
      <name val="Arial"/>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sz val="9"/>
      <name val="AGaramond"/>
    </font>
    <font>
      <b/>
      <sz val="11"/>
      <color indexed="63"/>
      <name val="Calibri"/>
      <family val="2"/>
    </font>
    <font>
      <sz val="12"/>
      <name val="Arial"/>
      <family val="2"/>
    </font>
    <font>
      <b/>
      <sz val="18"/>
      <color indexed="62"/>
      <name val="Cambria"/>
      <family val="2"/>
    </font>
    <font>
      <b/>
      <sz val="11"/>
      <color indexed="8"/>
      <name val="Calibri"/>
      <family val="2"/>
    </font>
    <font>
      <sz val="11"/>
      <color indexed="10"/>
      <name val="Calibri"/>
      <family val="2"/>
    </font>
    <font>
      <sz val="12"/>
      <name val="바탕체"/>
      <family val="1"/>
      <charset val="129"/>
    </font>
    <font>
      <u/>
      <sz val="9"/>
      <name val="Arial"/>
      <family val="2"/>
    </font>
    <font>
      <sz val="9"/>
      <name val="Arial"/>
      <family val="2"/>
    </font>
    <font>
      <b/>
      <sz val="16"/>
      <name val="Helvetica"/>
      <family val="2"/>
    </font>
    <font>
      <b/>
      <sz val="9"/>
      <name val="Helvetica"/>
      <family val="2"/>
    </font>
    <font>
      <b/>
      <sz val="9"/>
      <color indexed="9"/>
      <name val="Arial"/>
      <family val="2"/>
    </font>
    <font>
      <b/>
      <sz val="16"/>
      <color indexed="9"/>
      <name val="Helvetica"/>
      <family val="2"/>
    </font>
    <font>
      <b/>
      <sz val="14"/>
      <name val="Arial"/>
      <family val="2"/>
    </font>
    <font>
      <sz val="9"/>
      <color indexed="19"/>
      <name val="Arial"/>
      <family val="2"/>
    </font>
    <font>
      <sz val="9"/>
      <color indexed="21"/>
      <name val="Arial"/>
      <family val="2"/>
    </font>
    <font>
      <sz val="9"/>
      <color indexed="18"/>
      <name val="Arial"/>
      <family val="2"/>
    </font>
    <font>
      <sz val="9"/>
      <color indexed="9"/>
      <name val="Arial"/>
      <family val="2"/>
    </font>
    <font>
      <b/>
      <u/>
      <sz val="9"/>
      <name val="Arial"/>
      <family val="2"/>
    </font>
    <font>
      <sz val="9"/>
      <color indexed="17"/>
      <name val="Arial"/>
      <family val="2"/>
    </font>
    <font>
      <sz val="9"/>
      <name val="Arial"/>
      <family val="2"/>
    </font>
    <font>
      <sz val="9"/>
      <color indexed="11"/>
      <name val="Arial"/>
      <family val="2"/>
    </font>
    <font>
      <b/>
      <u/>
      <sz val="10"/>
      <name val="Arial"/>
      <family val="2"/>
    </font>
    <font>
      <i/>
      <sz val="10"/>
      <name val="Arial"/>
      <family val="2"/>
    </font>
    <font>
      <sz val="9"/>
      <color indexed="10"/>
      <name val="Arial"/>
      <family val="2"/>
    </font>
    <font>
      <u/>
      <sz val="10"/>
      <name val="Arial"/>
      <family val="2"/>
    </font>
    <font>
      <sz val="8"/>
      <color indexed="54"/>
      <name val="Arial"/>
      <family val="2"/>
    </font>
    <font>
      <sz val="10"/>
      <name val="Arial"/>
      <family val="2"/>
    </font>
    <font>
      <sz val="9"/>
      <color indexed="81"/>
      <name val="Tahoma"/>
      <family val="2"/>
    </font>
    <font>
      <sz val="10"/>
      <color indexed="81"/>
      <name val="Tahoma"/>
      <family val="2"/>
    </font>
    <font>
      <u/>
      <sz val="10"/>
      <color indexed="81"/>
      <name val="Tahoma"/>
      <family val="2"/>
    </font>
    <font>
      <sz val="8"/>
      <color rgb="FF0070C0"/>
      <name val="Arial"/>
      <family val="2"/>
    </font>
    <font>
      <sz val="8"/>
      <color rgb="FF00B050"/>
      <name val="Arial"/>
      <family val="2"/>
    </font>
    <font>
      <b/>
      <sz val="8"/>
      <color rgb="FFFF0000"/>
      <name val="Arial"/>
      <family val="2"/>
    </font>
    <font>
      <sz val="8"/>
      <color rgb="FFFF0000"/>
      <name val="Arial"/>
      <family val="2"/>
    </font>
    <font>
      <sz val="9"/>
      <color rgb="FF0070C0"/>
      <name val="Arial"/>
      <family val="2"/>
    </font>
    <font>
      <b/>
      <sz val="9"/>
      <color indexed="81"/>
      <name val="Tahoma"/>
      <family val="2"/>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25">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56"/>
        <bgColor indexed="64"/>
      </patternFill>
    </fill>
    <fill>
      <patternFill patternType="solid">
        <fgColor indexed="22"/>
        <bgColor indexed="64"/>
      </patternFill>
    </fill>
    <fill>
      <patternFill patternType="solid">
        <fgColor indexed="12"/>
        <bgColor indexed="64"/>
      </patternFill>
    </fill>
    <fill>
      <patternFill patternType="solid">
        <fgColor indexed="55"/>
        <bgColor indexed="64"/>
      </patternFill>
    </fill>
    <fill>
      <patternFill patternType="solid">
        <fgColor indexed="10"/>
        <bgColor indexed="64"/>
      </patternFill>
    </fill>
    <fill>
      <patternFill patternType="solid">
        <fgColor indexed="44"/>
        <bgColor indexed="64"/>
      </patternFill>
    </fill>
    <fill>
      <patternFill patternType="solid">
        <fgColor theme="0" tint="-9.9978637043366805E-2"/>
        <bgColor indexed="64"/>
      </patternFill>
    </fill>
    <fill>
      <patternFill patternType="solid">
        <fgColor theme="8" tint="0.79998168889431442"/>
        <bgColor indexed="64"/>
      </patternFill>
    </fill>
    <fill>
      <patternFill patternType="solid">
        <fgColor indexed="65"/>
        <bgColor indexed="64"/>
      </patternFill>
    </fill>
  </fills>
  <borders count="4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55"/>
      </top>
      <bottom/>
      <diagonal/>
    </border>
    <border>
      <left style="thin">
        <color indexed="64"/>
      </left>
      <right/>
      <top style="thin">
        <color indexed="55"/>
      </top>
      <bottom/>
      <diagonal/>
    </border>
    <border>
      <left/>
      <right/>
      <top style="thin">
        <color indexed="55"/>
      </top>
      <bottom/>
      <diagonal/>
    </border>
    <border>
      <left/>
      <right style="thin">
        <color indexed="64"/>
      </right>
      <top style="thin">
        <color indexed="55"/>
      </top>
      <bottom/>
      <diagonal/>
    </border>
    <border>
      <left style="thin">
        <color indexed="64"/>
      </left>
      <right/>
      <top/>
      <bottom style="thin">
        <color indexed="55"/>
      </bottom>
      <diagonal/>
    </border>
    <border>
      <left/>
      <right/>
      <top style="thin">
        <color indexed="55"/>
      </top>
      <bottom style="thin">
        <color indexed="64"/>
      </bottom>
      <diagonal/>
    </border>
    <border>
      <left/>
      <right style="thin">
        <color indexed="64"/>
      </right>
      <top style="thin">
        <color indexed="55"/>
      </top>
      <bottom style="thin">
        <color indexed="64"/>
      </bottom>
      <diagonal/>
    </border>
    <border>
      <left style="thin">
        <color indexed="64"/>
      </left>
      <right style="thin">
        <color indexed="64"/>
      </right>
      <top style="thin">
        <color indexed="55"/>
      </top>
      <bottom style="thin">
        <color indexed="64"/>
      </bottom>
      <diagonal/>
    </border>
    <border>
      <left style="thin">
        <color indexed="64"/>
      </left>
      <right/>
      <top style="thin">
        <color indexed="55"/>
      </top>
      <bottom style="thin">
        <color indexed="64"/>
      </bottom>
      <diagonal/>
    </border>
    <border>
      <left style="thin">
        <color indexed="64"/>
      </left>
      <right style="thin">
        <color indexed="64"/>
      </right>
      <top/>
      <bottom style="thin">
        <color indexed="55"/>
      </bottom>
      <diagonal/>
    </border>
    <border>
      <left/>
      <right style="thin">
        <color indexed="64"/>
      </right>
      <top/>
      <bottom style="thin">
        <color indexed="55"/>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78">
    <xf numFmtId="0" fontId="0" fillId="0" borderId="0" applyNumberFormat="0" applyFont="0" applyFill="0" applyBorder="0" applyAlignment="0" applyProtection="0"/>
    <xf numFmtId="0" fontId="19" fillId="0" borderId="0"/>
    <xf numFmtId="0" fontId="19" fillId="0" borderId="0"/>
    <xf numFmtId="0" fontId="33" fillId="0" borderId="0" applyNumberFormat="0" applyFont="0" applyFill="0" applyBorder="0" applyAlignment="0" applyProtection="0"/>
    <xf numFmtId="0" fontId="19" fillId="0" borderId="0"/>
    <xf numFmtId="0" fontId="19" fillId="0" borderId="0"/>
    <xf numFmtId="0" fontId="19" fillId="0" borderId="0"/>
    <xf numFmtId="0" fontId="19" fillId="0" borderId="0"/>
    <xf numFmtId="0" fontId="19" fillId="0" borderId="0"/>
    <xf numFmtId="0" fontId="39" fillId="0" borderId="0"/>
    <xf numFmtId="0" fontId="39" fillId="0" borderId="0"/>
    <xf numFmtId="0" fontId="30" fillId="2"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2" borderId="0" applyNumberFormat="0" applyBorder="0" applyAlignment="0" applyProtection="0"/>
    <xf numFmtId="0" fontId="30" fillId="5" borderId="0" applyNumberFormat="0" applyBorder="0" applyAlignment="0" applyProtection="0"/>
    <xf numFmtId="0" fontId="30" fillId="4" borderId="0" applyNumberFormat="0" applyBorder="0" applyAlignment="0" applyProtection="0"/>
    <xf numFmtId="0" fontId="30" fillId="6" borderId="0" applyNumberFormat="0" applyBorder="0" applyAlignment="0" applyProtection="0"/>
    <xf numFmtId="0" fontId="30" fillId="3" borderId="0" applyNumberFormat="0" applyBorder="0" applyAlignment="0" applyProtection="0"/>
    <xf numFmtId="0" fontId="30" fillId="4" borderId="0" applyNumberFormat="0" applyBorder="0" applyAlignment="0" applyProtection="0"/>
    <xf numFmtId="0" fontId="30" fillId="6" borderId="0" applyNumberFormat="0" applyBorder="0" applyAlignment="0" applyProtection="0"/>
    <xf numFmtId="0" fontId="30" fillId="7" borderId="0" applyNumberFormat="0" applyBorder="0" applyAlignment="0" applyProtection="0"/>
    <xf numFmtId="0" fontId="30" fillId="4" borderId="0" applyNumberFormat="0" applyBorder="0" applyAlignment="0" applyProtection="0"/>
    <xf numFmtId="0" fontId="46" fillId="8" borderId="0" applyNumberFormat="0" applyBorder="0" applyAlignment="0" applyProtection="0"/>
    <xf numFmtId="0" fontId="46" fillId="3" borderId="0" applyNumberFormat="0" applyBorder="0" applyAlignment="0" applyProtection="0"/>
    <xf numFmtId="0" fontId="46" fillId="9" borderId="0" applyNumberFormat="0" applyBorder="0" applyAlignment="0" applyProtection="0"/>
    <xf numFmtId="0" fontId="46" fillId="6" borderId="0" applyNumberFormat="0" applyBorder="0" applyAlignment="0" applyProtection="0"/>
    <xf numFmtId="0" fontId="46" fillId="8" borderId="0" applyNumberFormat="0" applyBorder="0" applyAlignment="0" applyProtection="0"/>
    <xf numFmtId="0" fontId="46" fillId="4" borderId="0" applyNumberFormat="0" applyBorder="0" applyAlignment="0" applyProtection="0"/>
    <xf numFmtId="0" fontId="46" fillId="8" borderId="0" applyNumberFormat="0" applyBorder="0" applyAlignment="0" applyProtection="0"/>
    <xf numFmtId="0" fontId="46" fillId="3" borderId="0" applyNumberFormat="0" applyBorder="0" applyAlignment="0" applyProtection="0"/>
    <xf numFmtId="0" fontId="46" fillId="9" borderId="0" applyNumberFormat="0" applyBorder="0" applyAlignment="0" applyProtection="0"/>
    <xf numFmtId="0" fontId="46" fillId="10" borderId="0" applyNumberFormat="0" applyBorder="0" applyAlignment="0" applyProtection="0"/>
    <xf numFmtId="0" fontId="46" fillId="8" borderId="0" applyNumberFormat="0" applyBorder="0" applyAlignment="0" applyProtection="0"/>
    <xf numFmtId="0" fontId="46" fillId="3" borderId="0" applyNumberFormat="0" applyBorder="0" applyAlignment="0" applyProtection="0"/>
    <xf numFmtId="0" fontId="47" fillId="11" borderId="0" applyNumberFormat="0" applyBorder="0" applyAlignment="0" applyProtection="0"/>
    <xf numFmtId="0" fontId="40" fillId="0" borderId="0"/>
    <xf numFmtId="0" fontId="48" fillId="12" borderId="1" applyNumberFormat="0" applyAlignment="0" applyProtection="0"/>
    <xf numFmtId="0" fontId="49" fillId="13" borderId="2" applyNumberFormat="0" applyAlignment="0" applyProtection="0"/>
    <xf numFmtId="43" fontId="1" fillId="0" borderId="0" applyFont="0" applyFill="0" applyBorder="0" applyAlignment="0" applyProtection="0"/>
    <xf numFmtId="43" fontId="30" fillId="0" borderId="0" applyFont="0" applyFill="0" applyBorder="0" applyAlignment="0" applyProtection="0"/>
    <xf numFmtId="44" fontId="19" fillId="0" borderId="0" applyFont="0" applyFill="0" applyBorder="0" applyAlignment="0" applyProtection="0"/>
    <xf numFmtId="44" fontId="85" fillId="0" borderId="0" applyFont="0" applyFill="0" applyBorder="0" applyAlignment="0" applyProtection="0"/>
    <xf numFmtId="5" fontId="28" fillId="0" borderId="0" applyFont="0" applyFill="0" applyBorder="0" applyAlignment="0" applyProtection="0"/>
    <xf numFmtId="0" fontId="50" fillId="0" borderId="0" applyNumberFormat="0" applyFill="0" applyBorder="0" applyAlignment="0" applyProtection="0"/>
    <xf numFmtId="0" fontId="51" fillId="14" borderId="0" applyNumberFormat="0" applyBorder="0" applyAlignment="0" applyProtection="0"/>
    <xf numFmtId="0" fontId="52" fillId="0" borderId="3" applyNumberFormat="0" applyFill="0" applyAlignment="0" applyProtection="0"/>
    <xf numFmtId="0" fontId="53" fillId="0" borderId="4" applyNumberFormat="0" applyFill="0" applyAlignment="0" applyProtection="0"/>
    <xf numFmtId="0" fontId="54" fillId="0" borderId="5" applyNumberFormat="0" applyFill="0" applyAlignment="0" applyProtection="0"/>
    <xf numFmtId="0" fontId="54" fillId="0" borderId="0" applyNumberFormat="0" applyFill="0" applyBorder="0" applyAlignment="0" applyProtection="0"/>
    <xf numFmtId="0" fontId="55" fillId="4" borderId="1" applyNumberFormat="0" applyAlignment="0" applyProtection="0"/>
    <xf numFmtId="0" fontId="56" fillId="0" borderId="6" applyNumberFormat="0" applyFill="0" applyAlignment="0" applyProtection="0"/>
    <xf numFmtId="0" fontId="57" fillId="4" borderId="0" applyNumberFormat="0" applyBorder="0" applyAlignment="0" applyProtection="0"/>
    <xf numFmtId="0" fontId="19" fillId="0" borderId="0"/>
    <xf numFmtId="0" fontId="85" fillId="0" borderId="0"/>
    <xf numFmtId="0" fontId="19" fillId="0" borderId="0"/>
    <xf numFmtId="0" fontId="19" fillId="0" borderId="0"/>
    <xf numFmtId="0" fontId="33" fillId="0" borderId="0" applyNumberFormat="0" applyFont="0" applyFill="0" applyBorder="0" applyAlignment="0" applyProtection="0"/>
    <xf numFmtId="0" fontId="58" fillId="0" borderId="0"/>
    <xf numFmtId="0" fontId="19" fillId="4" borderId="7" applyNumberFormat="0" applyFont="0" applyAlignment="0" applyProtection="0"/>
    <xf numFmtId="168" fontId="19" fillId="0" borderId="0"/>
    <xf numFmtId="0" fontId="59" fillId="12" borderId="8" applyNumberFormat="0" applyAlignment="0" applyProtection="0"/>
    <xf numFmtId="0" fontId="41" fillId="0" borderId="0">
      <alignment vertical="center"/>
    </xf>
    <xf numFmtId="9" fontId="1" fillId="0" borderId="0" applyFont="0" applyFill="0" applyBorder="0" applyAlignment="0" applyProtection="0"/>
    <xf numFmtId="165" fontId="28" fillId="0" borderId="0" applyFont="0" applyFill="0" applyBorder="0" applyAlignment="0" applyProtection="0"/>
    <xf numFmtId="0" fontId="28" fillId="15" borderId="0" applyNumberFormat="0" applyFont="0" applyBorder="0" applyAlignment="0" applyProtection="0"/>
    <xf numFmtId="0" fontId="19" fillId="15" borderId="0" applyNumberFormat="0" applyFont="0" applyBorder="0" applyAlignment="0" applyProtection="0"/>
    <xf numFmtId="0" fontId="42" fillId="0" borderId="0"/>
    <xf numFmtId="0" fontId="42" fillId="0" borderId="9">
      <alignment horizontal="centerContinuous"/>
    </xf>
    <xf numFmtId="0" fontId="43" fillId="0" borderId="9"/>
    <xf numFmtId="0" fontId="60" fillId="0" borderId="0"/>
    <xf numFmtId="0" fontId="15" fillId="0" borderId="0" applyNumberFormat="0" applyBorder="0" applyAlignment="0"/>
    <xf numFmtId="0" fontId="61" fillId="0" borderId="0" applyNumberFormat="0" applyFill="0" applyBorder="0" applyAlignment="0" applyProtection="0"/>
    <xf numFmtId="0" fontId="62" fillId="0" borderId="10" applyNumberFormat="0" applyFill="0" applyAlignment="0" applyProtection="0"/>
    <xf numFmtId="0" fontId="63" fillId="0" borderId="0" applyNumberFormat="0" applyFill="0" applyBorder="0" applyAlignment="0" applyProtection="0"/>
    <xf numFmtId="180" fontId="64" fillId="0" borderId="0" applyFont="0" applyFill="0" applyBorder="0" applyAlignment="0" applyProtection="0"/>
    <xf numFmtId="0" fontId="64" fillId="0" borderId="0" applyFont="0" applyFill="0" applyBorder="0" applyAlignment="0" applyProtection="0"/>
    <xf numFmtId="0" fontId="95" fillId="0" borderId="0"/>
  </cellStyleXfs>
  <cellXfs count="587">
    <xf numFmtId="0" fontId="0" fillId="0" borderId="0" xfId="0"/>
    <xf numFmtId="164" fontId="0" fillId="0" borderId="0" xfId="0" applyNumberFormat="1"/>
    <xf numFmtId="0" fontId="0" fillId="0" borderId="0" xfId="0" applyAlignment="1">
      <alignment horizontal="left" indent="1"/>
    </xf>
    <xf numFmtId="0" fontId="2" fillId="16" borderId="0" xfId="0" applyFont="1" applyFill="1" applyBorder="1" applyAlignment="1">
      <alignment vertical="center"/>
    </xf>
    <xf numFmtId="0" fontId="3" fillId="16" borderId="0" xfId="0" applyFont="1" applyFill="1" applyBorder="1" applyAlignment="1">
      <alignment vertical="center"/>
    </xf>
    <xf numFmtId="0" fontId="2" fillId="16" borderId="0" xfId="0" applyNumberFormat="1" applyFont="1" applyFill="1" applyBorder="1" applyAlignment="1">
      <alignment horizontal="right" vertical="center"/>
    </xf>
    <xf numFmtId="14" fontId="4" fillId="0" borderId="0" xfId="0" applyNumberFormat="1" applyFont="1" applyFill="1" applyBorder="1" applyAlignment="1">
      <alignment vertical="center"/>
    </xf>
    <xf numFmtId="164" fontId="4" fillId="0" borderId="0" xfId="0" applyNumberFormat="1" applyFont="1"/>
    <xf numFmtId="0" fontId="5" fillId="0" borderId="0" xfId="0" applyFont="1"/>
    <xf numFmtId="164" fontId="5" fillId="0" borderId="0" xfId="0" applyNumberFormat="1" applyFont="1"/>
    <xf numFmtId="0" fontId="5" fillId="0" borderId="11" xfId="0" applyFont="1" applyBorder="1"/>
    <xf numFmtId="164" fontId="5" fillId="0" borderId="11" xfId="0" applyNumberFormat="1" applyFont="1" applyBorder="1"/>
    <xf numFmtId="0" fontId="0" fillId="0" borderId="0" xfId="0" applyAlignment="1">
      <alignment horizontal="left" indent="2"/>
    </xf>
    <xf numFmtId="37" fontId="0" fillId="0" borderId="0" xfId="0" applyNumberFormat="1"/>
    <xf numFmtId="37" fontId="4" fillId="0" borderId="0" xfId="0" applyNumberFormat="1" applyFont="1"/>
    <xf numFmtId="9" fontId="4" fillId="0" borderId="0" xfId="63" applyFont="1"/>
    <xf numFmtId="9" fontId="1" fillId="0" borderId="0" xfId="0" applyNumberFormat="1" applyFont="1" applyFill="1" applyBorder="1" applyAlignment="1">
      <alignment vertical="center"/>
    </xf>
    <xf numFmtId="0" fontId="7" fillId="0" borderId="0" xfId="0" applyFont="1" applyAlignment="1">
      <alignment horizontal="left" indent="2"/>
    </xf>
    <xf numFmtId="0" fontId="7" fillId="0" borderId="0" xfId="0" applyFont="1"/>
    <xf numFmtId="37" fontId="6" fillId="0" borderId="0" xfId="0" applyNumberFormat="1" applyFont="1"/>
    <xf numFmtId="165" fontId="0" fillId="0" borderId="0" xfId="63" applyNumberFormat="1" applyFont="1"/>
    <xf numFmtId="0" fontId="7" fillId="0" borderId="0" xfId="0" applyFont="1" applyAlignment="1">
      <alignment horizontal="left" indent="3"/>
    </xf>
    <xf numFmtId="164" fontId="6" fillId="0" borderId="0" xfId="0" applyNumberFormat="1" applyFont="1"/>
    <xf numFmtId="164" fontId="9" fillId="0" borderId="0" xfId="0" applyNumberFormat="1" applyFont="1"/>
    <xf numFmtId="10" fontId="6" fillId="0" borderId="0" xfId="0" applyNumberFormat="1" applyFont="1"/>
    <xf numFmtId="37" fontId="1" fillId="0" borderId="0" xfId="0" applyNumberFormat="1" applyFont="1"/>
    <xf numFmtId="164" fontId="1" fillId="0" borderId="0" xfId="0" applyNumberFormat="1" applyFont="1" applyFill="1" applyBorder="1" applyAlignment="1">
      <alignment vertical="center"/>
    </xf>
    <xf numFmtId="39" fontId="6" fillId="0" borderId="0" xfId="0" applyNumberFormat="1" applyFont="1"/>
    <xf numFmtId="39" fontId="1" fillId="0" borderId="0" xfId="0" applyNumberFormat="1" applyFont="1"/>
    <xf numFmtId="164" fontId="1" fillId="0" borderId="0" xfId="0" applyNumberFormat="1" applyFont="1"/>
    <xf numFmtId="165" fontId="6" fillId="0" borderId="0" xfId="0" applyNumberFormat="1" applyFont="1" applyFill="1" applyBorder="1" applyAlignment="1">
      <alignment vertical="center"/>
    </xf>
    <xf numFmtId="164" fontId="7" fillId="0" borderId="0" xfId="0" applyNumberFormat="1" applyFont="1"/>
    <xf numFmtId="0" fontId="1" fillId="0" borderId="12" xfId="0" applyFont="1" applyBorder="1" applyAlignment="1">
      <alignment horizontal="left" vertical="center" indent="1"/>
    </xf>
    <xf numFmtId="0" fontId="1" fillId="0" borderId="12" xfId="0" applyFont="1" applyFill="1" applyBorder="1" applyAlignment="1">
      <alignment horizontal="left" vertical="center" indent="1"/>
    </xf>
    <xf numFmtId="10" fontId="6" fillId="0" borderId="0" xfId="63" applyNumberFormat="1" applyFont="1" applyFill="1" applyBorder="1" applyAlignment="1">
      <alignment vertical="center"/>
    </xf>
    <xf numFmtId="37" fontId="11" fillId="0" borderId="0" xfId="0" applyNumberFormat="1" applyFont="1" applyFill="1" applyBorder="1" applyAlignment="1">
      <alignment vertical="center"/>
    </xf>
    <xf numFmtId="164" fontId="11" fillId="0" borderId="0" xfId="0" applyNumberFormat="1" applyFont="1" applyFill="1" applyBorder="1" applyAlignment="1">
      <alignment vertical="center"/>
    </xf>
    <xf numFmtId="164" fontId="10" fillId="0" borderId="0" xfId="0" applyNumberFormat="1" applyFont="1" applyFill="1" applyBorder="1" applyAlignment="1">
      <alignment vertical="center"/>
    </xf>
    <xf numFmtId="167" fontId="5" fillId="0" borderId="12" xfId="0" applyNumberFormat="1" applyFont="1" applyFill="1" applyBorder="1" applyAlignment="1" applyProtection="1">
      <alignment horizontal="left" vertical="center"/>
    </xf>
    <xf numFmtId="167" fontId="2" fillId="16" borderId="12" xfId="0" applyNumberFormat="1" applyFont="1" applyFill="1" applyBorder="1" applyAlignment="1" applyProtection="1">
      <alignment horizontal="left" vertical="center"/>
    </xf>
    <xf numFmtId="167" fontId="7" fillId="0" borderId="12" xfId="0" applyNumberFormat="1" applyFont="1" applyFill="1" applyBorder="1" applyAlignment="1" applyProtection="1">
      <alignment horizontal="left" vertical="center" indent="1"/>
    </xf>
    <xf numFmtId="167" fontId="10" fillId="0" borderId="12" xfId="0" applyNumberFormat="1" applyFont="1" applyFill="1" applyBorder="1" applyAlignment="1" applyProtection="1">
      <alignment horizontal="left" vertical="center"/>
    </xf>
    <xf numFmtId="0" fontId="0" fillId="0" borderId="0" xfId="0" applyAlignment="1">
      <alignment horizontal="left" indent="3"/>
    </xf>
    <xf numFmtId="0" fontId="10" fillId="0" borderId="12" xfId="0" applyFont="1" applyBorder="1" applyAlignment="1">
      <alignment vertical="center"/>
    </xf>
    <xf numFmtId="2" fontId="6" fillId="0" borderId="0" xfId="0" applyNumberFormat="1" applyFont="1"/>
    <xf numFmtId="0" fontId="4" fillId="0" borderId="0" xfId="0" applyNumberFormat="1" applyFont="1" applyFill="1" applyBorder="1" applyAlignment="1">
      <alignment vertical="center"/>
    </xf>
    <xf numFmtId="0" fontId="0" fillId="0" borderId="0" xfId="0" applyNumberFormat="1"/>
    <xf numFmtId="39" fontId="0" fillId="0" borderId="0" xfId="0" applyNumberFormat="1"/>
    <xf numFmtId="0" fontId="0" fillId="0" borderId="0" xfId="0" applyAlignment="1">
      <alignment horizontal="left"/>
    </xf>
    <xf numFmtId="164" fontId="10" fillId="0" borderId="0" xfId="0" applyNumberFormat="1" applyFont="1"/>
    <xf numFmtId="0" fontId="10" fillId="0" borderId="0" xfId="0" applyFont="1"/>
    <xf numFmtId="164" fontId="11" fillId="0" borderId="0" xfId="0" applyNumberFormat="1" applyFont="1"/>
    <xf numFmtId="164" fontId="7" fillId="0" borderId="0" xfId="0" applyNumberFormat="1" applyFont="1" applyAlignment="1">
      <alignment horizontal="center"/>
    </xf>
    <xf numFmtId="164" fontId="12" fillId="0" borderId="11" xfId="0" applyNumberFormat="1" applyFont="1" applyBorder="1"/>
    <xf numFmtId="0" fontId="13" fillId="0" borderId="0" xfId="0" applyFont="1"/>
    <xf numFmtId="164" fontId="13" fillId="0" borderId="0" xfId="0" applyNumberFormat="1" applyFont="1"/>
    <xf numFmtId="164" fontId="12" fillId="0" borderId="0" xfId="0" applyNumberFormat="1" applyFont="1"/>
    <xf numFmtId="39" fontId="13" fillId="0" borderId="0" xfId="0" applyNumberFormat="1" applyFont="1"/>
    <xf numFmtId="0" fontId="5" fillId="0" borderId="0" xfId="0" applyFont="1" applyAlignment="1">
      <alignment horizontal="left"/>
    </xf>
    <xf numFmtId="39" fontId="2" fillId="16" borderId="0" xfId="0" applyNumberFormat="1" applyFont="1" applyFill="1"/>
    <xf numFmtId="0" fontId="0" fillId="0" borderId="13" xfId="0" applyBorder="1" applyAlignment="1">
      <alignment horizontal="left"/>
    </xf>
    <xf numFmtId="164" fontId="0" fillId="0" borderId="13" xfId="0" applyNumberFormat="1" applyBorder="1"/>
    <xf numFmtId="0" fontId="5" fillId="0" borderId="11" xfId="0" applyFont="1" applyBorder="1" applyAlignment="1">
      <alignment horizontal="left"/>
    </xf>
    <xf numFmtId="0" fontId="7" fillId="0" borderId="0" xfId="0" applyFont="1" applyAlignment="1">
      <alignment horizontal="left" indent="4"/>
    </xf>
    <xf numFmtId="0" fontId="10" fillId="0" borderId="0" xfId="0" applyFont="1" applyAlignment="1">
      <alignment horizontal="left" indent="1"/>
    </xf>
    <xf numFmtId="0" fontId="10" fillId="0" borderId="12" xfId="0" applyFont="1" applyBorder="1" applyAlignment="1">
      <alignment horizontal="left" vertical="center" indent="1"/>
    </xf>
    <xf numFmtId="0" fontId="10" fillId="0" borderId="12" xfId="0" applyFont="1" applyBorder="1" applyAlignment="1">
      <alignment horizontal="left" vertical="center" indent="2"/>
    </xf>
    <xf numFmtId="0" fontId="10" fillId="0" borderId="12" xfId="0" applyFont="1" applyBorder="1" applyAlignment="1">
      <alignment horizontal="left" vertical="center" indent="3"/>
    </xf>
    <xf numFmtId="164" fontId="10" fillId="0" borderId="0" xfId="0" applyNumberFormat="1" applyFont="1" applyAlignment="1">
      <alignment vertical="center"/>
    </xf>
    <xf numFmtId="0" fontId="10" fillId="0" borderId="0" xfId="0" applyFont="1" applyAlignment="1">
      <alignment horizontal="left" indent="2"/>
    </xf>
    <xf numFmtId="165" fontId="11" fillId="0" borderId="0" xfId="0" applyNumberFormat="1" applyFont="1" applyFill="1" applyBorder="1" applyAlignment="1">
      <alignment vertical="center"/>
    </xf>
    <xf numFmtId="0" fontId="0" fillId="0" borderId="0" xfId="0" applyAlignment="1">
      <alignment horizontal="right"/>
    </xf>
    <xf numFmtId="0" fontId="10" fillId="0" borderId="0" xfId="0" applyFont="1" applyAlignment="1">
      <alignment horizontal="left" indent="4"/>
    </xf>
    <xf numFmtId="0" fontId="10" fillId="0" borderId="0" xfId="0" applyFont="1" applyAlignment="1">
      <alignment horizontal="left" indent="3"/>
    </xf>
    <xf numFmtId="0" fontId="5" fillId="0" borderId="0" xfId="0" applyFont="1" applyBorder="1"/>
    <xf numFmtId="164" fontId="12" fillId="0" borderId="0" xfId="0" applyNumberFormat="1" applyFont="1" applyBorder="1"/>
    <xf numFmtId="9" fontId="7" fillId="0" borderId="0" xfId="63" applyFont="1"/>
    <xf numFmtId="9" fontId="0" fillId="0" borderId="0" xfId="0" applyNumberFormat="1"/>
    <xf numFmtId="164" fontId="5" fillId="0" borderId="0" xfId="0" applyNumberFormat="1" applyFont="1" applyFill="1" applyBorder="1"/>
    <xf numFmtId="165" fontId="1" fillId="0" borderId="0" xfId="0" applyNumberFormat="1" applyFont="1" applyFill="1" applyBorder="1" applyAlignment="1">
      <alignment vertical="center"/>
    </xf>
    <xf numFmtId="164" fontId="14" fillId="0" borderId="0" xfId="0" applyNumberFormat="1" applyFont="1"/>
    <xf numFmtId="2" fontId="6" fillId="0" borderId="0" xfId="0" applyNumberFormat="1" applyFont="1" applyFill="1" applyBorder="1" applyAlignment="1">
      <alignment vertical="center"/>
    </xf>
    <xf numFmtId="0" fontId="5" fillId="0" borderId="14" xfId="0" applyFont="1" applyBorder="1" applyAlignment="1">
      <alignment horizontal="left" indent="1"/>
    </xf>
    <xf numFmtId="0" fontId="0" fillId="0" borderId="15" xfId="0" applyBorder="1"/>
    <xf numFmtId="164" fontId="4" fillId="0" borderId="15" xfId="0" applyNumberFormat="1" applyFont="1" applyBorder="1"/>
    <xf numFmtId="164" fontId="1" fillId="0" borderId="15" xfId="0" applyNumberFormat="1" applyFont="1" applyBorder="1"/>
    <xf numFmtId="0" fontId="0" fillId="0" borderId="12" xfId="0" applyBorder="1"/>
    <xf numFmtId="0" fontId="0" fillId="0" borderId="0" xfId="0" applyBorder="1"/>
    <xf numFmtId="164" fontId="0" fillId="0" borderId="0" xfId="0" applyNumberFormat="1" applyBorder="1"/>
    <xf numFmtId="14" fontId="4" fillId="0" borderId="16" xfId="0" applyNumberFormat="1" applyFont="1" applyFill="1" applyBorder="1" applyAlignment="1">
      <alignment vertical="center"/>
    </xf>
    <xf numFmtId="0" fontId="5" fillId="0" borderId="12" xfId="0" applyFont="1" applyBorder="1"/>
    <xf numFmtId="168" fontId="17" fillId="0" borderId="16" xfId="0" applyNumberFormat="1" applyFont="1" applyFill="1" applyBorder="1" applyAlignment="1">
      <alignment vertical="center"/>
    </xf>
    <xf numFmtId="0" fontId="0" fillId="0" borderId="12" xfId="0" applyBorder="1" applyAlignment="1">
      <alignment horizontal="left" indent="1"/>
    </xf>
    <xf numFmtId="168" fontId="16" fillId="0" borderId="16" xfId="0" applyNumberFormat="1" applyFont="1" applyFill="1" applyBorder="1" applyAlignment="1">
      <alignment vertical="center"/>
    </xf>
    <xf numFmtId="9" fontId="6" fillId="0" borderId="16" xfId="0" applyNumberFormat="1" applyFont="1" applyFill="1" applyBorder="1" applyAlignment="1">
      <alignment vertical="center"/>
    </xf>
    <xf numFmtId="2" fontId="16" fillId="0" borderId="16" xfId="0" applyNumberFormat="1" applyFont="1" applyFill="1" applyBorder="1" applyAlignment="1">
      <alignment vertical="center"/>
    </xf>
    <xf numFmtId="9" fontId="16" fillId="0" borderId="16" xfId="0" applyNumberFormat="1" applyFont="1" applyFill="1" applyBorder="1" applyAlignment="1">
      <alignment vertical="center"/>
    </xf>
    <xf numFmtId="0" fontId="0" fillId="0" borderId="17" xfId="0" applyBorder="1" applyAlignment="1">
      <alignment horizontal="left" indent="1"/>
    </xf>
    <xf numFmtId="0" fontId="0" fillId="0" borderId="13" xfId="0" applyBorder="1"/>
    <xf numFmtId="2" fontId="6" fillId="0" borderId="13" xfId="0" applyNumberFormat="1" applyFont="1" applyFill="1" applyBorder="1" applyAlignment="1">
      <alignment vertical="center"/>
    </xf>
    <xf numFmtId="9" fontId="16" fillId="0" borderId="18" xfId="0" applyNumberFormat="1" applyFont="1" applyFill="1" applyBorder="1" applyAlignment="1">
      <alignment vertical="center"/>
    </xf>
    <xf numFmtId="0" fontId="19" fillId="0" borderId="0" xfId="55"/>
    <xf numFmtId="0" fontId="2" fillId="16" borderId="0" xfId="55" applyNumberFormat="1" applyFont="1" applyFill="1" applyBorder="1" applyAlignment="1">
      <alignment horizontal="right" vertical="center"/>
    </xf>
    <xf numFmtId="0" fontId="2" fillId="0" borderId="0" xfId="55" applyNumberFormat="1" applyFont="1" applyFill="1" applyBorder="1" applyAlignment="1">
      <alignment horizontal="right" vertical="center"/>
    </xf>
    <xf numFmtId="168" fontId="19" fillId="0" borderId="0" xfId="55" applyNumberFormat="1"/>
    <xf numFmtId="168" fontId="21" fillId="0" borderId="0" xfId="55" applyNumberFormat="1" applyFont="1"/>
    <xf numFmtId="168" fontId="21" fillId="0" borderId="0" xfId="55" applyNumberFormat="1" applyFont="1" applyFill="1"/>
    <xf numFmtId="0" fontId="19" fillId="0" borderId="0" xfId="55" applyFill="1"/>
    <xf numFmtId="0" fontId="19" fillId="0" borderId="0" xfId="55" applyFont="1"/>
    <xf numFmtId="39" fontId="16" fillId="0" borderId="0" xfId="0" applyNumberFormat="1" applyFont="1" applyFill="1"/>
    <xf numFmtId="0" fontId="20" fillId="0" borderId="0" xfId="55" applyFont="1" applyFill="1" applyBorder="1"/>
    <xf numFmtId="0" fontId="20" fillId="0" borderId="0" xfId="55" applyFont="1" applyFill="1" applyBorder="1" applyAlignment="1">
      <alignment horizontal="left" indent="1"/>
    </xf>
    <xf numFmtId="0" fontId="22" fillId="0" borderId="0" xfId="0" applyFont="1" applyFill="1" applyBorder="1"/>
    <xf numFmtId="164" fontId="23" fillId="0" borderId="0" xfId="0" applyNumberFormat="1" applyFont="1"/>
    <xf numFmtId="164" fontId="6" fillId="0" borderId="0" xfId="0" applyNumberFormat="1" applyFont="1" applyFill="1"/>
    <xf numFmtId="164" fontId="8" fillId="0" borderId="0" xfId="0" applyNumberFormat="1" applyFont="1"/>
    <xf numFmtId="9" fontId="19" fillId="0" borderId="0" xfId="63" applyFont="1"/>
    <xf numFmtId="43" fontId="4" fillId="0" borderId="16" xfId="39" applyFont="1" applyFill="1" applyBorder="1" applyAlignment="1">
      <alignment vertical="center"/>
    </xf>
    <xf numFmtId="171" fontId="10" fillId="0" borderId="0" xfId="0" applyNumberFormat="1" applyFont="1"/>
    <xf numFmtId="37" fontId="23" fillId="0" borderId="0" xfId="0" applyNumberFormat="1" applyFont="1"/>
    <xf numFmtId="165" fontId="10" fillId="0" borderId="0" xfId="0" applyNumberFormat="1" applyFont="1" applyFill="1" applyBorder="1" applyAlignment="1">
      <alignment vertical="center"/>
    </xf>
    <xf numFmtId="165" fontId="24" fillId="0" borderId="0" xfId="0" applyNumberFormat="1" applyFont="1" applyFill="1" applyBorder="1" applyAlignment="1">
      <alignment vertical="center"/>
    </xf>
    <xf numFmtId="171" fontId="10" fillId="0" borderId="0" xfId="0" applyNumberFormat="1" applyFont="1" applyFill="1"/>
    <xf numFmtId="164" fontId="0" fillId="0" borderId="0" xfId="0" applyNumberFormat="1" applyFill="1"/>
    <xf numFmtId="0" fontId="0" fillId="0" borderId="0" xfId="0" applyFill="1" applyAlignment="1">
      <alignment horizontal="left" indent="3"/>
    </xf>
    <xf numFmtId="164" fontId="4" fillId="0" borderId="0" xfId="0" applyNumberFormat="1" applyFont="1" applyFill="1"/>
    <xf numFmtId="0" fontId="0" fillId="17" borderId="0" xfId="0" applyFill="1" applyAlignment="1">
      <alignment horizontal="left" indent="1"/>
    </xf>
    <xf numFmtId="0" fontId="0" fillId="17" borderId="0" xfId="0" applyFill="1"/>
    <xf numFmtId="164" fontId="0" fillId="17" borderId="0" xfId="0" applyNumberFormat="1" applyFill="1"/>
    <xf numFmtId="14" fontId="4" fillId="17" borderId="0" xfId="0" applyNumberFormat="1" applyFont="1" applyFill="1" applyBorder="1" applyAlignment="1">
      <alignment vertical="center"/>
    </xf>
    <xf numFmtId="37" fontId="1" fillId="17" borderId="0" xfId="0" applyNumberFormat="1" applyFont="1" applyFill="1"/>
    <xf numFmtId="0" fontId="19" fillId="17" borderId="16" xfId="55" applyFont="1" applyFill="1" applyBorder="1"/>
    <xf numFmtId="0" fontId="19" fillId="17" borderId="18" xfId="55" applyFont="1" applyFill="1" applyBorder="1"/>
    <xf numFmtId="0" fontId="20" fillId="17" borderId="12" xfId="55" applyFont="1" applyFill="1" applyBorder="1"/>
    <xf numFmtId="0" fontId="19" fillId="17" borderId="16" xfId="55" applyFill="1" applyBorder="1"/>
    <xf numFmtId="0" fontId="21" fillId="17" borderId="19" xfId="55" applyFont="1" applyFill="1" applyBorder="1"/>
    <xf numFmtId="0" fontId="27" fillId="17" borderId="14" xfId="55" applyFont="1" applyFill="1" applyBorder="1" applyAlignment="1">
      <alignment horizontal="center"/>
    </xf>
    <xf numFmtId="0" fontId="19" fillId="17" borderId="12" xfId="55" applyFont="1" applyFill="1" applyBorder="1" applyAlignment="1">
      <alignment horizontal="center"/>
    </xf>
    <xf numFmtId="0" fontId="19" fillId="17" borderId="17" xfId="55" applyFont="1" applyFill="1" applyBorder="1" applyAlignment="1">
      <alignment horizontal="center"/>
    </xf>
    <xf numFmtId="37" fontId="26" fillId="17" borderId="0" xfId="0" applyNumberFormat="1" applyFont="1" applyFill="1"/>
    <xf numFmtId="171" fontId="28" fillId="0" borderId="0" xfId="55" applyNumberFormat="1" applyFont="1"/>
    <xf numFmtId="0" fontId="26" fillId="0" borderId="0" xfId="0" applyFont="1" applyAlignment="1">
      <alignment horizontal="center"/>
    </xf>
    <xf numFmtId="0" fontId="0" fillId="0" borderId="0" xfId="0" applyAlignment="1">
      <alignment horizontal="center"/>
    </xf>
    <xf numFmtId="169" fontId="26" fillId="0" borderId="0" xfId="0" applyNumberFormat="1" applyFont="1"/>
    <xf numFmtId="164" fontId="26" fillId="0" borderId="0" xfId="0" applyNumberFormat="1" applyFont="1"/>
    <xf numFmtId="7" fontId="0" fillId="0" borderId="0" xfId="0" applyNumberFormat="1"/>
    <xf numFmtId="171" fontId="29" fillId="0" borderId="0" xfId="0" applyNumberFormat="1" applyFont="1"/>
    <xf numFmtId="171" fontId="1" fillId="0" borderId="0" xfId="0" applyNumberFormat="1" applyFont="1"/>
    <xf numFmtId="172" fontId="0" fillId="0" borderId="0" xfId="0" applyNumberFormat="1"/>
    <xf numFmtId="5" fontId="26" fillId="0" borderId="0" xfId="0" applyNumberFormat="1" applyFont="1"/>
    <xf numFmtId="5" fontId="1" fillId="0" borderId="0" xfId="0" applyNumberFormat="1" applyFont="1"/>
    <xf numFmtId="172" fontId="25" fillId="0" borderId="0" xfId="0" applyNumberFormat="1" applyFont="1"/>
    <xf numFmtId="0" fontId="31" fillId="0" borderId="0" xfId="0" applyFont="1"/>
    <xf numFmtId="0" fontId="5" fillId="0" borderId="20" xfId="0" applyFont="1" applyBorder="1"/>
    <xf numFmtId="0" fontId="5" fillId="0" borderId="11" xfId="0" applyFont="1" applyBorder="1" applyAlignment="1">
      <alignment horizontal="center"/>
    </xf>
    <xf numFmtId="0" fontId="5" fillId="0" borderId="21" xfId="0" applyFont="1" applyBorder="1" applyAlignment="1">
      <alignment horizontal="center"/>
    </xf>
    <xf numFmtId="7" fontId="5" fillId="0" borderId="0" xfId="0" applyNumberFormat="1" applyFont="1"/>
    <xf numFmtId="7" fontId="0" fillId="17" borderId="0" xfId="0" applyNumberFormat="1" applyFill="1"/>
    <xf numFmtId="169" fontId="0" fillId="0" borderId="0" xfId="0" applyNumberFormat="1"/>
    <xf numFmtId="5" fontId="25" fillId="0" borderId="0" xfId="0" applyNumberFormat="1" applyFont="1"/>
    <xf numFmtId="0" fontId="5" fillId="0" borderId="15" xfId="0" applyFont="1" applyBorder="1"/>
    <xf numFmtId="164" fontId="5" fillId="0" borderId="15" xfId="0" applyNumberFormat="1" applyFont="1" applyBorder="1"/>
    <xf numFmtId="164" fontId="0" fillId="0" borderId="15" xfId="0" applyNumberFormat="1" applyBorder="1"/>
    <xf numFmtId="171" fontId="32" fillId="0" borderId="0" xfId="0" applyNumberFormat="1" applyFont="1" applyBorder="1"/>
    <xf numFmtId="0" fontId="32" fillId="0" borderId="0" xfId="0" applyFont="1" applyBorder="1" applyAlignment="1">
      <alignment horizontal="left" indent="1"/>
    </xf>
    <xf numFmtId="0" fontId="0" fillId="0" borderId="15" xfId="0" applyBorder="1" applyAlignment="1">
      <alignment horizontal="left" indent="1"/>
    </xf>
    <xf numFmtId="164" fontId="13" fillId="0" borderId="15" xfId="0" applyNumberFormat="1" applyFont="1" applyBorder="1"/>
    <xf numFmtId="173" fontId="2" fillId="16" borderId="0" xfId="0" applyNumberFormat="1" applyFont="1" applyFill="1" applyBorder="1" applyAlignment="1">
      <alignment horizontal="right" vertical="center"/>
    </xf>
    <xf numFmtId="0" fontId="0" fillId="15" borderId="0" xfId="0" applyFill="1"/>
    <xf numFmtId="0" fontId="7" fillId="15" borderId="0" xfId="0" applyFont="1" applyFill="1"/>
    <xf numFmtId="164" fontId="29" fillId="0" borderId="0" xfId="0" applyNumberFormat="1" applyFont="1"/>
    <xf numFmtId="164" fontId="2" fillId="16" borderId="0" xfId="0" applyNumberFormat="1" applyFont="1" applyFill="1" applyBorder="1" applyAlignment="1">
      <alignment horizontal="right" vertical="center"/>
    </xf>
    <xf numFmtId="171" fontId="5" fillId="0" borderId="0" xfId="0" applyNumberFormat="1" applyFont="1"/>
    <xf numFmtId="37" fontId="5" fillId="0" borderId="0" xfId="0" applyNumberFormat="1" applyFont="1"/>
    <xf numFmtId="0" fontId="5" fillId="0" borderId="0" xfId="0" applyFont="1" applyAlignment="1">
      <alignment wrapText="1"/>
    </xf>
    <xf numFmtId="37" fontId="5" fillId="0" borderId="0" xfId="0" applyNumberFormat="1" applyFont="1" applyAlignment="1">
      <alignment wrapText="1"/>
    </xf>
    <xf numFmtId="5" fontId="0" fillId="0" borderId="0" xfId="0" applyNumberFormat="1"/>
    <xf numFmtId="5" fontId="5" fillId="0" borderId="0" xfId="0" applyNumberFormat="1" applyFont="1"/>
    <xf numFmtId="37" fontId="5" fillId="0" borderId="0" xfId="0" applyNumberFormat="1" applyFont="1" applyAlignment="1">
      <alignment horizontal="centerContinuous"/>
    </xf>
    <xf numFmtId="0" fontId="5" fillId="0" borderId="0" xfId="0" applyFont="1" applyAlignment="1">
      <alignment horizontal="centerContinuous"/>
    </xf>
    <xf numFmtId="37" fontId="5" fillId="0" borderId="15" xfId="0" applyNumberFormat="1" applyFont="1" applyBorder="1" applyAlignment="1">
      <alignment wrapText="1"/>
    </xf>
    <xf numFmtId="0" fontId="5" fillId="0" borderId="15" xfId="0" applyFont="1" applyBorder="1" applyAlignment="1">
      <alignment wrapText="1"/>
    </xf>
    <xf numFmtId="37" fontId="26" fillId="0" borderId="0" xfId="0" applyNumberFormat="1" applyFont="1"/>
    <xf numFmtId="0" fontId="5" fillId="17" borderId="0" xfId="0" applyFont="1" applyFill="1" applyAlignment="1">
      <alignment horizontal="centerContinuous"/>
    </xf>
    <xf numFmtId="37" fontId="0" fillId="17" borderId="0" xfId="0" applyNumberFormat="1" applyFill="1" applyAlignment="1">
      <alignment horizontal="centerContinuous"/>
    </xf>
    <xf numFmtId="37" fontId="5" fillId="17" borderId="15" xfId="0" applyNumberFormat="1" applyFont="1" applyFill="1" applyBorder="1" applyAlignment="1">
      <alignment wrapText="1"/>
    </xf>
    <xf numFmtId="5" fontId="26" fillId="17" borderId="0" xfId="0" applyNumberFormat="1" applyFont="1" applyFill="1"/>
    <xf numFmtId="5" fontId="5" fillId="17" borderId="0" xfId="0" applyNumberFormat="1" applyFont="1" applyFill="1"/>
    <xf numFmtId="171" fontId="35" fillId="0" borderId="0" xfId="0" applyNumberFormat="1" applyFont="1"/>
    <xf numFmtId="0" fontId="26" fillId="0" borderId="0" xfId="0" applyFont="1"/>
    <xf numFmtId="0" fontId="35" fillId="0" borderId="0" xfId="0" applyFont="1"/>
    <xf numFmtId="0" fontId="12" fillId="0" borderId="0" xfId="0" applyFont="1" applyAlignment="1">
      <alignment wrapText="1"/>
    </xf>
    <xf numFmtId="167" fontId="5" fillId="0" borderId="0" xfId="0" applyNumberFormat="1" applyFont="1" applyFill="1" applyBorder="1" applyAlignment="1" applyProtection="1">
      <alignment horizontal="left" vertical="center"/>
    </xf>
    <xf numFmtId="167" fontId="2" fillId="16" borderId="0" xfId="0" applyNumberFormat="1" applyFont="1" applyFill="1" applyBorder="1" applyAlignment="1" applyProtection="1">
      <alignment horizontal="left" vertical="center"/>
    </xf>
    <xf numFmtId="167" fontId="7" fillId="0" borderId="0" xfId="0" applyNumberFormat="1" applyFont="1" applyFill="1" applyBorder="1" applyAlignment="1" applyProtection="1">
      <alignment horizontal="left" vertical="center" indent="1"/>
    </xf>
    <xf numFmtId="167" fontId="10" fillId="0" borderId="0" xfId="0" applyNumberFormat="1" applyFont="1" applyFill="1" applyBorder="1" applyAlignment="1" applyProtection="1">
      <alignment horizontal="left" vertical="center"/>
    </xf>
    <xf numFmtId="0" fontId="5" fillId="0" borderId="15" xfId="0" applyFont="1" applyBorder="1" applyAlignment="1">
      <alignment horizontal="left" indent="1"/>
    </xf>
    <xf numFmtId="0" fontId="0" fillId="0" borderId="0" xfId="0" applyBorder="1" applyAlignment="1">
      <alignment horizontal="left" indent="1"/>
    </xf>
    <xf numFmtId="0" fontId="0" fillId="0" borderId="13" xfId="0" applyBorder="1" applyAlignment="1">
      <alignment horizontal="left" indent="1"/>
    </xf>
    <xf numFmtId="0" fontId="1" fillId="0" borderId="0" xfId="0" applyFont="1" applyBorder="1" applyAlignment="1">
      <alignment horizontal="left" vertical="center" indent="1"/>
    </xf>
    <xf numFmtId="0" fontId="1" fillId="0" borderId="0" xfId="0" applyFont="1" applyFill="1" applyBorder="1" applyAlignment="1">
      <alignment horizontal="left" vertical="center" indent="1"/>
    </xf>
    <xf numFmtId="0" fontId="10" fillId="0" borderId="0" xfId="0" applyFont="1" applyBorder="1" applyAlignment="1">
      <alignment horizontal="left" vertical="center" indent="1"/>
    </xf>
    <xf numFmtId="0" fontId="10" fillId="0" borderId="0" xfId="0" applyFont="1" applyBorder="1" applyAlignment="1">
      <alignment horizontal="left" vertical="center" indent="2"/>
    </xf>
    <xf numFmtId="0" fontId="10" fillId="0" borderId="0" xfId="0" applyFont="1" applyBorder="1" applyAlignment="1">
      <alignment horizontal="left" vertical="center" indent="3"/>
    </xf>
    <xf numFmtId="0" fontId="10" fillId="0" borderId="0" xfId="0" applyFont="1" applyFill="1" applyBorder="1" applyAlignment="1">
      <alignment horizontal="left" vertical="center" indent="2"/>
    </xf>
    <xf numFmtId="166" fontId="10" fillId="0" borderId="0" xfId="0" applyNumberFormat="1" applyFont="1" applyFill="1" applyBorder="1" applyAlignment="1">
      <alignment horizontal="left" vertical="center" indent="1"/>
    </xf>
    <xf numFmtId="0" fontId="18" fillId="0" borderId="0" xfId="0" applyFont="1"/>
    <xf numFmtId="0" fontId="0" fillId="0" borderId="0" xfId="0" applyFill="1"/>
    <xf numFmtId="0" fontId="0" fillId="0" borderId="0" xfId="0" applyFill="1" applyAlignment="1">
      <alignment horizontal="left" indent="1"/>
    </xf>
    <xf numFmtId="37" fontId="1" fillId="0" borderId="0" xfId="0" applyNumberFormat="1" applyFont="1" applyFill="1"/>
    <xf numFmtId="164" fontId="4" fillId="0" borderId="0" xfId="0" applyNumberFormat="1" applyFont="1" applyFill="1" applyBorder="1" applyAlignment="1">
      <alignment vertical="center"/>
    </xf>
    <xf numFmtId="164" fontId="26" fillId="0" borderId="0" xfId="0" applyNumberFormat="1" applyFont="1" applyFill="1"/>
    <xf numFmtId="164" fontId="1" fillId="0" borderId="0" xfId="0" applyNumberFormat="1" applyFont="1" applyFill="1"/>
    <xf numFmtId="9" fontId="1" fillId="0" borderId="0" xfId="63" applyFont="1" applyFill="1"/>
    <xf numFmtId="0" fontId="0" fillId="0" borderId="0" xfId="0" applyFill="1" applyAlignment="1">
      <alignment horizontal="left" indent="2"/>
    </xf>
    <xf numFmtId="0" fontId="10" fillId="0" borderId="0" xfId="0" applyFont="1" applyFill="1" applyAlignment="1">
      <alignment horizontal="left" indent="2"/>
    </xf>
    <xf numFmtId="0" fontId="18" fillId="0" borderId="0" xfId="0" applyFont="1" applyFill="1"/>
    <xf numFmtId="0" fontId="10" fillId="0" borderId="0" xfId="0" applyFont="1" applyFill="1" applyAlignment="1">
      <alignment horizontal="left" indent="1"/>
    </xf>
    <xf numFmtId="165" fontId="26" fillId="17" borderId="0" xfId="0" applyNumberFormat="1" applyFont="1" applyFill="1" applyBorder="1" applyAlignment="1">
      <alignment vertical="center"/>
    </xf>
    <xf numFmtId="171" fontId="12" fillId="0" borderId="0" xfId="0" applyNumberFormat="1" applyFont="1"/>
    <xf numFmtId="0" fontId="5" fillId="17" borderId="0" xfId="0" applyFont="1" applyFill="1"/>
    <xf numFmtId="14" fontId="35" fillId="17" borderId="0" xfId="0" applyNumberFormat="1" applyFont="1" applyFill="1"/>
    <xf numFmtId="0" fontId="18" fillId="17" borderId="0" xfId="0" applyFont="1" applyFill="1"/>
    <xf numFmtId="0" fontId="31" fillId="17" borderId="0" xfId="0" applyFont="1" applyFill="1"/>
    <xf numFmtId="9" fontId="38" fillId="17" borderId="0" xfId="0" applyNumberFormat="1" applyFont="1" applyFill="1"/>
    <xf numFmtId="9" fontId="26" fillId="17" borderId="0" xfId="0" applyNumberFormat="1" applyFont="1" applyFill="1"/>
    <xf numFmtId="37" fontId="18" fillId="17" borderId="0" xfId="0" applyNumberFormat="1" applyFont="1" applyFill="1"/>
    <xf numFmtId="37" fontId="0" fillId="17" borderId="0" xfId="0" applyNumberFormat="1" applyFill="1"/>
    <xf numFmtId="37" fontId="38" fillId="17" borderId="0" xfId="0" applyNumberFormat="1" applyFont="1" applyFill="1"/>
    <xf numFmtId="9" fontId="23" fillId="17" borderId="0" xfId="0" applyNumberFormat="1" applyFont="1" applyFill="1"/>
    <xf numFmtId="0" fontId="0" fillId="17" borderId="0" xfId="0" applyFill="1" applyAlignment="1">
      <alignment horizontal="left"/>
    </xf>
    <xf numFmtId="0" fontId="0" fillId="0" borderId="0" xfId="0" applyFill="1" applyAlignment="1">
      <alignment horizontal="left"/>
    </xf>
    <xf numFmtId="9" fontId="38" fillId="0" borderId="0" xfId="0" applyNumberFormat="1" applyFont="1" applyFill="1"/>
    <xf numFmtId="49" fontId="0" fillId="0" borderId="0" xfId="0" applyNumberFormat="1"/>
    <xf numFmtId="171" fontId="28" fillId="0" borderId="0" xfId="0" applyNumberFormat="1" applyFont="1"/>
    <xf numFmtId="37" fontId="28" fillId="0" borderId="0" xfId="0" applyNumberFormat="1" applyFont="1"/>
    <xf numFmtId="0" fontId="65" fillId="0" borderId="0" xfId="0" applyFont="1" applyFill="1" applyBorder="1" applyAlignment="1">
      <alignment horizontal="center"/>
    </xf>
    <xf numFmtId="0" fontId="66" fillId="0" borderId="0" xfId="0" applyFont="1" applyFill="1" applyBorder="1" applyAlignment="1">
      <alignment horizontal="center"/>
    </xf>
    <xf numFmtId="0" fontId="44" fillId="0" borderId="14" xfId="0" applyFont="1" applyFill="1" applyBorder="1" applyAlignment="1">
      <alignment horizontal="center" vertical="center"/>
    </xf>
    <xf numFmtId="0" fontId="44" fillId="0" borderId="15" xfId="0" applyFont="1" applyFill="1" applyBorder="1" applyAlignment="1">
      <alignment horizontal="center" vertical="center"/>
    </xf>
    <xf numFmtId="0" fontId="44" fillId="0" borderId="19" xfId="0" applyFont="1" applyFill="1" applyBorder="1" applyAlignment="1">
      <alignment horizontal="center" vertical="center"/>
    </xf>
    <xf numFmtId="0" fontId="44" fillId="0" borderId="19" xfId="0" applyFont="1" applyFill="1" applyBorder="1" applyAlignment="1">
      <alignment horizontal="right" vertical="center"/>
    </xf>
    <xf numFmtId="0" fontId="44" fillId="0" borderId="22" xfId="0" applyFont="1" applyFill="1" applyBorder="1" applyAlignment="1">
      <alignment horizontal="center" vertical="center"/>
    </xf>
    <xf numFmtId="0" fontId="44" fillId="0" borderId="17" xfId="0" applyFont="1" applyFill="1" applyBorder="1" applyAlignment="1">
      <alignment horizontal="center" vertical="center"/>
    </xf>
    <xf numFmtId="0" fontId="44" fillId="0" borderId="13" xfId="0" applyFont="1" applyFill="1" applyBorder="1" applyAlignment="1">
      <alignment horizontal="right" vertical="center"/>
    </xf>
    <xf numFmtId="0" fontId="44" fillId="0" borderId="18" xfId="0" applyFont="1" applyFill="1" applyBorder="1" applyAlignment="1">
      <alignment horizontal="right" vertical="center"/>
    </xf>
    <xf numFmtId="0" fontId="44" fillId="0" borderId="23" xfId="0" applyFont="1" applyFill="1" applyBorder="1" applyAlignment="1">
      <alignment horizontal="right" vertical="center"/>
    </xf>
    <xf numFmtId="0" fontId="66" fillId="0" borderId="0" xfId="0" applyFont="1" applyFill="1" applyAlignment="1">
      <alignment horizontal="center"/>
    </xf>
    <xf numFmtId="165" fontId="66" fillId="0" borderId="0" xfId="0" applyNumberFormat="1" applyFont="1" applyFill="1" applyBorder="1" applyAlignment="1">
      <alignment horizontal="right" vertical="center"/>
    </xf>
    <xf numFmtId="181" fontId="66" fillId="0" borderId="24" xfId="64" applyNumberFormat="1" applyFont="1" applyFill="1" applyBorder="1" applyAlignment="1">
      <alignment vertical="center"/>
    </xf>
    <xf numFmtId="165" fontId="66" fillId="0" borderId="24" xfId="0" applyNumberFormat="1" applyFont="1" applyFill="1" applyBorder="1" applyAlignment="1">
      <alignment horizontal="right" vertical="center"/>
    </xf>
    <xf numFmtId="165" fontId="66" fillId="0" borderId="0" xfId="64" applyNumberFormat="1" applyFont="1" applyFill="1" applyBorder="1" applyAlignment="1">
      <alignment horizontal="right" vertical="center"/>
    </xf>
    <xf numFmtId="165" fontId="66" fillId="0" borderId="16" xfId="64" applyNumberFormat="1" applyFont="1" applyFill="1" applyBorder="1" applyAlignment="1">
      <alignment horizontal="right" vertical="center"/>
    </xf>
    <xf numFmtId="165" fontId="66" fillId="0" borderId="24" xfId="64" applyNumberFormat="1" applyFont="1" applyFill="1" applyBorder="1" applyAlignment="1">
      <alignment horizontal="right" vertical="center"/>
    </xf>
    <xf numFmtId="37" fontId="66" fillId="0" borderId="24" xfId="64" applyNumberFormat="1" applyFont="1" applyFill="1" applyBorder="1" applyAlignment="1">
      <alignment vertical="center"/>
    </xf>
    <xf numFmtId="37" fontId="72" fillId="0" borderId="0" xfId="64" applyNumberFormat="1" applyFont="1" applyFill="1" applyBorder="1" applyAlignment="1">
      <alignment horizontal="right" vertical="center"/>
    </xf>
    <xf numFmtId="37" fontId="72" fillId="0" borderId="16" xfId="64" applyNumberFormat="1" applyFont="1" applyFill="1" applyBorder="1" applyAlignment="1">
      <alignment horizontal="right" vertical="center"/>
    </xf>
    <xf numFmtId="0" fontId="66" fillId="0" borderId="0" xfId="0" applyFont="1" applyFill="1" applyBorder="1" applyAlignment="1">
      <alignment horizontal="left" vertical="center"/>
    </xf>
    <xf numFmtId="37" fontId="28" fillId="0" borderId="0" xfId="0" applyNumberFormat="1" applyFont="1" applyBorder="1"/>
    <xf numFmtId="0" fontId="66" fillId="0" borderId="15" xfId="0" applyFont="1" applyFill="1" applyBorder="1" applyAlignment="1">
      <alignment horizontal="left" vertical="center"/>
    </xf>
    <xf numFmtId="165" fontId="66" fillId="0" borderId="15" xfId="64" applyNumberFormat="1" applyFont="1" applyFill="1" applyBorder="1" applyAlignment="1">
      <alignment horizontal="right" vertical="center"/>
    </xf>
    <xf numFmtId="181" fontId="66" fillId="0" borderId="15" xfId="64" applyNumberFormat="1" applyFont="1" applyFill="1" applyBorder="1" applyAlignment="1">
      <alignment vertical="center"/>
    </xf>
    <xf numFmtId="9" fontId="71" fillId="0" borderId="15" xfId="58" applyNumberFormat="1" applyFont="1" applyFill="1" applyBorder="1" applyAlignment="1">
      <alignment horizontal="center" vertical="center"/>
    </xf>
    <xf numFmtId="0" fontId="66" fillId="0" borderId="15" xfId="0" applyFont="1" applyBorder="1" applyAlignment="1">
      <alignment horizontal="left" vertical="center"/>
    </xf>
    <xf numFmtId="165" fontId="73" fillId="0" borderId="0" xfId="0" applyNumberFormat="1" applyFont="1" applyFill="1" applyBorder="1" applyAlignment="1">
      <alignment horizontal="right" vertical="center"/>
    </xf>
    <xf numFmtId="0" fontId="69" fillId="18" borderId="15" xfId="0" applyFont="1" applyFill="1" applyBorder="1" applyAlignment="1">
      <alignment horizontal="right" vertical="center"/>
    </xf>
    <xf numFmtId="0" fontId="69" fillId="18" borderId="19" xfId="0" applyFont="1" applyFill="1" applyBorder="1" applyAlignment="1">
      <alignment horizontal="right" vertical="center"/>
    </xf>
    <xf numFmtId="0" fontId="69" fillId="18" borderId="22" xfId="0" applyFont="1" applyFill="1" applyBorder="1" applyAlignment="1">
      <alignment horizontal="right" vertical="center"/>
    </xf>
    <xf numFmtId="0" fontId="69" fillId="18" borderId="22" xfId="0" applyFont="1" applyFill="1" applyBorder="1" applyAlignment="1">
      <alignment horizontal="center" vertical="center"/>
    </xf>
    <xf numFmtId="168" fontId="70" fillId="18" borderId="15" xfId="43" applyNumberFormat="1" applyFont="1" applyFill="1" applyBorder="1" applyAlignment="1">
      <alignment horizontal="center" vertical="center"/>
    </xf>
    <xf numFmtId="0" fontId="75" fillId="18" borderId="14" xfId="0" applyFont="1" applyFill="1" applyBorder="1" applyAlignment="1">
      <alignment vertical="center"/>
    </xf>
    <xf numFmtId="0" fontId="66" fillId="0" borderId="12" xfId="0" applyFont="1" applyBorder="1" applyAlignment="1">
      <alignment horizontal="left" vertical="center"/>
    </xf>
    <xf numFmtId="9" fontId="71" fillId="0" borderId="24" xfId="58" quotePrefix="1" applyNumberFormat="1" applyFont="1" applyFill="1" applyBorder="1" applyAlignment="1">
      <alignment horizontal="center" vertical="center"/>
    </xf>
    <xf numFmtId="182" fontId="72" fillId="0" borderId="0" xfId="64" applyNumberFormat="1" applyFont="1" applyFill="1" applyBorder="1" applyAlignment="1">
      <alignment horizontal="right" vertical="center"/>
    </xf>
    <xf numFmtId="182" fontId="72" fillId="0" borderId="16" xfId="64" applyNumberFormat="1" applyFont="1" applyFill="1" applyBorder="1" applyAlignment="1">
      <alignment horizontal="right" vertical="center"/>
    </xf>
    <xf numFmtId="10" fontId="26" fillId="0" borderId="0" xfId="0" applyNumberFormat="1" applyFont="1"/>
    <xf numFmtId="0" fontId="10" fillId="17" borderId="0" xfId="0" applyFont="1" applyFill="1"/>
    <xf numFmtId="164" fontId="25" fillId="17" borderId="0" xfId="0" applyNumberFormat="1" applyFont="1" applyFill="1"/>
    <xf numFmtId="9" fontId="10" fillId="17" borderId="0" xfId="0" applyNumberFormat="1" applyFont="1" applyFill="1"/>
    <xf numFmtId="171" fontId="10" fillId="17" borderId="0" xfId="0" applyNumberFormat="1" applyFont="1" applyFill="1"/>
    <xf numFmtId="165" fontId="29" fillId="0" borderId="0" xfId="0" applyNumberFormat="1" applyFont="1"/>
    <xf numFmtId="0" fontId="1" fillId="0" borderId="0" xfId="0" applyFont="1" applyAlignment="1">
      <alignment horizontal="left" indent="2"/>
    </xf>
    <xf numFmtId="10" fontId="26" fillId="0" borderId="0" xfId="63" applyNumberFormat="1" applyFont="1" applyFill="1" applyBorder="1" applyAlignment="1">
      <alignment vertical="center"/>
    </xf>
    <xf numFmtId="164" fontId="29" fillId="0" borderId="0" xfId="0" applyNumberFormat="1" applyFont="1" applyFill="1"/>
    <xf numFmtId="164" fontId="5" fillId="0" borderId="0" xfId="0" applyNumberFormat="1" applyFont="1" applyFill="1"/>
    <xf numFmtId="164" fontId="10" fillId="0" borderId="0" xfId="0" applyNumberFormat="1" applyFont="1" applyFill="1"/>
    <xf numFmtId="37" fontId="26" fillId="0" borderId="0" xfId="0" applyNumberFormat="1" applyFont="1" applyFill="1"/>
    <xf numFmtId="164" fontId="29" fillId="0" borderId="0" xfId="0" applyNumberFormat="1" applyFont="1" applyFill="1" applyBorder="1" applyAlignment="1">
      <alignment vertical="center"/>
    </xf>
    <xf numFmtId="37" fontId="29" fillId="0" borderId="0" xfId="0" applyNumberFormat="1" applyFont="1" applyFill="1" applyBorder="1" applyAlignment="1">
      <alignment vertical="center"/>
    </xf>
    <xf numFmtId="39" fontId="1" fillId="0" borderId="0" xfId="0" applyNumberFormat="1" applyFont="1" applyFill="1"/>
    <xf numFmtId="9" fontId="6" fillId="0" borderId="0" xfId="0" applyNumberFormat="1" applyFont="1"/>
    <xf numFmtId="0" fontId="0" fillId="19" borderId="0" xfId="0" applyFill="1"/>
    <xf numFmtId="0" fontId="7" fillId="19" borderId="0" xfId="0" applyFont="1" applyFill="1"/>
    <xf numFmtId="0" fontId="5" fillId="19" borderId="0" xfId="0" applyFont="1" applyFill="1"/>
    <xf numFmtId="0" fontId="10" fillId="19" borderId="0" xfId="0" applyFont="1" applyFill="1"/>
    <xf numFmtId="164" fontId="4" fillId="19" borderId="0" xfId="0" applyNumberFormat="1" applyFont="1" applyFill="1"/>
    <xf numFmtId="0" fontId="7" fillId="0" borderId="0" xfId="0" applyFont="1" applyFill="1"/>
    <xf numFmtId="0" fontId="5" fillId="0" borderId="0" xfId="0" applyFont="1" applyFill="1"/>
    <xf numFmtId="0" fontId="10" fillId="0" borderId="0" xfId="0" applyFont="1" applyFill="1"/>
    <xf numFmtId="165" fontId="4" fillId="0" borderId="0" xfId="0" applyNumberFormat="1" applyFont="1" applyFill="1" applyBorder="1" applyAlignment="1">
      <alignment vertical="center"/>
    </xf>
    <xf numFmtId="0" fontId="7" fillId="0" borderId="0" xfId="0" applyFont="1" applyFill="1" applyAlignment="1">
      <alignment horizontal="left" indent="1"/>
    </xf>
    <xf numFmtId="0" fontId="7" fillId="17" borderId="0" xfId="0" applyFont="1" applyFill="1" applyAlignment="1">
      <alignment horizontal="left" indent="3"/>
    </xf>
    <xf numFmtId="0" fontId="7" fillId="17" borderId="0" xfId="0" applyFont="1" applyFill="1"/>
    <xf numFmtId="165" fontId="0" fillId="17" borderId="0" xfId="63" applyNumberFormat="1" applyFont="1" applyFill="1"/>
    <xf numFmtId="0" fontId="7" fillId="0" borderId="0" xfId="0" applyFont="1" applyFill="1" applyAlignment="1">
      <alignment horizontal="left" indent="2"/>
    </xf>
    <xf numFmtId="165" fontId="7" fillId="0" borderId="0" xfId="63" applyNumberFormat="1" applyFont="1" applyFill="1"/>
    <xf numFmtId="0" fontId="7" fillId="0" borderId="0" xfId="0" applyFont="1" applyFill="1" applyAlignment="1">
      <alignment horizontal="left" indent="3"/>
    </xf>
    <xf numFmtId="165" fontId="0" fillId="0" borderId="0" xfId="63" applyNumberFormat="1" applyFont="1" applyFill="1"/>
    <xf numFmtId="0" fontId="13" fillId="0" borderId="15" xfId="0" applyFont="1" applyBorder="1"/>
    <xf numFmtId="37" fontId="28" fillId="15" borderId="0" xfId="0" applyNumberFormat="1" applyFont="1" applyFill="1"/>
    <xf numFmtId="164" fontId="44" fillId="0" borderId="24" xfId="64" applyNumberFormat="1" applyFont="1" applyFill="1" applyBorder="1" applyAlignment="1">
      <alignment vertical="center"/>
    </xf>
    <xf numFmtId="164" fontId="66" fillId="0" borderId="24" xfId="64" applyNumberFormat="1" applyFont="1" applyFill="1" applyBorder="1" applyAlignment="1">
      <alignment vertical="center"/>
    </xf>
    <xf numFmtId="164" fontId="74" fillId="0" borderId="24" xfId="64" applyNumberFormat="1" applyFont="1" applyFill="1" applyBorder="1" applyAlignment="1">
      <alignment horizontal="right" vertical="center"/>
    </xf>
    <xf numFmtId="164" fontId="44" fillId="0" borderId="25" xfId="64" applyNumberFormat="1" applyFont="1" applyFill="1" applyBorder="1" applyAlignment="1">
      <alignment vertical="center"/>
    </xf>
    <xf numFmtId="9" fontId="71" fillId="0" borderId="25" xfId="58" quotePrefix="1" applyNumberFormat="1" applyFont="1" applyFill="1" applyBorder="1" applyAlignment="1">
      <alignment horizontal="center" vertical="center"/>
    </xf>
    <xf numFmtId="0" fontId="66" fillId="0" borderId="26" xfId="0" applyFont="1" applyBorder="1" applyAlignment="1">
      <alignment horizontal="left" vertical="center"/>
    </xf>
    <xf numFmtId="164" fontId="66" fillId="0" borderId="25" xfId="64" applyNumberFormat="1" applyFont="1" applyFill="1" applyBorder="1" applyAlignment="1">
      <alignment vertical="center"/>
    </xf>
    <xf numFmtId="164" fontId="45" fillId="0" borderId="25" xfId="64" applyNumberFormat="1" applyFont="1" applyFill="1" applyBorder="1" applyAlignment="1">
      <alignment horizontal="right" vertical="center"/>
    </xf>
    <xf numFmtId="164" fontId="74" fillId="0" borderId="25" xfId="64" applyNumberFormat="1" applyFont="1" applyFill="1" applyBorder="1" applyAlignment="1">
      <alignment horizontal="right" vertical="center"/>
    </xf>
    <xf numFmtId="37" fontId="66" fillId="0" borderId="0" xfId="0" applyNumberFormat="1" applyFont="1" applyBorder="1"/>
    <xf numFmtId="9" fontId="71" fillId="0" borderId="25" xfId="58" applyNumberFormat="1" applyFont="1" applyFill="1" applyBorder="1" applyAlignment="1">
      <alignment horizontal="center" vertical="center"/>
    </xf>
    <xf numFmtId="165" fontId="26" fillId="0" borderId="0" xfId="0" applyNumberFormat="1" applyFont="1" applyFill="1" applyBorder="1" applyAlignment="1">
      <alignment vertical="center"/>
    </xf>
    <xf numFmtId="39" fontId="45" fillId="0" borderId="24" xfId="64" applyNumberFormat="1" applyFont="1" applyFill="1" applyBorder="1" applyAlignment="1">
      <alignment horizontal="right" vertical="center"/>
    </xf>
    <xf numFmtId="39" fontId="66" fillId="0" borderId="24" xfId="64" applyNumberFormat="1" applyFont="1" applyFill="1" applyBorder="1" applyAlignment="1">
      <alignment vertical="center"/>
    </xf>
    <xf numFmtId="172" fontId="77" fillId="0" borderId="0" xfId="58" applyNumberFormat="1" applyFont="1" applyFill="1" applyBorder="1" applyAlignment="1">
      <alignment horizontal="center" vertical="center"/>
    </xf>
    <xf numFmtId="172" fontId="45" fillId="0" borderId="0" xfId="58" applyNumberFormat="1" applyFont="1" applyFill="1" applyBorder="1" applyAlignment="1">
      <alignment horizontal="center" vertical="center"/>
    </xf>
    <xf numFmtId="165" fontId="66" fillId="0" borderId="0" xfId="63" applyNumberFormat="1" applyFont="1" applyFill="1" applyBorder="1" applyAlignment="1">
      <alignment horizontal="center" vertical="center"/>
    </xf>
    <xf numFmtId="7" fontId="77" fillId="0" borderId="0" xfId="58" applyNumberFormat="1" applyFont="1" applyFill="1" applyBorder="1" applyAlignment="1">
      <alignment horizontal="center" vertical="center"/>
    </xf>
    <xf numFmtId="7" fontId="45" fillId="0" borderId="0" xfId="58" applyNumberFormat="1" applyFont="1" applyFill="1" applyBorder="1" applyAlignment="1">
      <alignment horizontal="center" vertical="center"/>
    </xf>
    <xf numFmtId="171" fontId="66" fillId="0" borderId="0" xfId="58" applyNumberFormat="1" applyFont="1" applyFill="1" applyBorder="1" applyAlignment="1">
      <alignment horizontal="center" vertical="center"/>
    </xf>
    <xf numFmtId="0" fontId="76" fillId="0" borderId="0" xfId="58" applyNumberFormat="1" applyFont="1" applyFill="1" applyBorder="1" applyAlignment="1">
      <alignment horizontal="center" vertical="center"/>
    </xf>
    <xf numFmtId="171" fontId="73" fillId="0" borderId="0" xfId="58" applyNumberFormat="1" applyFont="1" applyFill="1" applyBorder="1" applyAlignment="1">
      <alignment horizontal="center" vertical="center"/>
    </xf>
    <xf numFmtId="0" fontId="66" fillId="0" borderId="26" xfId="0" applyFont="1" applyBorder="1" applyAlignment="1">
      <alignment horizontal="left" vertical="center" wrapText="1"/>
    </xf>
    <xf numFmtId="9" fontId="71" fillId="0" borderId="25" xfId="58" applyNumberFormat="1" applyFont="1" applyFill="1" applyBorder="1" applyAlignment="1">
      <alignment horizontal="center" vertical="center" wrapText="1"/>
    </xf>
    <xf numFmtId="0" fontId="0" fillId="15" borderId="0" xfId="0" applyFill="1" applyAlignment="1">
      <alignment horizontal="left" indent="1"/>
    </xf>
    <xf numFmtId="0" fontId="5" fillId="0" borderId="11" xfId="0" applyFont="1" applyFill="1" applyBorder="1"/>
    <xf numFmtId="164" fontId="5" fillId="0" borderId="11" xfId="0" applyNumberFormat="1" applyFont="1" applyFill="1" applyBorder="1"/>
    <xf numFmtId="0" fontId="0" fillId="20" borderId="0" xfId="0" applyFill="1"/>
    <xf numFmtId="164" fontId="35" fillId="0" borderId="0" xfId="0" applyNumberFormat="1" applyFont="1" applyFill="1" applyBorder="1"/>
    <xf numFmtId="164" fontId="4" fillId="0" borderId="15" xfId="0" applyNumberFormat="1" applyFont="1" applyFill="1" applyBorder="1"/>
    <xf numFmtId="164" fontId="11" fillId="0" borderId="0" xfId="0" applyNumberFormat="1" applyFont="1" applyFill="1"/>
    <xf numFmtId="39" fontId="26" fillId="0" borderId="0" xfId="0" applyNumberFormat="1" applyFont="1"/>
    <xf numFmtId="7" fontId="26" fillId="0" borderId="0" xfId="0" applyNumberFormat="1" applyFont="1" applyFill="1" applyBorder="1" applyAlignment="1">
      <alignment vertical="center"/>
    </xf>
    <xf numFmtId="0" fontId="26" fillId="0" borderId="0" xfId="0" applyNumberFormat="1" applyFont="1" applyFill="1" applyBorder="1" applyAlignment="1">
      <alignment vertical="center"/>
    </xf>
    <xf numFmtId="164" fontId="0" fillId="0" borderId="15" xfId="0" applyNumberFormat="1" applyFill="1" applyBorder="1"/>
    <xf numFmtId="9" fontId="23" fillId="0" borderId="0" xfId="63" applyFont="1" applyFill="1"/>
    <xf numFmtId="183" fontId="4" fillId="0" borderId="0" xfId="0" applyNumberFormat="1" applyFont="1" applyFill="1" applyBorder="1" applyAlignment="1">
      <alignment vertical="center"/>
    </xf>
    <xf numFmtId="2" fontId="4" fillId="0" borderId="0" xfId="0" applyNumberFormat="1" applyFont="1" applyFill="1" applyBorder="1" applyAlignment="1">
      <alignment vertical="center"/>
    </xf>
    <xf numFmtId="164" fontId="13" fillId="0" borderId="0" xfId="0" applyNumberFormat="1" applyFont="1" applyFill="1"/>
    <xf numFmtId="164" fontId="24" fillId="0" borderId="0" xfId="0" applyNumberFormat="1" applyFont="1" applyFill="1" applyBorder="1"/>
    <xf numFmtId="164" fontId="23" fillId="0" borderId="0" xfId="0" applyNumberFormat="1" applyFont="1" applyFill="1"/>
    <xf numFmtId="9" fontId="1" fillId="0" borderId="0" xfId="63" applyFont="1"/>
    <xf numFmtId="164" fontId="35" fillId="0" borderId="15" xfId="0" applyNumberFormat="1" applyFont="1" applyBorder="1"/>
    <xf numFmtId="164" fontId="1" fillId="15" borderId="0" xfId="63" applyNumberFormat="1" applyFont="1" applyFill="1"/>
    <xf numFmtId="14" fontId="4" fillId="15" borderId="0" xfId="0" applyNumberFormat="1" applyFont="1" applyFill="1" applyBorder="1" applyAlignment="1">
      <alignment vertical="center"/>
    </xf>
    <xf numFmtId="164" fontId="73" fillId="0" borderId="0" xfId="64" applyNumberFormat="1" applyFont="1" applyFill="1" applyBorder="1" applyAlignment="1">
      <alignment horizontal="right" vertical="center"/>
    </xf>
    <xf numFmtId="164" fontId="73" fillId="0" borderId="16" xfId="64" applyNumberFormat="1" applyFont="1" applyFill="1" applyBorder="1" applyAlignment="1">
      <alignment horizontal="right" vertical="center"/>
    </xf>
    <xf numFmtId="164" fontId="45" fillId="0" borderId="24" xfId="64" applyNumberFormat="1" applyFont="1" applyFill="1" applyBorder="1" applyAlignment="1">
      <alignment horizontal="right" vertical="center"/>
    </xf>
    <xf numFmtId="164" fontId="73" fillId="0" borderId="27" xfId="64" applyNumberFormat="1" applyFont="1" applyFill="1" applyBorder="1" applyAlignment="1">
      <alignment horizontal="right" vertical="center"/>
    </xf>
    <xf numFmtId="164" fontId="73" fillId="0" borderId="28" xfId="64" applyNumberFormat="1" applyFont="1" applyFill="1" applyBorder="1" applyAlignment="1">
      <alignment horizontal="right" vertical="center"/>
    </xf>
    <xf numFmtId="164" fontId="66" fillId="0" borderId="27" xfId="64" applyNumberFormat="1" applyFont="1" applyFill="1" applyBorder="1" applyAlignment="1">
      <alignment horizontal="right" vertical="center"/>
    </xf>
    <xf numFmtId="164" fontId="66" fillId="0" borderId="28" xfId="64" applyNumberFormat="1" applyFont="1" applyFill="1" applyBorder="1" applyAlignment="1">
      <alignment horizontal="right" vertical="center"/>
    </xf>
    <xf numFmtId="164" fontId="66" fillId="0" borderId="25" xfId="64" applyNumberFormat="1" applyFont="1" applyFill="1" applyBorder="1" applyAlignment="1">
      <alignment horizontal="right" vertical="center"/>
    </xf>
    <xf numFmtId="164" fontId="45" fillId="0" borderId="27" xfId="64" applyNumberFormat="1" applyFont="1" applyFill="1" applyBorder="1" applyAlignment="1">
      <alignment horizontal="right" vertical="center"/>
    </xf>
    <xf numFmtId="164" fontId="45" fillId="0" borderId="25" xfId="64" applyNumberFormat="1" applyFont="1" applyFill="1" applyBorder="1" applyAlignment="1">
      <alignment vertical="center"/>
    </xf>
    <xf numFmtId="39" fontId="73" fillId="0" borderId="0" xfId="64" applyNumberFormat="1" applyFont="1" applyFill="1" applyBorder="1" applyAlignment="1">
      <alignment horizontal="right" vertical="center"/>
    </xf>
    <xf numFmtId="39" fontId="73" fillId="0" borderId="16" xfId="64" applyNumberFormat="1" applyFont="1" applyFill="1" applyBorder="1" applyAlignment="1">
      <alignment horizontal="right" vertical="center"/>
    </xf>
    <xf numFmtId="41" fontId="73" fillId="0" borderId="0" xfId="64" applyNumberFormat="1" applyFont="1" applyFill="1" applyBorder="1" applyAlignment="1">
      <alignment horizontal="right" vertical="center"/>
    </xf>
    <xf numFmtId="41" fontId="73" fillId="0" borderId="16" xfId="64" applyNumberFormat="1" applyFont="1" applyFill="1" applyBorder="1" applyAlignment="1">
      <alignment horizontal="right" vertical="center"/>
    </xf>
    <xf numFmtId="41" fontId="79" fillId="15" borderId="16" xfId="64" applyNumberFormat="1" applyFont="1" applyFill="1" applyBorder="1" applyAlignment="1">
      <alignment horizontal="right" vertical="center"/>
    </xf>
    <xf numFmtId="0" fontId="75" fillId="18" borderId="15" xfId="0" applyFont="1" applyFill="1" applyBorder="1" applyAlignment="1">
      <alignment horizontal="right" vertical="center"/>
    </xf>
    <xf numFmtId="0" fontId="75" fillId="18" borderId="19" xfId="0" applyFont="1" applyFill="1" applyBorder="1" applyAlignment="1">
      <alignment horizontal="right" vertical="center"/>
    </xf>
    <xf numFmtId="0" fontId="75" fillId="18" borderId="22" xfId="0" applyFont="1" applyFill="1" applyBorder="1" applyAlignment="1">
      <alignment horizontal="right" vertical="center"/>
    </xf>
    <xf numFmtId="0" fontId="75" fillId="18" borderId="22" xfId="0" applyFont="1" applyFill="1" applyBorder="1" applyAlignment="1">
      <alignment horizontal="center" vertical="center"/>
    </xf>
    <xf numFmtId="165" fontId="38" fillId="17" borderId="0" xfId="0" applyNumberFormat="1" applyFont="1" applyFill="1"/>
    <xf numFmtId="164" fontId="5" fillId="0" borderId="15" xfId="0" applyNumberFormat="1" applyFont="1" applyFill="1" applyBorder="1"/>
    <xf numFmtId="171" fontId="32" fillId="0" borderId="0" xfId="0" applyNumberFormat="1" applyFont="1" applyFill="1" applyBorder="1"/>
    <xf numFmtId="164" fontId="13" fillId="0" borderId="15" xfId="0" applyNumberFormat="1" applyFont="1" applyFill="1" applyBorder="1"/>
    <xf numFmtId="0" fontId="19" fillId="0" borderId="0" xfId="56"/>
    <xf numFmtId="0" fontId="19" fillId="0" borderId="0" xfId="56" applyBorder="1"/>
    <xf numFmtId="5" fontId="19" fillId="0" borderId="0" xfId="56" applyNumberFormat="1"/>
    <xf numFmtId="0" fontId="80" fillId="0" borderId="0" xfId="56" applyFont="1" applyAlignment="1">
      <alignment horizontal="centerContinuous"/>
    </xf>
    <xf numFmtId="0" fontId="19" fillId="0" borderId="0" xfId="56" applyAlignment="1">
      <alignment horizontal="centerContinuous"/>
    </xf>
    <xf numFmtId="0" fontId="7" fillId="0" borderId="0" xfId="56" applyFont="1"/>
    <xf numFmtId="0" fontId="80" fillId="0" borderId="0" xfId="56" applyFont="1"/>
    <xf numFmtId="0" fontId="81" fillId="0" borderId="0" xfId="56" applyFont="1"/>
    <xf numFmtId="0" fontId="19" fillId="21" borderId="0" xfId="56" applyFill="1"/>
    <xf numFmtId="5" fontId="19" fillId="21" borderId="0" xfId="56" applyNumberFormat="1" applyFill="1"/>
    <xf numFmtId="0" fontId="19" fillId="0" borderId="15" xfId="56" applyBorder="1"/>
    <xf numFmtId="5" fontId="19" fillId="0" borderId="15" xfId="56" applyNumberFormat="1" applyBorder="1"/>
    <xf numFmtId="0" fontId="19" fillId="0" borderId="0" xfId="56" applyAlignment="1">
      <alignment horizontal="left" indent="1"/>
    </xf>
    <xf numFmtId="0" fontId="19" fillId="21" borderId="0" xfId="56" applyFont="1" applyFill="1"/>
    <xf numFmtId="0" fontId="19" fillId="0" borderId="0" xfId="56" applyFont="1"/>
    <xf numFmtId="37" fontId="19" fillId="21" borderId="0" xfId="56" applyNumberFormat="1" applyFill="1"/>
    <xf numFmtId="37" fontId="19" fillId="0" borderId="0" xfId="56" applyNumberFormat="1"/>
    <xf numFmtId="37" fontId="19" fillId="0" borderId="15" xfId="56" applyNumberFormat="1" applyBorder="1"/>
    <xf numFmtId="0" fontId="75" fillId="18" borderId="0" xfId="0" applyFont="1" applyFill="1" applyBorder="1" applyAlignment="1">
      <alignment vertical="center"/>
    </xf>
    <xf numFmtId="0" fontId="69" fillId="18" borderId="0" xfId="0" applyFont="1" applyFill="1" applyBorder="1" applyAlignment="1">
      <alignment vertical="center"/>
    </xf>
    <xf numFmtId="0" fontId="66" fillId="0" borderId="0" xfId="57" applyFont="1" applyFill="1" applyBorder="1" applyAlignment="1">
      <alignment horizontal="left" vertical="center"/>
    </xf>
    <xf numFmtId="165" fontId="65" fillId="0" borderId="0" xfId="63" applyNumberFormat="1" applyFont="1" applyFill="1" applyBorder="1" applyAlignment="1">
      <alignment horizontal="centerContinuous" vertical="center"/>
    </xf>
    <xf numFmtId="0" fontId="66" fillId="0" borderId="0" xfId="57" applyFont="1" applyFill="1" applyBorder="1" applyAlignment="1">
      <alignment horizontal="left" vertical="center" indent="1"/>
    </xf>
    <xf numFmtId="9" fontId="65" fillId="0" borderId="0" xfId="58" applyNumberFormat="1" applyFont="1" applyFill="1" applyBorder="1" applyAlignment="1">
      <alignment horizontal="center" vertical="center"/>
    </xf>
    <xf numFmtId="172" fontId="82" fillId="0" borderId="0" xfId="58" applyNumberFormat="1" applyFont="1" applyFill="1" applyBorder="1" applyAlignment="1">
      <alignment horizontal="center" vertical="center"/>
    </xf>
    <xf numFmtId="0" fontId="35" fillId="17" borderId="0" xfId="0" applyFont="1" applyFill="1"/>
    <xf numFmtId="0" fontId="5" fillId="17" borderId="0" xfId="0" applyFont="1" applyFill="1" applyAlignment="1">
      <alignment wrapText="1"/>
    </xf>
    <xf numFmtId="0" fontId="26" fillId="17" borderId="0" xfId="0" applyFont="1" applyFill="1"/>
    <xf numFmtId="171" fontId="29" fillId="17" borderId="0" xfId="0" applyNumberFormat="1" applyFont="1" applyFill="1"/>
    <xf numFmtId="171" fontId="5" fillId="17" borderId="0" xfId="0" applyNumberFormat="1" applyFont="1" applyFill="1"/>
    <xf numFmtId="0" fontId="12" fillId="17" borderId="0" xfId="0" applyFont="1" applyFill="1" applyAlignment="1">
      <alignment wrapText="1"/>
    </xf>
    <xf numFmtId="37" fontId="5" fillId="17" borderId="0" xfId="0" applyNumberFormat="1" applyFont="1" applyFill="1"/>
    <xf numFmtId="171" fontId="1" fillId="17" borderId="0" xfId="0" applyNumberFormat="1" applyFont="1" applyFill="1"/>
    <xf numFmtId="171" fontId="12" fillId="17" borderId="0" xfId="0" applyNumberFormat="1" applyFont="1" applyFill="1"/>
    <xf numFmtId="171" fontId="35" fillId="17" borderId="0" xfId="0" applyNumberFormat="1" applyFont="1" applyFill="1"/>
    <xf numFmtId="164" fontId="11" fillId="17" borderId="0" xfId="0" applyNumberFormat="1" applyFont="1" applyFill="1"/>
    <xf numFmtId="165" fontId="66" fillId="0" borderId="16" xfId="0" applyNumberFormat="1" applyFont="1" applyFill="1" applyBorder="1" applyAlignment="1">
      <alignment horizontal="right" vertical="center"/>
    </xf>
    <xf numFmtId="37" fontId="45" fillId="0" borderId="0" xfId="64" applyNumberFormat="1" applyFont="1" applyFill="1" applyBorder="1" applyAlignment="1">
      <alignment horizontal="right" vertical="center"/>
    </xf>
    <xf numFmtId="9" fontId="45" fillId="0" borderId="0" xfId="64" applyNumberFormat="1" applyFont="1" applyFill="1" applyBorder="1" applyAlignment="1">
      <alignment horizontal="right" vertical="center"/>
    </xf>
    <xf numFmtId="164" fontId="45" fillId="0" borderId="0" xfId="64" applyNumberFormat="1" applyFont="1" applyFill="1" applyBorder="1" applyAlignment="1">
      <alignment horizontal="right" vertical="center"/>
    </xf>
    <xf numFmtId="164" fontId="45" fillId="0" borderId="28" xfId="64" applyNumberFormat="1" applyFont="1" applyFill="1" applyBorder="1" applyAlignment="1">
      <alignment horizontal="right" vertical="center"/>
    </xf>
    <xf numFmtId="164" fontId="45" fillId="0" borderId="16" xfId="64" applyNumberFormat="1" applyFont="1" applyFill="1" applyBorder="1" applyAlignment="1">
      <alignment horizontal="right" vertical="center"/>
    </xf>
    <xf numFmtId="39" fontId="45" fillId="0" borderId="16" xfId="64" applyNumberFormat="1" applyFont="1" applyFill="1" applyBorder="1" applyAlignment="1">
      <alignment horizontal="right" vertical="center"/>
    </xf>
    <xf numFmtId="0" fontId="78" fillId="0" borderId="26" xfId="0" applyFont="1" applyBorder="1" applyAlignment="1">
      <alignment horizontal="left" vertical="center" wrapText="1"/>
    </xf>
    <xf numFmtId="0" fontId="78" fillId="0" borderId="29" xfId="0" applyFont="1" applyBorder="1" applyAlignment="1">
      <alignment horizontal="left" vertical="center" wrapText="1"/>
    </xf>
    <xf numFmtId="165" fontId="1" fillId="17" borderId="0" xfId="0" applyNumberFormat="1" applyFont="1" applyFill="1" applyBorder="1" applyAlignment="1">
      <alignment vertical="center"/>
    </xf>
    <xf numFmtId="0" fontId="44" fillId="0" borderId="22" xfId="0" applyFont="1" applyFill="1" applyBorder="1" applyAlignment="1">
      <alignment horizontal="right" vertical="center"/>
    </xf>
    <xf numFmtId="172" fontId="66" fillId="0" borderId="0" xfId="58" applyNumberFormat="1" applyFont="1" applyFill="1" applyBorder="1" applyAlignment="1">
      <alignment horizontal="center" vertical="center"/>
    </xf>
    <xf numFmtId="37" fontId="83" fillId="0" borderId="0" xfId="0" applyNumberFormat="1" applyFont="1" applyAlignment="1">
      <alignment horizontal="center"/>
    </xf>
    <xf numFmtId="171" fontId="29" fillId="15" borderId="0" xfId="0" applyNumberFormat="1" applyFont="1" applyFill="1" applyAlignment="1">
      <alignment horizontal="right"/>
    </xf>
    <xf numFmtId="0" fontId="26" fillId="15" borderId="0" xfId="0" applyFont="1" applyFill="1" applyAlignment="1">
      <alignment horizontal="right"/>
    </xf>
    <xf numFmtId="169" fontId="26" fillId="15" borderId="0" xfId="0" applyNumberFormat="1" applyFont="1" applyFill="1" applyAlignment="1">
      <alignment horizontal="right"/>
    </xf>
    <xf numFmtId="9" fontId="29" fillId="17" borderId="0" xfId="0" applyNumberFormat="1" applyFont="1" applyFill="1" applyAlignment="1">
      <alignment vertical="center"/>
    </xf>
    <xf numFmtId="164" fontId="10" fillId="0" borderId="0" xfId="0" applyNumberFormat="1" applyFont="1" applyFill="1" applyAlignment="1">
      <alignment vertical="center"/>
    </xf>
    <xf numFmtId="9" fontId="10" fillId="17" borderId="0" xfId="0" applyNumberFormat="1" applyFont="1" applyFill="1" applyAlignment="1">
      <alignment vertical="center"/>
    </xf>
    <xf numFmtId="165" fontId="26" fillId="0" borderId="0" xfId="63" applyNumberFormat="1" applyFont="1"/>
    <xf numFmtId="165" fontId="7" fillId="0" borderId="0" xfId="0" applyNumberFormat="1" applyFont="1" applyFill="1" applyBorder="1" applyAlignment="1">
      <alignment vertical="center"/>
    </xf>
    <xf numFmtId="165" fontId="26" fillId="0" borderId="0" xfId="63" applyNumberFormat="1" applyFont="1" applyFill="1"/>
    <xf numFmtId="0" fontId="26" fillId="0" borderId="0" xfId="0" applyFont="1" applyFill="1" applyAlignment="1">
      <alignment horizontal="right"/>
    </xf>
    <xf numFmtId="182" fontId="72" fillId="0" borderId="30" xfId="64" applyNumberFormat="1" applyFont="1" applyFill="1" applyBorder="1" applyAlignment="1">
      <alignment horizontal="right" vertical="center"/>
    </xf>
    <xf numFmtId="182" fontId="72" fillId="0" borderId="31" xfId="64" applyNumberFormat="1" applyFont="1" applyFill="1" applyBorder="1" applyAlignment="1">
      <alignment horizontal="right" vertical="center"/>
    </xf>
    <xf numFmtId="182" fontId="45" fillId="0" borderId="30" xfId="64" applyNumberFormat="1" applyFont="1" applyFill="1" applyBorder="1" applyAlignment="1">
      <alignment horizontal="right" vertical="center"/>
    </xf>
    <xf numFmtId="181" fontId="66" fillId="0" borderId="32" xfId="64" applyNumberFormat="1" applyFont="1" applyFill="1" applyBorder="1" applyAlignment="1">
      <alignment vertical="center"/>
    </xf>
    <xf numFmtId="165" fontId="66" fillId="0" borderId="32" xfId="64" applyNumberFormat="1" applyFont="1" applyFill="1" applyBorder="1" applyAlignment="1">
      <alignment horizontal="right" vertical="center"/>
    </xf>
    <xf numFmtId="9" fontId="71" fillId="0" borderId="32" xfId="58" applyNumberFormat="1" applyFont="1" applyFill="1" applyBorder="1" applyAlignment="1">
      <alignment horizontal="center" vertical="center"/>
    </xf>
    <xf numFmtId="37" fontId="66" fillId="0" borderId="33" xfId="0" applyNumberFormat="1" applyFont="1" applyBorder="1" applyAlignment="1">
      <alignment horizontal="left" vertical="center" wrapText="1"/>
    </xf>
    <xf numFmtId="171" fontId="28" fillId="0" borderId="0" xfId="0" applyNumberFormat="1" applyFont="1" applyBorder="1"/>
    <xf numFmtId="9" fontId="4" fillId="17" borderId="0" xfId="63" applyFont="1" applyFill="1"/>
    <xf numFmtId="171" fontId="77" fillId="0" borderId="0" xfId="58" applyNumberFormat="1" applyFont="1" applyFill="1" applyBorder="1" applyAlignment="1">
      <alignment horizontal="center" vertical="center"/>
    </xf>
    <xf numFmtId="37" fontId="84" fillId="17" borderId="0" xfId="0" applyNumberFormat="1" applyFont="1" applyFill="1"/>
    <xf numFmtId="37" fontId="25" fillId="17" borderId="0" xfId="0" applyNumberFormat="1" applyFont="1" applyFill="1"/>
    <xf numFmtId="9" fontId="25" fillId="17" borderId="0" xfId="0" applyNumberFormat="1" applyFont="1" applyFill="1"/>
    <xf numFmtId="169" fontId="26" fillId="0" borderId="0" xfId="70" applyNumberFormat="1" applyFont="1"/>
    <xf numFmtId="0" fontId="1" fillId="0" borderId="0" xfId="0" applyFont="1"/>
    <xf numFmtId="164" fontId="89" fillId="0" borderId="0" xfId="0" applyNumberFormat="1" applyFont="1"/>
    <xf numFmtId="0" fontId="0" fillId="0" borderId="0" xfId="0" applyNumberFormat="1" applyAlignment="1">
      <alignment horizontal="right"/>
    </xf>
    <xf numFmtId="0" fontId="1" fillId="0" borderId="0" xfId="0" applyFont="1" applyAlignment="1">
      <alignment horizontal="right"/>
    </xf>
    <xf numFmtId="171" fontId="81" fillId="0" borderId="0" xfId="0" applyNumberFormat="1" applyFont="1"/>
    <xf numFmtId="164" fontId="26" fillId="0" borderId="0" xfId="0" applyNumberFormat="1" applyFont="1" applyFill="1" applyBorder="1" applyAlignment="1">
      <alignment vertical="center"/>
    </xf>
    <xf numFmtId="172" fontId="90" fillId="0" borderId="0" xfId="0" applyNumberFormat="1" applyFont="1"/>
    <xf numFmtId="171" fontId="2" fillId="16" borderId="0" xfId="0" applyNumberFormat="1" applyFont="1" applyFill="1" applyBorder="1" applyAlignment="1">
      <alignment horizontal="right" vertical="center"/>
    </xf>
    <xf numFmtId="0" fontId="1" fillId="0" borderId="0" xfId="0" applyFont="1" applyAlignment="1">
      <alignment horizontal="left" indent="1"/>
    </xf>
    <xf numFmtId="0" fontId="1" fillId="19" borderId="0" xfId="0" applyFont="1" applyFill="1"/>
    <xf numFmtId="0" fontId="1" fillId="0" borderId="0" xfId="0" applyFont="1" applyFill="1"/>
    <xf numFmtId="0" fontId="5" fillId="0" borderId="0" xfId="0" applyFont="1" applyBorder="1" applyAlignment="1">
      <alignment horizontal="left" indent="1"/>
    </xf>
    <xf numFmtId="171" fontId="5" fillId="0" borderId="0" xfId="0" applyNumberFormat="1" applyFont="1" applyBorder="1"/>
    <xf numFmtId="164" fontId="1" fillId="0" borderId="0" xfId="0" applyNumberFormat="1" applyFont="1" applyBorder="1"/>
    <xf numFmtId="171" fontId="5" fillId="0" borderId="0" xfId="0" applyNumberFormat="1" applyFont="1" applyFill="1" applyBorder="1"/>
    <xf numFmtId="0" fontId="83" fillId="0" borderId="0" xfId="0" applyNumberFormat="1" applyFont="1"/>
    <xf numFmtId="171" fontId="81" fillId="0" borderId="0" xfId="0" applyNumberFormat="1" applyFont="1" applyBorder="1"/>
    <xf numFmtId="0" fontId="1" fillId="0" borderId="15" xfId="0" applyFont="1" applyBorder="1"/>
    <xf numFmtId="164" fontId="89" fillId="0" borderId="15" xfId="0" applyNumberFormat="1" applyFont="1" applyBorder="1"/>
    <xf numFmtId="164" fontId="1" fillId="0" borderId="0" xfId="0" applyNumberFormat="1" applyFont="1" applyAlignment="1">
      <alignment horizontal="center"/>
    </xf>
    <xf numFmtId="0" fontId="0" fillId="0" borderId="0" xfId="0" applyFont="1" applyAlignment="1">
      <alignment horizontal="left" indent="1"/>
    </xf>
    <xf numFmtId="0" fontId="1" fillId="17" borderId="0" xfId="0" applyFont="1" applyFill="1"/>
    <xf numFmtId="164" fontId="91" fillId="0" borderId="15" xfId="0" applyNumberFormat="1" applyFont="1" applyBorder="1"/>
    <xf numFmtId="164" fontId="92" fillId="0" borderId="0" xfId="0" applyNumberFormat="1" applyFont="1"/>
    <xf numFmtId="164" fontId="91" fillId="0" borderId="11" xfId="0" applyNumberFormat="1" applyFont="1" applyFill="1" applyBorder="1"/>
    <xf numFmtId="165" fontId="1" fillId="0" borderId="0" xfId="63" applyNumberFormat="1" applyFont="1" applyFill="1"/>
    <xf numFmtId="165" fontId="93" fillId="0" borderId="24" xfId="64" applyNumberFormat="1" applyFont="1" applyFill="1" applyBorder="1" applyAlignment="1">
      <alignment horizontal="right" vertical="center"/>
    </xf>
    <xf numFmtId="39" fontId="89" fillId="0" borderId="0" xfId="0" applyNumberFormat="1" applyFont="1" applyFill="1"/>
    <xf numFmtId="164" fontId="92" fillId="0" borderId="0" xfId="0" applyNumberFormat="1" applyFont="1" applyFill="1" applyAlignment="1">
      <alignment vertical="center"/>
    </xf>
    <xf numFmtId="164" fontId="89" fillId="0" borderId="0" xfId="0" applyNumberFormat="1" applyFont="1" applyFill="1"/>
    <xf numFmtId="0" fontId="0" fillId="22" borderId="0" xfId="0" applyFill="1"/>
    <xf numFmtId="164" fontId="0" fillId="22" borderId="0" xfId="0" applyNumberFormat="1" applyFill="1"/>
    <xf numFmtId="164" fontId="1" fillId="22" borderId="0" xfId="0" applyNumberFormat="1" applyFont="1" applyFill="1"/>
    <xf numFmtId="0" fontId="1" fillId="22" borderId="0" xfId="0" applyFont="1" applyFill="1"/>
    <xf numFmtId="0" fontId="10" fillId="22" borderId="0" xfId="0" applyFont="1" applyFill="1" applyBorder="1" applyAlignment="1">
      <alignment vertical="center"/>
    </xf>
    <xf numFmtId="164" fontId="26" fillId="22" borderId="0" xfId="0" applyNumberFormat="1" applyFont="1" applyFill="1"/>
    <xf numFmtId="0" fontId="1" fillId="22" borderId="0" xfId="0" applyFont="1" applyFill="1" applyBorder="1" applyAlignment="1">
      <alignment vertical="center"/>
    </xf>
    <xf numFmtId="184" fontId="89" fillId="22" borderId="0" xfId="0" applyNumberFormat="1" applyFont="1" applyFill="1"/>
    <xf numFmtId="164" fontId="90" fillId="0" borderId="0" xfId="0" applyNumberFormat="1" applyFont="1"/>
    <xf numFmtId="0" fontId="0" fillId="0" borderId="0" xfId="0" applyFill="1" applyBorder="1"/>
    <xf numFmtId="0" fontId="1" fillId="0" borderId="0" xfId="0" applyNumberFormat="1" applyFont="1" applyFill="1" applyBorder="1" applyAlignment="1">
      <alignment horizontal="left" vertical="center"/>
    </xf>
    <xf numFmtId="37" fontId="89" fillId="17" borderId="0" xfId="0" applyNumberFormat="1" applyFont="1" applyFill="1"/>
    <xf numFmtId="184" fontId="1" fillId="22" borderId="0" xfId="0" applyNumberFormat="1" applyFont="1" applyFill="1"/>
    <xf numFmtId="165" fontId="10" fillId="23" borderId="0" xfId="0" applyNumberFormat="1" applyFont="1" applyFill="1" applyBorder="1" applyAlignment="1">
      <alignment vertical="center"/>
    </xf>
    <xf numFmtId="164" fontId="92" fillId="17" borderId="0" xfId="0" applyNumberFormat="1" applyFont="1" applyFill="1"/>
    <xf numFmtId="39" fontId="92" fillId="0" borderId="0" xfId="0" applyNumberFormat="1" applyFont="1" applyFill="1"/>
    <xf numFmtId="0" fontId="1" fillId="0" borderId="0" xfId="0" applyFont="1" applyFill="1" applyAlignment="1">
      <alignment horizontal="left" indent="1"/>
    </xf>
    <xf numFmtId="37" fontId="89" fillId="0" borderId="0" xfId="0" applyNumberFormat="1" applyFont="1" applyFill="1" applyBorder="1" applyAlignment="1">
      <alignment vertical="center"/>
    </xf>
    <xf numFmtId="37" fontId="1" fillId="0" borderId="0" xfId="0" applyNumberFormat="1" applyFont="1" applyFill="1" applyBorder="1" applyAlignment="1">
      <alignment vertical="center"/>
    </xf>
    <xf numFmtId="0" fontId="1" fillId="0" borderId="0" xfId="0" applyFont="1" applyFill="1" applyAlignment="1">
      <alignment horizontal="left" indent="2"/>
    </xf>
    <xf numFmtId="164" fontId="9" fillId="0" borderId="0" xfId="0" applyNumberFormat="1" applyFont="1" applyFill="1"/>
    <xf numFmtId="164" fontId="89" fillId="0" borderId="0" xfId="0" applyNumberFormat="1" applyFont="1" applyFill="1" applyBorder="1" applyAlignment="1">
      <alignment vertical="center"/>
    </xf>
    <xf numFmtId="37" fontId="92" fillId="0" borderId="0" xfId="0" applyNumberFormat="1" applyFont="1"/>
    <xf numFmtId="164" fontId="1" fillId="0" borderId="0" xfId="0" applyNumberFormat="1" applyFont="1" applyFill="1" applyAlignment="1">
      <alignment vertical="center"/>
    </xf>
    <xf numFmtId="9" fontId="1" fillId="0" borderId="0" xfId="0" applyNumberFormat="1" applyFont="1"/>
    <xf numFmtId="164" fontId="1" fillId="0" borderId="0" xfId="0" applyNumberFormat="1" applyFont="1" applyAlignment="1">
      <alignment vertical="center"/>
    </xf>
    <xf numFmtId="9" fontId="26" fillId="17" borderId="0" xfId="0" applyNumberFormat="1" applyFont="1" applyFill="1" applyAlignment="1">
      <alignment vertical="center"/>
    </xf>
    <xf numFmtId="9" fontId="1" fillId="17" borderId="0" xfId="0" applyNumberFormat="1" applyFont="1" applyFill="1" applyAlignment="1">
      <alignment vertical="center"/>
    </xf>
    <xf numFmtId="37" fontId="89" fillId="0" borderId="0" xfId="0" applyNumberFormat="1" applyFont="1"/>
    <xf numFmtId="9" fontId="89" fillId="0" borderId="0" xfId="63" applyFont="1"/>
    <xf numFmtId="9" fontId="89" fillId="17" borderId="0" xfId="63" applyFont="1" applyFill="1"/>
    <xf numFmtId="0" fontId="1" fillId="0" borderId="0" xfId="0" applyFont="1" applyFill="1" applyBorder="1" applyAlignment="1">
      <alignment horizontal="left" vertical="center"/>
    </xf>
    <xf numFmtId="9" fontId="89" fillId="0" borderId="0" xfId="0" applyNumberFormat="1" applyFont="1"/>
    <xf numFmtId="37" fontId="26" fillId="0" borderId="0" xfId="0" applyNumberFormat="1" applyFont="1" applyFill="1" applyBorder="1" applyAlignment="1">
      <alignment vertical="center"/>
    </xf>
    <xf numFmtId="39" fontId="66" fillId="0" borderId="0" xfId="0" applyNumberFormat="1" applyFont="1" applyFill="1" applyBorder="1" applyAlignment="1">
      <alignment horizontal="left" vertical="center"/>
    </xf>
    <xf numFmtId="165" fontId="83" fillId="0" borderId="0" xfId="63" applyNumberFormat="1" applyFont="1"/>
    <xf numFmtId="37" fontId="45" fillId="0" borderId="16" xfId="64" applyNumberFormat="1" applyFont="1" applyFill="1" applyBorder="1" applyAlignment="1">
      <alignment horizontal="right" vertical="center"/>
    </xf>
    <xf numFmtId="0" fontId="69" fillId="18" borderId="14" xfId="0" applyFont="1" applyFill="1" applyBorder="1" applyAlignment="1">
      <alignment vertical="center"/>
    </xf>
    <xf numFmtId="0" fontId="66" fillId="0" borderId="12" xfId="0" applyFont="1" applyFill="1" applyBorder="1" applyAlignment="1">
      <alignment vertical="center"/>
    </xf>
    <xf numFmtId="0" fontId="66" fillId="0" borderId="12" xfId="0" applyFont="1" applyFill="1" applyBorder="1" applyAlignment="1">
      <alignment horizontal="left" vertical="center" indent="1"/>
    </xf>
    <xf numFmtId="0" fontId="66" fillId="0" borderId="26" xfId="0" applyFont="1" applyFill="1" applyBorder="1" applyAlignment="1">
      <alignment vertical="center"/>
    </xf>
    <xf numFmtId="0" fontId="66" fillId="0" borderId="26" xfId="0" applyFont="1" applyFill="1" applyBorder="1" applyAlignment="1">
      <alignment horizontal="left" vertical="center"/>
    </xf>
    <xf numFmtId="0" fontId="66" fillId="0" borderId="12" xfId="0" applyFont="1" applyFill="1" applyBorder="1" applyAlignment="1">
      <alignment horizontal="left" vertical="center"/>
    </xf>
    <xf numFmtId="0" fontId="66" fillId="0" borderId="33" xfId="0" applyFont="1" applyFill="1" applyBorder="1" applyAlignment="1">
      <alignment horizontal="left" vertical="center"/>
    </xf>
    <xf numFmtId="164" fontId="14" fillId="0" borderId="0" xfId="0" applyNumberFormat="1" applyFont="1" applyFill="1"/>
    <xf numFmtId="37" fontId="28" fillId="0" borderId="34" xfId="0" applyNumberFormat="1" applyFont="1" applyBorder="1"/>
    <xf numFmtId="37" fontId="73" fillId="0" borderId="0" xfId="64" applyNumberFormat="1" applyFont="1" applyFill="1" applyBorder="1" applyAlignment="1">
      <alignment horizontal="right" vertical="center"/>
    </xf>
    <xf numFmtId="37" fontId="73" fillId="0" borderId="16" xfId="64" applyNumberFormat="1" applyFont="1" applyFill="1" applyBorder="1" applyAlignment="1">
      <alignment horizontal="right" vertical="center"/>
    </xf>
    <xf numFmtId="0" fontId="19" fillId="0" borderId="0" xfId="53"/>
    <xf numFmtId="171" fontId="19" fillId="0" borderId="0" xfId="0" applyNumberFormat="1" applyFont="1"/>
    <xf numFmtId="37" fontId="19" fillId="0" borderId="0" xfId="0" applyNumberFormat="1" applyFont="1"/>
    <xf numFmtId="37" fontId="19" fillId="0" borderId="0" xfId="0" applyNumberFormat="1" applyFont="1" applyBorder="1"/>
    <xf numFmtId="37" fontId="19" fillId="0" borderId="15" xfId="0" applyNumberFormat="1" applyFont="1" applyBorder="1"/>
    <xf numFmtId="37" fontId="28" fillId="0" borderId="15" xfId="0" applyNumberFormat="1" applyFont="1" applyBorder="1"/>
    <xf numFmtId="171" fontId="19" fillId="0" borderId="0" xfId="0" applyNumberFormat="1" applyFont="1" applyAlignment="1">
      <alignment horizontal="center"/>
    </xf>
    <xf numFmtId="37" fontId="28" fillId="0" borderId="0" xfId="0" applyNumberFormat="1" applyFont="1" applyAlignment="1">
      <alignment horizontal="center"/>
    </xf>
    <xf numFmtId="164" fontId="92" fillId="0" borderId="0" xfId="0" applyNumberFormat="1" applyFont="1" applyFill="1"/>
    <xf numFmtId="165" fontId="92" fillId="0" borderId="0" xfId="63" applyNumberFormat="1" applyFont="1" applyFill="1"/>
    <xf numFmtId="9" fontId="7" fillId="0" borderId="0" xfId="0" applyNumberFormat="1" applyFont="1"/>
    <xf numFmtId="168" fontId="67" fillId="0" borderId="22" xfId="43" quotePrefix="1" applyNumberFormat="1" applyFont="1" applyFill="1" applyBorder="1" applyAlignment="1">
      <alignment horizontal="center" vertical="center"/>
    </xf>
    <xf numFmtId="168" fontId="67" fillId="0" borderId="23" xfId="43" applyNumberFormat="1" applyFont="1" applyFill="1" applyBorder="1" applyAlignment="1">
      <alignment horizontal="center" vertical="center"/>
    </xf>
    <xf numFmtId="168" fontId="68" fillId="0" borderId="19" xfId="43" applyNumberFormat="1" applyFont="1" applyFill="1" applyBorder="1" applyAlignment="1">
      <alignment horizontal="center" vertical="center"/>
    </xf>
    <xf numFmtId="168" fontId="68" fillId="0" borderId="18" xfId="43" applyNumberFormat="1" applyFont="1" applyFill="1" applyBorder="1" applyAlignment="1">
      <alignment horizontal="center" vertical="center"/>
    </xf>
    <xf numFmtId="9" fontId="71" fillId="0" borderId="24" xfId="58" applyNumberFormat="1" applyFont="1" applyFill="1" applyBorder="1" applyAlignment="1">
      <alignment horizontal="center" vertical="center"/>
    </xf>
    <xf numFmtId="0" fontId="0" fillId="0" borderId="24" xfId="0" applyBorder="1" applyAlignment="1">
      <alignment horizontal="center" vertical="center"/>
    </xf>
    <xf numFmtId="0" fontId="0" fillId="0" borderId="34" xfId="0" applyBorder="1" applyAlignment="1">
      <alignment horizontal="center" vertical="center"/>
    </xf>
    <xf numFmtId="0" fontId="66" fillId="0" borderId="12" xfId="0" applyFont="1" applyBorder="1" applyAlignment="1">
      <alignment horizontal="left" vertical="center" wrapText="1"/>
    </xf>
    <xf numFmtId="0" fontId="0" fillId="0" borderId="12" xfId="0" applyBorder="1" applyAlignment="1">
      <alignment horizontal="left" vertical="center" wrapText="1"/>
    </xf>
    <xf numFmtId="0" fontId="0" fillId="0" borderId="29" xfId="0" applyBorder="1" applyAlignment="1">
      <alignment horizontal="left" vertical="center" wrapText="1"/>
    </xf>
    <xf numFmtId="9" fontId="71" fillId="0" borderId="25" xfId="58" applyNumberFormat="1" applyFont="1" applyFill="1" applyBorder="1" applyAlignment="1">
      <alignment horizontal="center" vertical="center"/>
    </xf>
    <xf numFmtId="172" fontId="82" fillId="0" borderId="0" xfId="58" applyNumberFormat="1" applyFont="1" applyFill="1" applyBorder="1" applyAlignment="1">
      <alignment horizontal="center" vertical="center"/>
    </xf>
    <xf numFmtId="9" fontId="71" fillId="0" borderId="25" xfId="58" quotePrefix="1" applyNumberFormat="1" applyFont="1" applyFill="1" applyBorder="1" applyAlignment="1">
      <alignment horizontal="center" vertical="center"/>
    </xf>
    <xf numFmtId="0" fontId="66" fillId="0" borderId="26" xfId="0" applyFont="1" applyBorder="1" applyAlignment="1">
      <alignment horizontal="left" vertical="center" wrapText="1"/>
    </xf>
    <xf numFmtId="37" fontId="66" fillId="0" borderId="12" xfId="0" applyNumberFormat="1" applyFont="1" applyBorder="1" applyAlignment="1">
      <alignment horizontal="left" vertical="center" wrapText="1"/>
    </xf>
    <xf numFmtId="9" fontId="71" fillId="0" borderId="16" xfId="58" applyNumberFormat="1" applyFont="1" applyFill="1" applyBorder="1" applyAlignment="1">
      <alignment horizontal="center" vertical="center"/>
    </xf>
    <xf numFmtId="0" fontId="0" fillId="0" borderId="35" xfId="0" applyBorder="1" applyAlignment="1"/>
    <xf numFmtId="0" fontId="19" fillId="24" borderId="0" xfId="77" applyFont="1" applyFill="1" applyAlignment="1">
      <alignment vertical="top"/>
    </xf>
    <xf numFmtId="0" fontId="19" fillId="24" borderId="0" xfId="53" applyFill="1" applyAlignment="1">
      <alignment vertical="top"/>
    </xf>
    <xf numFmtId="0" fontId="19" fillId="24" borderId="0" xfId="53" applyFill="1"/>
    <xf numFmtId="0" fontId="37" fillId="24" borderId="0" xfId="77" applyFont="1" applyFill="1" applyAlignment="1">
      <alignment horizontal="left" vertical="top"/>
    </xf>
    <xf numFmtId="0" fontId="19" fillId="24" borderId="0" xfId="53" applyFont="1" applyFill="1" applyAlignment="1">
      <alignment vertical="top"/>
    </xf>
    <xf numFmtId="0" fontId="81" fillId="24" borderId="0" xfId="77" applyFont="1" applyFill="1" applyAlignment="1">
      <alignment vertical="top"/>
    </xf>
    <xf numFmtId="0" fontId="0" fillId="24" borderId="0" xfId="0" applyFill="1" applyAlignment="1">
      <alignment vertical="top"/>
    </xf>
    <xf numFmtId="0" fontId="96" fillId="24" borderId="0" xfId="0" applyFont="1" applyFill="1" applyAlignment="1">
      <alignment vertical="top"/>
    </xf>
    <xf numFmtId="0" fontId="97" fillId="24" borderId="0" xfId="0" applyFont="1" applyFill="1" applyAlignment="1">
      <alignment vertical="top"/>
    </xf>
    <xf numFmtId="0" fontId="97" fillId="24" borderId="0" xfId="0" applyFont="1" applyFill="1" applyAlignment="1">
      <alignment vertical="top"/>
    </xf>
    <xf numFmtId="0" fontId="96" fillId="24" borderId="0" xfId="0" applyFont="1" applyFill="1" applyAlignment="1">
      <alignment vertical="top"/>
    </xf>
    <xf numFmtId="0" fontId="0" fillId="24" borderId="0" xfId="0" applyFill="1" applyAlignment="1">
      <alignment vertical="top"/>
    </xf>
    <xf numFmtId="0" fontId="0" fillId="24" borderId="40" xfId="0" applyFill="1" applyBorder="1" applyAlignment="1">
      <alignment vertical="top"/>
    </xf>
    <xf numFmtId="0" fontId="96" fillId="24" borderId="36" xfId="0" applyFont="1" applyFill="1" applyBorder="1" applyAlignment="1">
      <alignment vertical="top"/>
    </xf>
    <xf numFmtId="0" fontId="96" fillId="24" borderId="37" xfId="0" applyFont="1" applyFill="1" applyBorder="1" applyAlignment="1">
      <alignment vertical="top"/>
    </xf>
    <xf numFmtId="0" fontId="96" fillId="24" borderId="38" xfId="0" applyFont="1" applyFill="1" applyBorder="1" applyAlignment="1">
      <alignment vertical="top"/>
    </xf>
    <xf numFmtId="0" fontId="96" fillId="24" borderId="39" xfId="0" applyFont="1" applyFill="1" applyBorder="1" applyAlignment="1">
      <alignment vertical="top"/>
    </xf>
    <xf numFmtId="9" fontId="96" fillId="24" borderId="36" xfId="0" applyNumberFormat="1" applyFont="1" applyFill="1" applyBorder="1" applyAlignment="1">
      <alignment vertical="top"/>
    </xf>
    <xf numFmtId="3" fontId="96" fillId="24" borderId="36" xfId="0" applyNumberFormat="1" applyFont="1" applyFill="1" applyBorder="1" applyAlignment="1">
      <alignment vertical="top"/>
    </xf>
    <xf numFmtId="0" fontId="0" fillId="24" borderId="41" xfId="0" applyFill="1" applyBorder="1" applyAlignment="1">
      <alignment vertical="top"/>
    </xf>
    <xf numFmtId="2" fontId="19" fillId="0" borderId="0" xfId="53" applyNumberFormat="1" applyAlignment="1">
      <alignment horizontal="left"/>
    </xf>
    <xf numFmtId="0" fontId="19" fillId="0" borderId="0" xfId="53" applyNumberFormat="1" applyAlignment="1">
      <alignment horizontal="left"/>
    </xf>
    <xf numFmtId="1" fontId="19" fillId="0" borderId="0" xfId="53" applyNumberFormat="1" applyAlignment="1">
      <alignment horizontal="left"/>
    </xf>
    <xf numFmtId="0" fontId="19" fillId="0" borderId="0" xfId="53" applyFont="1"/>
    <xf numFmtId="190" fontId="19" fillId="0" borderId="0" xfId="53" applyNumberFormat="1" applyAlignment="1">
      <alignment horizontal="left"/>
    </xf>
    <xf numFmtId="49" fontId="19" fillId="0" borderId="0" xfId="53" applyNumberFormat="1"/>
    <xf numFmtId="0" fontId="98" fillId="0" borderId="0" xfId="53" applyFont="1" applyAlignment="1">
      <alignment wrapText="1"/>
    </xf>
    <xf numFmtId="0" fontId="98" fillId="0" borderId="0" xfId="53" applyFont="1" applyAlignment="1">
      <alignment horizontal="left" wrapText="1" indent="3"/>
    </xf>
    <xf numFmtId="0" fontId="98" fillId="0" borderId="0" xfId="53" applyFont="1" applyAlignment="1">
      <alignment horizontal="left" wrapText="1" indent="1"/>
    </xf>
    <xf numFmtId="0" fontId="100" fillId="0" borderId="0" xfId="53" applyFont="1" applyAlignment="1">
      <alignment wrapText="1"/>
    </xf>
  </cellXfs>
  <cellStyles count="78">
    <cellStyle name=" 1" xfId="1"/>
    <cellStyle name="%" xfId="2"/>
    <cellStyle name="******************************************" xfId="3"/>
    <cellStyle name="_RRS1" xfId="4"/>
    <cellStyle name="_RRS5" xfId="5"/>
    <cellStyle name="_RRS9" xfId="6"/>
    <cellStyle name="_SUMMARY " xfId="7"/>
    <cellStyle name="=C:\WINNT35\SYSTEM32\COMMAND.COM" xfId="8"/>
    <cellStyle name="0_Capex &amp; Depreciation " xfId="9"/>
    <cellStyle name="0_Valuing BP " xfId="10"/>
    <cellStyle name="20% - Accent1" xfId="11" builtinId="30" customBuiltin="1"/>
    <cellStyle name="20% - Accent2" xfId="12" builtinId="34" customBuiltin="1"/>
    <cellStyle name="20% - Accent3" xfId="13" builtinId="38" customBuiltin="1"/>
    <cellStyle name="20% - Accent4" xfId="14" builtinId="42" customBuiltin="1"/>
    <cellStyle name="20% - Accent5" xfId="15" builtinId="46" customBuiltin="1"/>
    <cellStyle name="20% - Accent6" xfId="16" builtinId="50" customBuiltin="1"/>
    <cellStyle name="40% - Accent1" xfId="17" builtinId="31" customBuiltin="1"/>
    <cellStyle name="40% - Accent2" xfId="18" builtinId="35" customBuiltin="1"/>
    <cellStyle name="40% - Accent3" xfId="19" builtinId="39" customBuiltin="1"/>
    <cellStyle name="40% - Accent4" xfId="20" builtinId="43" customBuiltin="1"/>
    <cellStyle name="40% - Accent5" xfId="21" builtinId="47" customBuiltin="1"/>
    <cellStyle name="40% - Accent6" xfId="22" builtinId="51" customBuiltin="1"/>
    <cellStyle name="60% - Accent1" xfId="23" builtinId="32" customBuiltin="1"/>
    <cellStyle name="60% - Accent2" xfId="24" builtinId="36" customBuiltin="1"/>
    <cellStyle name="60% - Accent3" xfId="25" builtinId="40" customBuiltin="1"/>
    <cellStyle name="60% - Accent4" xfId="26" builtinId="44" customBuiltin="1"/>
    <cellStyle name="60% - Accent5" xfId="27" builtinId="48" customBuiltin="1"/>
    <cellStyle name="60% - Accent6" xfId="28" builtinId="52" customBuiltin="1"/>
    <cellStyle name="Accent1" xfId="29" builtinId="29" customBuiltin="1"/>
    <cellStyle name="Accent2" xfId="30" builtinId="33" customBuiltin="1"/>
    <cellStyle name="Accent3" xfId="31" builtinId="37" customBuiltin="1"/>
    <cellStyle name="Accent4" xfId="32" builtinId="41" customBuiltin="1"/>
    <cellStyle name="Accent5" xfId="33" builtinId="45" customBuiltin="1"/>
    <cellStyle name="Accent6" xfId="34" builtinId="49" customBuiltin="1"/>
    <cellStyle name="Bad" xfId="35" builtinId="27" customBuiltin="1"/>
    <cellStyle name="c_HardInc " xfId="36"/>
    <cellStyle name="Calculation" xfId="37" builtinId="22" customBuiltin="1"/>
    <cellStyle name="Check Cell" xfId="38" builtinId="23" customBuiltin="1"/>
    <cellStyle name="Comma" xfId="39" builtinId="3"/>
    <cellStyle name="Comma 10" xfId="40"/>
    <cellStyle name="Currency 2" xfId="41"/>
    <cellStyle name="Currency 3" xfId="42"/>
    <cellStyle name="Currency_LVLT Morgan Stanley - v1" xfId="43"/>
    <cellStyle name="Explanatory Text" xfId="44" builtinId="53" customBuiltin="1"/>
    <cellStyle name="Good" xfId="45" builtinId="26" customBuiltin="1"/>
    <cellStyle name="Heading 1" xfId="46" builtinId="16" customBuiltin="1"/>
    <cellStyle name="Heading 2" xfId="47" builtinId="17" customBuiltin="1"/>
    <cellStyle name="Heading 3" xfId="48" builtinId="18" customBuiltin="1"/>
    <cellStyle name="Heading 4" xfId="49" builtinId="19" customBuiltin="1"/>
    <cellStyle name="Input" xfId="50" builtinId="20" customBuiltin="1"/>
    <cellStyle name="Linked Cell" xfId="51" builtinId="24" customBuiltin="1"/>
    <cellStyle name="Neutral" xfId="52" builtinId="28" customBuiltin="1"/>
    <cellStyle name="Normal" xfId="0" builtinId="0"/>
    <cellStyle name="Normal 2" xfId="53"/>
    <cellStyle name="Normal 3" xfId="54"/>
    <cellStyle name="Normal_Book4" xfId="55"/>
    <cellStyle name="Normal_CONE - Saleforce Pres_Backup" xfId="56"/>
    <cellStyle name="Normal_DisclaimerSheet Samples" xfId="77"/>
    <cellStyle name="Normal_LVLT Morgan Stanley - v1" xfId="57"/>
    <cellStyle name="Normal_theHUNTER32" xfId="58"/>
    <cellStyle name="Note" xfId="59" builtinId="10" customBuiltin="1"/>
    <cellStyle name="Onedec_FT Valuation " xfId="60"/>
    <cellStyle name="Output" xfId="61" builtinId="21" customBuiltin="1"/>
    <cellStyle name="p " xfId="62"/>
    <cellStyle name="Percent" xfId="63" builtinId="5"/>
    <cellStyle name="Percent_LVLT Morgan Stanley - v1" xfId="64"/>
    <cellStyle name="RRSInstruction" xfId="65"/>
    <cellStyle name="RRSInstruction 2" xfId="66"/>
    <cellStyle name="s_HardInc " xfId="67"/>
    <cellStyle name="s_Valuation " xfId="68"/>
    <cellStyle name="ssp " xfId="69"/>
    <cellStyle name="Style 1" xfId="70"/>
    <cellStyle name="STYLE3 12" xfId="71"/>
    <cellStyle name="Title" xfId="72" builtinId="15" customBuiltin="1"/>
    <cellStyle name="Total" xfId="73" builtinId="25" customBuiltin="1"/>
    <cellStyle name="Warning Text" xfId="74" builtinId="11" customBuiltin="1"/>
    <cellStyle name="콤마 [0]_#3이설 견적_준공내역총괄표 " xfId="75"/>
    <cellStyle name="콤마_#3이설 견적_준공내역총괄표 " xfId="76"/>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externalLinks/externalLink1.xml" Type="http://schemas.openxmlformats.org/officeDocument/2006/relationships/externalLink"/>
<Relationship Id="rId18" Target="externalLinks/externalLink2.xml" Type="http://schemas.openxmlformats.org/officeDocument/2006/relationships/externalLink"/>
<Relationship Id="rId19" Target="externalLinks/externalLink3.xml" Type="http://schemas.openxmlformats.org/officeDocument/2006/relationships/externalLink"/>
<Relationship Id="rId2" Target="worksheets/sheet2.xml" Type="http://schemas.openxmlformats.org/officeDocument/2006/relationships/worksheet"/>
<Relationship Id="rId20" Target="externalLinks/externalLink4.xml" Type="http://schemas.openxmlformats.org/officeDocument/2006/relationships/externalLink"/>
<Relationship Id="rId21" Target="theme/theme1.xml" Type="http://schemas.openxmlformats.org/officeDocument/2006/relationships/theme"/>
<Relationship Id="rId22" Target="styles.xml" Type="http://schemas.openxmlformats.org/officeDocument/2006/relationships/styles"/>
<Relationship Id="rId23" Target="sharedStrings.xml" Type="http://schemas.openxmlformats.org/officeDocument/2006/relationships/sharedStrings"/>
<Relationship Id="rId24" Target="calcChain.xml" Type="http://schemas.openxmlformats.org/officeDocument/2006/relationships/calcChain"/>
<Relationship Id="rId25" Target="../customXml/item1.xml" Type="http://schemas.openxmlformats.org/officeDocument/2006/relationships/customXml"/>
<Relationship Id="rId26" Target="../customXml/item2.xml" Type="http://schemas.openxmlformats.org/officeDocument/2006/relationships/customXml"/>
<Relationship Id="rId27"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harts/_rels/chart2.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UTILIZATION</a:t>
            </a:r>
          </a:p>
        </c:rich>
      </c:tx>
      <c:layout>
        <c:manualLayout>
          <c:xMode val="edge"/>
          <c:yMode val="edge"/>
          <c:x val="1.4245014245014245E-2"/>
          <c:y val="2.6041666666666668E-2"/>
        </c:manualLayout>
      </c:layout>
      <c:overlay val="0"/>
      <c:spPr>
        <a:noFill/>
        <a:ln w="25400">
          <a:noFill/>
        </a:ln>
      </c:spPr>
    </c:title>
    <c:autoTitleDeleted val="0"/>
    <c:plotArea>
      <c:layout>
        <c:manualLayout>
          <c:layoutTarget val="inner"/>
          <c:xMode val="edge"/>
          <c:yMode val="edge"/>
          <c:x val="0.13390350645339891"/>
          <c:y val="0.18750095367916708"/>
          <c:w val="0.82621312492522736"/>
          <c:h val="0.59028105861767277"/>
        </c:manualLayout>
      </c:layout>
      <c:barChart>
        <c:barDir val="col"/>
        <c:grouping val="clustered"/>
        <c:varyColors val="0"/>
        <c:ser>
          <c:idx val="0"/>
          <c:order val="0"/>
          <c:tx>
            <c:strRef>
              <c:f>Charts!$B$85</c:f>
              <c:strCache>
                <c:ptCount val="1"/>
                <c:pt idx="0">
                  <c:v>CONE</c:v>
                </c:pt>
              </c:strCache>
            </c:strRef>
          </c:tx>
          <c:spPr>
            <a:solidFill>
              <a:srgbClr val="137CB1"/>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Charts!$AL$85:$AS$85</c:f>
              <c:numCache>
                <c:formatCode>0%</c:formatCode>
                <c:ptCount val="8"/>
                <c:pt idx="0">
                  <c:v>0.86</c:v>
                </c:pt>
                <c:pt idx="1">
                  <c:v>0.89</c:v>
                </c:pt>
                <c:pt idx="2">
                  <c:v>0.84</c:v>
                </c:pt>
                <c:pt idx="3">
                  <c:v>0.85</c:v>
                </c:pt>
                <c:pt idx="4">
                  <c:v>0.85</c:v>
                </c:pt>
                <c:pt idx="5">
                  <c:v>0.88</c:v>
                </c:pt>
                <c:pt idx="6">
                  <c:v>0.89</c:v>
                </c:pt>
                <c:pt idx="7">
                  <c:v>0.82</c:v>
                </c:pt>
              </c:numCache>
            </c:numRef>
          </c:val>
        </c:ser>
        <c:dLbls>
          <c:showLegendKey val="0"/>
          <c:showVal val="0"/>
          <c:showCatName val="0"/>
          <c:showSerName val="0"/>
          <c:showPercent val="0"/>
          <c:showBubbleSize val="0"/>
        </c:dLbls>
        <c:gapWidth val="150"/>
        <c:axId val="547836672"/>
        <c:axId val="547838208"/>
      </c:barChart>
      <c:catAx>
        <c:axId val="547836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547838208"/>
        <c:crosses val="autoZero"/>
        <c:auto val="1"/>
        <c:lblAlgn val="ctr"/>
        <c:lblOffset val="100"/>
        <c:tickLblSkip val="1"/>
        <c:tickMarkSkip val="1"/>
        <c:noMultiLvlLbl val="0"/>
      </c:catAx>
      <c:valAx>
        <c:axId val="547838208"/>
        <c:scaling>
          <c:orientation val="minMax"/>
          <c:min val="0.7"/>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7836672"/>
        <c:crosses val="autoZero"/>
        <c:crossBetween val="between"/>
        <c:majorUnit val="0.05"/>
      </c:valAx>
      <c:spPr>
        <a:noFill/>
        <a:ln w="25400">
          <a:noFill/>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4651856372985E-2"/>
          <c:y val="7.7720403882984235E-2"/>
          <c:w val="0.84943299648353787"/>
          <c:h val="0.80311084012417044"/>
        </c:manualLayout>
      </c:layout>
      <c:barChart>
        <c:barDir val="bar"/>
        <c:grouping val="stacked"/>
        <c:varyColors val="0"/>
        <c:ser>
          <c:idx val="0"/>
          <c:order val="0"/>
          <c:tx>
            <c:strRef>
              <c:f>Charts!$B$103</c:f>
              <c:strCache>
                <c:ptCount val="1"/>
                <c:pt idx="0">
                  <c:v>Leased NRSF</c:v>
                </c:pt>
              </c:strCache>
            </c:strRef>
          </c:tx>
          <c:spPr>
            <a:solidFill>
              <a:srgbClr val="137CB1"/>
            </a:solidFill>
            <a:ln w="25400">
              <a:noFill/>
            </a:ln>
          </c:spPr>
          <c:invertIfNegative val="0"/>
          <c:dLbls>
            <c:dLbl>
              <c:idx val="0"/>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eparator>: </c:separator>
            </c:dLbl>
            <c:showLegendKey val="0"/>
            <c:showVal val="0"/>
            <c:showCatName val="0"/>
            <c:showSerName val="0"/>
            <c:showPercent val="0"/>
            <c:showBubbleSize val="0"/>
          </c:dLbls>
          <c:val>
            <c:numRef>
              <c:f>Charts!$AQ$103</c:f>
              <c:numCache>
                <c:formatCode>#,##0_);\(#,##0\)</c:formatCode>
                <c:ptCount val="1"/>
                <c:pt idx="0">
                  <c:v>4200769.33</c:v>
                </c:pt>
              </c:numCache>
            </c:numRef>
          </c:val>
        </c:ser>
        <c:ser>
          <c:idx val="1"/>
          <c:order val="1"/>
          <c:tx>
            <c:strRef>
              <c:f>Charts!$B$104</c:f>
              <c:strCache>
                <c:ptCount val="1"/>
                <c:pt idx="0">
                  <c:v>Avail. for lease</c:v>
                </c:pt>
              </c:strCache>
            </c:strRef>
          </c:tx>
          <c:spPr>
            <a:solidFill>
              <a:srgbClr val="EACC80"/>
            </a:solidFill>
            <a:ln w="25400">
              <a:noFill/>
            </a:ln>
          </c:spPr>
          <c:invertIfNegative val="0"/>
          <c:dLbls>
            <c:dLbl>
              <c:idx val="0"/>
              <c:layout>
                <c:manualLayout>
                  <c:x val="8.018446124500098E-3"/>
                  <c:y val="9.7876160584772096E-2"/>
                </c:manualLayout>
              </c:layout>
              <c:dLblPos val="ctr"/>
              <c:showLegendKey val="0"/>
              <c:showVal val="1"/>
              <c:showCatName val="0"/>
              <c:showSerName val="1"/>
              <c:showPercent val="0"/>
              <c:showBubbleSize val="0"/>
              <c:separator>: </c:separator>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Charts!$AQ$104</c:f>
              <c:numCache>
                <c:formatCode>#,##0_);\(#,##0\)</c:formatCode>
                <c:ptCount val="1"/>
                <c:pt idx="0">
                  <c:v>444498.66999999993</c:v>
                </c:pt>
              </c:numCache>
            </c:numRef>
          </c:val>
        </c:ser>
        <c:ser>
          <c:idx val="2"/>
          <c:order val="2"/>
          <c:tx>
            <c:strRef>
              <c:f>Charts!$B$105</c:f>
              <c:strCache>
                <c:ptCount val="1"/>
                <c:pt idx="0">
                  <c:v>Under development</c:v>
                </c:pt>
              </c:strCache>
            </c:strRef>
          </c:tx>
          <c:spPr>
            <a:solidFill>
              <a:srgbClr val="4AAC6B"/>
            </a:solidFill>
            <a:ln w="25400">
              <a:noFill/>
            </a:ln>
          </c:spPr>
          <c:invertIfNegative val="0"/>
          <c:dLbls>
            <c:dLbl>
              <c:idx val="0"/>
              <c:layout>
                <c:manualLayout>
                  <c:x val="6.2832729695820318E-4"/>
                  <c:y val="-0.16119185235850872"/>
                </c:manualLayout>
              </c:layout>
              <c:dLblPos val="ctr"/>
              <c:showLegendKey val="0"/>
              <c:showVal val="1"/>
              <c:showCatName val="0"/>
              <c:showSerName val="1"/>
              <c:showPercent val="0"/>
              <c:showBubbleSize val="0"/>
              <c:separator>: </c:separator>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Charts!$AQ$105</c:f>
              <c:numCache>
                <c:formatCode>#,##0_);\(#,##0\)</c:formatCode>
                <c:ptCount val="1"/>
                <c:pt idx="0">
                  <c:v>1784000</c:v>
                </c:pt>
              </c:numCache>
            </c:numRef>
          </c:val>
        </c:ser>
        <c:ser>
          <c:idx val="3"/>
          <c:order val="3"/>
          <c:tx>
            <c:strRef>
              <c:f>Charts!$B$106</c:f>
              <c:strCache>
                <c:ptCount val="1"/>
                <c:pt idx="0">
                  <c:v>Powered Shell</c:v>
                </c:pt>
              </c:strCache>
            </c:strRef>
          </c:tx>
          <c:spPr>
            <a:solidFill>
              <a:srgbClr val="A8D7E2"/>
            </a:solidFill>
            <a:ln w="25400">
              <a:noFill/>
            </a:ln>
          </c:spPr>
          <c:invertIfNegative val="0"/>
          <c:dLbls>
            <c:dLbl>
              <c:idx val="0"/>
              <c:layout>
                <c:manualLayout>
                  <c:x val="0"/>
                  <c:y val="4.7419807717747064E-2"/>
                </c:manualLayout>
              </c:layout>
              <c:dLblPos val="ctr"/>
              <c:showLegendKey val="0"/>
              <c:showVal val="1"/>
              <c:showCatName val="0"/>
              <c:showSerName val="1"/>
              <c:showPercent val="0"/>
              <c:showBubbleSize val="0"/>
              <c:separator>: </c:separator>
            </c:dLbl>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Charts!$AQ$106</c:f>
              <c:numCache>
                <c:formatCode>#,##0_);\(#,##0\)</c:formatCode>
                <c:ptCount val="1"/>
                <c:pt idx="0">
                  <c:v>916000</c:v>
                </c:pt>
              </c:numCache>
            </c:numRef>
          </c:val>
        </c:ser>
        <c:dLbls>
          <c:showLegendKey val="0"/>
          <c:showVal val="0"/>
          <c:showCatName val="0"/>
          <c:showSerName val="0"/>
          <c:showPercent val="0"/>
          <c:showBubbleSize val="0"/>
        </c:dLbls>
        <c:gapWidth val="60"/>
        <c:overlap val="100"/>
        <c:axId val="384473344"/>
        <c:axId val="367394816"/>
      </c:barChart>
      <c:catAx>
        <c:axId val="384473344"/>
        <c:scaling>
          <c:orientation val="minMax"/>
        </c:scaling>
        <c:delete val="1"/>
        <c:axPos val="l"/>
        <c:majorTickMark val="out"/>
        <c:minorTickMark val="none"/>
        <c:tickLblPos val="nextTo"/>
        <c:crossAx val="367394816"/>
        <c:crosses val="autoZero"/>
        <c:auto val="1"/>
        <c:lblAlgn val="ctr"/>
        <c:lblOffset val="100"/>
        <c:noMultiLvlLbl val="0"/>
      </c:catAx>
      <c:valAx>
        <c:axId val="367394816"/>
        <c:scaling>
          <c:orientation val="minMax"/>
        </c:scaling>
        <c:delete val="0"/>
        <c:axPos val="b"/>
        <c:majorGridlines>
          <c:spPr>
            <a:ln w="3175">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4473344"/>
        <c:crosses val="autoZero"/>
        <c:crossBetween val="between"/>
        <c:majorUnit val="1000000"/>
      </c:valAx>
      <c:spPr>
        <a:noFill/>
        <a:ln w="25400">
          <a:noFill/>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INDUSTRY MIX (% OF REV)</a:t>
            </a:r>
          </a:p>
        </c:rich>
      </c:tx>
      <c:layout>
        <c:manualLayout>
          <c:xMode val="edge"/>
          <c:yMode val="edge"/>
          <c:x val="6.25E-2"/>
          <c:y val="2.6737967914438502E-2"/>
        </c:manualLayout>
      </c:layout>
      <c:overlay val="0"/>
      <c:spPr>
        <a:noFill/>
        <a:ln w="25400">
          <a:noFill/>
        </a:ln>
      </c:spPr>
    </c:title>
    <c:autoTitleDeleted val="0"/>
    <c:plotArea>
      <c:layout>
        <c:manualLayout>
          <c:layoutTarget val="inner"/>
          <c:xMode val="edge"/>
          <c:yMode val="edge"/>
          <c:x val="0.3636368680598423"/>
          <c:y val="0.24598994712448594"/>
          <c:w val="0.34659138986953719"/>
          <c:h val="0.65240812063450615"/>
        </c:manualLayout>
      </c:layout>
      <c:pieChart>
        <c:varyColors val="1"/>
        <c:ser>
          <c:idx val="0"/>
          <c:order val="0"/>
          <c:spPr>
            <a:solidFill>
              <a:srgbClr val="137CB1"/>
            </a:solidFill>
            <a:ln w="25400">
              <a:noFill/>
            </a:ln>
          </c:spPr>
          <c:dPt>
            <c:idx val="0"/>
            <c:bubble3D val="0"/>
          </c:dPt>
          <c:dPt>
            <c:idx val="1"/>
            <c:bubble3D val="0"/>
            <c:spPr>
              <a:solidFill>
                <a:srgbClr val="EACC80"/>
              </a:solidFill>
              <a:ln w="25400">
                <a:noFill/>
              </a:ln>
            </c:spPr>
          </c:dPt>
          <c:dPt>
            <c:idx val="2"/>
            <c:bubble3D val="0"/>
            <c:spPr>
              <a:solidFill>
                <a:srgbClr val="4AAC6B"/>
              </a:solidFill>
              <a:ln w="25400">
                <a:noFill/>
              </a:ln>
            </c:spPr>
          </c:dPt>
          <c:dPt>
            <c:idx val="3"/>
            <c:bubble3D val="0"/>
            <c:spPr>
              <a:solidFill>
                <a:srgbClr val="A8D7E2"/>
              </a:solidFill>
              <a:ln w="25400">
                <a:noFill/>
              </a:ln>
            </c:spPr>
          </c:dPt>
          <c:dPt>
            <c:idx val="4"/>
            <c:bubble3D val="0"/>
            <c:spPr>
              <a:solidFill>
                <a:srgbClr val="E58061"/>
              </a:solidFill>
              <a:ln w="25400">
                <a:noFill/>
              </a:ln>
            </c:spPr>
          </c:dPt>
          <c:dPt>
            <c:idx val="5"/>
            <c:bubble3D val="0"/>
            <c:spPr>
              <a:solidFill>
                <a:srgbClr val="BCE3A1"/>
              </a:solidFill>
              <a:ln w="25400">
                <a:noFill/>
              </a:ln>
            </c:spPr>
          </c:dPt>
          <c:dPt>
            <c:idx val="6"/>
            <c:bubble3D val="0"/>
            <c:spPr>
              <a:solidFill>
                <a:srgbClr val="8E466A"/>
              </a:solidFill>
              <a:ln w="25400">
                <a:noFill/>
              </a:ln>
            </c:spPr>
          </c:dPt>
          <c:dLbls>
            <c:dLbl>
              <c:idx val="4"/>
              <c:layout>
                <c:manualLayout>
                  <c:x val="-2.4357279981140515E-2"/>
                  <c:y val="3.694993097023426E-2"/>
                </c:manualLayout>
              </c:layout>
              <c:dLblPos val="bestFit"/>
              <c:showLegendKey val="0"/>
              <c:showVal val="1"/>
              <c:showCatName val="1"/>
              <c:showSerName val="0"/>
              <c:showPercent val="0"/>
              <c:showBubbleSize val="0"/>
            </c:dLbl>
            <c:dLbl>
              <c:idx val="5"/>
              <c:layout>
                <c:manualLayout>
                  <c:x val="3.3677917344980129E-2"/>
                  <c:y val="-2.2224895344518027E-2"/>
                </c:manualLayout>
              </c:layout>
              <c:dLblPos val="bestFit"/>
              <c:showLegendKey val="0"/>
              <c:showVal val="1"/>
              <c:showCatName val="1"/>
              <c:showSerName val="0"/>
              <c:showPercent val="0"/>
              <c:showBubbleSize val="0"/>
            </c:dLbl>
            <c:dLbl>
              <c:idx val="6"/>
              <c:layout>
                <c:manualLayout>
                  <c:x val="0.15855890569589418"/>
                  <c:y val="-1.5074503336826174E-2"/>
                </c:manualLayout>
              </c:layout>
              <c:dLblPos val="bestFit"/>
              <c:showLegendKey val="0"/>
              <c:showVal val="1"/>
              <c:showCatName val="1"/>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estFit"/>
            <c:showLegendKey val="0"/>
            <c:showVal val="1"/>
            <c:showCatName val="1"/>
            <c:showSerName val="0"/>
            <c:showPercent val="0"/>
            <c:showBubbleSize val="0"/>
            <c:showLeaderLines val="1"/>
          </c:dLbls>
          <c:cat>
            <c:strRef>
              <c:f>Charts!$B$123:$B$129</c:f>
              <c:strCache>
                <c:ptCount val="7"/>
                <c:pt idx="0">
                  <c:v>IT</c:v>
                </c:pt>
                <c:pt idx="1">
                  <c:v>Financials</c:v>
                </c:pt>
                <c:pt idx="2">
                  <c:v>Energy</c:v>
                </c:pt>
                <c:pt idx="3">
                  <c:v>Industrials</c:v>
                </c:pt>
                <c:pt idx="4">
                  <c:v>Telecom</c:v>
                </c:pt>
                <c:pt idx="5">
                  <c:v>Healthcare</c:v>
                </c:pt>
                <c:pt idx="6">
                  <c:v>Other</c:v>
                </c:pt>
              </c:strCache>
            </c:strRef>
          </c:cat>
          <c:val>
            <c:numRef>
              <c:f>Charts!$AL$123:$AL$129</c:f>
              <c:numCache>
                <c:formatCode>0%</c:formatCode>
                <c:ptCount val="7"/>
                <c:pt idx="0">
                  <c:v>0.33</c:v>
                </c:pt>
                <c:pt idx="1">
                  <c:v>0.2</c:v>
                </c:pt>
                <c:pt idx="2">
                  <c:v>0.18</c:v>
                </c:pt>
                <c:pt idx="3">
                  <c:v>0.09</c:v>
                </c:pt>
                <c:pt idx="4">
                  <c:v>0.08</c:v>
                </c:pt>
                <c:pt idx="5">
                  <c:v>0.03</c:v>
                </c:pt>
                <c:pt idx="6">
                  <c:v>0.09</c:v>
                </c:pt>
              </c:numCache>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PORTFOLIO QUALITY (% OF REV)</a:t>
            </a:r>
          </a:p>
        </c:rich>
      </c:tx>
      <c:layout>
        <c:manualLayout>
          <c:xMode val="edge"/>
          <c:yMode val="edge"/>
          <c:x val="2.2727272727272728E-2"/>
          <c:y val="2.5906735751295335E-2"/>
        </c:manualLayout>
      </c:layout>
      <c:overlay val="0"/>
      <c:spPr>
        <a:noFill/>
        <a:ln w="25400">
          <a:noFill/>
        </a:ln>
      </c:spPr>
    </c:title>
    <c:autoTitleDeleted val="0"/>
    <c:plotArea>
      <c:layout>
        <c:manualLayout>
          <c:layoutTarget val="inner"/>
          <c:xMode val="edge"/>
          <c:yMode val="edge"/>
          <c:x val="0.24147760769598903"/>
          <c:y val="0.15025944750710288"/>
          <c:w val="0.69318277973907438"/>
          <c:h val="0.67875819391139569"/>
        </c:manualLayout>
      </c:layout>
      <c:barChart>
        <c:barDir val="bar"/>
        <c:grouping val="clustered"/>
        <c:varyColors val="0"/>
        <c:ser>
          <c:idx val="0"/>
          <c:order val="0"/>
          <c:tx>
            <c:v>% of Revenue</c:v>
          </c:tx>
          <c:spPr>
            <a:solidFill>
              <a:srgbClr val="137CB1"/>
            </a:solidFill>
            <a:ln w="25400">
              <a:noFill/>
            </a:ln>
          </c:spPr>
          <c:invertIfNegative val="0"/>
          <c:dLbls>
            <c:spPr>
              <a:noFill/>
              <a:ln w="25400">
                <a:noFill/>
              </a:ln>
            </c:spPr>
            <c:txPr>
              <a:bodyPr/>
              <a:lstStyle/>
              <a:p>
                <a:pPr>
                  <a:defRPr sz="5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(Charts!$B$144,Charts!$B$146)</c:f>
              <c:strCache>
                <c:ptCount val="2"/>
                <c:pt idx="0">
                  <c:v>Fortune 1000 (1)</c:v>
                </c:pt>
                <c:pt idx="1">
                  <c:v>Investment Grade</c:v>
                </c:pt>
              </c:strCache>
            </c:strRef>
          </c:cat>
          <c:val>
            <c:numRef>
              <c:f>(Charts!$AF$144,Charts!$AF$146)</c:f>
              <c:numCache>
                <c:formatCode>0%</c:formatCode>
                <c:ptCount val="2"/>
                <c:pt idx="0">
                  <c:v>0.75</c:v>
                </c:pt>
                <c:pt idx="1">
                  <c:v>0.56999999999999995</c:v>
                </c:pt>
              </c:numCache>
            </c:numRef>
          </c:val>
        </c:ser>
        <c:dLbls>
          <c:showLegendKey val="0"/>
          <c:showVal val="0"/>
          <c:showCatName val="0"/>
          <c:showSerName val="0"/>
          <c:showPercent val="0"/>
          <c:showBubbleSize val="0"/>
        </c:dLbls>
        <c:gapWidth val="150"/>
        <c:axId val="367448832"/>
        <c:axId val="367450368"/>
      </c:barChart>
      <c:catAx>
        <c:axId val="36744883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7450368"/>
        <c:crosses val="autoZero"/>
        <c:auto val="1"/>
        <c:lblAlgn val="ctr"/>
        <c:lblOffset val="100"/>
        <c:tickLblSkip val="1"/>
        <c:tickMarkSkip val="1"/>
        <c:noMultiLvlLbl val="0"/>
      </c:catAx>
      <c:valAx>
        <c:axId val="367450368"/>
        <c:scaling>
          <c:orientation val="minMax"/>
        </c:scaling>
        <c:delete val="0"/>
        <c:axPos val="b"/>
        <c:majorGridlines>
          <c:spPr>
            <a:ln w="3175">
              <a:solidFill>
                <a:srgbClr val="C0C0C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744883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LEASE EXPIRATIONS (% OF ANNUALIZED RENT)</a:t>
            </a:r>
          </a:p>
        </c:rich>
      </c:tx>
      <c:layout>
        <c:manualLayout>
          <c:xMode val="edge"/>
          <c:yMode val="edge"/>
          <c:x val="1.4245014245014245E-2"/>
          <c:y val="2.6041666666666668E-2"/>
        </c:manualLayout>
      </c:layout>
      <c:overlay val="0"/>
      <c:spPr>
        <a:noFill/>
        <a:ln w="25400">
          <a:noFill/>
        </a:ln>
      </c:spPr>
    </c:title>
    <c:autoTitleDeleted val="0"/>
    <c:plotArea>
      <c:layout>
        <c:manualLayout>
          <c:layoutTarget val="inner"/>
          <c:xMode val="edge"/>
          <c:yMode val="edge"/>
          <c:x val="0.14245053878021161"/>
          <c:y val="0.18750095367916708"/>
          <c:w val="0.81766609259841472"/>
          <c:h val="0.50521090296886684"/>
        </c:manualLayout>
      </c:layout>
      <c:barChart>
        <c:barDir val="col"/>
        <c:grouping val="clustered"/>
        <c:varyColors val="0"/>
        <c:ser>
          <c:idx val="0"/>
          <c:order val="0"/>
          <c:tx>
            <c:v>Leases</c:v>
          </c:tx>
          <c:spPr>
            <a:solidFill>
              <a:srgbClr val="137CB1"/>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Charts!$B$162:$B$174</c:f>
              <c:strCache>
                <c:ptCount val="12"/>
                <c:pt idx="0">
                  <c:v>Month (1)</c:v>
                </c:pt>
                <c:pt idx="1">
                  <c:v>2013</c:v>
                </c:pt>
                <c:pt idx="2">
                  <c:v>2014</c:v>
                </c:pt>
                <c:pt idx="3">
                  <c:v>2015</c:v>
                </c:pt>
                <c:pt idx="4">
                  <c:v>2016</c:v>
                </c:pt>
                <c:pt idx="5">
                  <c:v>2017</c:v>
                </c:pt>
                <c:pt idx="6">
                  <c:v>2018</c:v>
                </c:pt>
                <c:pt idx="7">
                  <c:v>2019</c:v>
                </c:pt>
                <c:pt idx="8">
                  <c:v>2020</c:v>
                </c:pt>
                <c:pt idx="9">
                  <c:v>2021</c:v>
                </c:pt>
                <c:pt idx="10">
                  <c:v>2022</c:v>
                </c:pt>
                <c:pt idx="11">
                  <c:v>2023+</c:v>
                </c:pt>
              </c:strCache>
            </c:strRef>
          </c:cat>
          <c:val>
            <c:numRef>
              <c:f>Charts!$AC$162:$AC$174</c:f>
              <c:numCache>
                <c:formatCode>0%</c:formatCode>
                <c:ptCount val="12"/>
                <c:pt idx="0">
                  <c:v>3.4888344630013848E-2</c:v>
                </c:pt>
                <c:pt idx="1">
                  <c:v>0.2246210717698687</c:v>
                </c:pt>
                <c:pt idx="2">
                  <c:v>0.17640164952942769</c:v>
                </c:pt>
                <c:pt idx="3">
                  <c:v>0.15087152065134524</c:v>
                </c:pt>
                <c:pt idx="4">
                  <c:v>0.12191253366441099</c:v>
                </c:pt>
                <c:pt idx="5">
                  <c:v>0.10587231186383204</c:v>
                </c:pt>
                <c:pt idx="6">
                  <c:v>7.3485671167117475E-2</c:v>
                </c:pt>
                <c:pt idx="7">
                  <c:v>2.110453340861216E-2</c:v>
                </c:pt>
                <c:pt idx="8">
                  <c:v>3.1665753460209396E-2</c:v>
                </c:pt>
                <c:pt idx="9">
                  <c:v>1.6059849620285997E-2</c:v>
                </c:pt>
                <c:pt idx="10">
                  <c:v>2.7732932043103346E-2</c:v>
                </c:pt>
                <c:pt idx="11">
                  <c:v>1.5383828191773122E-2</c:v>
                </c:pt>
              </c:numCache>
            </c:numRef>
          </c:val>
        </c:ser>
        <c:dLbls>
          <c:showLegendKey val="0"/>
          <c:showVal val="0"/>
          <c:showCatName val="0"/>
          <c:showSerName val="0"/>
          <c:showPercent val="0"/>
          <c:showBubbleSize val="0"/>
        </c:dLbls>
        <c:gapWidth val="150"/>
        <c:axId val="550177024"/>
        <c:axId val="550215680"/>
      </c:barChart>
      <c:catAx>
        <c:axId val="55017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550215680"/>
        <c:crosses val="autoZero"/>
        <c:auto val="1"/>
        <c:lblAlgn val="ctr"/>
        <c:lblOffset val="100"/>
        <c:tickLblSkip val="1"/>
        <c:tickMarkSkip val="1"/>
        <c:noMultiLvlLbl val="0"/>
      </c:catAx>
      <c:valAx>
        <c:axId val="550215680"/>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50177024"/>
        <c:crosses val="autoZero"/>
        <c:crossBetween val="between"/>
      </c:valAx>
      <c:spPr>
        <a:noFill/>
        <a:ln w="25400">
          <a:noFill/>
        </a:ln>
      </c:spPr>
    </c:plotArea>
    <c:legend>
      <c:legendPos val="t"/>
      <c:layout>
        <c:manualLayout>
          <c:xMode val="edge"/>
          <c:yMode val="edge"/>
          <c:x val="0.83476022762112001"/>
          <c:y val="2.6041666666666668E-2"/>
          <c:w val="0.15384645295406452"/>
          <c:h val="0.10416721347331583"/>
        </c:manualLayout>
      </c:layout>
      <c:overlay val="0"/>
      <c:spPr>
        <a:noFill/>
        <a:ln w="25400">
          <a:noFill/>
        </a:ln>
      </c:spPr>
      <c:txPr>
        <a:bodyPr/>
        <a:lstStyle/>
        <a:p>
          <a:pPr>
            <a:defRPr sz="47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REVENUE</a:t>
            </a:r>
          </a:p>
        </c:rich>
      </c:tx>
      <c:layout>
        <c:manualLayout>
          <c:xMode val="edge"/>
          <c:yMode val="edge"/>
          <c:x val="1.7093963254593177E-2"/>
          <c:y val="2.6315789473684209E-2"/>
        </c:manualLayout>
      </c:layout>
      <c:overlay val="0"/>
      <c:spPr>
        <a:noFill/>
        <a:ln w="25400">
          <a:noFill/>
        </a:ln>
      </c:spPr>
    </c:title>
    <c:autoTitleDeleted val="0"/>
    <c:plotArea>
      <c:layout>
        <c:manualLayout>
          <c:layoutTarget val="inner"/>
          <c:xMode val="edge"/>
          <c:yMode val="edge"/>
          <c:x val="0.13390350645339891"/>
          <c:y val="0.20526368540215204"/>
          <c:w val="0.71510170467666234"/>
          <c:h val="0.54912446470506981"/>
        </c:manualLayout>
      </c:layout>
      <c:barChart>
        <c:barDir val="col"/>
        <c:grouping val="clustered"/>
        <c:varyColors val="0"/>
        <c:ser>
          <c:idx val="1"/>
          <c:order val="0"/>
          <c:tx>
            <c:strRef>
              <c:f>Charts!$B$4</c:f>
              <c:strCache>
                <c:ptCount val="1"/>
                <c:pt idx="0">
                  <c:v>Revenue</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Charts!$AL$4:$AS$4</c:f>
              <c:numCache>
                <c:formatCode>#,##0.0_);\(#,##0.0\)</c:formatCode>
                <c:ptCount val="8"/>
                <c:pt idx="0">
                  <c:v>113.3</c:v>
                </c:pt>
                <c:pt idx="1">
                  <c:v>117.8</c:v>
                </c:pt>
                <c:pt idx="2">
                  <c:v>130.1</c:v>
                </c:pt>
                <c:pt idx="3">
                  <c:v>143.80000000000001</c:v>
                </c:pt>
                <c:pt idx="4">
                  <c:v>137.4</c:v>
                </c:pt>
                <c:pt idx="5">
                  <c:v>149.30000000000001</c:v>
                </c:pt>
                <c:pt idx="6">
                  <c:v>166.9</c:v>
                </c:pt>
                <c:pt idx="7">
                  <c:v>175.3</c:v>
                </c:pt>
              </c:numCache>
            </c:numRef>
          </c:val>
        </c:ser>
        <c:dLbls>
          <c:showLegendKey val="0"/>
          <c:showVal val="0"/>
          <c:showCatName val="0"/>
          <c:showSerName val="0"/>
          <c:showPercent val="0"/>
          <c:showBubbleSize val="0"/>
        </c:dLbls>
        <c:gapWidth val="150"/>
        <c:axId val="367471232"/>
        <c:axId val="367481216"/>
      </c:barChart>
      <c:lineChart>
        <c:grouping val="standard"/>
        <c:varyColors val="0"/>
        <c:ser>
          <c:idx val="2"/>
          <c:order val="1"/>
          <c:tx>
            <c:strRef>
              <c:f>Charts!$B$6</c:f>
              <c:strCache>
                <c:ptCount val="1"/>
                <c:pt idx="0">
                  <c:v>% Q/Q</c:v>
                </c:pt>
              </c:strCache>
            </c:strRef>
          </c:tx>
          <c:spPr>
            <a:ln w="12700">
              <a:solidFill>
                <a:srgbClr val="137CB1"/>
              </a:solidFill>
              <a:prstDash val="solid"/>
            </a:ln>
          </c:spPr>
          <c:marker>
            <c:symbol val="diamond"/>
            <c:size val="5"/>
            <c:spPr>
              <a:solidFill>
                <a:srgbClr val="137CB1"/>
              </a:solidFill>
              <a:ln>
                <a:solidFill>
                  <a:srgbClr val="137CB1"/>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Charts!$AL$6:$AS$6</c:f>
              <c:numCache>
                <c:formatCode>0.0%_);\(0.0%\);"–"_)</c:formatCode>
                <c:ptCount val="8"/>
                <c:pt idx="0">
                  <c:v>1.8884892086330929E-2</c:v>
                </c:pt>
                <c:pt idx="1">
                  <c:v>3.9717563989408733E-2</c:v>
                </c:pt>
                <c:pt idx="2">
                  <c:v>0.1044142614601018</c:v>
                </c:pt>
                <c:pt idx="3">
                  <c:v>0.1053036126056881</c:v>
                </c:pt>
                <c:pt idx="4">
                  <c:v>-4.4506258692628697E-2</c:v>
                </c:pt>
                <c:pt idx="5">
                  <c:v>8.6608442503639083E-2</c:v>
                </c:pt>
                <c:pt idx="6">
                  <c:v>0.11788345612860018</c:v>
                </c:pt>
                <c:pt idx="7">
                  <c:v>5.0329538645895733E-2</c:v>
                </c:pt>
              </c:numCache>
            </c:numRef>
          </c:val>
          <c:smooth val="0"/>
        </c:ser>
        <c:dLbls>
          <c:showLegendKey val="0"/>
          <c:showVal val="0"/>
          <c:showCatName val="0"/>
          <c:showSerName val="0"/>
          <c:showPercent val="0"/>
          <c:showBubbleSize val="0"/>
        </c:dLbls>
        <c:marker val="1"/>
        <c:smooth val="0"/>
        <c:axId val="367482752"/>
        <c:axId val="367484288"/>
      </c:lineChart>
      <c:catAx>
        <c:axId val="367471232"/>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67481216"/>
        <c:crosses val="autoZero"/>
        <c:auto val="0"/>
        <c:lblAlgn val="ctr"/>
        <c:lblOffset val="100"/>
        <c:tickLblSkip val="1"/>
        <c:tickMarkSkip val="1"/>
        <c:noMultiLvlLbl val="0"/>
      </c:catAx>
      <c:valAx>
        <c:axId val="367481216"/>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471232"/>
        <c:crosses val="autoZero"/>
        <c:crossBetween val="between"/>
      </c:valAx>
      <c:catAx>
        <c:axId val="367482752"/>
        <c:scaling>
          <c:orientation val="minMax"/>
        </c:scaling>
        <c:delete val="1"/>
        <c:axPos val="b"/>
        <c:majorTickMark val="out"/>
        <c:minorTickMark val="none"/>
        <c:tickLblPos val="nextTo"/>
        <c:crossAx val="367484288"/>
        <c:crosses val="autoZero"/>
        <c:auto val="0"/>
        <c:lblAlgn val="ctr"/>
        <c:lblOffset val="100"/>
        <c:noMultiLvlLbl val="0"/>
      </c:catAx>
      <c:valAx>
        <c:axId val="367484288"/>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482752"/>
        <c:crosses val="max"/>
        <c:crossBetween val="between"/>
      </c:valAx>
      <c:spPr>
        <a:noFill/>
        <a:ln w="25400">
          <a:noFill/>
        </a:ln>
      </c:spPr>
    </c:plotArea>
    <c:legend>
      <c:legendPos val="t"/>
      <c:layout>
        <c:manualLayout>
          <c:xMode val="edge"/>
          <c:yMode val="edge"/>
          <c:x val="0.50980067491563552"/>
          <c:y val="2.6315789473684209E-2"/>
          <c:w val="0.47880614923134612"/>
          <c:h val="0.1052631578947368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ADJUSTED EBITDA</a:t>
            </a:r>
          </a:p>
        </c:rich>
      </c:tx>
      <c:layout>
        <c:manualLayout>
          <c:xMode val="edge"/>
          <c:yMode val="edge"/>
          <c:x val="1.4244919385076864E-2"/>
          <c:y val="2.6315599438959017E-2"/>
        </c:manualLayout>
      </c:layout>
      <c:overlay val="0"/>
      <c:spPr>
        <a:noFill/>
        <a:ln w="25400">
          <a:noFill/>
        </a:ln>
      </c:spPr>
    </c:title>
    <c:autoTitleDeleted val="0"/>
    <c:plotArea>
      <c:layout>
        <c:manualLayout>
          <c:layoutTarget val="inner"/>
          <c:xMode val="edge"/>
          <c:yMode val="edge"/>
          <c:x val="0.13390350645339891"/>
          <c:y val="0.20526368540215204"/>
          <c:w val="0.69800764002303695"/>
          <c:h val="0.56365852066476385"/>
        </c:manualLayout>
      </c:layout>
      <c:barChart>
        <c:barDir val="col"/>
        <c:grouping val="clustered"/>
        <c:varyColors val="0"/>
        <c:ser>
          <c:idx val="1"/>
          <c:order val="0"/>
          <c:tx>
            <c:strRef>
              <c:f>Charts!$B$50</c:f>
              <c:strCache>
                <c:ptCount val="1"/>
                <c:pt idx="0">
                  <c:v>Adjusted EBITDA</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Charts!$AL$50:$AS$50</c:f>
              <c:numCache>
                <c:formatCode>#,##0.0_);\(#,##0.0\)</c:formatCode>
                <c:ptCount val="8"/>
                <c:pt idx="0">
                  <c:v>60.5</c:v>
                </c:pt>
                <c:pt idx="1">
                  <c:v>62.7</c:v>
                </c:pt>
                <c:pt idx="2">
                  <c:v>69.699999999999989</c:v>
                </c:pt>
                <c:pt idx="3">
                  <c:v>73.100000000000009</c:v>
                </c:pt>
                <c:pt idx="4">
                  <c:v>73.000000000000014</c:v>
                </c:pt>
                <c:pt idx="5">
                  <c:v>80.700000000000017</c:v>
                </c:pt>
                <c:pt idx="6">
                  <c:v>90.800000000000011</c:v>
                </c:pt>
                <c:pt idx="7">
                  <c:v>95.9</c:v>
                </c:pt>
              </c:numCache>
            </c:numRef>
          </c:val>
        </c:ser>
        <c:dLbls>
          <c:showLegendKey val="0"/>
          <c:showVal val="0"/>
          <c:showCatName val="0"/>
          <c:showSerName val="0"/>
          <c:showPercent val="0"/>
          <c:showBubbleSize val="0"/>
        </c:dLbls>
        <c:gapWidth val="150"/>
        <c:axId val="367524096"/>
        <c:axId val="367534080"/>
      </c:barChart>
      <c:lineChart>
        <c:grouping val="standard"/>
        <c:varyColors val="0"/>
        <c:ser>
          <c:idx val="0"/>
          <c:order val="1"/>
          <c:tx>
            <c:strRef>
              <c:f>Charts!$B$51</c:f>
              <c:strCache>
                <c:ptCount val="1"/>
                <c:pt idx="0">
                  <c:v>% Margin</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Charts!$AL$51:$AS$51</c:f>
              <c:numCache>
                <c:formatCode>0.0%_);\(0.0%\);"–"_)</c:formatCode>
                <c:ptCount val="8"/>
                <c:pt idx="0">
                  <c:v>0.53398058252427183</c:v>
                </c:pt>
                <c:pt idx="1">
                  <c:v>0.53225806451612911</c:v>
                </c:pt>
                <c:pt idx="2">
                  <c:v>0.53574173712528816</c:v>
                </c:pt>
                <c:pt idx="3">
                  <c:v>0.50834492350486793</c:v>
                </c:pt>
                <c:pt idx="4">
                  <c:v>0.53129548762736545</c:v>
                </c:pt>
                <c:pt idx="5">
                  <c:v>0.54052243804420641</c:v>
                </c:pt>
                <c:pt idx="6">
                  <c:v>0.54403834631515879</c:v>
                </c:pt>
                <c:pt idx="7">
                  <c:v>0.54706217912150601</c:v>
                </c:pt>
              </c:numCache>
            </c:numRef>
          </c:val>
          <c:smooth val="0"/>
        </c:ser>
        <c:dLbls>
          <c:showLegendKey val="0"/>
          <c:showVal val="0"/>
          <c:showCatName val="0"/>
          <c:showSerName val="0"/>
          <c:showPercent val="0"/>
          <c:showBubbleSize val="0"/>
        </c:dLbls>
        <c:marker val="1"/>
        <c:smooth val="0"/>
        <c:axId val="367535616"/>
        <c:axId val="367537152"/>
      </c:lineChart>
      <c:catAx>
        <c:axId val="36752409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67534080"/>
        <c:crosses val="autoZero"/>
        <c:auto val="0"/>
        <c:lblAlgn val="ctr"/>
        <c:lblOffset val="100"/>
        <c:tickLblSkip val="1"/>
        <c:tickMarkSkip val="1"/>
        <c:noMultiLvlLbl val="0"/>
      </c:catAx>
      <c:valAx>
        <c:axId val="367534080"/>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524096"/>
        <c:crosses val="autoZero"/>
        <c:crossBetween val="between"/>
      </c:valAx>
      <c:catAx>
        <c:axId val="367535616"/>
        <c:scaling>
          <c:orientation val="minMax"/>
        </c:scaling>
        <c:delete val="1"/>
        <c:axPos val="b"/>
        <c:majorTickMark val="out"/>
        <c:minorTickMark val="none"/>
        <c:tickLblPos val="nextTo"/>
        <c:crossAx val="367537152"/>
        <c:crosses val="autoZero"/>
        <c:auto val="0"/>
        <c:lblAlgn val="ctr"/>
        <c:lblOffset val="100"/>
        <c:noMultiLvlLbl val="0"/>
      </c:catAx>
      <c:valAx>
        <c:axId val="367537152"/>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535616"/>
        <c:crosses val="max"/>
        <c:crossBetween val="between"/>
      </c:valAx>
      <c:spPr>
        <a:noFill/>
        <a:ln w="25400">
          <a:noFill/>
        </a:ln>
      </c:spPr>
    </c:plotArea>
    <c:legend>
      <c:legendPos val="t"/>
      <c:layout>
        <c:manualLayout>
          <c:xMode val="edge"/>
          <c:yMode val="edge"/>
          <c:x val="0.34269096362954626"/>
          <c:y val="2.6315599438959017E-2"/>
          <c:w val="0.64591586051743533"/>
          <c:h val="0.10526295324195588"/>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PRICING</a:t>
            </a:r>
          </a:p>
        </c:rich>
      </c:tx>
      <c:layout>
        <c:manualLayout>
          <c:xMode val="edge"/>
          <c:yMode val="edge"/>
          <c:x val="2.8490138732658418E-2"/>
          <c:y val="2.6315789473684209E-2"/>
        </c:manualLayout>
      </c:layout>
      <c:overlay val="0"/>
      <c:spPr>
        <a:noFill/>
        <a:ln w="25400">
          <a:noFill/>
        </a:ln>
      </c:spPr>
    </c:title>
    <c:autoTitleDeleted val="0"/>
    <c:plotArea>
      <c:layout>
        <c:manualLayout>
          <c:layoutTarget val="inner"/>
          <c:xMode val="edge"/>
          <c:yMode val="edge"/>
          <c:x val="0.1509975711070243"/>
          <c:y val="0.20526368540215204"/>
          <c:w val="0.68091357536941155"/>
          <c:h val="0.63158057046816007"/>
        </c:manualLayout>
      </c:layout>
      <c:barChart>
        <c:barDir val="col"/>
        <c:grouping val="clustered"/>
        <c:varyColors val="0"/>
        <c:ser>
          <c:idx val="1"/>
          <c:order val="0"/>
          <c:tx>
            <c:strRef>
              <c:f>Charts!$B$191</c:f>
              <c:strCache>
                <c:ptCount val="1"/>
                <c:pt idx="0">
                  <c:v>Revenue / Average CSF Leased</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Charts!$AL$191:$AS$191</c:f>
              <c:numCache>
                <c:formatCode>#,##0.0_);\(#,##0.0\)</c:formatCode>
                <c:ptCount val="8"/>
                <c:pt idx="0">
                  <c:v>83.969257794915109</c:v>
                </c:pt>
                <c:pt idx="1">
                  <c:v>84.630482872582718</c:v>
                </c:pt>
                <c:pt idx="2">
                  <c:v>83.519557015864592</c:v>
                </c:pt>
                <c:pt idx="3">
                  <c:v>83.812622683968513</c:v>
                </c:pt>
                <c:pt idx="4">
                  <c:v>78.19589326152439</c:v>
                </c:pt>
                <c:pt idx="5">
                  <c:v>75.653328437605296</c:v>
                </c:pt>
                <c:pt idx="6">
                  <c:v>74.651171546480086</c:v>
                </c:pt>
                <c:pt idx="7">
                  <c:v>72.154461867382565</c:v>
                </c:pt>
              </c:numCache>
            </c:numRef>
          </c:val>
        </c:ser>
        <c:dLbls>
          <c:showLegendKey val="0"/>
          <c:showVal val="0"/>
          <c:showCatName val="0"/>
          <c:showSerName val="0"/>
          <c:showPercent val="0"/>
          <c:showBubbleSize val="0"/>
        </c:dLbls>
        <c:gapWidth val="150"/>
        <c:axId val="367576960"/>
        <c:axId val="367578496"/>
      </c:barChart>
      <c:lineChart>
        <c:grouping val="standard"/>
        <c:varyColors val="0"/>
        <c:ser>
          <c:idx val="2"/>
          <c:order val="1"/>
          <c:tx>
            <c:strRef>
              <c:f>Charts!$B$193</c:f>
              <c:strCache>
                <c:ptCount val="1"/>
                <c:pt idx="0">
                  <c:v>% Q/Q</c:v>
                </c:pt>
              </c:strCache>
            </c:strRef>
          </c:tx>
          <c:spPr>
            <a:ln w="12700">
              <a:solidFill>
                <a:srgbClr val="137CB1"/>
              </a:solidFill>
              <a:prstDash val="solid"/>
            </a:ln>
          </c:spPr>
          <c:marker>
            <c:symbol val="diamond"/>
            <c:size val="5"/>
            <c:spPr>
              <a:solidFill>
                <a:srgbClr val="137CB1"/>
              </a:solidFill>
              <a:ln>
                <a:solidFill>
                  <a:srgbClr val="137CB1"/>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Charts!$AL$192:$AS$192</c:f>
              <c:numCache>
                <c:formatCode>0.0%_);\(0.0%\);"–"_)</c:formatCode>
                <c:ptCount val="8"/>
                <c:pt idx="0">
                  <c:v>3.0921402106097506E-2</c:v>
                </c:pt>
                <c:pt idx="1">
                  <c:v>8.6749831705020375E-2</c:v>
                </c:pt>
                <c:pt idx="2">
                  <c:v>5.9408728093222729E-2</c:v>
                </c:pt>
                <c:pt idx="3">
                  <c:v>-6.4456884541892467E-2</c:v>
                </c:pt>
                <c:pt idx="4">
                  <c:v>-6.8755693273977347E-2</c:v>
                </c:pt>
                <c:pt idx="5">
                  <c:v>-0.10607471599202822</c:v>
                </c:pt>
                <c:pt idx="6">
                  <c:v>-0.10618333940276947</c:v>
                </c:pt>
                <c:pt idx="7">
                  <c:v>-0.13909791202388766</c:v>
                </c:pt>
              </c:numCache>
            </c:numRef>
          </c:val>
          <c:smooth val="0"/>
        </c:ser>
        <c:dLbls>
          <c:showLegendKey val="0"/>
          <c:showVal val="0"/>
          <c:showCatName val="0"/>
          <c:showSerName val="0"/>
          <c:showPercent val="0"/>
          <c:showBubbleSize val="0"/>
        </c:dLbls>
        <c:marker val="1"/>
        <c:smooth val="0"/>
        <c:axId val="367588480"/>
        <c:axId val="367590016"/>
      </c:lineChart>
      <c:catAx>
        <c:axId val="36757696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578496"/>
        <c:crosses val="autoZero"/>
        <c:auto val="0"/>
        <c:lblAlgn val="ctr"/>
        <c:lblOffset val="100"/>
        <c:tickLblSkip val="1"/>
        <c:tickMarkSkip val="1"/>
        <c:noMultiLvlLbl val="0"/>
      </c:catAx>
      <c:valAx>
        <c:axId val="367578496"/>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576960"/>
        <c:crosses val="autoZero"/>
        <c:crossBetween val="between"/>
      </c:valAx>
      <c:catAx>
        <c:axId val="367588480"/>
        <c:scaling>
          <c:orientation val="minMax"/>
        </c:scaling>
        <c:delete val="1"/>
        <c:axPos val="b"/>
        <c:majorTickMark val="out"/>
        <c:minorTickMark val="none"/>
        <c:tickLblPos val="nextTo"/>
        <c:crossAx val="367590016"/>
        <c:crosses val="autoZero"/>
        <c:auto val="0"/>
        <c:lblAlgn val="ctr"/>
        <c:lblOffset val="100"/>
        <c:noMultiLvlLbl val="0"/>
      </c:catAx>
      <c:valAx>
        <c:axId val="367590016"/>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67588480"/>
        <c:crosses val="max"/>
        <c:crossBetween val="between"/>
      </c:valAx>
      <c:spPr>
        <a:noFill/>
        <a:ln w="25400">
          <a:noFill/>
        </a:ln>
      </c:spPr>
    </c:plotArea>
    <c:legend>
      <c:legendPos val="t"/>
      <c:layout>
        <c:manualLayout>
          <c:xMode val="edge"/>
          <c:yMode val="edge"/>
          <c:x val="0.16500187476565428"/>
          <c:y val="2.6315789473684209E-2"/>
          <c:w val="0.82360524934383206"/>
          <c:h val="0.1052631578947368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PRICING</a:t>
            </a:r>
          </a:p>
        </c:rich>
      </c:tx>
      <c:layout>
        <c:manualLayout>
          <c:xMode val="edge"/>
          <c:yMode val="edge"/>
          <c:x val="2.8490138732658418E-2"/>
          <c:y val="2.6315789473684209E-2"/>
        </c:manualLayout>
      </c:layout>
      <c:overlay val="0"/>
      <c:spPr>
        <a:noFill/>
        <a:ln w="25400">
          <a:noFill/>
        </a:ln>
      </c:spPr>
    </c:title>
    <c:autoTitleDeleted val="0"/>
    <c:plotArea>
      <c:layout>
        <c:manualLayout>
          <c:layoutTarget val="inner"/>
          <c:xMode val="edge"/>
          <c:yMode val="edge"/>
          <c:x val="0.1509975711070243"/>
          <c:y val="0.20526368540215204"/>
          <c:w val="0.76285143146698253"/>
          <c:h val="0.63158057046816007"/>
        </c:manualLayout>
      </c:layout>
      <c:barChart>
        <c:barDir val="col"/>
        <c:grouping val="clustered"/>
        <c:varyColors val="0"/>
        <c:ser>
          <c:idx val="1"/>
          <c:order val="0"/>
          <c:tx>
            <c:strRef>
              <c:f>Charts!$B$210</c:f>
              <c:strCache>
                <c:ptCount val="1"/>
                <c:pt idx="0">
                  <c:v>Annualized Revenue / EOP CSF Leased</c:v>
                </c:pt>
              </c:strCache>
            </c:strRef>
          </c:tx>
          <c:spPr>
            <a:solidFill>
              <a:srgbClr val="EACC80"/>
            </a:solidFill>
            <a:ln w="25400">
              <a:noFill/>
            </a:ln>
          </c:spPr>
          <c:invertIfNegative val="0"/>
          <c:dLbls>
            <c:numFmt formatCode="\$#,##0.0_);\(\$#,##0.0\)" sourceLinked="0"/>
            <c:spPr>
              <a:noFill/>
              <a:ln w="25400">
                <a:noFill/>
              </a:ln>
            </c:spPr>
            <c:txPr>
              <a:bodyPr rot="-5400000" vert="horz"/>
              <a:lstStyle/>
              <a:p>
                <a:pPr algn="ct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Charts!$AL$210:$AS$210</c:f>
              <c:numCache>
                <c:formatCode>#,##0.0_);\(#,##0.0\)</c:formatCode>
                <c:ptCount val="8"/>
                <c:pt idx="0">
                  <c:v>334.90523999596218</c:v>
                </c:pt>
                <c:pt idx="1">
                  <c:v>329.36117143535552</c:v>
                </c:pt>
                <c:pt idx="2">
                  <c:v>308.88128422059185</c:v>
                </c:pt>
                <c:pt idx="3">
                  <c:v>329.3115285055855</c:v>
                </c:pt>
                <c:pt idx="4">
                  <c:v>310.93417332328494</c:v>
                </c:pt>
                <c:pt idx="5">
                  <c:v>274.02357123963128</c:v>
                </c:pt>
                <c:pt idx="6">
                  <c:v>291.26267513449932</c:v>
                </c:pt>
                <c:pt idx="7">
                  <c:v>273.16664277822042</c:v>
                </c:pt>
              </c:numCache>
            </c:numRef>
          </c:val>
        </c:ser>
        <c:dLbls>
          <c:showLegendKey val="0"/>
          <c:showVal val="0"/>
          <c:showCatName val="0"/>
          <c:showSerName val="0"/>
          <c:showPercent val="0"/>
          <c:showBubbleSize val="0"/>
        </c:dLbls>
        <c:gapWidth val="150"/>
        <c:axId val="385607168"/>
        <c:axId val="385608704"/>
      </c:barChart>
      <c:lineChart>
        <c:grouping val="standard"/>
        <c:varyColors val="0"/>
        <c:ser>
          <c:idx val="2"/>
          <c:order val="1"/>
          <c:tx>
            <c:strRef>
              <c:f>Charts!$B$212</c:f>
              <c:strCache>
                <c:ptCount val="1"/>
                <c:pt idx="0">
                  <c:v>% Q/Q</c:v>
                </c:pt>
              </c:strCache>
            </c:strRef>
          </c:tx>
          <c:spPr>
            <a:ln w="12700">
              <a:solidFill>
                <a:srgbClr val="137CB1"/>
              </a:solidFill>
              <a:prstDash val="solid"/>
            </a:ln>
          </c:spPr>
          <c:marker>
            <c:symbol val="diamond"/>
            <c:size val="5"/>
            <c:spPr>
              <a:solidFill>
                <a:srgbClr val="137CB1"/>
              </a:solidFill>
              <a:ln>
                <a:solidFill>
                  <a:srgbClr val="137CB1"/>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Charts!$AL$212:$AS$212</c:f>
              <c:numCache>
                <c:formatCode>0.0%_);\(0.0%\);"–"_)</c:formatCode>
                <c:ptCount val="8"/>
                <c:pt idx="0">
                  <c:v>1.2989023876139205E-2</c:v>
                </c:pt>
                <c:pt idx="1">
                  <c:v>-1.6554140988279231E-2</c:v>
                </c:pt>
                <c:pt idx="2">
                  <c:v>-6.218063630728643E-2</c:v>
                </c:pt>
                <c:pt idx="3">
                  <c:v>6.6142707016211055E-2</c:v>
                </c:pt>
                <c:pt idx="4">
                  <c:v>-5.5805380594165399E-2</c:v>
                </c:pt>
                <c:pt idx="5">
                  <c:v>-0.11870873403573079</c:v>
                </c:pt>
                <c:pt idx="6">
                  <c:v>6.2911025562076839E-2</c:v>
                </c:pt>
                <c:pt idx="7">
                  <c:v>-6.2129596069673276E-2</c:v>
                </c:pt>
              </c:numCache>
            </c:numRef>
          </c:val>
          <c:smooth val="0"/>
        </c:ser>
        <c:dLbls>
          <c:showLegendKey val="0"/>
          <c:showVal val="0"/>
          <c:showCatName val="0"/>
          <c:showSerName val="0"/>
          <c:showPercent val="0"/>
          <c:showBubbleSize val="0"/>
        </c:dLbls>
        <c:marker val="1"/>
        <c:smooth val="0"/>
        <c:axId val="385618688"/>
        <c:axId val="385620224"/>
      </c:lineChart>
      <c:catAx>
        <c:axId val="38560716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5608704"/>
        <c:crosses val="autoZero"/>
        <c:auto val="0"/>
        <c:lblAlgn val="ctr"/>
        <c:lblOffset val="100"/>
        <c:tickLblSkip val="1"/>
        <c:tickMarkSkip val="1"/>
        <c:noMultiLvlLbl val="0"/>
      </c:catAx>
      <c:valAx>
        <c:axId val="385608704"/>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5607168"/>
        <c:crosses val="autoZero"/>
        <c:crossBetween val="between"/>
      </c:valAx>
      <c:catAx>
        <c:axId val="385618688"/>
        <c:scaling>
          <c:orientation val="minMax"/>
        </c:scaling>
        <c:delete val="1"/>
        <c:axPos val="b"/>
        <c:majorTickMark val="out"/>
        <c:minorTickMark val="none"/>
        <c:tickLblPos val="nextTo"/>
        <c:crossAx val="385620224"/>
        <c:crosses val="autoZero"/>
        <c:auto val="0"/>
        <c:lblAlgn val="ctr"/>
        <c:lblOffset val="100"/>
        <c:noMultiLvlLbl val="0"/>
      </c:catAx>
      <c:valAx>
        <c:axId val="385620224"/>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5618688"/>
        <c:crosses val="max"/>
        <c:crossBetween val="between"/>
      </c:valAx>
      <c:spPr>
        <a:noFill/>
        <a:ln w="25400">
          <a:noFill/>
        </a:ln>
      </c:spPr>
    </c:plotArea>
    <c:legend>
      <c:legendPos val="t"/>
      <c:layout>
        <c:manualLayout>
          <c:xMode val="edge"/>
          <c:yMode val="edge"/>
          <c:x val="0.16435005624296964"/>
          <c:y val="2.6315789473684209E-2"/>
          <c:w val="0.8242561679790027"/>
          <c:h val="0.1052631578947368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PRICING</a:t>
            </a:r>
          </a:p>
        </c:rich>
      </c:tx>
      <c:layout>
        <c:manualLayout>
          <c:xMode val="edge"/>
          <c:yMode val="edge"/>
          <c:x val="2.8490138732658418E-2"/>
          <c:y val="2.6315789473684209E-2"/>
        </c:manualLayout>
      </c:layout>
      <c:overlay val="0"/>
      <c:spPr>
        <a:noFill/>
        <a:ln w="25400">
          <a:noFill/>
        </a:ln>
      </c:spPr>
    </c:title>
    <c:autoTitleDeleted val="0"/>
    <c:plotArea>
      <c:layout>
        <c:manualLayout>
          <c:layoutTarget val="inner"/>
          <c:xMode val="edge"/>
          <c:yMode val="edge"/>
          <c:x val="0.1509975711070243"/>
          <c:y val="0.20526368540215204"/>
          <c:w val="0.66951753226699462"/>
          <c:h val="0.63158057046816007"/>
        </c:manualLayout>
      </c:layout>
      <c:barChart>
        <c:barDir val="col"/>
        <c:grouping val="clustered"/>
        <c:varyColors val="0"/>
        <c:ser>
          <c:idx val="1"/>
          <c:order val="0"/>
          <c:tx>
            <c:strRef>
              <c:f>Charts!$B$228</c:f>
              <c:strCache>
                <c:ptCount val="1"/>
                <c:pt idx="0">
                  <c:v>Revenue / EOP NRSF Leased</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Charts!$X$2:$AA$2</c:f>
              <c:strCache>
                <c:ptCount val="4"/>
                <c:pt idx="0">
                  <c:v>2Q12</c:v>
                </c:pt>
                <c:pt idx="1">
                  <c:v>3Q12</c:v>
                </c:pt>
                <c:pt idx="2">
                  <c:v>4Q12</c:v>
                </c:pt>
                <c:pt idx="3">
                  <c:v>1Q13</c:v>
                </c:pt>
              </c:strCache>
            </c:strRef>
          </c:cat>
          <c:val>
            <c:numRef>
              <c:f>Charts!$X$228:$AA$228</c:f>
              <c:numCache>
                <c:formatCode>#,##0.0_);\(#,##0.0\)</c:formatCode>
                <c:ptCount val="4"/>
                <c:pt idx="0">
                  <c:v>146.54937289080851</c:v>
                </c:pt>
                <c:pt idx="1">
                  <c:v>139.2507108355841</c:v>
                </c:pt>
                <c:pt idx="2">
                  <c:v>135.18915410048518</c:v>
                </c:pt>
                <c:pt idx="3">
                  <c:v>140.62838189614325</c:v>
                </c:pt>
              </c:numCache>
            </c:numRef>
          </c:val>
        </c:ser>
        <c:dLbls>
          <c:showLegendKey val="0"/>
          <c:showVal val="0"/>
          <c:showCatName val="0"/>
          <c:showSerName val="0"/>
          <c:showPercent val="0"/>
          <c:showBubbleSize val="0"/>
        </c:dLbls>
        <c:gapWidth val="150"/>
        <c:axId val="385651840"/>
        <c:axId val="385653376"/>
      </c:barChart>
      <c:lineChart>
        <c:grouping val="standard"/>
        <c:varyColors val="0"/>
        <c:ser>
          <c:idx val="2"/>
          <c:order val="1"/>
          <c:tx>
            <c:strRef>
              <c:f>Charts!$B$230</c:f>
              <c:strCache>
                <c:ptCount val="1"/>
                <c:pt idx="0">
                  <c:v>% Q/Q</c:v>
                </c:pt>
              </c:strCache>
            </c:strRef>
          </c:tx>
          <c:spPr>
            <a:ln w="12700">
              <a:solidFill>
                <a:srgbClr val="137CB1"/>
              </a:solidFill>
              <a:prstDash val="solid"/>
            </a:ln>
          </c:spPr>
          <c:marker>
            <c:symbol val="diamond"/>
            <c:size val="5"/>
            <c:spPr>
              <a:solidFill>
                <a:srgbClr val="137CB1"/>
              </a:solidFill>
              <a:ln>
                <a:solidFill>
                  <a:srgbClr val="137CB1"/>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Charts!$X$2:$AA$2</c:f>
              <c:strCache>
                <c:ptCount val="4"/>
                <c:pt idx="0">
                  <c:v>2Q12</c:v>
                </c:pt>
                <c:pt idx="1">
                  <c:v>3Q12</c:v>
                </c:pt>
                <c:pt idx="2">
                  <c:v>4Q12</c:v>
                </c:pt>
                <c:pt idx="3">
                  <c:v>1Q13</c:v>
                </c:pt>
              </c:strCache>
            </c:strRef>
          </c:cat>
          <c:val>
            <c:numRef>
              <c:f>Charts!$X$230:$AA$230</c:f>
              <c:numCache>
                <c:formatCode>0.0%_);\(0.0%\);"–"_)</c:formatCode>
                <c:ptCount val="4"/>
                <c:pt idx="1">
                  <c:v>-4.9803434236887045E-2</c:v>
                </c:pt>
                <c:pt idx="2">
                  <c:v>-2.9167224430864613E-2</c:v>
                </c:pt>
                <c:pt idx="3">
                  <c:v>4.0234202453956591E-2</c:v>
                </c:pt>
              </c:numCache>
            </c:numRef>
          </c:val>
          <c:smooth val="0"/>
        </c:ser>
        <c:dLbls>
          <c:showLegendKey val="0"/>
          <c:showVal val="0"/>
          <c:showCatName val="0"/>
          <c:showSerName val="0"/>
          <c:showPercent val="0"/>
          <c:showBubbleSize val="0"/>
        </c:dLbls>
        <c:marker val="1"/>
        <c:smooth val="0"/>
        <c:axId val="385663360"/>
        <c:axId val="385664896"/>
      </c:lineChart>
      <c:catAx>
        <c:axId val="385651840"/>
        <c:scaling>
          <c:orientation val="minMax"/>
        </c:scaling>
        <c:delete val="0"/>
        <c:axPos val="b"/>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5653376"/>
        <c:crosses val="autoZero"/>
        <c:auto val="0"/>
        <c:lblAlgn val="ctr"/>
        <c:lblOffset val="100"/>
        <c:tickLblSkip val="1"/>
        <c:tickMarkSkip val="1"/>
        <c:noMultiLvlLbl val="0"/>
      </c:catAx>
      <c:valAx>
        <c:axId val="385653376"/>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5651840"/>
        <c:crosses val="autoZero"/>
        <c:crossBetween val="between"/>
      </c:valAx>
      <c:catAx>
        <c:axId val="385663360"/>
        <c:scaling>
          <c:orientation val="minMax"/>
        </c:scaling>
        <c:delete val="1"/>
        <c:axPos val="b"/>
        <c:majorTickMark val="out"/>
        <c:minorTickMark val="none"/>
        <c:tickLblPos val="nextTo"/>
        <c:crossAx val="385664896"/>
        <c:crosses val="autoZero"/>
        <c:auto val="0"/>
        <c:lblAlgn val="ctr"/>
        <c:lblOffset val="100"/>
        <c:noMultiLvlLbl val="0"/>
      </c:catAx>
      <c:valAx>
        <c:axId val="385664896"/>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5663360"/>
        <c:crosses val="max"/>
        <c:crossBetween val="between"/>
        <c:majorUnit val="0.05"/>
      </c:valAx>
      <c:spPr>
        <a:noFill/>
        <a:ln w="25400">
          <a:noFill/>
        </a:ln>
      </c:spPr>
    </c:plotArea>
    <c:legend>
      <c:legendPos val="t"/>
      <c:layout>
        <c:manualLayout>
          <c:xMode val="edge"/>
          <c:yMode val="edge"/>
          <c:x val="0.28775013123359577"/>
          <c:y val="2.6315789473684209E-2"/>
          <c:w val="0.70085669291338593"/>
          <c:h val="0.10526315789473684"/>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REVENUE</a:t>
            </a:r>
          </a:p>
        </c:rich>
      </c:tx>
      <c:layout>
        <c:manualLayout>
          <c:xMode val="edge"/>
          <c:yMode val="edge"/>
          <c:x val="1.4204545454545454E-2"/>
          <c:y val="2.6178010471204188E-2"/>
        </c:manualLayout>
      </c:layout>
      <c:overlay val="0"/>
      <c:spPr>
        <a:noFill/>
        <a:ln w="25400">
          <a:noFill/>
        </a:ln>
      </c:spPr>
    </c:title>
    <c:autoTitleDeleted val="0"/>
    <c:plotArea>
      <c:layout>
        <c:manualLayout>
          <c:layoutTarget val="inner"/>
          <c:xMode val="edge"/>
          <c:yMode val="edge"/>
          <c:x val="0.15056839068102845"/>
          <c:y val="0.20418848167539266"/>
          <c:w val="0.68181912761220431"/>
          <c:h val="0.58552868406324599"/>
        </c:manualLayout>
      </c:layout>
      <c:barChart>
        <c:barDir val="col"/>
        <c:grouping val="clustered"/>
        <c:varyColors val="0"/>
        <c:ser>
          <c:idx val="1"/>
          <c:order val="0"/>
          <c:tx>
            <c:strRef>
              <c:f>Charts!$B$4</c:f>
              <c:strCache>
                <c:ptCount val="1"/>
                <c:pt idx="0">
                  <c:v>Revenue</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Charts!$BA$2:$BH$2</c:f>
              <c:strCache>
                <c:ptCount val="8"/>
                <c:pt idx="0">
                  <c:v>2013</c:v>
                </c:pt>
                <c:pt idx="1">
                  <c:v>2014</c:v>
                </c:pt>
                <c:pt idx="2">
                  <c:v>2015</c:v>
                </c:pt>
                <c:pt idx="3">
                  <c:v>2016E</c:v>
                </c:pt>
                <c:pt idx="4">
                  <c:v>2017E</c:v>
                </c:pt>
                <c:pt idx="5">
                  <c:v>2018E</c:v>
                </c:pt>
                <c:pt idx="6">
                  <c:v>2019E</c:v>
                </c:pt>
                <c:pt idx="7">
                  <c:v>2020E</c:v>
                </c:pt>
              </c:strCache>
            </c:strRef>
          </c:cat>
          <c:val>
            <c:numRef>
              <c:f>Charts!$BA$4:$BH$4</c:f>
              <c:numCache>
                <c:formatCode>#,##0.0_);\(#,##0.0\)</c:formatCode>
                <c:ptCount val="8"/>
                <c:pt idx="0">
                  <c:v>263.5</c:v>
                </c:pt>
                <c:pt idx="1">
                  <c:v>330.9</c:v>
                </c:pt>
                <c:pt idx="2">
                  <c:v>399.3</c:v>
                </c:pt>
                <c:pt idx="3">
                  <c:v>529.1</c:v>
                </c:pt>
                <c:pt idx="4">
                  <c:v>672</c:v>
                </c:pt>
                <c:pt idx="5">
                  <c:v>813.81739329978359</c:v>
                </c:pt>
                <c:pt idx="6">
                  <c:v>951.20712331011725</c:v>
                </c:pt>
                <c:pt idx="7">
                  <c:v>1074.7295865134834</c:v>
                </c:pt>
              </c:numCache>
            </c:numRef>
          </c:val>
        </c:ser>
        <c:dLbls>
          <c:showLegendKey val="0"/>
          <c:showVal val="0"/>
          <c:showCatName val="0"/>
          <c:showSerName val="0"/>
          <c:showPercent val="0"/>
          <c:showBubbleSize val="0"/>
        </c:dLbls>
        <c:gapWidth val="150"/>
        <c:axId val="386237184"/>
        <c:axId val="386238720"/>
      </c:barChart>
      <c:lineChart>
        <c:grouping val="standard"/>
        <c:varyColors val="0"/>
        <c:ser>
          <c:idx val="2"/>
          <c:order val="1"/>
          <c:tx>
            <c:strRef>
              <c:f>Charts!$B$5</c:f>
              <c:strCache>
                <c:ptCount val="1"/>
                <c:pt idx="0">
                  <c:v>% Y/Y</c:v>
                </c:pt>
              </c:strCache>
            </c:strRef>
          </c:tx>
          <c:spPr>
            <a:ln w="12700">
              <a:solidFill>
                <a:srgbClr val="137CB1"/>
              </a:solidFill>
              <a:prstDash val="solid"/>
            </a:ln>
          </c:spPr>
          <c:marker>
            <c:symbol val="diamond"/>
            <c:size val="5"/>
            <c:spPr>
              <a:solidFill>
                <a:srgbClr val="137CB1"/>
              </a:solidFill>
              <a:ln>
                <a:solidFill>
                  <a:srgbClr val="137CB1"/>
                </a:solidFill>
                <a:prstDash val="solid"/>
              </a:ln>
            </c:spPr>
          </c:marker>
          <c:dLbls>
            <c:dLbl>
              <c:idx val="4"/>
              <c:layout>
                <c:manualLayout>
                  <c:x val="-7.5170603674540676E-2"/>
                  <c:y val="0.10557112580165179"/>
                </c:manualLayout>
              </c:layout>
              <c:dLblPos val="r"/>
              <c:showLegendKey val="0"/>
              <c:showVal val="1"/>
              <c:showCatName val="0"/>
              <c:showSerName val="0"/>
              <c:showPercent val="0"/>
              <c:showBubbleSize val="0"/>
            </c:dLbl>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Charts!$BA$2:$BH$2</c:f>
              <c:strCache>
                <c:ptCount val="8"/>
                <c:pt idx="0">
                  <c:v>2013</c:v>
                </c:pt>
                <c:pt idx="1">
                  <c:v>2014</c:v>
                </c:pt>
                <c:pt idx="2">
                  <c:v>2015</c:v>
                </c:pt>
                <c:pt idx="3">
                  <c:v>2016E</c:v>
                </c:pt>
                <c:pt idx="4">
                  <c:v>2017E</c:v>
                </c:pt>
                <c:pt idx="5">
                  <c:v>2018E</c:v>
                </c:pt>
                <c:pt idx="6">
                  <c:v>2019E</c:v>
                </c:pt>
                <c:pt idx="7">
                  <c:v>2020E</c:v>
                </c:pt>
              </c:strCache>
            </c:strRef>
          </c:cat>
          <c:val>
            <c:numRef>
              <c:f>Charts!$BA$5:$BH$5</c:f>
              <c:numCache>
                <c:formatCode>0.0%_);\(0.0%\);"–"_)</c:formatCode>
                <c:ptCount val="8"/>
                <c:pt idx="0">
                  <c:v>0.19338768115942018</c:v>
                </c:pt>
                <c:pt idx="1">
                  <c:v>0.25578747628083476</c:v>
                </c:pt>
                <c:pt idx="2">
                  <c:v>0.20670897552130563</c:v>
                </c:pt>
                <c:pt idx="3">
                  <c:v>0.32506887052341593</c:v>
                </c:pt>
                <c:pt idx="4">
                  <c:v>0.27008127008127003</c:v>
                </c:pt>
                <c:pt idx="5">
                  <c:v>0.21103778764848746</c:v>
                </c:pt>
                <c:pt idx="6">
                  <c:v>0.16882132422024032</c:v>
                </c:pt>
                <c:pt idx="7">
                  <c:v>0.12985863980235846</c:v>
                </c:pt>
              </c:numCache>
            </c:numRef>
          </c:val>
          <c:smooth val="0"/>
        </c:ser>
        <c:dLbls>
          <c:showLegendKey val="0"/>
          <c:showVal val="0"/>
          <c:showCatName val="0"/>
          <c:showSerName val="0"/>
          <c:showPercent val="0"/>
          <c:showBubbleSize val="0"/>
        </c:dLbls>
        <c:marker val="1"/>
        <c:smooth val="0"/>
        <c:axId val="386252800"/>
        <c:axId val="386254336"/>
      </c:lineChart>
      <c:catAx>
        <c:axId val="386237184"/>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86238720"/>
        <c:crosses val="autoZero"/>
        <c:auto val="0"/>
        <c:lblAlgn val="ctr"/>
        <c:lblOffset val="100"/>
        <c:tickLblSkip val="1"/>
        <c:tickMarkSkip val="1"/>
        <c:noMultiLvlLbl val="0"/>
      </c:catAx>
      <c:valAx>
        <c:axId val="386238720"/>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6237184"/>
        <c:crosses val="autoZero"/>
        <c:crossBetween val="between"/>
      </c:valAx>
      <c:catAx>
        <c:axId val="386252800"/>
        <c:scaling>
          <c:orientation val="minMax"/>
        </c:scaling>
        <c:delete val="1"/>
        <c:axPos val="b"/>
        <c:majorTickMark val="out"/>
        <c:minorTickMark val="none"/>
        <c:tickLblPos val="nextTo"/>
        <c:crossAx val="386254336"/>
        <c:crosses val="autoZero"/>
        <c:auto val="0"/>
        <c:lblAlgn val="ctr"/>
        <c:lblOffset val="100"/>
        <c:noMultiLvlLbl val="0"/>
      </c:catAx>
      <c:valAx>
        <c:axId val="386254336"/>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6252800"/>
        <c:crosses val="max"/>
        <c:crossBetween val="between"/>
      </c:valAx>
      <c:spPr>
        <a:noFill/>
        <a:ln w="25400">
          <a:noFill/>
        </a:ln>
      </c:spPr>
    </c:plotArea>
    <c:legend>
      <c:legendPos val="t"/>
      <c:layout>
        <c:manualLayout>
          <c:xMode val="edge"/>
          <c:yMode val="edge"/>
          <c:x val="0.35984937962300168"/>
          <c:y val="2.6178010471204188E-2"/>
          <c:w val="0.61742483894058697"/>
          <c:h val="0.10471204188481675"/>
        </c:manualLayout>
      </c:layout>
      <c:overlay val="0"/>
      <c:spPr>
        <a:noFill/>
        <a:ln w="25400">
          <a:noFill/>
        </a:ln>
      </c:spPr>
      <c:txPr>
        <a:bodyPr/>
        <a:lstStyle/>
        <a:p>
          <a:pPr>
            <a:defRPr sz="84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CHURN (ANNUALIZED)</a:t>
            </a:r>
          </a:p>
        </c:rich>
      </c:tx>
      <c:layout>
        <c:manualLayout>
          <c:xMode val="edge"/>
          <c:yMode val="edge"/>
          <c:x val="1.4245014245014245E-2"/>
          <c:y val="2.6041666666666668E-2"/>
        </c:manualLayout>
      </c:layout>
      <c:overlay val="0"/>
      <c:spPr>
        <a:noFill/>
        <a:ln w="25400">
          <a:noFill/>
        </a:ln>
      </c:spPr>
    </c:title>
    <c:autoTitleDeleted val="0"/>
    <c:plotArea>
      <c:layout>
        <c:manualLayout>
          <c:layoutTarget val="inner"/>
          <c:xMode val="edge"/>
          <c:yMode val="edge"/>
          <c:x val="0.14245053878021161"/>
          <c:y val="0.18750095367916708"/>
          <c:w val="0.81766609259841472"/>
          <c:h val="0.60416973963287168"/>
        </c:manualLayout>
      </c:layout>
      <c:barChart>
        <c:barDir val="col"/>
        <c:grouping val="clustered"/>
        <c:varyColors val="0"/>
        <c:ser>
          <c:idx val="0"/>
          <c:order val="0"/>
          <c:tx>
            <c:strRef>
              <c:f>Charts!$B$246</c:f>
              <c:strCache>
                <c:ptCount val="1"/>
                <c:pt idx="0">
                  <c:v>CONE</c:v>
                </c:pt>
              </c:strCache>
            </c:strRef>
          </c:tx>
          <c:spPr>
            <a:solidFill>
              <a:srgbClr val="137CB1"/>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Charts!$AL$246:$AS$246</c:f>
              <c:numCache>
                <c:formatCode>0.0%</c:formatCode>
                <c:ptCount val="8"/>
                <c:pt idx="0">
                  <c:v>1.6096256256000085E-2</c:v>
                </c:pt>
                <c:pt idx="1">
                  <c:v>5.302281656099983E-2</c:v>
                </c:pt>
                <c:pt idx="2">
                  <c:v>0.1124532634409996</c:v>
                </c:pt>
                <c:pt idx="3">
                  <c:v>0.16088557313600016</c:v>
                </c:pt>
                <c:pt idx="4">
                  <c:v>9.0946826256000035E-2</c:v>
                </c:pt>
                <c:pt idx="5">
                  <c:v>5.718701441600027E-2</c:v>
                </c:pt>
                <c:pt idx="6">
                  <c:v>3.2386052096000206E-2</c:v>
                </c:pt>
                <c:pt idx="7">
                  <c:v>2.4216865295999979E-2</c:v>
                </c:pt>
              </c:numCache>
            </c:numRef>
          </c:val>
        </c:ser>
        <c:dLbls>
          <c:showLegendKey val="0"/>
          <c:showVal val="0"/>
          <c:showCatName val="0"/>
          <c:showSerName val="0"/>
          <c:showPercent val="0"/>
          <c:showBubbleSize val="0"/>
        </c:dLbls>
        <c:gapWidth val="150"/>
        <c:axId val="386938752"/>
        <c:axId val="386940288"/>
      </c:barChart>
      <c:catAx>
        <c:axId val="3869387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6940288"/>
        <c:crosses val="autoZero"/>
        <c:auto val="1"/>
        <c:lblAlgn val="ctr"/>
        <c:lblOffset val="100"/>
        <c:tickLblSkip val="1"/>
        <c:tickMarkSkip val="1"/>
        <c:noMultiLvlLbl val="0"/>
      </c:catAx>
      <c:valAx>
        <c:axId val="386940288"/>
        <c:scaling>
          <c:orientation val="minMax"/>
        </c:scaling>
        <c:delete val="0"/>
        <c:axPos val="l"/>
        <c:majorGridlines>
          <c:spPr>
            <a:ln w="3175">
              <a:solidFill>
                <a:srgbClr val="C0C0C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6938752"/>
        <c:crosses val="autoZero"/>
        <c:crossBetween val="between"/>
        <c:majorUnit val="3.0000000000000006E-2"/>
      </c:valAx>
      <c:spPr>
        <a:noFill/>
        <a:ln w="25400">
          <a:noFill/>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LEASE EXPIRATIONS (% OF ANNUALIZED RENT)</a:t>
            </a:r>
          </a:p>
        </c:rich>
      </c:tx>
      <c:layout>
        <c:manualLayout>
          <c:xMode val="edge"/>
          <c:yMode val="edge"/>
          <c:x val="1.4245014245014245E-2"/>
          <c:y val="2.6041666666666668E-2"/>
        </c:manualLayout>
      </c:layout>
      <c:overlay val="0"/>
      <c:spPr>
        <a:noFill/>
        <a:ln w="25400">
          <a:noFill/>
        </a:ln>
      </c:spPr>
    </c:title>
    <c:autoTitleDeleted val="0"/>
    <c:plotArea>
      <c:layout>
        <c:manualLayout>
          <c:layoutTarget val="inner"/>
          <c:xMode val="edge"/>
          <c:yMode val="edge"/>
          <c:x val="0.13390350645339891"/>
          <c:y val="0.18750095367916708"/>
          <c:w val="0.82621312492522736"/>
          <c:h val="0.65104497805266348"/>
        </c:manualLayout>
      </c:layout>
      <c:barChart>
        <c:barDir val="col"/>
        <c:grouping val="clustered"/>
        <c:varyColors val="0"/>
        <c:ser>
          <c:idx val="0"/>
          <c:order val="0"/>
          <c:tx>
            <c:v>Leases</c:v>
          </c:tx>
          <c:spPr>
            <a:solidFill>
              <a:srgbClr val="137CB1"/>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Charts!$B$262:$B$266</c:f>
              <c:strCache>
                <c:ptCount val="4"/>
                <c:pt idx="0">
                  <c:v>0-999</c:v>
                </c:pt>
                <c:pt idx="1">
                  <c:v>2500-4999</c:v>
                </c:pt>
                <c:pt idx="2">
                  <c:v>5000-9999</c:v>
                </c:pt>
                <c:pt idx="3">
                  <c:v>10000+</c:v>
                </c:pt>
              </c:strCache>
            </c:strRef>
          </c:cat>
          <c:val>
            <c:numRef>
              <c:f>Charts!$AB$262:$AB$266</c:f>
              <c:numCache>
                <c:formatCode>0%</c:formatCode>
                <c:ptCount val="4"/>
                <c:pt idx="0">
                  <c:v>0.13</c:v>
                </c:pt>
                <c:pt idx="1">
                  <c:v>0.08</c:v>
                </c:pt>
                <c:pt idx="2">
                  <c:v>0.2</c:v>
                </c:pt>
                <c:pt idx="3">
                  <c:v>0.53</c:v>
                </c:pt>
              </c:numCache>
            </c:numRef>
          </c:val>
        </c:ser>
        <c:dLbls>
          <c:showLegendKey val="0"/>
          <c:showVal val="0"/>
          <c:showCatName val="0"/>
          <c:showSerName val="0"/>
          <c:showPercent val="0"/>
          <c:showBubbleSize val="0"/>
        </c:dLbls>
        <c:gapWidth val="150"/>
        <c:axId val="386960768"/>
        <c:axId val="387523712"/>
      </c:barChart>
      <c:catAx>
        <c:axId val="386960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523712"/>
        <c:crosses val="autoZero"/>
        <c:auto val="1"/>
        <c:lblAlgn val="ctr"/>
        <c:lblOffset val="100"/>
        <c:tickLblSkip val="1"/>
        <c:tickMarkSkip val="1"/>
        <c:noMultiLvlLbl val="0"/>
      </c:catAx>
      <c:valAx>
        <c:axId val="387523712"/>
        <c:scaling>
          <c:orientation val="minMax"/>
        </c:scaling>
        <c:delete val="0"/>
        <c:axPos val="l"/>
        <c:majorGridlines>
          <c:spPr>
            <a:ln w="3175">
              <a:solidFill>
                <a:srgbClr val="C0C0C0"/>
              </a:solidFill>
              <a:prstDash val="solid"/>
            </a:ln>
          </c:spPr>
        </c:majorGridlines>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6960768"/>
        <c:crosses val="autoZero"/>
        <c:crossBetween val="between"/>
      </c:valAx>
      <c:spPr>
        <a:noFill/>
        <a:ln w="25400">
          <a:noFill/>
        </a:ln>
      </c:spPr>
    </c:plotArea>
    <c:legend>
      <c:legendPos val="t"/>
      <c:layout>
        <c:manualLayout>
          <c:xMode val="edge"/>
          <c:yMode val="edge"/>
          <c:x val="0.83476022762112001"/>
          <c:y val="2.6041666666666668E-2"/>
          <c:w val="0.15384645295406452"/>
          <c:h val="0.10416721347331583"/>
        </c:manualLayout>
      </c:layout>
      <c:overlay val="0"/>
      <c:spPr>
        <a:noFill/>
        <a:ln w="25400">
          <a:noFill/>
        </a:ln>
      </c:spPr>
      <c:txPr>
        <a:bodyPr/>
        <a:lstStyle/>
        <a:p>
          <a:pPr>
            <a:defRPr sz="47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REVENUE</a:t>
            </a:r>
          </a:p>
        </c:rich>
      </c:tx>
      <c:layout>
        <c:manualLayout>
          <c:xMode val="edge"/>
          <c:yMode val="edge"/>
          <c:x val="1.7094017094017096E-2"/>
          <c:y val="2.6178010471204188E-2"/>
        </c:manualLayout>
      </c:layout>
      <c:overlay val="0"/>
      <c:spPr>
        <a:noFill/>
        <a:ln w="25400">
          <a:noFill/>
        </a:ln>
      </c:spPr>
    </c:title>
    <c:autoTitleDeleted val="0"/>
    <c:plotArea>
      <c:layout>
        <c:manualLayout>
          <c:layoutTarget val="inner"/>
          <c:xMode val="edge"/>
          <c:yMode val="edge"/>
          <c:x val="0.13390350645339891"/>
          <c:y val="0.20418848167539266"/>
          <c:w val="0.71510170467666234"/>
          <c:h val="0.55497382198952883"/>
        </c:manualLayout>
      </c:layout>
      <c:barChart>
        <c:barDir val="col"/>
        <c:grouping val="clustered"/>
        <c:varyColors val="0"/>
        <c:ser>
          <c:idx val="1"/>
          <c:order val="0"/>
          <c:tx>
            <c:strRef>
              <c:f>Charts!$B$4</c:f>
              <c:strCache>
                <c:ptCount val="1"/>
                <c:pt idx="0">
                  <c:v>Revenue</c:v>
                </c:pt>
              </c:strCache>
            </c:strRef>
          </c:tx>
          <c:spPr>
            <a:solidFill>
              <a:srgbClr val="EACC80"/>
            </a:solidFill>
            <a:ln w="25400">
              <a:noFill/>
            </a:ln>
          </c:spPr>
          <c:invertIfNegative val="0"/>
          <c:dLbls>
            <c:numFmt formatCode="\$#,##0.0_);\(\$#,##0.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Charts!$AL$4:$AS$4</c:f>
              <c:numCache>
                <c:formatCode>#,##0.0_);\(#,##0.0\)</c:formatCode>
                <c:ptCount val="8"/>
                <c:pt idx="0">
                  <c:v>113.3</c:v>
                </c:pt>
                <c:pt idx="1">
                  <c:v>117.8</c:v>
                </c:pt>
                <c:pt idx="2">
                  <c:v>130.1</c:v>
                </c:pt>
                <c:pt idx="3">
                  <c:v>143.80000000000001</c:v>
                </c:pt>
                <c:pt idx="4">
                  <c:v>137.4</c:v>
                </c:pt>
                <c:pt idx="5">
                  <c:v>149.30000000000001</c:v>
                </c:pt>
                <c:pt idx="6">
                  <c:v>166.9</c:v>
                </c:pt>
                <c:pt idx="7">
                  <c:v>175.3</c:v>
                </c:pt>
              </c:numCache>
            </c:numRef>
          </c:val>
        </c:ser>
        <c:dLbls>
          <c:showLegendKey val="0"/>
          <c:showVal val="0"/>
          <c:showCatName val="0"/>
          <c:showSerName val="0"/>
          <c:showPercent val="0"/>
          <c:showBubbleSize val="0"/>
        </c:dLbls>
        <c:gapWidth val="150"/>
        <c:axId val="387547136"/>
        <c:axId val="387548672"/>
      </c:barChart>
      <c:lineChart>
        <c:grouping val="standard"/>
        <c:varyColors val="0"/>
        <c:ser>
          <c:idx val="2"/>
          <c:order val="1"/>
          <c:tx>
            <c:strRef>
              <c:f>Charts!$B$5</c:f>
              <c:strCache>
                <c:ptCount val="1"/>
                <c:pt idx="0">
                  <c:v>% Y/Y</c:v>
                </c:pt>
              </c:strCache>
            </c:strRef>
          </c:tx>
          <c:spPr>
            <a:ln w="12700">
              <a:solidFill>
                <a:srgbClr val="137CB1"/>
              </a:solidFill>
              <a:prstDash val="solid"/>
            </a:ln>
          </c:spPr>
          <c:marker>
            <c:symbol val="diamond"/>
            <c:size val="5"/>
            <c:spPr>
              <a:solidFill>
                <a:srgbClr val="137CB1"/>
              </a:solidFill>
              <a:ln>
                <a:solidFill>
                  <a:srgbClr val="137CB1"/>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Charts!$AL$5:$AS$5</c:f>
              <c:numCache>
                <c:formatCode>0.0%_);\(0.0%\);"–"_)</c:formatCode>
                <c:ptCount val="8"/>
                <c:pt idx="0">
                  <c:v>0.30379746835443022</c:v>
                </c:pt>
                <c:pt idx="1">
                  <c:v>0.37456242707117848</c:v>
                </c:pt>
                <c:pt idx="2">
                  <c:v>0.46015712682379362</c:v>
                </c:pt>
                <c:pt idx="3">
                  <c:v>0.29316546762589946</c:v>
                </c:pt>
                <c:pt idx="4">
                  <c:v>0.21270962047661079</c:v>
                </c:pt>
                <c:pt idx="5">
                  <c:v>0.26740237691001711</c:v>
                </c:pt>
                <c:pt idx="6">
                  <c:v>0.28285933897002313</c:v>
                </c:pt>
                <c:pt idx="7">
                  <c:v>0.21905424200278167</c:v>
                </c:pt>
              </c:numCache>
            </c:numRef>
          </c:val>
          <c:smooth val="0"/>
        </c:ser>
        <c:dLbls>
          <c:showLegendKey val="0"/>
          <c:showVal val="0"/>
          <c:showCatName val="0"/>
          <c:showSerName val="0"/>
          <c:showPercent val="0"/>
          <c:showBubbleSize val="0"/>
        </c:dLbls>
        <c:marker val="1"/>
        <c:smooth val="0"/>
        <c:axId val="387550208"/>
        <c:axId val="387568384"/>
      </c:lineChart>
      <c:catAx>
        <c:axId val="387547136"/>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87548672"/>
        <c:crosses val="autoZero"/>
        <c:auto val="0"/>
        <c:lblAlgn val="ctr"/>
        <c:lblOffset val="100"/>
        <c:tickLblSkip val="1"/>
        <c:tickMarkSkip val="1"/>
        <c:noMultiLvlLbl val="0"/>
      </c:catAx>
      <c:valAx>
        <c:axId val="387548672"/>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547136"/>
        <c:crosses val="autoZero"/>
        <c:crossBetween val="between"/>
      </c:valAx>
      <c:catAx>
        <c:axId val="387550208"/>
        <c:scaling>
          <c:orientation val="minMax"/>
        </c:scaling>
        <c:delete val="1"/>
        <c:axPos val="b"/>
        <c:majorTickMark val="out"/>
        <c:minorTickMark val="none"/>
        <c:tickLblPos val="nextTo"/>
        <c:crossAx val="387568384"/>
        <c:crosses val="autoZero"/>
        <c:auto val="0"/>
        <c:lblAlgn val="ctr"/>
        <c:lblOffset val="100"/>
        <c:noMultiLvlLbl val="0"/>
      </c:catAx>
      <c:valAx>
        <c:axId val="387568384"/>
        <c:scaling>
          <c:orientation val="minMax"/>
        </c:scaling>
        <c:delete val="0"/>
        <c:axPos val="r"/>
        <c:numFmt formatCode="0.0%_);\(0.0%\);&quot;–&quot;_)"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550208"/>
        <c:crosses val="max"/>
        <c:crossBetween val="between"/>
      </c:valAx>
      <c:spPr>
        <a:noFill/>
        <a:ln w="25400">
          <a:noFill/>
        </a:ln>
      </c:spPr>
    </c:plotArea>
    <c:legend>
      <c:legendPos val="t"/>
      <c:layout>
        <c:manualLayout>
          <c:xMode val="edge"/>
          <c:yMode val="edge"/>
          <c:x val="0.35802618689757798"/>
          <c:y val="2.6178010471204188E-2"/>
          <c:w val="0.63058049367760649"/>
          <c:h val="0.10471204188481675"/>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NEW LEASES (CSF)</a:t>
            </a:r>
          </a:p>
        </c:rich>
      </c:tx>
      <c:layout>
        <c:manualLayout>
          <c:xMode val="edge"/>
          <c:yMode val="edge"/>
          <c:x val="1.4245014245014245E-2"/>
          <c:y val="2.6041666666666668E-2"/>
        </c:manualLayout>
      </c:layout>
      <c:overlay val="0"/>
      <c:spPr>
        <a:noFill/>
        <a:ln w="25400">
          <a:noFill/>
        </a:ln>
      </c:spPr>
    </c:title>
    <c:autoTitleDeleted val="0"/>
    <c:plotArea>
      <c:layout>
        <c:manualLayout>
          <c:layoutTarget val="inner"/>
          <c:xMode val="edge"/>
          <c:yMode val="edge"/>
          <c:x val="0.19373273274108779"/>
          <c:y val="0.18750095367916708"/>
          <c:w val="0.76638389863753853"/>
          <c:h val="0.60416973963287168"/>
        </c:manualLayout>
      </c:layout>
      <c:barChart>
        <c:barDir val="col"/>
        <c:grouping val="clustered"/>
        <c:varyColors val="0"/>
        <c:ser>
          <c:idx val="0"/>
          <c:order val="0"/>
          <c:tx>
            <c:strRef>
              <c:f>Charts!$B$281</c:f>
              <c:strCache>
                <c:ptCount val="1"/>
                <c:pt idx="0">
                  <c:v>CONE</c:v>
                </c:pt>
              </c:strCache>
            </c:strRef>
          </c:tx>
          <c:spPr>
            <a:solidFill>
              <a:srgbClr val="137CB1"/>
            </a:solidFill>
            <a:ln w="25400">
              <a:noFill/>
            </a:ln>
          </c:spPr>
          <c:invertIfNegative val="0"/>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Charts!$AL$281:$AS$281</c:f>
              <c:numCache>
                <c:formatCode>#,##0_);\(#,##0\)</c:formatCode>
                <c:ptCount val="8"/>
                <c:pt idx="0">
                  <c:v>205000</c:v>
                </c:pt>
                <c:pt idx="1">
                  <c:v>181000</c:v>
                </c:pt>
                <c:pt idx="2">
                  <c:v>282000</c:v>
                </c:pt>
                <c:pt idx="3">
                  <c:v>105000</c:v>
                </c:pt>
                <c:pt idx="4">
                  <c:v>74000</c:v>
                </c:pt>
                <c:pt idx="5">
                  <c:v>148000</c:v>
                </c:pt>
                <c:pt idx="6">
                  <c:v>136000</c:v>
                </c:pt>
                <c:pt idx="7">
                  <c:v>151000</c:v>
                </c:pt>
              </c:numCache>
            </c:numRef>
          </c:val>
        </c:ser>
        <c:dLbls>
          <c:showLegendKey val="0"/>
          <c:showVal val="0"/>
          <c:showCatName val="0"/>
          <c:showSerName val="0"/>
          <c:showPercent val="0"/>
          <c:showBubbleSize val="0"/>
        </c:dLbls>
        <c:gapWidth val="150"/>
        <c:axId val="387601536"/>
        <c:axId val="387603072"/>
      </c:barChart>
      <c:catAx>
        <c:axId val="387601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603072"/>
        <c:crosses val="autoZero"/>
        <c:auto val="1"/>
        <c:lblAlgn val="ctr"/>
        <c:lblOffset val="100"/>
        <c:tickLblSkip val="1"/>
        <c:tickMarkSkip val="1"/>
        <c:noMultiLvlLbl val="0"/>
      </c:catAx>
      <c:valAx>
        <c:axId val="387603072"/>
        <c:scaling>
          <c:orientation val="minMax"/>
        </c:scaling>
        <c:delete val="0"/>
        <c:axPos val="l"/>
        <c:majorGridlines>
          <c:spPr>
            <a:ln w="3175">
              <a:solidFill>
                <a:srgbClr val="C0C0C0"/>
              </a:solidFill>
              <a:prstDash val="solid"/>
            </a:ln>
          </c:spPr>
        </c:majorGridlines>
        <c:numFmt formatCode="#,##0_);\(#,##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601536"/>
        <c:crosses val="autoZero"/>
        <c:crossBetween val="between"/>
        <c:majorUnit val="50000"/>
      </c:valAx>
      <c:spPr>
        <a:noFill/>
        <a:ln w="25400">
          <a:noFill/>
        </a:ln>
      </c:spPr>
    </c:plotArea>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CAPEX</a:t>
            </a:r>
          </a:p>
        </c:rich>
      </c:tx>
      <c:layout>
        <c:manualLayout>
          <c:xMode val="edge"/>
          <c:yMode val="edge"/>
          <c:x val="1.424482398152953E-2"/>
          <c:y val="2.6315789473684209E-2"/>
        </c:manualLayout>
      </c:layout>
      <c:overlay val="0"/>
      <c:spPr>
        <a:noFill/>
        <a:ln w="25400">
          <a:noFill/>
        </a:ln>
      </c:spPr>
    </c:title>
    <c:autoTitleDeleted val="0"/>
    <c:plotArea>
      <c:layout>
        <c:manualLayout>
          <c:layoutTarget val="inner"/>
          <c:xMode val="edge"/>
          <c:yMode val="edge"/>
          <c:x val="0.13390350645339891"/>
          <c:y val="0.20526368540215204"/>
          <c:w val="0.69800764002303695"/>
          <c:h val="0.56365852066476385"/>
        </c:manualLayout>
      </c:layout>
      <c:barChart>
        <c:barDir val="col"/>
        <c:grouping val="clustered"/>
        <c:varyColors val="0"/>
        <c:ser>
          <c:idx val="1"/>
          <c:order val="0"/>
          <c:tx>
            <c:strRef>
              <c:f>Charts!$B$67</c:f>
              <c:strCache>
                <c:ptCount val="1"/>
                <c:pt idx="0">
                  <c:v>Capex</c:v>
                </c:pt>
              </c:strCache>
            </c:strRef>
          </c:tx>
          <c:spPr>
            <a:solidFill>
              <a:srgbClr val="EACC80"/>
            </a:solidFill>
            <a:ln w="25400">
              <a:noFill/>
            </a:ln>
          </c:spPr>
          <c:invertIfNegative val="0"/>
          <c:dLbls>
            <c:numFmt formatCode="\$#,##0.0_);\(\$#,##0.0\)" sourceLinked="0"/>
            <c:spPr>
              <a:noFill/>
              <a:ln w="25400">
                <a:noFill/>
              </a:ln>
            </c:spPr>
            <c:txPr>
              <a:bodyPr rot="-5400000" vert="horz"/>
              <a:lstStyle/>
              <a:p>
                <a:pPr>
                  <a:defRPr sz="800" b="0" i="0" u="none" strike="noStrike" baseline="0">
                    <a:solidFill>
                      <a:srgbClr val="000000"/>
                    </a:solidFill>
                    <a:latin typeface="Arial"/>
                    <a:ea typeface="Arial"/>
                    <a:cs typeface="Arial"/>
                  </a:defRPr>
                </a:pPr>
                <a:endParaRPr lang="en-US"/>
              </a:p>
            </c:txPr>
            <c:dLblPos val="inBase"/>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Charts!$AL$67:$AS$67</c:f>
              <c:numCache>
                <c:formatCode>#,##0.0_);\(#,##0.0\)</c:formatCode>
                <c:ptCount val="8"/>
                <c:pt idx="0">
                  <c:v>76.3</c:v>
                </c:pt>
                <c:pt idx="1">
                  <c:v>209.6</c:v>
                </c:pt>
                <c:pt idx="2">
                  <c:v>168.6</c:v>
                </c:pt>
                <c:pt idx="3">
                  <c:v>178.3</c:v>
                </c:pt>
                <c:pt idx="4">
                  <c:v>174.6</c:v>
                </c:pt>
                <c:pt idx="5">
                  <c:v>182.5</c:v>
                </c:pt>
                <c:pt idx="6">
                  <c:v>302.5</c:v>
                </c:pt>
                <c:pt idx="7">
                  <c:v>224.1</c:v>
                </c:pt>
              </c:numCache>
            </c:numRef>
          </c:val>
        </c:ser>
        <c:dLbls>
          <c:showLegendKey val="0"/>
          <c:showVal val="0"/>
          <c:showCatName val="0"/>
          <c:showSerName val="0"/>
          <c:showPercent val="0"/>
          <c:showBubbleSize val="0"/>
        </c:dLbls>
        <c:gapWidth val="150"/>
        <c:axId val="387921408"/>
        <c:axId val="387922944"/>
      </c:barChart>
      <c:lineChart>
        <c:grouping val="standard"/>
        <c:varyColors val="0"/>
        <c:ser>
          <c:idx val="0"/>
          <c:order val="1"/>
          <c:tx>
            <c:strRef>
              <c:f>Charts!$B$68</c:f>
              <c:strCache>
                <c:ptCount val="1"/>
                <c:pt idx="0">
                  <c:v>% Revenue</c:v>
                </c:pt>
              </c:strCache>
            </c:strRef>
          </c:tx>
          <c:spPr>
            <a:ln w="12700">
              <a:solidFill>
                <a:srgbClr val="1275A6"/>
              </a:solidFill>
              <a:prstDash val="solid"/>
            </a:ln>
          </c:spPr>
          <c:marker>
            <c:symbol val="diamond"/>
            <c:size val="5"/>
            <c:spPr>
              <a:solidFill>
                <a:srgbClr val="1275A6"/>
              </a:solidFill>
              <a:ln>
                <a:solidFill>
                  <a:srgbClr val="1275A6"/>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dLbls>
          <c:cat>
            <c:strRef>
              <c:f>Charts!$AL$2:$AS$2</c:f>
              <c:strCache>
                <c:ptCount val="8"/>
                <c:pt idx="0">
                  <c:v>4Q15</c:v>
                </c:pt>
                <c:pt idx="1">
                  <c:v>1Q16</c:v>
                </c:pt>
                <c:pt idx="2">
                  <c:v>2Q16</c:v>
                </c:pt>
                <c:pt idx="3">
                  <c:v>3Q16</c:v>
                </c:pt>
                <c:pt idx="4">
                  <c:v>4Q16</c:v>
                </c:pt>
                <c:pt idx="5">
                  <c:v>1Q17</c:v>
                </c:pt>
                <c:pt idx="6">
                  <c:v>2Q17</c:v>
                </c:pt>
                <c:pt idx="7">
                  <c:v>3Q17E</c:v>
                </c:pt>
              </c:strCache>
            </c:strRef>
          </c:cat>
          <c:val>
            <c:numRef>
              <c:f>Charts!$AL$68:$AS$68</c:f>
              <c:numCache>
                <c:formatCode>0.0%_);\(0.0%\);"–"_)</c:formatCode>
                <c:ptCount val="8"/>
                <c:pt idx="0">
                  <c:v>0.6734333627537511</c:v>
                </c:pt>
                <c:pt idx="1">
                  <c:v>1.7792869269949065</c:v>
                </c:pt>
                <c:pt idx="2">
                  <c:v>1.2959262106072251</c:v>
                </c:pt>
                <c:pt idx="3">
                  <c:v>1.2399165507649512</c:v>
                </c:pt>
                <c:pt idx="4">
                  <c:v>1.2707423580786026</c:v>
                </c:pt>
                <c:pt idx="5">
                  <c:v>1.2223710649698591</c:v>
                </c:pt>
                <c:pt idx="6">
                  <c:v>1.8124625524266027</c:v>
                </c:pt>
                <c:pt idx="7">
                  <c:v>1.2783799201369079</c:v>
                </c:pt>
              </c:numCache>
            </c:numRef>
          </c:val>
          <c:smooth val="0"/>
        </c:ser>
        <c:dLbls>
          <c:showLegendKey val="0"/>
          <c:showVal val="0"/>
          <c:showCatName val="0"/>
          <c:showSerName val="0"/>
          <c:showPercent val="0"/>
          <c:showBubbleSize val="0"/>
        </c:dLbls>
        <c:marker val="1"/>
        <c:smooth val="0"/>
        <c:axId val="387928832"/>
        <c:axId val="387930368"/>
      </c:lineChart>
      <c:catAx>
        <c:axId val="387921408"/>
        <c:scaling>
          <c:orientation val="minMax"/>
        </c:scaling>
        <c:delete val="0"/>
        <c:axPos val="b"/>
        <c:numFmt formatCode="General"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387922944"/>
        <c:crosses val="autoZero"/>
        <c:auto val="0"/>
        <c:lblAlgn val="ctr"/>
        <c:lblOffset val="100"/>
        <c:tickLblSkip val="1"/>
        <c:tickMarkSkip val="1"/>
        <c:noMultiLvlLbl val="0"/>
      </c:catAx>
      <c:valAx>
        <c:axId val="387922944"/>
        <c:scaling>
          <c:orientation val="minMax"/>
        </c:scaling>
        <c:delete val="0"/>
        <c:axPos val="l"/>
        <c:majorGridlines>
          <c:spPr>
            <a:ln w="3175">
              <a:solidFill>
                <a:srgbClr val="C0C0C0"/>
              </a:solidFill>
              <a:prstDash val="solid"/>
            </a:ln>
          </c:spPr>
        </c:majorGridlines>
        <c:numFmt formatCode="\$#,##0_);\(\$#,##0\)"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921408"/>
        <c:crosses val="autoZero"/>
        <c:crossBetween val="between"/>
      </c:valAx>
      <c:catAx>
        <c:axId val="387928832"/>
        <c:scaling>
          <c:orientation val="minMax"/>
        </c:scaling>
        <c:delete val="1"/>
        <c:axPos val="b"/>
        <c:majorTickMark val="out"/>
        <c:minorTickMark val="none"/>
        <c:tickLblPos val="nextTo"/>
        <c:crossAx val="387930368"/>
        <c:crosses val="autoZero"/>
        <c:auto val="0"/>
        <c:lblAlgn val="ctr"/>
        <c:lblOffset val="100"/>
        <c:noMultiLvlLbl val="0"/>
      </c:catAx>
      <c:valAx>
        <c:axId val="387930368"/>
        <c:scaling>
          <c:orientation val="minMax"/>
        </c:scaling>
        <c:delete val="0"/>
        <c:axPos val="r"/>
        <c:numFmt formatCode="0%_);\(0%\);&quot;–&quot;_)" sourceLinked="0"/>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87928832"/>
        <c:crosses val="max"/>
        <c:crossBetween val="between"/>
      </c:valAx>
      <c:spPr>
        <a:noFill/>
        <a:ln w="25400">
          <a:noFill/>
        </a:ln>
      </c:spPr>
    </c:plotArea>
    <c:legend>
      <c:legendPos val="t"/>
      <c:layout>
        <c:manualLayout>
          <c:xMode val="edge"/>
          <c:yMode val="edge"/>
          <c:x val="0.41880468379847935"/>
          <c:y val="2.6315789473684209E-2"/>
          <c:w val="0.56980228474306038"/>
          <c:h val="0.10526315789473684"/>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10" Target="../charts/chart10.xml" Type="http://schemas.openxmlformats.org/officeDocument/2006/relationships/chart"/>
<Relationship Id="rId11" Target="../charts/chart11.xml" Type="http://schemas.openxmlformats.org/officeDocument/2006/relationships/chart"/>
<Relationship Id="rId12" Target="../charts/chart12.xml" Type="http://schemas.openxmlformats.org/officeDocument/2006/relationships/chart"/>
<Relationship Id="rId13" Target="../charts/chart13.xml" Type="http://schemas.openxmlformats.org/officeDocument/2006/relationships/chart"/>
<Relationship Id="rId14" Target="../charts/chart14.xml" Type="http://schemas.openxmlformats.org/officeDocument/2006/relationships/chart"/>
<Relationship Id="rId15" Target="../charts/chart15.xml" Type="http://schemas.openxmlformats.org/officeDocument/2006/relationships/chart"/>
<Relationship Id="rId16" Target="../charts/chart16.xml" Type="http://schemas.openxmlformats.org/officeDocument/2006/relationships/chart"/>
<Relationship Id="rId2" Target="../charts/chart2.xml" Type="http://schemas.openxmlformats.org/officeDocument/2006/relationships/chart"/>
<Relationship Id="rId3" Target="../charts/chart3.xml" Type="http://schemas.openxmlformats.org/officeDocument/2006/relationships/chart"/>
<Relationship Id="rId4" Target="../charts/chart4.xml" Type="http://schemas.openxmlformats.org/officeDocument/2006/relationships/chart"/>
<Relationship Id="rId5" Target="../charts/chart5.xml" Type="http://schemas.openxmlformats.org/officeDocument/2006/relationships/chart"/>
<Relationship Id="rId6" Target="../charts/chart6.xml" Type="http://schemas.openxmlformats.org/officeDocument/2006/relationships/chart"/>
<Relationship Id="rId7" Target="../charts/chart7.xml" Type="http://schemas.openxmlformats.org/officeDocument/2006/relationships/chart"/>
<Relationship Id="rId8" Target="../charts/chart8.xml" Type="http://schemas.openxmlformats.org/officeDocument/2006/relationships/chart"/>
<Relationship Id="rId9" Target="../charts/chart9.xml" Type="http://schemas.openxmlformats.org/officeDocument/2006/relationships/chart"/>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9</xdr:col>
      <xdr:colOff>114300</xdr:colOff>
      <xdr:row>190</xdr:row>
      <xdr:rowOff>104775</xdr:rowOff>
    </xdr:to>
    <xdr:pic>
      <xdr:nvPicPr>
        <xdr:cNvPr id="29697" name="Picture 1" descr="C:\Users\laml\AppData\Local\Temp\MercuryPriceRatingHistoryChart\CONE.O_2018_04_23_01_10_2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9937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200025</xdr:colOff>
      <xdr:row>85</xdr:row>
      <xdr:rowOff>28575</xdr:rowOff>
    </xdr:from>
    <xdr:to>
      <xdr:col>1</xdr:col>
      <xdr:colOff>3333750</xdr:colOff>
      <xdr:row>98</xdr:row>
      <xdr:rowOff>0</xdr:rowOff>
    </xdr:to>
    <xdr:graphicFrame macro="">
      <xdr:nvGraphicFramePr>
        <xdr:cNvPr id="1006129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107</xdr:row>
      <xdr:rowOff>28575</xdr:rowOff>
    </xdr:from>
    <xdr:to>
      <xdr:col>2</xdr:col>
      <xdr:colOff>9525</xdr:colOff>
      <xdr:row>120</xdr:row>
      <xdr:rowOff>9525</xdr:rowOff>
    </xdr:to>
    <xdr:graphicFrame macro="">
      <xdr:nvGraphicFramePr>
        <xdr:cNvPr id="10061298"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129</xdr:row>
      <xdr:rowOff>38100</xdr:rowOff>
    </xdr:from>
    <xdr:to>
      <xdr:col>1</xdr:col>
      <xdr:colOff>3352800</xdr:colOff>
      <xdr:row>141</xdr:row>
      <xdr:rowOff>104775</xdr:rowOff>
    </xdr:to>
    <xdr:graphicFrame macro="">
      <xdr:nvGraphicFramePr>
        <xdr:cNvPr id="10061299"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147</xdr:row>
      <xdr:rowOff>28575</xdr:rowOff>
    </xdr:from>
    <xdr:to>
      <xdr:col>1</xdr:col>
      <xdr:colOff>3352800</xdr:colOff>
      <xdr:row>160</xdr:row>
      <xdr:rowOff>9525</xdr:rowOff>
    </xdr:to>
    <xdr:graphicFrame macro="">
      <xdr:nvGraphicFramePr>
        <xdr:cNvPr id="1006130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200025</xdr:colOff>
      <xdr:row>175</xdr:row>
      <xdr:rowOff>28575</xdr:rowOff>
    </xdr:from>
    <xdr:to>
      <xdr:col>1</xdr:col>
      <xdr:colOff>3333750</xdr:colOff>
      <xdr:row>188</xdr:row>
      <xdr:rowOff>0</xdr:rowOff>
    </xdr:to>
    <xdr:graphicFrame macro="">
      <xdr:nvGraphicFramePr>
        <xdr:cNvPr id="1006130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6</xdr:row>
      <xdr:rowOff>9525</xdr:rowOff>
    </xdr:from>
    <xdr:to>
      <xdr:col>2</xdr:col>
      <xdr:colOff>9525</xdr:colOff>
      <xdr:row>18</xdr:row>
      <xdr:rowOff>104775</xdr:rowOff>
    </xdr:to>
    <xdr:graphicFrame macro="">
      <xdr:nvGraphicFramePr>
        <xdr:cNvPr id="10061302"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180975</xdr:colOff>
      <xdr:row>51</xdr:row>
      <xdr:rowOff>114300</xdr:rowOff>
    </xdr:from>
    <xdr:to>
      <xdr:col>1</xdr:col>
      <xdr:colOff>3305175</xdr:colOff>
      <xdr:row>64</xdr:row>
      <xdr:rowOff>57150</xdr:rowOff>
    </xdr:to>
    <xdr:graphicFrame macro="">
      <xdr:nvGraphicFramePr>
        <xdr:cNvPr id="10061303"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193</xdr:row>
      <xdr:rowOff>9525</xdr:rowOff>
    </xdr:from>
    <xdr:to>
      <xdr:col>2</xdr:col>
      <xdr:colOff>9525</xdr:colOff>
      <xdr:row>205</xdr:row>
      <xdr:rowOff>104775</xdr:rowOff>
    </xdr:to>
    <xdr:graphicFrame macro="">
      <xdr:nvGraphicFramePr>
        <xdr:cNvPr id="10061304"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28575</xdr:colOff>
      <xdr:row>212</xdr:row>
      <xdr:rowOff>9525</xdr:rowOff>
    </xdr:from>
    <xdr:to>
      <xdr:col>2</xdr:col>
      <xdr:colOff>9525</xdr:colOff>
      <xdr:row>224</xdr:row>
      <xdr:rowOff>104775</xdr:rowOff>
    </xdr:to>
    <xdr:graphicFrame macro="">
      <xdr:nvGraphicFramePr>
        <xdr:cNvPr id="10061305"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28575</xdr:colOff>
      <xdr:row>230</xdr:row>
      <xdr:rowOff>9525</xdr:rowOff>
    </xdr:from>
    <xdr:to>
      <xdr:col>2</xdr:col>
      <xdr:colOff>9525</xdr:colOff>
      <xdr:row>242</xdr:row>
      <xdr:rowOff>104775</xdr:rowOff>
    </xdr:to>
    <xdr:graphicFrame macro="">
      <xdr:nvGraphicFramePr>
        <xdr:cNvPr id="10061306"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20</xdr:row>
      <xdr:rowOff>0</xdr:rowOff>
    </xdr:from>
    <xdr:to>
      <xdr:col>1</xdr:col>
      <xdr:colOff>3352800</xdr:colOff>
      <xdr:row>32</xdr:row>
      <xdr:rowOff>104775</xdr:rowOff>
    </xdr:to>
    <xdr:graphicFrame macro="">
      <xdr:nvGraphicFramePr>
        <xdr:cNvPr id="10061307"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200025</xdr:colOff>
      <xdr:row>246</xdr:row>
      <xdr:rowOff>28575</xdr:rowOff>
    </xdr:from>
    <xdr:to>
      <xdr:col>1</xdr:col>
      <xdr:colOff>3333750</xdr:colOff>
      <xdr:row>259</xdr:row>
      <xdr:rowOff>0</xdr:rowOff>
    </xdr:to>
    <xdr:graphicFrame macro="">
      <xdr:nvGraphicFramePr>
        <xdr:cNvPr id="10061308"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200025</xdr:colOff>
      <xdr:row>266</xdr:row>
      <xdr:rowOff>28575</xdr:rowOff>
    </xdr:from>
    <xdr:to>
      <xdr:col>1</xdr:col>
      <xdr:colOff>3333750</xdr:colOff>
      <xdr:row>279</xdr:row>
      <xdr:rowOff>0</xdr:rowOff>
    </xdr:to>
    <xdr:graphicFrame macro="">
      <xdr:nvGraphicFramePr>
        <xdr:cNvPr id="10061309"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34</xdr:row>
      <xdr:rowOff>0</xdr:rowOff>
    </xdr:from>
    <xdr:to>
      <xdr:col>1</xdr:col>
      <xdr:colOff>3343275</xdr:colOff>
      <xdr:row>46</xdr:row>
      <xdr:rowOff>104775</xdr:rowOff>
    </xdr:to>
    <xdr:graphicFrame macro="">
      <xdr:nvGraphicFramePr>
        <xdr:cNvPr id="10061310"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200025</xdr:colOff>
      <xdr:row>281</xdr:row>
      <xdr:rowOff>28575</xdr:rowOff>
    </xdr:from>
    <xdr:to>
      <xdr:col>1</xdr:col>
      <xdr:colOff>3333750</xdr:colOff>
      <xdr:row>294</xdr:row>
      <xdr:rowOff>0</xdr:rowOff>
    </xdr:to>
    <xdr:graphicFrame macro="">
      <xdr:nvGraphicFramePr>
        <xdr:cNvPr id="10061311"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133350</xdr:colOff>
      <xdr:row>68</xdr:row>
      <xdr:rowOff>85725</xdr:rowOff>
    </xdr:from>
    <xdr:to>
      <xdr:col>1</xdr:col>
      <xdr:colOff>3248025</xdr:colOff>
      <xdr:row>81</xdr:row>
      <xdr:rowOff>38100</xdr:rowOff>
    </xdr:to>
    <xdr:graphicFrame macro="">
      <xdr:nvGraphicFramePr>
        <xdr:cNvPr id="10061312" name="capex"/>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0.27482</cdr:x>
      <cdr:y>0.0464</cdr:y>
    </cdr:from>
    <cdr:to>
      <cdr:x>0.68049</cdr:x>
      <cdr:y>0.16282</cdr:y>
    </cdr:to>
    <cdr:sp macro="" textlink="">
      <cdr:nvSpPr>
        <cdr:cNvPr id="7169" name="Text Box 1"/>
        <cdr:cNvSpPr txBox="1">
          <a:spLocks xmlns:a="http://schemas.openxmlformats.org/drawingml/2006/main" noChangeArrowheads="1"/>
        </cdr:cNvSpPr>
      </cdr:nvSpPr>
      <cdr:spPr bwMode="auto">
        <a:xfrm xmlns:a="http://schemas.openxmlformats.org/drawingml/2006/main">
          <a:off x="927193" y="88919"/>
          <a:ext cx="1364004" cy="21513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DFDFD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0" anchor="t"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TOTAL: 4,338,913 NRSF</a:t>
          </a:r>
          <a:r>
            <a:rPr lang="en-US" sz="800" b="0" i="0" u="none" strike="noStrike" baseline="0">
              <a:solidFill>
                <a:srgbClr val="000000"/>
              </a:solidFill>
              <a:latin typeface="Arial"/>
              <a:cs typeface="Arial"/>
            </a:rPr>
            <a:t>  </a:t>
          </a:r>
        </a:p>
      </cdr:txBody>
    </cdr:sp>
  </cdr:relSizeAnchor>
</c:userShapes>
</file>

<file path=xl/externalLinks/_rels/externalLink1.xml.rels><?xml version="1.0" encoding="UTF-8" standalone="yes"?>
<Relationships xmlns="http://schemas.openxmlformats.org/package/2006/relationships">
<Relationship Id="rId1" Target="ER13/CLECs/CLEC/LVLT/Fcalls/2011/August%20-%20Reassumption/Backup_LVLT%20-%20Reassumption.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ER13/CLECs/CLEC/LVLT/Models/LVLT%20Morgan%20Stanley%20-%20v1.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file://///MSAD/ROOT/NA/NY/LIB/ER/ER13/Independent_Rural%20Telcos/CTL/CTLEQ_MergerDocs/Summary_states.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SCO Report"/>
      <sheetName val="GLBC"/>
      <sheetName val="WACC"/>
      <sheetName val="Guidance"/>
      <sheetName val="Sheet1"/>
      <sheetName val="Maturities"/>
      <sheetName val="Approvals"/>
      <sheetName val="PF Mix"/>
      <sheetName val="LVLT M&amp;A - FactSet"/>
      <sheetName val="LVLT M&amp;A"/>
      <sheetName val="Summary"/>
      <sheetName val="Leverage"/>
      <sheetName val="Fiber &amp; Clec"/>
      <sheetName val="Synergies"/>
      <sheetName val="Timing"/>
      <sheetName val="Revs"/>
      <sheetName val="transactionCTL_SVVS"/>
      <sheetName val="Backup_LVLT - Reassumption"/>
    </sheetNames>
    <sheetDataSet>
      <sheetData sheetId="0" refreshError="1"/>
      <sheetData sheetId="1" refreshError="1">
        <row r="1">
          <cell r="A1" t="str">
            <v>Consumer Internet Traffic, 2010–2015</v>
          </cell>
          <cell r="B1">
            <v>2010</v>
          </cell>
          <cell r="C1">
            <v>2011</v>
          </cell>
          <cell r="D1">
            <v>2012</v>
          </cell>
          <cell r="E1">
            <v>2013</v>
          </cell>
          <cell r="F1">
            <v>2014</v>
          </cell>
          <cell r="G1">
            <v>2015</v>
          </cell>
          <cell r="H1" t="str">
            <v>CAGR</v>
          </cell>
          <cell r="I1" t="str">
            <v>Comment</v>
          </cell>
        </row>
        <row r="2">
          <cell r="A2" t="str">
            <v>GLOBAL - By Network (PB per Month)</v>
          </cell>
        </row>
        <row r="3">
          <cell r="A3" t="str">
            <v>Fixed</v>
          </cell>
          <cell r="B3">
            <v>12355</v>
          </cell>
          <cell r="C3">
            <v>17467</v>
          </cell>
          <cell r="D3">
            <v>23618</v>
          </cell>
          <cell r="E3">
            <v>31318</v>
          </cell>
          <cell r="F3">
            <v>40842</v>
          </cell>
          <cell r="G3">
            <v>53282</v>
          </cell>
          <cell r="H3">
            <v>0.3395149150436787</v>
          </cell>
        </row>
        <row r="4">
          <cell r="A4" t="str">
            <v>Mobile</v>
          </cell>
          <cell r="B4">
            <v>174</v>
          </cell>
          <cell r="C4">
            <v>399</v>
          </cell>
          <cell r="D4">
            <v>858</v>
          </cell>
          <cell r="E4">
            <v>1654</v>
          </cell>
          <cell r="F4">
            <v>2930</v>
          </cell>
          <cell r="G4">
            <v>4931</v>
          </cell>
          <cell r="H4">
            <v>0.95198803312699054</v>
          </cell>
        </row>
        <row r="5">
          <cell r="A5" t="str">
            <v>TOTAL</v>
          </cell>
          <cell r="B5">
            <v>12529</v>
          </cell>
          <cell r="C5">
            <v>17866</v>
          </cell>
          <cell r="D5">
            <v>24476</v>
          </cell>
          <cell r="E5">
            <v>32972</v>
          </cell>
          <cell r="F5">
            <v>43772</v>
          </cell>
          <cell r="G5">
            <v>58213</v>
          </cell>
          <cell r="H5">
            <v>0.3596299240456704</v>
          </cell>
        </row>
        <row r="7">
          <cell r="A7" t="str">
            <v>Fixed</v>
          </cell>
          <cell r="B7">
            <v>0.98611221965041107</v>
          </cell>
          <cell r="C7">
            <v>0.97766707712974366</v>
          </cell>
          <cell r="D7">
            <v>0.96494525249223728</v>
          </cell>
          <cell r="E7">
            <v>0.94983622467548223</v>
          </cell>
          <cell r="F7">
            <v>0.93306223156355661</v>
          </cell>
          <cell r="G7">
            <v>0.91529383471045989</v>
          </cell>
        </row>
        <row r="8">
          <cell r="A8" t="str">
            <v>Mobile</v>
          </cell>
          <cell r="B8">
            <v>1.388778034958893E-2</v>
          </cell>
          <cell r="C8">
            <v>2.2332922870256344E-2</v>
          </cell>
          <cell r="D8">
            <v>3.5054747507762718E-2</v>
          </cell>
          <cell r="E8">
            <v>5.0163775324517768E-2</v>
          </cell>
          <cell r="F8">
            <v>6.693776843644339E-2</v>
          </cell>
          <cell r="G8">
            <v>8.4706165289540114E-2</v>
          </cell>
        </row>
        <row r="10">
          <cell r="A10" t="str">
            <v>GLOBAL By Subsegment (PB per Month)</v>
          </cell>
        </row>
        <row r="11">
          <cell r="A11" t="str">
            <v>File sharing</v>
          </cell>
          <cell r="B11">
            <v>4968</v>
          </cell>
          <cell r="C11">
            <v>6017</v>
          </cell>
          <cell r="D11">
            <v>7277</v>
          </cell>
          <cell r="E11">
            <v>8867</v>
          </cell>
          <cell r="F11">
            <v>11040</v>
          </cell>
          <cell r="G11">
            <v>13797</v>
          </cell>
          <cell r="H11">
            <v>0.22664986513602114</v>
          </cell>
        </row>
        <row r="12">
          <cell r="A12" t="str">
            <v>Internet video</v>
          </cell>
          <cell r="B12">
            <v>4672</v>
          </cell>
          <cell r="C12">
            <v>8079</v>
          </cell>
          <cell r="D12">
            <v>12146</v>
          </cell>
          <cell r="E12">
            <v>17583</v>
          </cell>
          <cell r="F12">
            <v>24357</v>
          </cell>
          <cell r="G12">
            <v>33620</v>
          </cell>
          <cell r="H12">
            <v>0.48394899838707173</v>
          </cell>
        </row>
        <row r="13">
          <cell r="A13" t="str">
            <v>Web, email, and data</v>
          </cell>
          <cell r="B13">
            <v>2393</v>
          </cell>
          <cell r="C13">
            <v>3113</v>
          </cell>
          <cell r="D13">
            <v>4146</v>
          </cell>
          <cell r="E13">
            <v>5325</v>
          </cell>
          <cell r="F13">
            <v>6769</v>
          </cell>
          <cell r="G13">
            <v>8592</v>
          </cell>
          <cell r="H13">
            <v>0.29130940443989806</v>
          </cell>
        </row>
        <row r="14">
          <cell r="A14" t="str">
            <v>Video calling</v>
          </cell>
          <cell r="B14">
            <v>308</v>
          </cell>
          <cell r="C14">
            <v>442</v>
          </cell>
          <cell r="D14">
            <v>659</v>
          </cell>
          <cell r="E14">
            <v>905</v>
          </cell>
          <cell r="F14">
            <v>1251</v>
          </cell>
          <cell r="G14">
            <v>1736</v>
          </cell>
          <cell r="H14">
            <v>0.413187544034475</v>
          </cell>
        </row>
        <row r="15">
          <cell r="A15" t="str">
            <v>Online gaming</v>
          </cell>
          <cell r="B15">
            <v>49</v>
          </cell>
          <cell r="C15">
            <v>68</v>
          </cell>
          <cell r="D15">
            <v>95</v>
          </cell>
          <cell r="E15">
            <v>133</v>
          </cell>
          <cell r="F15">
            <v>187</v>
          </cell>
          <cell r="G15">
            <v>290</v>
          </cell>
          <cell r="H15">
            <v>0.42705392232469253</v>
          </cell>
        </row>
        <row r="16">
          <cell r="A16" t="str">
            <v>Voice over IP (VoIP)</v>
          </cell>
          <cell r="B16">
            <v>138</v>
          </cell>
          <cell r="C16">
            <v>147</v>
          </cell>
          <cell r="D16">
            <v>153</v>
          </cell>
          <cell r="E16">
            <v>157</v>
          </cell>
          <cell r="F16">
            <v>160</v>
          </cell>
          <cell r="G16">
            <v>168</v>
          </cell>
          <cell r="H16">
            <v>4.0126207180960938E-2</v>
          </cell>
        </row>
        <row r="17">
          <cell r="A17" t="str">
            <v>Other</v>
          </cell>
          <cell r="B17">
            <v>0.16500000000000001</v>
          </cell>
          <cell r="C17">
            <v>1</v>
          </cell>
          <cell r="D17">
            <v>1</v>
          </cell>
          <cell r="E17">
            <v>3</v>
          </cell>
          <cell r="F17">
            <v>8</v>
          </cell>
          <cell r="G17">
            <v>11</v>
          </cell>
          <cell r="H17">
            <v>1.3162303512385889</v>
          </cell>
        </row>
        <row r="18">
          <cell r="A18" t="str">
            <v>TOTAL</v>
          </cell>
          <cell r="B18">
            <v>12528.165000000001</v>
          </cell>
          <cell r="C18">
            <v>17867</v>
          </cell>
          <cell r="D18">
            <v>24477</v>
          </cell>
          <cell r="E18">
            <v>32973</v>
          </cell>
          <cell r="F18">
            <v>43772</v>
          </cell>
          <cell r="G18">
            <v>58214</v>
          </cell>
          <cell r="H18">
            <v>0.35965271863625325</v>
          </cell>
        </row>
        <row r="20">
          <cell r="A20" t="str">
            <v>File sharing</v>
          </cell>
          <cell r="B20">
            <v>0.39654650142299369</v>
          </cell>
          <cell r="C20">
            <v>0.33676610510997929</v>
          </cell>
          <cell r="D20">
            <v>0.29729950565837315</v>
          </cell>
          <cell r="E20">
            <v>0.26891699269098962</v>
          </cell>
          <cell r="F20">
            <v>0.25221602851137714</v>
          </cell>
          <cell r="G20">
            <v>0.23700484419555434</v>
          </cell>
        </row>
        <row r="21">
          <cell r="A21" t="str">
            <v>Internet video</v>
          </cell>
          <cell r="B21">
            <v>0.37291973724803273</v>
          </cell>
          <cell r="C21">
            <v>0.45217439973134832</v>
          </cell>
          <cell r="D21">
            <v>0.49622094210891859</v>
          </cell>
          <cell r="E21">
            <v>0.53325448093895</v>
          </cell>
          <cell r="F21">
            <v>0.55645161290322576</v>
          </cell>
          <cell r="G21">
            <v>0.57752430686776379</v>
          </cell>
        </row>
        <row r="22">
          <cell r="A22" t="str">
            <v>Web, email, and data</v>
          </cell>
          <cell r="B22">
            <v>0.19100961713068113</v>
          </cell>
          <cell r="C22">
            <v>0.1742318240331337</v>
          </cell>
          <cell r="D22">
            <v>0.16938350288025494</v>
          </cell>
          <cell r="E22">
            <v>0.1614957692657629</v>
          </cell>
          <cell r="F22">
            <v>0.15464223704651375</v>
          </cell>
          <cell r="G22">
            <v>0.14759336242141066</v>
          </cell>
        </row>
        <row r="23">
          <cell r="A23" t="str">
            <v>Video calling</v>
          </cell>
          <cell r="B23">
            <v>2.4584605965837773E-2</v>
          </cell>
          <cell r="C23">
            <v>2.4738344433872503E-2</v>
          </cell>
          <cell r="D23">
            <v>2.6923234056461166E-2</v>
          </cell>
          <cell r="E23">
            <v>2.7446698814181301E-2</v>
          </cell>
          <cell r="F23">
            <v>2.8579914100338114E-2</v>
          </cell>
          <cell r="G23">
            <v>2.9821005256467515E-2</v>
          </cell>
        </row>
        <row r="24">
          <cell r="A24" t="str">
            <v>Online gaming</v>
          </cell>
          <cell r="B24">
            <v>3.9111873127469186E-3</v>
          </cell>
          <cell r="C24">
            <v>3.8058991436726928E-3</v>
          </cell>
          <cell r="D24">
            <v>3.8811945908403807E-3</v>
          </cell>
          <cell r="E24">
            <v>4.0336032511448759E-3</v>
          </cell>
          <cell r="F24">
            <v>4.2721374394590148E-3</v>
          </cell>
          <cell r="G24">
            <v>4.9816195416910024E-3</v>
          </cell>
        </row>
        <row r="25">
          <cell r="A25" t="str">
            <v>Voice over IP (VoIP)</v>
          </cell>
          <cell r="B25">
            <v>1.1015180595083158E-2</v>
          </cell>
          <cell r="C25">
            <v>8.2274584429394976E-3</v>
          </cell>
          <cell r="D25">
            <v>6.250766025248192E-3</v>
          </cell>
          <cell r="E25">
            <v>4.7614715069905682E-3</v>
          </cell>
          <cell r="F25">
            <v>3.6553047610344514E-3</v>
          </cell>
          <cell r="G25">
            <v>2.8859037344968566E-3</v>
          </cell>
        </row>
        <row r="26">
          <cell r="A26" t="str">
            <v>Other</v>
          </cell>
          <cell r="B26">
            <v>1.317032462455595E-5</v>
          </cell>
          <cell r="C26">
            <v>5.5969105054010188E-5</v>
          </cell>
          <cell r="D26">
            <v>4.0854679903582957E-5</v>
          </cell>
          <cell r="E26">
            <v>9.0983531980711496E-5</v>
          </cell>
          <cell r="F26">
            <v>1.8276523805172256E-4</v>
          </cell>
          <cell r="G26">
            <v>1.8895798261586559E-4</v>
          </cell>
        </row>
        <row r="29">
          <cell r="A29" t="str">
            <v>North America - By Network (PB per Month)</v>
          </cell>
        </row>
        <row r="30">
          <cell r="A30" t="str">
            <v>Fixed</v>
          </cell>
          <cell r="B30">
            <v>3255.1564370660071</v>
          </cell>
          <cell r="C30">
            <v>4888.3353856487183</v>
          </cell>
          <cell r="D30">
            <v>6348.3748161464291</v>
          </cell>
          <cell r="E30">
            <v>7889.3396821545557</v>
          </cell>
          <cell r="F30">
            <v>9341.8190624143281</v>
          </cell>
          <cell r="G30">
            <v>11475.038805765036</v>
          </cell>
          <cell r="H30">
            <v>0.28657900355019894</v>
          </cell>
          <cell r="I30" t="str">
            <v>MS assumption</v>
          </cell>
        </row>
        <row r="31">
          <cell r="A31" t="str">
            <v>Mobile</v>
          </cell>
          <cell r="B31">
            <v>45.843562933993056</v>
          </cell>
          <cell r="C31">
            <v>111.66461435128173</v>
          </cell>
          <cell r="D31">
            <v>230.62518385357092</v>
          </cell>
          <cell r="E31">
            <v>416.66031784544458</v>
          </cell>
          <cell r="F31">
            <v>670.18093758567124</v>
          </cell>
          <cell r="G31">
            <v>1061.9611942349645</v>
          </cell>
          <cell r="H31">
            <v>0.87484796951331134</v>
          </cell>
          <cell r="I31" t="str">
            <v>MS assumption</v>
          </cell>
        </row>
        <row r="32">
          <cell r="A32" t="str">
            <v>TOTAL</v>
          </cell>
          <cell r="B32">
            <v>3301</v>
          </cell>
          <cell r="C32">
            <v>5000</v>
          </cell>
          <cell r="D32">
            <v>6579</v>
          </cell>
          <cell r="E32">
            <v>8306</v>
          </cell>
          <cell r="F32">
            <v>10012</v>
          </cell>
          <cell r="G32">
            <v>12537</v>
          </cell>
          <cell r="H32">
            <v>0.30589909319424868</v>
          </cell>
        </row>
        <row r="35">
          <cell r="A35" t="str">
            <v>North America By Subsegment (PB per Month)</v>
          </cell>
        </row>
        <row r="36">
          <cell r="A36" t="str">
            <v>Internet video</v>
          </cell>
          <cell r="B36">
            <v>1213.9120832118979</v>
          </cell>
          <cell r="C36">
            <v>2210.3801186912183</v>
          </cell>
          <cell r="D36">
            <v>3150.1965321287139</v>
          </cell>
          <cell r="E36">
            <v>4207.0257371583884</v>
          </cell>
          <cell r="F36">
            <v>5198.2702847305527</v>
          </cell>
          <cell r="G36">
            <v>6627.1138325801448</v>
          </cell>
          <cell r="H36">
            <v>0.40419505473362394</v>
          </cell>
          <cell r="I36" t="str">
            <v>MS assumption</v>
          </cell>
        </row>
        <row r="37">
          <cell r="A37" t="str">
            <v>File sharing</v>
          </cell>
          <cell r="B37">
            <v>1290.8208967030625</v>
          </cell>
          <cell r="C37">
            <v>1646.2256682962075</v>
          </cell>
          <cell r="D37">
            <v>1887.3686945743989</v>
          </cell>
          <cell r="E37">
            <v>2121.577501642691</v>
          </cell>
          <cell r="F37">
            <v>2356.1565029940189</v>
          </cell>
          <cell r="G37">
            <v>2719.6397842982824</v>
          </cell>
          <cell r="H37">
            <v>0.16072430817085537</v>
          </cell>
          <cell r="I37" t="str">
            <v>MS assumption</v>
          </cell>
        </row>
        <row r="38">
          <cell r="A38" t="str">
            <v>Web, email, and data</v>
          </cell>
          <cell r="B38">
            <v>621.76618474445013</v>
          </cell>
          <cell r="C38">
            <v>851.7035907272882</v>
          </cell>
          <cell r="D38">
            <v>1075.3099639556767</v>
          </cell>
          <cell r="E38">
            <v>1274.0949809684594</v>
          </cell>
          <cell r="F38">
            <v>1444.6397978955174</v>
          </cell>
          <cell r="G38">
            <v>1693.6395612590304</v>
          </cell>
          <cell r="H38">
            <v>0.22190875954387734</v>
          </cell>
          <cell r="I38" t="str">
            <v>MS assumption</v>
          </cell>
        </row>
        <row r="39">
          <cell r="A39" t="str">
            <v>Other</v>
          </cell>
          <cell r="B39">
            <v>128.6572724065966</v>
          </cell>
          <cell r="C39">
            <v>180.02600793400441</v>
          </cell>
          <cell r="D39">
            <v>235.49962548763972</v>
          </cell>
          <cell r="E39">
            <v>286.64146238501678</v>
          </cell>
          <cell r="F39">
            <v>342.75247679423859</v>
          </cell>
          <cell r="G39">
            <v>434.6456276275793</v>
          </cell>
          <cell r="H39">
            <v>0.27567544209083272</v>
          </cell>
          <cell r="I39" t="str">
            <v>MS assumption</v>
          </cell>
        </row>
        <row r="40">
          <cell r="A40" t="str">
            <v>TOTAL</v>
          </cell>
          <cell r="B40">
            <v>3255.1564370660071</v>
          </cell>
          <cell r="C40">
            <v>4888.3353856487183</v>
          </cell>
          <cell r="D40">
            <v>6348.3748161464291</v>
          </cell>
          <cell r="E40">
            <v>7889.3396821545548</v>
          </cell>
          <cell r="F40">
            <v>9341.8190624143263</v>
          </cell>
          <cell r="G40">
            <v>11475.038805765038</v>
          </cell>
          <cell r="H40">
            <v>0.28657900355019894</v>
          </cell>
          <cell r="I40" t="str">
            <v>MS assumption</v>
          </cell>
        </row>
        <row r="43">
          <cell r="A43" t="str">
            <v>US</v>
          </cell>
          <cell r="B43">
            <v>0.88802339809592035</v>
          </cell>
          <cell r="C43">
            <v>0.88967538682405478</v>
          </cell>
          <cell r="D43">
            <v>0.89112996350983076</v>
          </cell>
          <cell r="E43">
            <v>0.89123426750490964</v>
          </cell>
          <cell r="F43">
            <v>0.88974999222934814</v>
          </cell>
          <cell r="G43">
            <v>0.88974999222934814</v>
          </cell>
          <cell r="I43" t="str">
            <v>MS assumption, using trends in previous VNI report</v>
          </cell>
        </row>
        <row r="44">
          <cell r="A44" t="str">
            <v>Canada</v>
          </cell>
          <cell r="B44">
            <v>0.11197660190407965</v>
          </cell>
          <cell r="C44">
            <v>0.11032461317594522</v>
          </cell>
          <cell r="D44">
            <v>0.10887003649016924</v>
          </cell>
          <cell r="E44">
            <v>0.10876573249509036</v>
          </cell>
          <cell r="F44">
            <v>0.11025000777065186</v>
          </cell>
          <cell r="G44">
            <v>0.11025000777065186</v>
          </cell>
        </row>
        <row r="47">
          <cell r="A47" t="str">
            <v>US By Subsegment (PB per Month)</v>
          </cell>
          <cell r="B47">
            <v>2890.6550805771644</v>
          </cell>
          <cell r="C47">
            <v>4349.0316751527389</v>
          </cell>
          <cell r="D47">
            <v>5657.2270182592956</v>
          </cell>
          <cell r="E47">
            <v>7031.2498727224311</v>
          </cell>
          <cell r="F47">
            <v>8311.8834381911238</v>
          </cell>
          <cell r="G47">
            <v>10209.915688260911</v>
          </cell>
          <cell r="H47">
            <v>0.28707891698489285</v>
          </cell>
        </row>
        <row r="48">
          <cell r="A48" t="str">
            <v>Total US Residential BB Subs (M)</v>
          </cell>
          <cell r="B48">
            <v>71.428043545595983</v>
          </cell>
          <cell r="C48">
            <v>72.803202778573578</v>
          </cell>
          <cell r="D48">
            <v>74.790532105880871</v>
          </cell>
          <cell r="E48">
            <v>75.449067469188265</v>
          </cell>
          <cell r="F48">
            <v>76.781666962756361</v>
          </cell>
          <cell r="G48">
            <v>77.865921155857947</v>
          </cell>
          <cell r="H48">
            <v>1.740937274555554E-2</v>
          </cell>
        </row>
        <row r="49">
          <cell r="A49" t="str">
            <v>Average traffic per sub per mo (GB)</v>
          </cell>
          <cell r="B49">
            <v>40.469470212101207</v>
          </cell>
          <cell r="C49">
            <v>59.736818013076274</v>
          </cell>
          <cell r="D49">
            <v>75.640951587967919</v>
          </cell>
          <cell r="E49">
            <v>93.192004998522194</v>
          </cell>
          <cell r="F49">
            <v>108.2534902794293</v>
          </cell>
          <cell r="G49">
            <v>131.12174795729373</v>
          </cell>
          <cell r="H49">
            <v>0.26505510118470177</v>
          </cell>
        </row>
      </sheetData>
      <sheetData sheetId="2" refreshError="1">
        <row r="2">
          <cell r="B2">
            <v>744</v>
          </cell>
          <cell r="C2">
            <v>0.81489594742606786</v>
          </cell>
        </row>
        <row r="3">
          <cell r="B3">
            <v>151</v>
          </cell>
          <cell r="C3">
            <v>0.16538882803943045</v>
          </cell>
        </row>
        <row r="4">
          <cell r="B4">
            <v>18</v>
          </cell>
          <cell r="C4">
            <v>1.9715224534501644E-2</v>
          </cell>
          <cell r="E4" t="str">
            <v>GLBC Premium Analysis</v>
          </cell>
        </row>
        <row r="5">
          <cell r="B5">
            <v>913</v>
          </cell>
          <cell r="E5" t="str">
            <v>$ in millions</v>
          </cell>
        </row>
        <row r="7">
          <cell r="E7" t="str">
            <v>2011E EBITDA (consensus @ 4/8/11)</v>
          </cell>
          <cell r="F7">
            <v>431</v>
          </cell>
        </row>
        <row r="8">
          <cell r="E8" t="str">
            <v>EV/EBITDA (4/8/11)</v>
          </cell>
          <cell r="F8">
            <v>4.5999999999999996</v>
          </cell>
        </row>
        <row r="9">
          <cell r="E9" t="str">
            <v>EV/EBITDA (implied deal valuation)</v>
          </cell>
          <cell r="F9">
            <v>7</v>
          </cell>
        </row>
        <row r="10">
          <cell r="E10" t="str">
            <v xml:space="preserve">Implied premium </v>
          </cell>
          <cell r="F10">
            <v>2.4000000000000004</v>
          </cell>
        </row>
        <row r="11">
          <cell r="E11" t="str">
            <v>Implied premium ($)</v>
          </cell>
          <cell r="F11">
            <v>1034.4000000000001</v>
          </cell>
        </row>
        <row r="13">
          <cell r="E13" t="str">
            <v>NPV of estimated synergies</v>
          </cell>
          <cell r="F13">
            <v>2500</v>
          </cell>
        </row>
        <row r="14">
          <cell r="E14" t="str">
            <v>% of implied premium</v>
          </cell>
          <cell r="F14">
            <v>2.4168600154679041</v>
          </cell>
        </row>
      </sheetData>
      <sheetData sheetId="3" refreshError="1">
        <row r="3">
          <cell r="D3">
            <v>2012</v>
          </cell>
          <cell r="E3">
            <v>2013</v>
          </cell>
          <cell r="F3">
            <v>2014</v>
          </cell>
          <cell r="G3">
            <v>2015</v>
          </cell>
          <cell r="H3">
            <v>2016</v>
          </cell>
          <cell r="I3">
            <v>2017</v>
          </cell>
          <cell r="J3">
            <v>2018</v>
          </cell>
          <cell r="K3">
            <v>2019</v>
          </cell>
        </row>
        <row r="4">
          <cell r="B4" t="str">
            <v>Senior Secured Term Loan (2014)</v>
          </cell>
          <cell r="C4">
            <v>2.75E-2</v>
          </cell>
          <cell r="F4">
            <v>1680</v>
          </cell>
        </row>
        <row r="5">
          <cell r="B5" t="str">
            <v>Senior Secured Term Loan (2018)</v>
          </cell>
          <cell r="C5">
            <v>5.7500000000000002E-2</v>
          </cell>
          <cell r="J5">
            <v>650</v>
          </cell>
        </row>
        <row r="6">
          <cell r="B6" t="str">
            <v>Senior Notes (9.25%)</v>
          </cell>
          <cell r="C6">
            <v>9.2499999999999999E-2</v>
          </cell>
          <cell r="F6">
            <v>807</v>
          </cell>
        </row>
        <row r="7">
          <cell r="B7" t="str">
            <v>Senior Notes (8.75%)</v>
          </cell>
          <cell r="C7">
            <v>8.7499999999999994E-2</v>
          </cell>
          <cell r="I7">
            <v>700</v>
          </cell>
        </row>
        <row r="8">
          <cell r="B8" t="str">
            <v>Senior Notes (10.0%)</v>
          </cell>
          <cell r="C8">
            <v>0.1</v>
          </cell>
          <cell r="J8">
            <v>640</v>
          </cell>
        </row>
        <row r="9">
          <cell r="B9" t="str">
            <v>Senior Notes (11.875%)</v>
          </cell>
          <cell r="C9">
            <v>0.11874999999999999</v>
          </cell>
          <cell r="K9">
            <v>605</v>
          </cell>
        </row>
        <row r="10">
          <cell r="B10" t="str">
            <v>Senior Notes (9.375%)</v>
          </cell>
          <cell r="C10">
            <v>9.375E-2</v>
          </cell>
          <cell r="K10">
            <v>500</v>
          </cell>
        </row>
        <row r="11">
          <cell r="B11" t="str">
            <v>Senior Notes (8.125%)</v>
          </cell>
          <cell r="C11">
            <v>8.1250000000000003E-2</v>
          </cell>
          <cell r="K11">
            <v>600</v>
          </cell>
        </row>
        <row r="12">
          <cell r="B12" t="str">
            <v>Senior Notes (8.125%)</v>
          </cell>
          <cell r="C12">
            <v>8.1250000000000003E-2</v>
          </cell>
          <cell r="K12">
            <v>600</v>
          </cell>
        </row>
        <row r="13">
          <cell r="B13" t="str">
            <v>Floating Rate Senior Notes (4.215% as of 6/30/11)</v>
          </cell>
          <cell r="C13">
            <v>4.215E-2</v>
          </cell>
          <cell r="G13">
            <v>300</v>
          </cell>
        </row>
        <row r="14">
          <cell r="B14" t="str">
            <v>Convertible Senior Notes (3.5%)</v>
          </cell>
          <cell r="C14">
            <v>3.5000000000000003E-2</v>
          </cell>
          <cell r="D14">
            <v>294</v>
          </cell>
        </row>
        <row r="15">
          <cell r="B15" t="str">
            <v>Convertible Senior Notes (15.0%)</v>
          </cell>
          <cell r="C15">
            <v>0.15</v>
          </cell>
          <cell r="E15">
            <v>272</v>
          </cell>
        </row>
        <row r="16">
          <cell r="B16" t="str">
            <v>Convertible Senior Notes (7.0%)</v>
          </cell>
          <cell r="C16">
            <v>7.0000000000000007E-2</v>
          </cell>
          <cell r="G16">
            <v>200</v>
          </cell>
        </row>
        <row r="17">
          <cell r="B17" t="str">
            <v>Convertible Senior Notes Series B (7.0%)</v>
          </cell>
          <cell r="C17">
            <v>7.0000000000000007E-2</v>
          </cell>
          <cell r="G17">
            <v>275</v>
          </cell>
        </row>
        <row r="18">
          <cell r="B18" t="str">
            <v>Convertible Senior Notes (6.5%)</v>
          </cell>
          <cell r="C18">
            <v>6.5000000000000002E-2</v>
          </cell>
          <cell r="H18">
            <v>201</v>
          </cell>
        </row>
        <row r="19">
          <cell r="D19">
            <v>294</v>
          </cell>
          <cell r="E19">
            <v>272</v>
          </cell>
          <cell r="F19">
            <v>2487</v>
          </cell>
          <cell r="G19">
            <v>775</v>
          </cell>
          <cell r="H19">
            <v>201</v>
          </cell>
          <cell r="I19">
            <v>700</v>
          </cell>
          <cell r="J19">
            <v>1290</v>
          </cell>
          <cell r="K19">
            <v>2305</v>
          </cell>
          <cell r="L19">
            <v>8324</v>
          </cell>
        </row>
        <row r="20">
          <cell r="B20" t="str">
            <v>WACC (each year)</v>
          </cell>
          <cell r="D20">
            <v>3.5000000000000003E-2</v>
          </cell>
          <cell r="E20">
            <v>0.15</v>
          </cell>
          <cell r="F20">
            <v>4.8591676718938479E-2</v>
          </cell>
          <cell r="G20">
            <v>5.9219354838709694E-2</v>
          </cell>
          <cell r="H20">
            <v>6.5000000000000002E-2</v>
          </cell>
          <cell r="I20">
            <v>8.7499999999999994E-2</v>
          </cell>
          <cell r="J20">
            <v>7.8585271317829455E-2</v>
          </cell>
          <cell r="K20">
            <v>9.3804229934924072E-2</v>
          </cell>
        </row>
        <row r="21">
          <cell r="B21" t="str">
            <v>WACC (total)</v>
          </cell>
          <cell r="L21">
            <v>7.325099111004324E-2</v>
          </cell>
        </row>
        <row r="23">
          <cell r="F23">
            <v>807</v>
          </cell>
          <cell r="I23">
            <v>700</v>
          </cell>
          <cell r="J23">
            <v>640</v>
          </cell>
          <cell r="K23">
            <v>2305</v>
          </cell>
          <cell r="L23">
            <v>4452</v>
          </cell>
        </row>
        <row r="24">
          <cell r="F24">
            <v>9.2499999999999999E-2</v>
          </cell>
          <cell r="I24">
            <v>8.7499999999999994E-2</v>
          </cell>
          <cell r="J24">
            <v>0.1</v>
          </cell>
          <cell r="K24">
            <v>9.3804229934924072E-2</v>
          </cell>
        </row>
        <row r="25">
          <cell r="L25">
            <v>9.3467261904761886E-2</v>
          </cell>
        </row>
        <row r="28">
          <cell r="B28" t="str">
            <v>Current (1)</v>
          </cell>
        </row>
        <row r="29">
          <cell r="B29" t="str">
            <v>Total Debt @ 6/30/11</v>
          </cell>
          <cell r="C29">
            <v>8324</v>
          </cell>
        </row>
        <row r="30">
          <cell r="B30" t="str">
            <v>Debt Cost (2)</v>
          </cell>
          <cell r="C30">
            <v>9.3467261904761886E-2</v>
          </cell>
        </row>
        <row r="31">
          <cell r="B31" t="str">
            <v>Implied Annual Interest Expense</v>
          </cell>
          <cell r="C31">
            <v>778.02148809523794</v>
          </cell>
        </row>
        <row r="33">
          <cell r="B33" t="str">
            <v>Cost of Debt Less 50 bps</v>
          </cell>
        </row>
        <row r="34">
          <cell r="B34" t="str">
            <v>Debt Cost (less 50 bps)</v>
          </cell>
          <cell r="C34">
            <v>8.8467261904761882E-2</v>
          </cell>
        </row>
        <row r="35">
          <cell r="B35" t="str">
            <v>Implied Annual Interest Expense (less 50 bps)</v>
          </cell>
          <cell r="C35">
            <v>736.40148809523794</v>
          </cell>
        </row>
        <row r="36">
          <cell r="B36" t="str">
            <v>Implied Interest Expense Savings</v>
          </cell>
          <cell r="C36">
            <v>41.620000000000005</v>
          </cell>
        </row>
        <row r="38">
          <cell r="B38" t="str">
            <v>Cost of Debt Less 100 bps</v>
          </cell>
        </row>
        <row r="39">
          <cell r="B39" t="str">
            <v>Debt Cost (less 100 bps)</v>
          </cell>
          <cell r="C39">
            <v>8.3467261904761891E-2</v>
          </cell>
        </row>
        <row r="40">
          <cell r="B40" t="str">
            <v>Implied Annual Interest Expense (less 100 bps)</v>
          </cell>
          <cell r="C40">
            <v>694.78148809523793</v>
          </cell>
        </row>
        <row r="41">
          <cell r="B41" t="str">
            <v>Implied Interest Expense Savings</v>
          </cell>
          <cell r="C41">
            <v>83.240000000000009</v>
          </cell>
        </row>
        <row r="43">
          <cell r="B43" t="str">
            <v>(1) Pro-forma for recent debt issuances by LVLT to refinance GLBC debt</v>
          </cell>
        </row>
        <row r="44">
          <cell r="B44" t="str">
            <v>(2) Average debt cost for LVLT's PF fixed rate senior notes at 6/30/11</v>
          </cell>
        </row>
        <row r="49">
          <cell r="B49" t="str">
            <v>Current (1)</v>
          </cell>
        </row>
        <row r="50">
          <cell r="B50" t="str">
            <v>Total Debt @ 6/30/11</v>
          </cell>
          <cell r="C50">
            <v>8324</v>
          </cell>
        </row>
        <row r="51">
          <cell r="B51" t="str">
            <v>WACC @ 6/30/11</v>
          </cell>
          <cell r="C51">
            <v>7.325099111004324E-2</v>
          </cell>
        </row>
        <row r="52">
          <cell r="B52" t="str">
            <v>Annual Interest Expense</v>
          </cell>
          <cell r="C52">
            <v>609.74124999999992</v>
          </cell>
        </row>
        <row r="54">
          <cell r="B54" t="str">
            <v>Cost of Debt Less 50 bps</v>
          </cell>
        </row>
        <row r="55">
          <cell r="B55" t="str">
            <v>WACC (less 50 bps)</v>
          </cell>
          <cell r="C55">
            <v>6.8250991110043235E-2</v>
          </cell>
        </row>
        <row r="56">
          <cell r="B56" t="str">
            <v>Annual Interest Expense (less 50 bps)</v>
          </cell>
          <cell r="C56">
            <v>568.12124999999992</v>
          </cell>
        </row>
        <row r="57">
          <cell r="B57" t="str">
            <v>Interest Expense Savings</v>
          </cell>
          <cell r="C57">
            <v>-41.620000000000005</v>
          </cell>
        </row>
        <row r="59">
          <cell r="B59" t="str">
            <v>Cost of Debt Less 100 bps</v>
          </cell>
        </row>
        <row r="60">
          <cell r="B60" t="str">
            <v>WACC (less 100 bps)</v>
          </cell>
          <cell r="C60">
            <v>6.3250991110043245E-2</v>
          </cell>
        </row>
        <row r="61">
          <cell r="B61" t="str">
            <v>Annual Interest Expense (less 100 bps)</v>
          </cell>
          <cell r="C61">
            <v>526.50124999999991</v>
          </cell>
        </row>
        <row r="62">
          <cell r="B62" t="str">
            <v>Interest Expense Savings</v>
          </cell>
          <cell r="C62">
            <v>-83.240000000000009</v>
          </cell>
        </row>
        <row r="64">
          <cell r="B64" t="str">
            <v>(1) Pro-forma for recent debt issuances by LVLT to refinance GLBC debt</v>
          </cell>
        </row>
      </sheetData>
      <sheetData sheetId="4" refreshError="1">
        <row r="4">
          <cell r="B4" t="str">
            <v>FY 2011 Guidance - LVLT (1)</v>
          </cell>
        </row>
        <row r="5">
          <cell r="B5" t="str">
            <v>Revenue</v>
          </cell>
          <cell r="C5" t="str">
            <v>"Sequential revenue growth" (1% - 2%)</v>
          </cell>
        </row>
        <row r="6">
          <cell r="B6" t="str">
            <v>EBITDA</v>
          </cell>
          <cell r="C6" t="str">
            <v>"low double-digit" growth compared to 2010</v>
          </cell>
        </row>
        <row r="7">
          <cell r="B7" t="str">
            <v>Capex</v>
          </cell>
          <cell r="C7" t="str">
            <v>"12% of communications revenue"</v>
          </cell>
        </row>
        <row r="8">
          <cell r="B8" t="str">
            <v>FCF</v>
          </cell>
          <cell r="C8" t="str">
            <v>"breakeven for last 3 quarters of 2011 in aggregate"</v>
          </cell>
        </row>
        <row r="10">
          <cell r="B10" t="str">
            <v>FY 2011 Guidance - GLBC</v>
          </cell>
        </row>
        <row r="11">
          <cell r="B11" t="str">
            <v>Revenue</v>
          </cell>
          <cell r="C11" t="str">
            <v>$2,765M - $2,845M (approx 6% to 9%" from 2010)</v>
          </cell>
          <cell r="E11">
            <v>2609</v>
          </cell>
          <cell r="F11">
            <v>0.06</v>
          </cell>
          <cell r="G11">
            <v>2765.54</v>
          </cell>
        </row>
        <row r="12">
          <cell r="B12" t="str">
            <v>OIBIDA</v>
          </cell>
          <cell r="C12" t="str">
            <v>"grow to roughly $425M" at 7.5% revenue growth</v>
          </cell>
          <cell r="F12">
            <v>0.09</v>
          </cell>
          <cell r="G12">
            <v>2843.8100000000004</v>
          </cell>
        </row>
        <row r="13">
          <cell r="B13" t="str">
            <v>Opex</v>
          </cell>
          <cell r="C13" t="str">
            <v>"approx $20 million in higher opex" relative to 2010</v>
          </cell>
        </row>
        <row r="14">
          <cell r="B14" t="str">
            <v>Capex</v>
          </cell>
          <cell r="C14" t="str">
            <v>"approx 10% of invest and grow revenue"</v>
          </cell>
        </row>
        <row r="15">
          <cell r="B15" t="str">
            <v>FCF</v>
          </cell>
          <cell r="C15" t="str">
            <v>positive FCF in 2011</v>
          </cell>
        </row>
      </sheetData>
      <sheetData sheetId="5" refreshError="1">
        <row r="2">
          <cell r="C2" t="str">
            <v>11.875% senior unsecured</v>
          </cell>
        </row>
        <row r="3">
          <cell r="C3" t="str">
            <v>52729NBS</v>
          </cell>
          <cell r="D3" t="str">
            <v>527298AM</v>
          </cell>
        </row>
        <row r="4">
          <cell r="B4">
            <v>40767</v>
          </cell>
          <cell r="C4">
            <v>11.620000000000001</v>
          </cell>
          <cell r="D4">
            <v>9.516</v>
          </cell>
        </row>
        <row r="5">
          <cell r="B5">
            <v>40766</v>
          </cell>
          <cell r="C5">
            <v>12.394</v>
          </cell>
          <cell r="D5">
            <v>9.609</v>
          </cell>
        </row>
        <row r="6">
          <cell r="B6">
            <v>40765</v>
          </cell>
          <cell r="C6">
            <v>11.682</v>
          </cell>
          <cell r="D6">
            <v>9.3780000000000001</v>
          </cell>
        </row>
        <row r="7">
          <cell r="B7">
            <v>40764</v>
          </cell>
          <cell r="C7">
            <v>11.495000000000001</v>
          </cell>
          <cell r="D7">
            <v>9.4239999999999995</v>
          </cell>
        </row>
        <row r="8">
          <cell r="B8">
            <v>40763</v>
          </cell>
          <cell r="C8">
            <v>11.248000000000001</v>
          </cell>
          <cell r="D8">
            <v>9.4239999999999995</v>
          </cell>
        </row>
        <row r="9">
          <cell r="B9">
            <v>40762</v>
          </cell>
          <cell r="C9">
            <v>10.292</v>
          </cell>
          <cell r="D9">
            <v>8.3610000000000007</v>
          </cell>
        </row>
        <row r="10">
          <cell r="B10">
            <v>40761</v>
          </cell>
          <cell r="C10">
            <v>10.292</v>
          </cell>
          <cell r="D10">
            <v>8.3610000000000007</v>
          </cell>
        </row>
        <row r="11">
          <cell r="B11">
            <v>40760</v>
          </cell>
          <cell r="C11">
            <v>10.292</v>
          </cell>
          <cell r="D11">
            <v>8.3610000000000007</v>
          </cell>
        </row>
        <row r="12">
          <cell r="B12">
            <v>40759</v>
          </cell>
          <cell r="C12">
            <v>10.061</v>
          </cell>
          <cell r="D12">
            <v>7.5110000000000001</v>
          </cell>
        </row>
        <row r="13">
          <cell r="B13">
            <v>40758</v>
          </cell>
          <cell r="C13">
            <v>9.8320000000000007</v>
          </cell>
          <cell r="D13">
            <v>6.9889999999999999</v>
          </cell>
        </row>
        <row r="14">
          <cell r="B14">
            <v>40757</v>
          </cell>
          <cell r="C14">
            <v>9.6910000000000007</v>
          </cell>
          <cell r="D14">
            <v>6.8900000000000006</v>
          </cell>
        </row>
        <row r="15">
          <cell r="B15">
            <v>40756</v>
          </cell>
          <cell r="C15">
            <v>9.495000000000001</v>
          </cell>
          <cell r="D15">
            <v>6.843</v>
          </cell>
        </row>
        <row r="16">
          <cell r="B16">
            <v>40755</v>
          </cell>
          <cell r="C16">
            <v>9.609</v>
          </cell>
          <cell r="D16">
            <v>6.8529999999999998</v>
          </cell>
        </row>
        <row r="17">
          <cell r="B17">
            <v>40754</v>
          </cell>
          <cell r="C17">
            <v>9.609</v>
          </cell>
          <cell r="D17">
            <v>6.8529999999999998</v>
          </cell>
        </row>
        <row r="18">
          <cell r="B18">
            <v>40753</v>
          </cell>
          <cell r="C18">
            <v>9.609</v>
          </cell>
          <cell r="D18">
            <v>6.8529999999999998</v>
          </cell>
        </row>
        <row r="19">
          <cell r="B19">
            <v>40752</v>
          </cell>
          <cell r="C19">
            <v>9.5820000000000007</v>
          </cell>
          <cell r="D19">
            <v>6.9089999999999998</v>
          </cell>
        </row>
        <row r="20">
          <cell r="B20">
            <v>40751</v>
          </cell>
          <cell r="C20">
            <v>9.4979999999999993</v>
          </cell>
          <cell r="D20">
            <v>6.9139999999999997</v>
          </cell>
        </row>
        <row r="21">
          <cell r="B21">
            <v>40750</v>
          </cell>
          <cell r="C21">
            <v>9.4990000000000006</v>
          </cell>
          <cell r="D21">
            <v>6.7540000000000004</v>
          </cell>
        </row>
        <row r="22">
          <cell r="B22">
            <v>40749</v>
          </cell>
          <cell r="C22">
            <v>9.4719999999999995</v>
          </cell>
          <cell r="D22">
            <v>6.7770000000000001</v>
          </cell>
        </row>
        <row r="23">
          <cell r="B23">
            <v>40748</v>
          </cell>
          <cell r="C23">
            <v>9.3919999999999995</v>
          </cell>
          <cell r="D23">
            <v>5.9560000000000004</v>
          </cell>
        </row>
        <row r="24">
          <cell r="B24">
            <v>40747</v>
          </cell>
          <cell r="C24">
            <v>9.3919999999999995</v>
          </cell>
          <cell r="D24">
            <v>5.9560000000000004</v>
          </cell>
        </row>
        <row r="25">
          <cell r="B25">
            <v>40746</v>
          </cell>
          <cell r="C25">
            <v>9.3919999999999995</v>
          </cell>
          <cell r="D25">
            <v>5.9560000000000004</v>
          </cell>
        </row>
        <row r="26">
          <cell r="B26">
            <v>40745</v>
          </cell>
          <cell r="C26">
            <v>9.3650000000000002</v>
          </cell>
          <cell r="D26">
            <v>5.9859999999999998</v>
          </cell>
        </row>
        <row r="27">
          <cell r="B27">
            <v>40744</v>
          </cell>
          <cell r="C27">
            <v>9.3930000000000007</v>
          </cell>
          <cell r="D27">
            <v>6.0150000000000006</v>
          </cell>
        </row>
        <row r="28">
          <cell r="B28">
            <v>40743</v>
          </cell>
          <cell r="C28">
            <v>9.5329999999999995</v>
          </cell>
          <cell r="D28">
            <v>6.952</v>
          </cell>
        </row>
        <row r="29">
          <cell r="B29">
            <v>40742</v>
          </cell>
          <cell r="C29">
            <v>9.5060000000000002</v>
          </cell>
          <cell r="D29">
            <v>6.5</v>
          </cell>
        </row>
        <row r="30">
          <cell r="B30">
            <v>40741</v>
          </cell>
          <cell r="C30">
            <v>9.4529999999999994</v>
          </cell>
          <cell r="D30">
            <v>6.9710000000000001</v>
          </cell>
        </row>
        <row r="31">
          <cell r="B31">
            <v>40740</v>
          </cell>
          <cell r="C31">
            <v>9.4529999999999994</v>
          </cell>
          <cell r="D31">
            <v>6.9710000000000001</v>
          </cell>
        </row>
        <row r="32">
          <cell r="B32">
            <v>40739</v>
          </cell>
          <cell r="C32">
            <v>9.4529999999999994</v>
          </cell>
          <cell r="D32">
            <v>6.9710000000000001</v>
          </cell>
        </row>
        <row r="33">
          <cell r="B33">
            <v>40738</v>
          </cell>
          <cell r="C33">
            <v>9.4540000000000006</v>
          </cell>
          <cell r="D33">
            <v>6.5940000000000003</v>
          </cell>
        </row>
        <row r="34">
          <cell r="B34">
            <v>40737</v>
          </cell>
          <cell r="C34">
            <v>9.51</v>
          </cell>
          <cell r="D34">
            <v>6.6160000000000005</v>
          </cell>
        </row>
        <row r="35">
          <cell r="B35">
            <v>40736</v>
          </cell>
          <cell r="C35">
            <v>9.5660000000000007</v>
          </cell>
          <cell r="D35">
            <v>7.2860000000000005</v>
          </cell>
        </row>
        <row r="36">
          <cell r="B36">
            <v>40735</v>
          </cell>
          <cell r="C36">
            <v>9.4559999999999995</v>
          </cell>
          <cell r="D36">
            <v>7.0890000000000004</v>
          </cell>
        </row>
        <row r="37">
          <cell r="B37">
            <v>40734</v>
          </cell>
          <cell r="C37">
            <v>9.2940000000000005</v>
          </cell>
          <cell r="D37">
            <v>6.7229999999999999</v>
          </cell>
        </row>
        <row r="38">
          <cell r="B38">
            <v>40733</v>
          </cell>
          <cell r="C38">
            <v>9.2940000000000005</v>
          </cell>
          <cell r="D38">
            <v>6.7229999999999999</v>
          </cell>
        </row>
        <row r="39">
          <cell r="B39">
            <v>40732</v>
          </cell>
          <cell r="C39">
            <v>9.2940000000000005</v>
          </cell>
          <cell r="D39">
            <v>6.7229999999999999</v>
          </cell>
        </row>
        <row r="40">
          <cell r="B40">
            <v>40731</v>
          </cell>
          <cell r="C40">
            <v>9.4600000000000009</v>
          </cell>
          <cell r="D40">
            <v>6.7430000000000003</v>
          </cell>
        </row>
        <row r="41">
          <cell r="B41">
            <v>40730</v>
          </cell>
          <cell r="C41">
            <v>9.7110000000000003</v>
          </cell>
          <cell r="D41">
            <v>7.21</v>
          </cell>
        </row>
        <row r="42">
          <cell r="B42">
            <v>40729</v>
          </cell>
          <cell r="C42">
            <v>9.6549999999999994</v>
          </cell>
          <cell r="D42">
            <v>6.7830000000000004</v>
          </cell>
        </row>
        <row r="43">
          <cell r="B43">
            <v>40728</v>
          </cell>
          <cell r="C43">
            <v>9.6840000000000011</v>
          </cell>
          <cell r="D43">
            <v>6.923</v>
          </cell>
        </row>
        <row r="44">
          <cell r="B44">
            <v>40727</v>
          </cell>
          <cell r="C44">
            <v>9.6859999999999999</v>
          </cell>
          <cell r="D44">
            <v>6.9370000000000003</v>
          </cell>
        </row>
        <row r="45">
          <cell r="B45">
            <v>40726</v>
          </cell>
          <cell r="C45">
            <v>9.6859999999999999</v>
          </cell>
          <cell r="D45">
            <v>6.9370000000000003</v>
          </cell>
        </row>
        <row r="46">
          <cell r="B46">
            <v>40725</v>
          </cell>
          <cell r="C46">
            <v>9.6859999999999999</v>
          </cell>
          <cell r="D46">
            <v>6.9370000000000003</v>
          </cell>
        </row>
        <row r="47">
          <cell r="B47">
            <v>40724</v>
          </cell>
          <cell r="C47">
            <v>9.9960000000000004</v>
          </cell>
          <cell r="D47">
            <v>6.9409999999999998</v>
          </cell>
        </row>
        <row r="48">
          <cell r="B48">
            <v>40723</v>
          </cell>
          <cell r="C48">
            <v>10.025</v>
          </cell>
          <cell r="D48">
            <v>6.9950000000000001</v>
          </cell>
        </row>
        <row r="49">
          <cell r="B49">
            <v>40722</v>
          </cell>
          <cell r="C49">
            <v>10.197000000000001</v>
          </cell>
          <cell r="D49">
            <v>6.9990000000000006</v>
          </cell>
        </row>
        <row r="50">
          <cell r="B50">
            <v>40721</v>
          </cell>
          <cell r="C50">
            <v>10.14</v>
          </cell>
          <cell r="D50">
            <v>7.0520000000000005</v>
          </cell>
        </row>
        <row r="51">
          <cell r="B51">
            <v>40720</v>
          </cell>
          <cell r="C51">
            <v>9.8879999999999999</v>
          </cell>
          <cell r="D51">
            <v>6.6310000000000002</v>
          </cell>
        </row>
        <row r="52">
          <cell r="B52">
            <v>40719</v>
          </cell>
          <cell r="C52">
            <v>9.8879999999999999</v>
          </cell>
          <cell r="D52">
            <v>6.6310000000000002</v>
          </cell>
        </row>
        <row r="53">
          <cell r="B53">
            <v>40718</v>
          </cell>
          <cell r="C53">
            <v>9.8879999999999999</v>
          </cell>
          <cell r="D53">
            <v>6.6310000000000002</v>
          </cell>
        </row>
        <row r="54">
          <cell r="B54">
            <v>40717</v>
          </cell>
          <cell r="C54">
            <v>9.8879999999999999</v>
          </cell>
          <cell r="D54">
            <v>6.65</v>
          </cell>
        </row>
        <row r="55">
          <cell r="B55">
            <v>40716</v>
          </cell>
          <cell r="C55">
            <v>9.8889999999999993</v>
          </cell>
          <cell r="D55">
            <v>6.6690000000000005</v>
          </cell>
        </row>
        <row r="56">
          <cell r="B56">
            <v>40715</v>
          </cell>
          <cell r="C56">
            <v>10.087</v>
          </cell>
          <cell r="D56">
            <v>6.8860000000000001</v>
          </cell>
        </row>
        <row r="57">
          <cell r="B57">
            <v>40714</v>
          </cell>
          <cell r="C57">
            <v>9.947000000000001</v>
          </cell>
          <cell r="D57">
            <v>7.0819999999999999</v>
          </cell>
        </row>
        <row r="58">
          <cell r="B58">
            <v>40713</v>
          </cell>
          <cell r="C58">
            <v>9.9209999999999994</v>
          </cell>
          <cell r="D58">
            <v>7.0949999999999998</v>
          </cell>
        </row>
        <row r="59">
          <cell r="B59">
            <v>40712</v>
          </cell>
          <cell r="C59">
            <v>9.9209999999999994</v>
          </cell>
          <cell r="D59">
            <v>7.0949999999999998</v>
          </cell>
        </row>
        <row r="60">
          <cell r="B60">
            <v>40711</v>
          </cell>
          <cell r="C60">
            <v>9.9209999999999994</v>
          </cell>
          <cell r="D60">
            <v>7.0949999999999998</v>
          </cell>
        </row>
        <row r="61">
          <cell r="B61">
            <v>40710</v>
          </cell>
          <cell r="C61">
            <v>9.9209999999999994</v>
          </cell>
          <cell r="D61">
            <v>7.1000000000000005</v>
          </cell>
        </row>
        <row r="62">
          <cell r="B62">
            <v>40709</v>
          </cell>
          <cell r="C62">
            <v>9.7550000000000008</v>
          </cell>
          <cell r="D62">
            <v>7.0090000000000003</v>
          </cell>
        </row>
        <row r="63">
          <cell r="B63">
            <v>40708</v>
          </cell>
          <cell r="C63">
            <v>9.7829999999999995</v>
          </cell>
          <cell r="D63">
            <v>6.9190000000000005</v>
          </cell>
        </row>
        <row r="64">
          <cell r="B64">
            <v>40707</v>
          </cell>
          <cell r="C64">
            <v>9.84</v>
          </cell>
          <cell r="D64">
            <v>7.1120000000000001</v>
          </cell>
        </row>
        <row r="65">
          <cell r="B65">
            <v>40706</v>
          </cell>
          <cell r="C65">
            <v>9.8140000000000001</v>
          </cell>
          <cell r="D65">
            <v>6.843</v>
          </cell>
        </row>
        <row r="66">
          <cell r="B66">
            <v>40705</v>
          </cell>
          <cell r="C66">
            <v>9.8140000000000001</v>
          </cell>
          <cell r="D66">
            <v>6.843</v>
          </cell>
        </row>
        <row r="67">
          <cell r="B67">
            <v>40704</v>
          </cell>
          <cell r="C67">
            <v>9.8140000000000001</v>
          </cell>
          <cell r="D67">
            <v>6.843</v>
          </cell>
        </row>
        <row r="68">
          <cell r="B68">
            <v>40703</v>
          </cell>
          <cell r="C68">
            <v>9.843</v>
          </cell>
          <cell r="D68">
            <v>7.1290000000000004</v>
          </cell>
        </row>
        <row r="69">
          <cell r="B69">
            <v>40702</v>
          </cell>
          <cell r="C69">
            <v>9.76</v>
          </cell>
          <cell r="D69">
            <v>7.133</v>
          </cell>
        </row>
        <row r="70">
          <cell r="B70">
            <v>40701</v>
          </cell>
          <cell r="C70">
            <v>9.6229999999999993</v>
          </cell>
          <cell r="D70">
            <v>6.95</v>
          </cell>
        </row>
        <row r="71">
          <cell r="B71">
            <v>40700</v>
          </cell>
          <cell r="C71">
            <v>9.5960000000000001</v>
          </cell>
          <cell r="D71">
            <v>6.9550000000000001</v>
          </cell>
        </row>
        <row r="72">
          <cell r="B72">
            <v>40699</v>
          </cell>
          <cell r="C72">
            <v>9.5990000000000002</v>
          </cell>
          <cell r="D72">
            <v>6.968</v>
          </cell>
        </row>
        <row r="73">
          <cell r="B73">
            <v>40698</v>
          </cell>
          <cell r="C73">
            <v>9.5990000000000002</v>
          </cell>
          <cell r="D73">
            <v>6.968</v>
          </cell>
        </row>
        <row r="74">
          <cell r="B74">
            <v>40697</v>
          </cell>
          <cell r="C74">
            <v>9.5990000000000002</v>
          </cell>
          <cell r="D74">
            <v>6.968</v>
          </cell>
        </row>
        <row r="75">
          <cell r="B75">
            <v>40696</v>
          </cell>
          <cell r="C75">
            <v>9.463000000000001</v>
          </cell>
          <cell r="D75">
            <v>6.88</v>
          </cell>
        </row>
        <row r="76">
          <cell r="B76">
            <v>40695</v>
          </cell>
          <cell r="C76">
            <v>9.3550000000000004</v>
          </cell>
          <cell r="D76">
            <v>6.7140000000000004</v>
          </cell>
        </row>
        <row r="77">
          <cell r="B77">
            <v>40694</v>
          </cell>
          <cell r="C77">
            <v>9.3830000000000009</v>
          </cell>
          <cell r="D77">
            <v>6.9809999999999999</v>
          </cell>
        </row>
        <row r="78">
          <cell r="B78">
            <v>40693</v>
          </cell>
          <cell r="C78">
            <v>9.4369999999999994</v>
          </cell>
          <cell r="D78">
            <v>6.9809999999999999</v>
          </cell>
        </row>
        <row r="79">
          <cell r="B79">
            <v>40692</v>
          </cell>
          <cell r="C79">
            <v>9.44</v>
          </cell>
          <cell r="D79">
            <v>6.9939999999999998</v>
          </cell>
        </row>
        <row r="80">
          <cell r="B80">
            <v>40691</v>
          </cell>
          <cell r="C80">
            <v>9.44</v>
          </cell>
          <cell r="D80">
            <v>6.9939999999999998</v>
          </cell>
        </row>
        <row r="81">
          <cell r="B81">
            <v>40690</v>
          </cell>
          <cell r="C81">
            <v>9.44</v>
          </cell>
          <cell r="D81">
            <v>6.9939999999999998</v>
          </cell>
        </row>
        <row r="82">
          <cell r="B82">
            <v>40689</v>
          </cell>
          <cell r="C82">
            <v>9.36</v>
          </cell>
          <cell r="D82">
            <v>7.09</v>
          </cell>
        </row>
        <row r="83">
          <cell r="B83">
            <v>40688</v>
          </cell>
          <cell r="C83">
            <v>9.4150000000000009</v>
          </cell>
          <cell r="D83">
            <v>6.9110000000000005</v>
          </cell>
        </row>
        <row r="84">
          <cell r="B84">
            <v>40687</v>
          </cell>
          <cell r="C84">
            <v>9.2539999999999996</v>
          </cell>
          <cell r="D84">
            <v>6.8239999999999998</v>
          </cell>
        </row>
        <row r="85">
          <cell r="B85">
            <v>40686</v>
          </cell>
          <cell r="C85">
            <v>9.39</v>
          </cell>
          <cell r="D85">
            <v>7.0110000000000001</v>
          </cell>
        </row>
        <row r="86">
          <cell r="B86">
            <v>40685</v>
          </cell>
          <cell r="C86">
            <v>9.2309999999999999</v>
          </cell>
          <cell r="D86">
            <v>6.843</v>
          </cell>
        </row>
        <row r="87">
          <cell r="B87">
            <v>40684</v>
          </cell>
          <cell r="C87">
            <v>9.2309999999999999</v>
          </cell>
          <cell r="D87">
            <v>6.843</v>
          </cell>
        </row>
        <row r="88">
          <cell r="B88">
            <v>40683</v>
          </cell>
          <cell r="C88">
            <v>9.2309999999999999</v>
          </cell>
          <cell r="D88">
            <v>6.843</v>
          </cell>
        </row>
        <row r="89">
          <cell r="B89">
            <v>40682</v>
          </cell>
          <cell r="C89">
            <v>9.2319999999999993</v>
          </cell>
          <cell r="D89">
            <v>6.343</v>
          </cell>
        </row>
        <row r="90">
          <cell r="B90">
            <v>40681</v>
          </cell>
          <cell r="C90">
            <v>9.34</v>
          </cell>
          <cell r="D90">
            <v>6.36</v>
          </cell>
        </row>
        <row r="91">
          <cell r="B91">
            <v>40680</v>
          </cell>
          <cell r="C91">
            <v>9.2070000000000007</v>
          </cell>
          <cell r="D91">
            <v>6.1040000000000001</v>
          </cell>
        </row>
        <row r="92">
          <cell r="B92">
            <v>40679</v>
          </cell>
          <cell r="C92">
            <v>9.1549999999999994</v>
          </cell>
          <cell r="D92">
            <v>5.8520000000000003</v>
          </cell>
        </row>
        <row r="93">
          <cell r="B93">
            <v>40678</v>
          </cell>
          <cell r="C93">
            <v>9.2650000000000006</v>
          </cell>
          <cell r="D93">
            <v>5.9110000000000005</v>
          </cell>
        </row>
        <row r="94">
          <cell r="B94">
            <v>40677</v>
          </cell>
          <cell r="C94">
            <v>9.2650000000000006</v>
          </cell>
          <cell r="D94">
            <v>5.9110000000000005</v>
          </cell>
        </row>
        <row r="95">
          <cell r="B95">
            <v>40676</v>
          </cell>
          <cell r="C95">
            <v>9.2650000000000006</v>
          </cell>
          <cell r="D95">
            <v>5.9110000000000005</v>
          </cell>
        </row>
        <row r="96">
          <cell r="B96">
            <v>40675</v>
          </cell>
          <cell r="C96">
            <v>9.3460000000000001</v>
          </cell>
          <cell r="D96">
            <v>5.93</v>
          </cell>
        </row>
        <row r="97">
          <cell r="B97">
            <v>40674</v>
          </cell>
          <cell r="C97">
            <v>9.4009999999999998</v>
          </cell>
          <cell r="D97">
            <v>6.476</v>
          </cell>
        </row>
        <row r="98">
          <cell r="B98">
            <v>40673</v>
          </cell>
          <cell r="C98">
            <v>9.3480000000000008</v>
          </cell>
          <cell r="D98">
            <v>6.3620000000000001</v>
          </cell>
        </row>
        <row r="99">
          <cell r="B99">
            <v>40672</v>
          </cell>
          <cell r="C99">
            <v>9.4030000000000005</v>
          </cell>
          <cell r="D99">
            <v>6.2469999999999999</v>
          </cell>
        </row>
        <row r="100">
          <cell r="B100">
            <v>40671</v>
          </cell>
          <cell r="C100">
            <v>9.4589999999999996</v>
          </cell>
          <cell r="D100">
            <v>5.7850000000000001</v>
          </cell>
        </row>
        <row r="101">
          <cell r="B101">
            <v>40670</v>
          </cell>
          <cell r="C101">
            <v>9.4589999999999996</v>
          </cell>
          <cell r="D101">
            <v>5.7850000000000001</v>
          </cell>
        </row>
        <row r="102">
          <cell r="B102">
            <v>40669</v>
          </cell>
          <cell r="C102">
            <v>9.4589999999999996</v>
          </cell>
          <cell r="D102">
            <v>5.7850000000000001</v>
          </cell>
        </row>
        <row r="103">
          <cell r="B103">
            <v>40668</v>
          </cell>
          <cell r="C103">
            <v>9.4600000000000009</v>
          </cell>
          <cell r="D103">
            <v>6.0590000000000002</v>
          </cell>
        </row>
        <row r="104">
          <cell r="B104">
            <v>40667</v>
          </cell>
          <cell r="C104">
            <v>9.4209999999999994</v>
          </cell>
          <cell r="D104">
            <v>6.077</v>
          </cell>
        </row>
        <row r="105">
          <cell r="B105">
            <v>40666</v>
          </cell>
          <cell r="C105">
            <v>9.4079999999999995</v>
          </cell>
          <cell r="D105">
            <v>5.8420000000000005</v>
          </cell>
        </row>
        <row r="106">
          <cell r="B106">
            <v>40665</v>
          </cell>
          <cell r="C106">
            <v>9.3559999999999999</v>
          </cell>
          <cell r="D106">
            <v>5.6109999999999998</v>
          </cell>
        </row>
        <row r="107">
          <cell r="B107">
            <v>40664</v>
          </cell>
          <cell r="C107">
            <v>9.4120000000000008</v>
          </cell>
          <cell r="D107">
            <v>6.16</v>
          </cell>
        </row>
        <row r="108">
          <cell r="B108">
            <v>40663</v>
          </cell>
          <cell r="C108">
            <v>9.4120000000000008</v>
          </cell>
          <cell r="D108">
            <v>6.16</v>
          </cell>
        </row>
        <row r="109">
          <cell r="B109">
            <v>40662</v>
          </cell>
          <cell r="C109">
            <v>9.4120000000000008</v>
          </cell>
          <cell r="D109">
            <v>6.16</v>
          </cell>
        </row>
        <row r="110">
          <cell r="B110">
            <v>40661</v>
          </cell>
          <cell r="C110">
            <v>9.6289999999999996</v>
          </cell>
          <cell r="D110">
            <v>6.1749999999999998</v>
          </cell>
        </row>
        <row r="111">
          <cell r="B111">
            <v>40660</v>
          </cell>
          <cell r="C111">
            <v>9.5760000000000005</v>
          </cell>
          <cell r="D111">
            <v>5.702</v>
          </cell>
        </row>
        <row r="112">
          <cell r="B112">
            <v>40659</v>
          </cell>
          <cell r="C112">
            <v>9.5229999999999997</v>
          </cell>
          <cell r="D112">
            <v>5.9610000000000003</v>
          </cell>
        </row>
        <row r="113">
          <cell r="B113">
            <v>40658</v>
          </cell>
          <cell r="C113">
            <v>9.5240000000000009</v>
          </cell>
          <cell r="D113">
            <v>5.2549999999999999</v>
          </cell>
        </row>
        <row r="114">
          <cell r="B114">
            <v>40657</v>
          </cell>
          <cell r="C114">
            <v>9.5809999999999995</v>
          </cell>
          <cell r="D114">
            <v>5.5650000000000004</v>
          </cell>
        </row>
        <row r="115">
          <cell r="B115">
            <v>40656</v>
          </cell>
          <cell r="C115">
            <v>9.5809999999999995</v>
          </cell>
          <cell r="D115">
            <v>5.5650000000000004</v>
          </cell>
        </row>
        <row r="116">
          <cell r="B116">
            <v>40655</v>
          </cell>
          <cell r="C116">
            <v>9.5809999999999995</v>
          </cell>
          <cell r="D116">
            <v>5.5650000000000004</v>
          </cell>
        </row>
        <row r="117">
          <cell r="B117">
            <v>40654</v>
          </cell>
          <cell r="C117">
            <v>9.5809999999999995</v>
          </cell>
          <cell r="D117">
            <v>5.5650000000000004</v>
          </cell>
        </row>
        <row r="118">
          <cell r="B118">
            <v>40653</v>
          </cell>
          <cell r="C118">
            <v>9.5820000000000007</v>
          </cell>
          <cell r="D118">
            <v>5.5830000000000002</v>
          </cell>
        </row>
        <row r="119">
          <cell r="B119">
            <v>40652</v>
          </cell>
          <cell r="C119">
            <v>9.6639999999999997</v>
          </cell>
          <cell r="D119">
            <v>5.8319999999999999</v>
          </cell>
        </row>
        <row r="120">
          <cell r="B120">
            <v>40651</v>
          </cell>
          <cell r="C120">
            <v>9.6379999999999999</v>
          </cell>
          <cell r="D120">
            <v>5.6160000000000005</v>
          </cell>
        </row>
        <row r="121">
          <cell r="B121">
            <v>40650</v>
          </cell>
          <cell r="C121">
            <v>9.6950000000000003</v>
          </cell>
          <cell r="D121">
            <v>5.4379999999999997</v>
          </cell>
        </row>
        <row r="122">
          <cell r="B122">
            <v>40649</v>
          </cell>
          <cell r="C122">
            <v>9.6950000000000003</v>
          </cell>
          <cell r="D122">
            <v>5.4379999999999997</v>
          </cell>
        </row>
        <row r="123">
          <cell r="B123">
            <v>40648</v>
          </cell>
          <cell r="C123">
            <v>9.6950000000000003</v>
          </cell>
          <cell r="D123">
            <v>5.4379999999999997</v>
          </cell>
        </row>
        <row r="124">
          <cell r="B124">
            <v>40647</v>
          </cell>
          <cell r="C124">
            <v>9.75</v>
          </cell>
          <cell r="D124">
            <v>5.4550000000000001</v>
          </cell>
        </row>
        <row r="125">
          <cell r="B125">
            <v>40646</v>
          </cell>
          <cell r="C125">
            <v>9.9689999999999994</v>
          </cell>
          <cell r="D125">
            <v>5.4720000000000004</v>
          </cell>
        </row>
        <row r="126">
          <cell r="B126">
            <v>40645</v>
          </cell>
          <cell r="C126">
            <v>10.025</v>
          </cell>
          <cell r="D126">
            <v>5.2649999999999997</v>
          </cell>
        </row>
        <row r="127">
          <cell r="B127">
            <v>40644</v>
          </cell>
          <cell r="C127">
            <v>10.136000000000001</v>
          </cell>
          <cell r="D127">
            <v>5.5060000000000002</v>
          </cell>
        </row>
        <row r="128">
          <cell r="B128">
            <v>40643</v>
          </cell>
          <cell r="C128">
            <v>12.620000000000001</v>
          </cell>
          <cell r="D128">
            <v>7.0940000000000003</v>
          </cell>
        </row>
        <row r="129">
          <cell r="B129">
            <v>40642</v>
          </cell>
          <cell r="C129">
            <v>12.620000000000001</v>
          </cell>
          <cell r="D129">
            <v>7.0940000000000003</v>
          </cell>
        </row>
        <row r="130">
          <cell r="B130">
            <v>40641</v>
          </cell>
          <cell r="C130">
            <v>12.620000000000001</v>
          </cell>
          <cell r="D130">
            <v>7.0940000000000003</v>
          </cell>
        </row>
        <row r="131">
          <cell r="B131">
            <v>40640</v>
          </cell>
          <cell r="C131">
            <v>12.620000000000001</v>
          </cell>
          <cell r="D131">
            <v>7.0970000000000004</v>
          </cell>
        </row>
        <row r="132">
          <cell r="B132">
            <v>40639</v>
          </cell>
          <cell r="C132">
            <v>12.646000000000001</v>
          </cell>
          <cell r="D132">
            <v>7.101</v>
          </cell>
        </row>
        <row r="133">
          <cell r="B133">
            <v>40638</v>
          </cell>
          <cell r="C133">
            <v>12.832000000000001</v>
          </cell>
          <cell r="D133">
            <v>7.1040000000000001</v>
          </cell>
        </row>
        <row r="134">
          <cell r="B134">
            <v>40637</v>
          </cell>
          <cell r="C134">
            <v>12.858000000000001</v>
          </cell>
          <cell r="D134">
            <v>7.1909999999999998</v>
          </cell>
        </row>
        <row r="135">
          <cell r="B135">
            <v>40636</v>
          </cell>
          <cell r="C135">
            <v>13.073</v>
          </cell>
          <cell r="D135">
            <v>7.7030000000000003</v>
          </cell>
        </row>
        <row r="136">
          <cell r="B136">
            <v>40635</v>
          </cell>
          <cell r="C136">
            <v>13.073</v>
          </cell>
          <cell r="D136">
            <v>7.7030000000000003</v>
          </cell>
        </row>
        <row r="137">
          <cell r="B137">
            <v>40634</v>
          </cell>
          <cell r="C137">
            <v>13.073</v>
          </cell>
          <cell r="D137">
            <v>7.7030000000000003</v>
          </cell>
        </row>
        <row r="138">
          <cell r="B138">
            <v>40633</v>
          </cell>
          <cell r="C138">
            <v>13.073</v>
          </cell>
          <cell r="D138">
            <v>7.7050000000000001</v>
          </cell>
        </row>
        <row r="139">
          <cell r="B139">
            <v>40632</v>
          </cell>
          <cell r="C139">
            <v>13.182</v>
          </cell>
          <cell r="D139">
            <v>7.8730000000000002</v>
          </cell>
        </row>
        <row r="140">
          <cell r="B140">
            <v>40631</v>
          </cell>
          <cell r="C140">
            <v>13.236000000000001</v>
          </cell>
          <cell r="D140">
            <v>7.6240000000000006</v>
          </cell>
        </row>
        <row r="141">
          <cell r="B141">
            <v>40630</v>
          </cell>
          <cell r="C141">
            <v>13.208</v>
          </cell>
          <cell r="D141">
            <v>7.6260000000000003</v>
          </cell>
        </row>
        <row r="142">
          <cell r="B142">
            <v>40629</v>
          </cell>
          <cell r="C142">
            <v>13.234999999999999</v>
          </cell>
          <cell r="D142">
            <v>7.7160000000000002</v>
          </cell>
        </row>
        <row r="143">
          <cell r="B143">
            <v>40628</v>
          </cell>
          <cell r="C143">
            <v>13.234999999999999</v>
          </cell>
          <cell r="D143">
            <v>7.7160000000000002</v>
          </cell>
        </row>
        <row r="144">
          <cell r="B144">
            <v>40627</v>
          </cell>
          <cell r="C144">
            <v>13.234999999999999</v>
          </cell>
          <cell r="D144">
            <v>7.7160000000000002</v>
          </cell>
        </row>
        <row r="145">
          <cell r="B145">
            <v>40626</v>
          </cell>
          <cell r="C145">
            <v>13.234999999999999</v>
          </cell>
          <cell r="D145">
            <v>7.7190000000000003</v>
          </cell>
        </row>
        <row r="146">
          <cell r="B146">
            <v>40625</v>
          </cell>
          <cell r="C146">
            <v>13.234</v>
          </cell>
          <cell r="D146">
            <v>7.8040000000000003</v>
          </cell>
        </row>
        <row r="147">
          <cell r="B147">
            <v>40624</v>
          </cell>
          <cell r="C147">
            <v>13.18</v>
          </cell>
          <cell r="D147">
            <v>7.7229999999999999</v>
          </cell>
        </row>
        <row r="148">
          <cell r="B148">
            <v>40623</v>
          </cell>
          <cell r="C148">
            <v>13.125</v>
          </cell>
          <cell r="D148">
            <v>7.7250000000000005</v>
          </cell>
        </row>
        <row r="149">
          <cell r="B149">
            <v>40622</v>
          </cell>
          <cell r="C149">
            <v>13.233000000000001</v>
          </cell>
          <cell r="D149">
            <v>7.5680000000000005</v>
          </cell>
        </row>
        <row r="150">
          <cell r="B150">
            <v>40621</v>
          </cell>
          <cell r="C150">
            <v>13.233000000000001</v>
          </cell>
          <cell r="D150">
            <v>7.5680000000000005</v>
          </cell>
        </row>
        <row r="151">
          <cell r="B151">
            <v>40620</v>
          </cell>
          <cell r="C151">
            <v>13.233000000000001</v>
          </cell>
          <cell r="D151">
            <v>7.5680000000000005</v>
          </cell>
        </row>
        <row r="152">
          <cell r="B152">
            <v>40619</v>
          </cell>
          <cell r="C152">
            <v>13.233000000000001</v>
          </cell>
          <cell r="D152">
            <v>7.8170000000000002</v>
          </cell>
        </row>
        <row r="153">
          <cell r="B153">
            <v>40618</v>
          </cell>
          <cell r="C153">
            <v>13.124000000000001</v>
          </cell>
          <cell r="D153">
            <v>7.9009999999999998</v>
          </cell>
        </row>
        <row r="154">
          <cell r="B154">
            <v>40617</v>
          </cell>
          <cell r="C154">
            <v>13.016</v>
          </cell>
          <cell r="D154">
            <v>7.9030000000000005</v>
          </cell>
        </row>
        <row r="155">
          <cell r="B155">
            <v>40616</v>
          </cell>
          <cell r="C155">
            <v>12.856</v>
          </cell>
          <cell r="D155">
            <v>7.415</v>
          </cell>
        </row>
        <row r="156">
          <cell r="B156">
            <v>40615</v>
          </cell>
          <cell r="C156">
            <v>12.802</v>
          </cell>
          <cell r="D156">
            <v>7.2610000000000001</v>
          </cell>
        </row>
        <row r="157">
          <cell r="B157">
            <v>40614</v>
          </cell>
          <cell r="C157">
            <v>12.802</v>
          </cell>
          <cell r="D157">
            <v>7.2610000000000001</v>
          </cell>
        </row>
        <row r="158">
          <cell r="B158">
            <v>40613</v>
          </cell>
          <cell r="C158">
            <v>12.802</v>
          </cell>
          <cell r="D158">
            <v>7.2610000000000001</v>
          </cell>
        </row>
        <row r="159">
          <cell r="B159">
            <v>40612</v>
          </cell>
          <cell r="C159">
            <v>12.488</v>
          </cell>
          <cell r="D159">
            <v>6.8630000000000004</v>
          </cell>
        </row>
        <row r="160">
          <cell r="B160">
            <v>40611</v>
          </cell>
          <cell r="C160">
            <v>12.411</v>
          </cell>
          <cell r="D160">
            <v>6.5490000000000004</v>
          </cell>
        </row>
        <row r="161">
          <cell r="B161">
            <v>40610</v>
          </cell>
          <cell r="C161">
            <v>12.359</v>
          </cell>
          <cell r="D161">
            <v>5.7889999999999997</v>
          </cell>
        </row>
        <row r="162">
          <cell r="B162">
            <v>40609</v>
          </cell>
          <cell r="C162">
            <v>12.333</v>
          </cell>
          <cell r="D162">
            <v>5.9930000000000003</v>
          </cell>
        </row>
        <row r="163">
          <cell r="B163">
            <v>40608</v>
          </cell>
          <cell r="C163">
            <v>12.282</v>
          </cell>
          <cell r="D163">
            <v>6.4080000000000004</v>
          </cell>
        </row>
        <row r="164">
          <cell r="B164">
            <v>40607</v>
          </cell>
          <cell r="C164">
            <v>12.282</v>
          </cell>
          <cell r="D164">
            <v>6.4080000000000004</v>
          </cell>
        </row>
        <row r="165">
          <cell r="B165">
            <v>40606</v>
          </cell>
          <cell r="C165">
            <v>12.282</v>
          </cell>
          <cell r="D165">
            <v>6.4080000000000004</v>
          </cell>
        </row>
        <row r="166">
          <cell r="B166">
            <v>40605</v>
          </cell>
          <cell r="C166">
            <v>12.231</v>
          </cell>
          <cell r="D166">
            <v>6.4190000000000005</v>
          </cell>
        </row>
        <row r="167">
          <cell r="B167">
            <v>40604</v>
          </cell>
          <cell r="C167">
            <v>12.282</v>
          </cell>
          <cell r="D167">
            <v>6.2410000000000005</v>
          </cell>
        </row>
        <row r="168">
          <cell r="B168">
            <v>40603</v>
          </cell>
          <cell r="C168">
            <v>12.155000000000001</v>
          </cell>
          <cell r="D168">
            <v>6.4390000000000001</v>
          </cell>
        </row>
        <row r="169">
          <cell r="B169">
            <v>40602</v>
          </cell>
          <cell r="C169">
            <v>12.231</v>
          </cell>
          <cell r="D169">
            <v>7.1360000000000001</v>
          </cell>
        </row>
        <row r="170">
          <cell r="B170">
            <v>40601</v>
          </cell>
          <cell r="C170">
            <v>12.105</v>
          </cell>
          <cell r="D170">
            <v>7.0730000000000004</v>
          </cell>
        </row>
        <row r="171">
          <cell r="B171">
            <v>40600</v>
          </cell>
          <cell r="C171">
            <v>12.105</v>
          </cell>
          <cell r="D171">
            <v>7.0730000000000004</v>
          </cell>
        </row>
        <row r="172">
          <cell r="B172">
            <v>40599</v>
          </cell>
          <cell r="C172">
            <v>12.105</v>
          </cell>
          <cell r="D172">
            <v>7.0730000000000004</v>
          </cell>
        </row>
        <row r="173">
          <cell r="B173">
            <v>40598</v>
          </cell>
          <cell r="C173">
            <v>12.334</v>
          </cell>
          <cell r="D173">
            <v>7.2330000000000005</v>
          </cell>
        </row>
        <row r="174">
          <cell r="B174">
            <v>40597</v>
          </cell>
          <cell r="C174">
            <v>12.181000000000001</v>
          </cell>
          <cell r="D174">
            <v>7.3140000000000001</v>
          </cell>
        </row>
        <row r="175">
          <cell r="B175">
            <v>40596</v>
          </cell>
          <cell r="C175">
            <v>12.055</v>
          </cell>
          <cell r="D175">
            <v>7.0049999999999999</v>
          </cell>
        </row>
        <row r="176">
          <cell r="B176">
            <v>40595</v>
          </cell>
          <cell r="C176">
            <v>12.232000000000001</v>
          </cell>
          <cell r="D176">
            <v>6.8529999999999998</v>
          </cell>
        </row>
        <row r="177">
          <cell r="B177">
            <v>40594</v>
          </cell>
          <cell r="C177">
            <v>12.232000000000001</v>
          </cell>
          <cell r="D177">
            <v>6.8630000000000004</v>
          </cell>
        </row>
        <row r="178">
          <cell r="B178">
            <v>40593</v>
          </cell>
          <cell r="C178">
            <v>12.232000000000001</v>
          </cell>
          <cell r="D178">
            <v>6.8630000000000004</v>
          </cell>
        </row>
        <row r="179">
          <cell r="B179">
            <v>40592</v>
          </cell>
          <cell r="C179">
            <v>12.232000000000001</v>
          </cell>
          <cell r="D179">
            <v>6.8630000000000004</v>
          </cell>
        </row>
        <row r="180">
          <cell r="B180">
            <v>40591</v>
          </cell>
          <cell r="C180">
            <v>12.181000000000001</v>
          </cell>
          <cell r="D180">
            <v>7.1760000000000002</v>
          </cell>
        </row>
        <row r="181">
          <cell r="B181">
            <v>40590</v>
          </cell>
          <cell r="C181">
            <v>12.282999999999999</v>
          </cell>
          <cell r="D181">
            <v>7.2560000000000002</v>
          </cell>
        </row>
        <row r="182">
          <cell r="B182">
            <v>40589</v>
          </cell>
          <cell r="C182">
            <v>12.334</v>
          </cell>
          <cell r="D182">
            <v>7.3369999999999997</v>
          </cell>
        </row>
        <row r="183">
          <cell r="B183">
            <v>40588</v>
          </cell>
          <cell r="C183">
            <v>12.282999999999999</v>
          </cell>
          <cell r="D183">
            <v>7.65</v>
          </cell>
        </row>
        <row r="184">
          <cell r="B184">
            <v>40587</v>
          </cell>
          <cell r="C184">
            <v>12.282999999999999</v>
          </cell>
          <cell r="D184">
            <v>7.3479999999999999</v>
          </cell>
        </row>
        <row r="185">
          <cell r="B185">
            <v>40586</v>
          </cell>
          <cell r="C185">
            <v>12.282999999999999</v>
          </cell>
          <cell r="D185">
            <v>7.3479999999999999</v>
          </cell>
        </row>
        <row r="186">
          <cell r="B186">
            <v>40585</v>
          </cell>
          <cell r="C186">
            <v>12.282999999999999</v>
          </cell>
          <cell r="D186">
            <v>7.3479999999999999</v>
          </cell>
        </row>
        <row r="187">
          <cell r="B187">
            <v>40584</v>
          </cell>
          <cell r="C187">
            <v>12.282999999999999</v>
          </cell>
          <cell r="D187">
            <v>7.5049999999999999</v>
          </cell>
        </row>
        <row r="188">
          <cell r="B188">
            <v>40583</v>
          </cell>
          <cell r="C188">
            <v>12.081</v>
          </cell>
          <cell r="D188">
            <v>7.2</v>
          </cell>
        </row>
        <row r="189">
          <cell r="B189">
            <v>40582</v>
          </cell>
          <cell r="C189">
            <v>11.982000000000001</v>
          </cell>
          <cell r="D189">
            <v>7.3559999999999999</v>
          </cell>
        </row>
        <row r="190">
          <cell r="B190">
            <v>40581</v>
          </cell>
          <cell r="C190">
            <v>12.032</v>
          </cell>
          <cell r="D190">
            <v>7.8209999999999997</v>
          </cell>
        </row>
        <row r="191">
          <cell r="B191">
            <v>40580</v>
          </cell>
          <cell r="C191">
            <v>12.385</v>
          </cell>
          <cell r="D191">
            <v>8.0590000000000011</v>
          </cell>
        </row>
        <row r="192">
          <cell r="B192">
            <v>40579</v>
          </cell>
          <cell r="C192">
            <v>12.385</v>
          </cell>
          <cell r="D192">
            <v>8.0590000000000011</v>
          </cell>
        </row>
        <row r="193">
          <cell r="B193">
            <v>40578</v>
          </cell>
          <cell r="C193">
            <v>12.385</v>
          </cell>
          <cell r="D193">
            <v>8.0590000000000011</v>
          </cell>
        </row>
        <row r="194">
          <cell r="B194">
            <v>40577</v>
          </cell>
          <cell r="C194">
            <v>12.411</v>
          </cell>
          <cell r="D194">
            <v>8.293000000000001</v>
          </cell>
        </row>
        <row r="195">
          <cell r="B195">
            <v>40576</v>
          </cell>
          <cell r="C195">
            <v>12.411</v>
          </cell>
          <cell r="D195">
            <v>8.3719999999999999</v>
          </cell>
        </row>
        <row r="196">
          <cell r="B196">
            <v>40575</v>
          </cell>
          <cell r="C196">
            <v>12.436999999999999</v>
          </cell>
          <cell r="D196">
            <v>8.4499999999999993</v>
          </cell>
        </row>
        <row r="197">
          <cell r="B197">
            <v>40574</v>
          </cell>
          <cell r="C197">
            <v>12.488</v>
          </cell>
          <cell r="D197">
            <v>8.452</v>
          </cell>
        </row>
        <row r="198">
          <cell r="B198">
            <v>40573</v>
          </cell>
          <cell r="C198" t="e">
            <v>#N/A</v>
          </cell>
          <cell r="D198">
            <v>8.4540000000000006</v>
          </cell>
        </row>
        <row r="199">
          <cell r="B199">
            <v>40572</v>
          </cell>
          <cell r="C199" t="e">
            <v>#N/A</v>
          </cell>
          <cell r="D199">
            <v>8.4540000000000006</v>
          </cell>
        </row>
        <row r="200">
          <cell r="B200">
            <v>40571</v>
          </cell>
          <cell r="C200" t="e">
            <v>#N/A</v>
          </cell>
          <cell r="D200">
            <v>8.4540000000000006</v>
          </cell>
        </row>
        <row r="201">
          <cell r="B201">
            <v>40570</v>
          </cell>
          <cell r="C201" t="e">
            <v>#N/A</v>
          </cell>
          <cell r="D201">
            <v>8.61</v>
          </cell>
        </row>
        <row r="202">
          <cell r="B202">
            <v>40569</v>
          </cell>
          <cell r="C202" t="e">
            <v>#N/A</v>
          </cell>
          <cell r="D202">
            <v>8.6110000000000007</v>
          </cell>
        </row>
        <row r="203">
          <cell r="B203">
            <v>40568</v>
          </cell>
          <cell r="C203" t="e">
            <v>#N/A</v>
          </cell>
          <cell r="D203">
            <v>8.766</v>
          </cell>
        </row>
        <row r="204">
          <cell r="B204">
            <v>40567</v>
          </cell>
          <cell r="C204" t="e">
            <v>#N/A</v>
          </cell>
          <cell r="D204">
            <v>8.7669999999999995</v>
          </cell>
        </row>
        <row r="205">
          <cell r="B205">
            <v>40566</v>
          </cell>
          <cell r="C205" t="e">
            <v>#N/A</v>
          </cell>
          <cell r="D205">
            <v>9.1560000000000006</v>
          </cell>
        </row>
        <row r="206">
          <cell r="B206">
            <v>40565</v>
          </cell>
          <cell r="C206" t="e">
            <v>#N/A</v>
          </cell>
          <cell r="D206">
            <v>9.1560000000000006</v>
          </cell>
        </row>
        <row r="207">
          <cell r="B207">
            <v>40564</v>
          </cell>
          <cell r="C207" t="e">
            <v>#N/A</v>
          </cell>
          <cell r="D207">
            <v>9.1560000000000006</v>
          </cell>
        </row>
        <row r="208">
          <cell r="B208">
            <v>40563</v>
          </cell>
          <cell r="C208" t="e">
            <v>#N/A</v>
          </cell>
          <cell r="D208">
            <v>9.1560000000000006</v>
          </cell>
        </row>
        <row r="209">
          <cell r="B209">
            <v>40562</v>
          </cell>
          <cell r="C209" t="e">
            <v>#N/A</v>
          </cell>
          <cell r="D209">
            <v>9.0790000000000006</v>
          </cell>
        </row>
        <row r="210">
          <cell r="B210">
            <v>40561</v>
          </cell>
          <cell r="C210" t="e">
            <v>#N/A</v>
          </cell>
          <cell r="D210">
            <v>9.0790000000000006</v>
          </cell>
        </row>
        <row r="211">
          <cell r="B211">
            <v>40560</v>
          </cell>
          <cell r="C211" t="e">
            <v>#N/A</v>
          </cell>
          <cell r="D211">
            <v>9.08</v>
          </cell>
        </row>
        <row r="212">
          <cell r="B212">
            <v>40559</v>
          </cell>
          <cell r="C212" t="e">
            <v>#N/A</v>
          </cell>
          <cell r="D212">
            <v>9.0809999999999995</v>
          </cell>
        </row>
        <row r="213">
          <cell r="B213">
            <v>40558</v>
          </cell>
          <cell r="C213" t="e">
            <v>#N/A</v>
          </cell>
          <cell r="D213">
            <v>9.0809999999999995</v>
          </cell>
        </row>
        <row r="214">
          <cell r="B214">
            <v>40557</v>
          </cell>
          <cell r="C214" t="e">
            <v>#N/A</v>
          </cell>
          <cell r="D214">
            <v>9.0809999999999995</v>
          </cell>
        </row>
        <row r="215">
          <cell r="B215">
            <v>40556</v>
          </cell>
          <cell r="C215" t="e">
            <v>#N/A</v>
          </cell>
          <cell r="D215">
            <v>8.8510000000000009</v>
          </cell>
        </row>
        <row r="216">
          <cell r="B216">
            <v>40555</v>
          </cell>
          <cell r="C216" t="e">
            <v>#N/A</v>
          </cell>
          <cell r="D216">
            <v>8.6240000000000006</v>
          </cell>
        </row>
        <row r="217">
          <cell r="B217">
            <v>40554</v>
          </cell>
          <cell r="C217" t="e">
            <v>#N/A</v>
          </cell>
          <cell r="D217">
            <v>8.9290000000000003</v>
          </cell>
        </row>
        <row r="218">
          <cell r="B218">
            <v>40553</v>
          </cell>
          <cell r="C218" t="e">
            <v>#N/A</v>
          </cell>
          <cell r="D218">
            <v>9.322000000000001</v>
          </cell>
        </row>
        <row r="219">
          <cell r="B219">
            <v>40552</v>
          </cell>
          <cell r="C219" t="e">
            <v>#N/A</v>
          </cell>
          <cell r="D219">
            <v>9.322000000000001</v>
          </cell>
        </row>
        <row r="220">
          <cell r="B220">
            <v>40551</v>
          </cell>
          <cell r="C220" t="e">
            <v>#N/A</v>
          </cell>
          <cell r="D220">
            <v>9.322000000000001</v>
          </cell>
        </row>
        <row r="221">
          <cell r="B221">
            <v>40550</v>
          </cell>
          <cell r="C221" t="e">
            <v>#N/A</v>
          </cell>
          <cell r="D221">
            <v>9.322000000000001</v>
          </cell>
        </row>
        <row r="222">
          <cell r="B222">
            <v>40549</v>
          </cell>
          <cell r="C222" t="e">
            <v>#N/A</v>
          </cell>
          <cell r="D222">
            <v>9.2349999999999994</v>
          </cell>
        </row>
        <row r="223">
          <cell r="B223">
            <v>40548</v>
          </cell>
          <cell r="C223" t="e">
            <v>#N/A</v>
          </cell>
          <cell r="D223">
            <v>9.2349999999999994</v>
          </cell>
        </row>
        <row r="224">
          <cell r="B224">
            <v>40547</v>
          </cell>
          <cell r="C224" t="e">
            <v>#N/A</v>
          </cell>
          <cell r="D224">
            <v>9.2349999999999994</v>
          </cell>
        </row>
        <row r="225">
          <cell r="B225">
            <v>40546</v>
          </cell>
          <cell r="C225" t="e">
            <v>#N/A</v>
          </cell>
          <cell r="D225">
            <v>9.4009999999999998</v>
          </cell>
        </row>
        <row r="226">
          <cell r="B226">
            <v>40545</v>
          </cell>
          <cell r="C226" t="e">
            <v>#N/A</v>
          </cell>
          <cell r="D226">
            <v>9.48</v>
          </cell>
        </row>
        <row r="227">
          <cell r="B227">
            <v>40544</v>
          </cell>
          <cell r="C227" t="e">
            <v>#N/A</v>
          </cell>
          <cell r="D227">
            <v>9.48</v>
          </cell>
        </row>
      </sheetData>
      <sheetData sheetId="6" refreshError="1"/>
      <sheetData sheetId="7" refreshError="1">
        <row r="2">
          <cell r="B2" t="str">
            <v>Regulatory / Other Required Approvals</v>
          </cell>
        </row>
        <row r="3">
          <cell r="B3" t="str">
            <v>Approval Entity</v>
          </cell>
          <cell r="D3" t="str">
            <v>Purpose / Reason</v>
          </cell>
          <cell r="F3" t="str">
            <v>Status</v>
          </cell>
        </row>
        <row r="4">
          <cell r="B4" t="str">
            <v>Department of Justice (DOJ) / Federal Trade Commission (FTC)</v>
          </cell>
          <cell r="C4" t="str">
            <v xml:space="preserve">•
</v>
          </cell>
          <cell r="D4" t="str">
            <v xml:space="preserve">US antitrust clearance.  In regards to Hart-Scott-Rodino Antitrust Improvements Act of 1976 </v>
          </cell>
          <cell r="E4" t="str">
            <v xml:space="preserve">•
</v>
          </cell>
          <cell r="F4" t="str">
            <v>7/12/11: LVLT receives DOJ request for additional information</v>
          </cell>
        </row>
        <row r="5">
          <cell r="B5" t="str">
            <v>Federal Communications Commission (FCC)</v>
          </cell>
          <cell r="C5" t="str">
            <v xml:space="preserve">•
•
</v>
          </cell>
          <cell r="D5" t="str">
            <v>GLBC seeks approval for the change of control (Sections 214 and 310(d) of the Communications Act of 1934, Cable Landing License Act of 1921)
LVLT petitioning section 310(b)(4) of the Communications Act</v>
          </cell>
          <cell r="E5" t="str">
            <v xml:space="preserve">•
•
•
</v>
          </cell>
          <cell r="F5" t="str">
            <v>6/9/11: FCC review clock began
7/26/11: GLBC files a response to a request for information
7/28/11: LVLT files updated information for the record</v>
          </cell>
        </row>
        <row r="6">
          <cell r="B6" t="str">
            <v>Committee on Foreign Investment (CFIUS)</v>
          </cell>
          <cell r="C6" t="str">
            <v xml:space="preserve">•
•
•
•
</v>
          </cell>
          <cell r="D6" t="str">
            <v>Regarding Section 721 of the Defense Production Act
GLBC's top shareholder, STT Communications Ltd, is a foreign entity based in Singapore. 
STT will become a significant shareholder in LVLT.
CFIUS needs to approval any changes of ownership of a US compan</v>
          </cell>
          <cell r="E6" t="str">
            <v>•</v>
          </cell>
          <cell r="F6" t="str">
            <v>GLBC and LVLT filed a joint filing</v>
          </cell>
        </row>
        <row r="7">
          <cell r="B7" t="str">
            <v>Foreign regulatory authorities</v>
          </cell>
          <cell r="C7" t="str">
            <v xml:space="preserve">•
</v>
          </cell>
          <cell r="D7" t="str">
            <v>Approval for change of ownership by various foreign regulatory authorities of businesses that are controlled by GLBC and LVLT abroad</v>
          </cell>
          <cell r="F7" t="str">
            <v>ü</v>
          </cell>
        </row>
        <row r="8">
          <cell r="B8" t="str">
            <v>State regulatory authorities</v>
          </cell>
          <cell r="C8" t="str">
            <v xml:space="preserve">•
</v>
          </cell>
          <cell r="D8" t="str">
            <v>Approval for change of ownership by various state regulatory authorities</v>
          </cell>
          <cell r="F8" t="str">
            <v>ü</v>
          </cell>
        </row>
        <row r="9">
          <cell r="B9" t="str">
            <v>GLBC and LVLT Shareholder Approvals</v>
          </cell>
          <cell r="C9" t="str">
            <v>•</v>
          </cell>
          <cell r="D9" t="str">
            <v>Customary approvals for transactions</v>
          </cell>
          <cell r="F9" t="str">
            <v>ü</v>
          </cell>
        </row>
      </sheetData>
      <sheetData sheetId="8" refreshError="1">
        <row r="4">
          <cell r="B4" t="str">
            <v>North America</v>
          </cell>
          <cell r="C4">
            <v>3570</v>
          </cell>
        </row>
        <row r="5">
          <cell r="B5" t="str">
            <v>Europe</v>
          </cell>
          <cell r="C5">
            <v>939</v>
          </cell>
        </row>
        <row r="6">
          <cell r="B6" t="str">
            <v>Latin America</v>
          </cell>
          <cell r="C6">
            <v>597</v>
          </cell>
        </row>
        <row r="8">
          <cell r="B8" t="str">
            <v>Enterprise</v>
          </cell>
          <cell r="C8">
            <v>2856</v>
          </cell>
        </row>
        <row r="9">
          <cell r="B9" t="str">
            <v>Wholesale</v>
          </cell>
          <cell r="C9">
            <v>2250</v>
          </cell>
        </row>
        <row r="13">
          <cell r="E13" t="str">
            <v>Diverse Geography</v>
          </cell>
          <cell r="H13" t="str">
            <v>Balanced Customer Base</v>
          </cell>
        </row>
      </sheetData>
      <sheetData sheetId="9" refreshError="1">
        <row r="2">
          <cell r="A2" t="str">
            <v>Level 3 Communications, Inc.</v>
          </cell>
        </row>
        <row r="3">
          <cell r="A3" t="str">
            <v xml:space="preserve"> </v>
          </cell>
          <cell r="B3" t="str">
            <v xml:space="preserve"> </v>
          </cell>
          <cell r="C3" t="str">
            <v xml:space="preserve"> </v>
          </cell>
          <cell r="D3" t="str">
            <v xml:space="preserve"> </v>
          </cell>
          <cell r="E3" t="str">
            <v xml:space="preserve"> </v>
          </cell>
          <cell r="F3" t="str">
            <v xml:space="preserve"> </v>
          </cell>
          <cell r="G3" t="str">
            <v xml:space="preserve"> </v>
          </cell>
          <cell r="H3" t="str">
            <v xml:space="preserve"> </v>
          </cell>
          <cell r="I3" t="str">
            <v>Industry M&amp;A Reports</v>
          </cell>
          <cell r="J3" t="str">
            <v>Build M&amp;A Travelbook</v>
          </cell>
        </row>
        <row r="4">
          <cell r="A4" t="str">
            <v>Deal Activity Chart from August 11, 2010 to August 11, 2011</v>
          </cell>
        </row>
        <row r="16">
          <cell r="J16" t="str">
            <v>Source: FactSet Prices / FactSet Mergerstat</v>
          </cell>
        </row>
        <row r="17">
          <cell r="A17" t="str">
            <v>M&amp;A Summary</v>
          </cell>
          <cell r="H17" t="str">
            <v>Entity Structure</v>
          </cell>
          <cell r="I17" t="str">
            <v>link</v>
          </cell>
          <cell r="J17" t="str">
            <v>link</v>
          </cell>
        </row>
        <row r="18">
          <cell r="A18" t="str">
            <v>All monetary values in millions of U.S. Dollars</v>
          </cell>
          <cell r="H18" t="str">
            <v>Ultimate Parent: Level 3 Communications, Inc.</v>
          </cell>
        </row>
        <row r="19">
          <cell r="A19" t="str">
            <v>LTM Deals (1)</v>
          </cell>
          <cell r="B19" t="str">
            <v>1,411.9</v>
          </cell>
          <cell r="C19" t="str">
            <v>All Deals (59)</v>
          </cell>
          <cell r="D19" t="str">
            <v>8,544.6</v>
          </cell>
          <cell r="E19" t="str">
            <v xml:space="preserve"> </v>
          </cell>
          <cell r="F19" t="str">
            <v xml:space="preserve"> </v>
          </cell>
          <cell r="H19" t="str">
            <v>Broadwing Financial Services, Inc. (Subsidiary)</v>
          </cell>
        </row>
        <row r="20">
          <cell r="A20" t="str">
            <v>As Buyer / Seller</v>
          </cell>
          <cell r="B20" t="str">
            <v>1 / 0</v>
          </cell>
          <cell r="C20" t="str">
            <v>As Buyer / Seller</v>
          </cell>
          <cell r="D20" t="str">
            <v>42 / 17</v>
          </cell>
          <cell r="H20" t="str">
            <v>BusinessNet Ltd (Subsidiary)</v>
          </cell>
        </row>
        <row r="21">
          <cell r="A21" t="str">
            <v>Avg Size</v>
          </cell>
          <cell r="B21" t="str">
            <v>1,411.9</v>
          </cell>
          <cell r="C21" t="str">
            <v>Avg Size</v>
          </cell>
          <cell r="D21" t="str">
            <v>284.8</v>
          </cell>
          <cell r="H21" t="str">
            <v>CorpSoft, Inc. (Subsidiary)</v>
          </cell>
        </row>
        <row r="22">
          <cell r="A22" t="str">
            <v>Max / Min Size</v>
          </cell>
          <cell r="B22" t="str">
            <v>1,411.9 / 1,411.9</v>
          </cell>
          <cell r="C22" t="str">
            <v>Max / Min Size</v>
          </cell>
          <cell r="D22" t="str">
            <v>1,812.8 / 7.0</v>
          </cell>
          <cell r="H22" t="str">
            <v>Friede Goldman Newfoundland, Inc. (Subsidiary)</v>
          </cell>
        </row>
        <row r="23">
          <cell r="A23" t="str">
            <v>Full Mergerstat</v>
          </cell>
          <cell r="D23" t="str">
            <v>Source: FactSet Mergerstat</v>
          </cell>
          <cell r="H23" t="str">
            <v>GeoNet Communications, Inc. (Subsidiary)</v>
          </cell>
        </row>
        <row r="24">
          <cell r="H24" t="str">
            <v>Full Entity Structure</v>
          </cell>
        </row>
        <row r="27">
          <cell r="B27" t="str">
            <v>Latest M&amp;A Deals as Buyer (10 of 42)</v>
          </cell>
        </row>
        <row r="28">
          <cell r="B28" t="str">
            <v>All monetary values in millions of U.S. Dollars</v>
          </cell>
        </row>
        <row r="29">
          <cell r="B29" t="str">
            <v>LVLT HISTORICAL TRANSACTIONS (&gt;$1B)</v>
          </cell>
        </row>
        <row r="30">
          <cell r="B30" t="str">
            <v>Announce Date</v>
          </cell>
          <cell r="C30" t="str">
            <v>Close Date</v>
          </cell>
          <cell r="D30" t="str">
            <v>Target</v>
          </cell>
          <cell r="E30" t="str">
            <v>Deal Value</v>
          </cell>
          <cell r="F30" t="str">
            <v>EV/Sales</v>
          </cell>
          <cell r="G30" t="str">
            <v>EV/EBITDA</v>
          </cell>
        </row>
        <row r="31">
          <cell r="B31">
            <v>40644</v>
          </cell>
          <cell r="C31" t="str">
            <v>Pending</v>
          </cell>
          <cell r="D31" t="str">
            <v>Global Crossing Ltd.</v>
          </cell>
          <cell r="E31">
            <v>1411.9</v>
          </cell>
          <cell r="F31" t="str">
            <v>1.0x</v>
          </cell>
          <cell r="G31" t="str">
            <v>6.1x</v>
          </cell>
        </row>
        <row r="32">
          <cell r="B32">
            <v>39007</v>
          </cell>
          <cell r="C32">
            <v>39085</v>
          </cell>
          <cell r="D32" t="str">
            <v>Broadwing Corp.</v>
          </cell>
          <cell r="E32">
            <v>1377.6</v>
          </cell>
          <cell r="F32" t="str">
            <v>1.6x</v>
          </cell>
          <cell r="G32" t="str">
            <v>-36.9x</v>
          </cell>
        </row>
        <row r="33">
          <cell r="B33">
            <v>38838</v>
          </cell>
          <cell r="C33">
            <v>38922</v>
          </cell>
          <cell r="D33" t="str">
            <v>Telcove, Inc.</v>
          </cell>
          <cell r="E33">
            <v>1082</v>
          </cell>
        </row>
        <row r="34">
          <cell r="K34" t="str">
            <v>Source: FactSet Mergerstat</v>
          </cell>
        </row>
        <row r="37">
          <cell r="B37" t="str">
            <v>Latest M&amp;A Deals as Seller (10 of 17)</v>
          </cell>
        </row>
        <row r="38">
          <cell r="B38" t="str">
            <v>All monetary values in millions of U.S. Dollars</v>
          </cell>
        </row>
        <row r="39">
          <cell r="B39" t="str">
            <v>Announce</v>
          </cell>
          <cell r="C39" t="str">
            <v>Close</v>
          </cell>
          <cell r="E39" t="str">
            <v>Deal</v>
          </cell>
          <cell r="F39" t="str">
            <v>EV/</v>
          </cell>
          <cell r="G39" t="str">
            <v>EV/</v>
          </cell>
          <cell r="H39" t="str">
            <v>Deal</v>
          </cell>
          <cell r="I39" t="str">
            <v>Detail</v>
          </cell>
          <cell r="J39" t="str">
            <v>Source</v>
          </cell>
        </row>
        <row r="40">
          <cell r="B40" t="str">
            <v>Date</v>
          </cell>
          <cell r="C40" t="str">
            <v>Date</v>
          </cell>
          <cell r="D40" t="str">
            <v>Buyer</v>
          </cell>
          <cell r="E40" t="str">
            <v>Value</v>
          </cell>
          <cell r="F40" t="str">
            <v>Sales</v>
          </cell>
          <cell r="G40" t="str">
            <v>EBITDA</v>
          </cell>
          <cell r="H40" t="str">
            <v>Type</v>
          </cell>
          <cell r="I40" t="str">
            <v>Link</v>
          </cell>
          <cell r="J40" t="str">
            <v>Link</v>
          </cell>
        </row>
        <row r="41">
          <cell r="B41" t="str">
            <v>19-Dec-07</v>
          </cell>
          <cell r="C41" t="str">
            <v>05-Jun-08</v>
          </cell>
          <cell r="D41" t="str">
            <v>DG FastChannel, Inc.</v>
          </cell>
          <cell r="E41" t="str">
            <v>135.4</v>
          </cell>
          <cell r="F41" t="str">
            <v>--</v>
          </cell>
          <cell r="G41" t="str">
            <v>--</v>
          </cell>
          <cell r="H41" t="str">
            <v>Acq/Merger</v>
          </cell>
          <cell r="I41" t="str">
            <v>link</v>
          </cell>
          <cell r="J41" t="str">
            <v>link</v>
          </cell>
        </row>
        <row r="42">
          <cell r="D42" t="str">
            <v xml:space="preserve">Advisor(s): ThinkEquity Partners (B - Financial), Willkie Farr &amp; Gallagher LLP </v>
          </cell>
        </row>
        <row r="43">
          <cell r="D43" t="str">
            <v>(S - Legal), Latham &amp; Watkins LLP (B - Legal)</v>
          </cell>
        </row>
        <row r="44">
          <cell r="B44" t="str">
            <v>09-Jan-07</v>
          </cell>
          <cell r="C44" t="str">
            <v>09-Jan-07</v>
          </cell>
          <cell r="D44" t="str">
            <v>Revenue Management Solutions LLC</v>
          </cell>
          <cell r="E44" t="str">
            <v>--</v>
          </cell>
          <cell r="F44" t="str">
            <v>--</v>
          </cell>
          <cell r="G44" t="str">
            <v>--</v>
          </cell>
          <cell r="H44" t="str">
            <v>Acq/Merger</v>
          </cell>
          <cell r="I44" t="str">
            <v>link</v>
          </cell>
          <cell r="J44" t="str">
            <v>link</v>
          </cell>
        </row>
        <row r="45">
          <cell r="D45" t="str">
            <v>Advisor(s): Not Disclosed</v>
          </cell>
        </row>
        <row r="46">
          <cell r="B46" t="str">
            <v>20-Jul-06</v>
          </cell>
          <cell r="C46" t="str">
            <v>07-Sep-06</v>
          </cell>
          <cell r="D46" t="str">
            <v>Insight Enterprises, Inc.</v>
          </cell>
          <cell r="E46" t="str">
            <v>287.0</v>
          </cell>
          <cell r="F46" t="str">
            <v>--</v>
          </cell>
          <cell r="G46" t="str">
            <v>--</v>
          </cell>
          <cell r="H46" t="str">
            <v>Acq/Merger</v>
          </cell>
          <cell r="I46" t="str">
            <v>link</v>
          </cell>
          <cell r="J46" t="str">
            <v>link</v>
          </cell>
        </row>
        <row r="47">
          <cell r="D47" t="str">
            <v xml:space="preserve">Advisor(s): Merrill Lynch &amp; Co., Inc. (S - Financial), Raymond James &amp; </v>
          </cell>
        </row>
        <row r="48">
          <cell r="D48" t="str">
            <v xml:space="preserve">Associates (B - Financial), Willkie Farr &amp; Gallagher LLP (S - Legal), Skadden, </v>
          </cell>
        </row>
        <row r="49">
          <cell r="D49" t="str">
            <v>Arps, Slate, Meagher &amp; Flom LLP (B - Legal)</v>
          </cell>
        </row>
        <row r="50">
          <cell r="B50" t="str">
            <v>25-Oct-05</v>
          </cell>
          <cell r="C50" t="str">
            <v>01-Dec-05</v>
          </cell>
          <cell r="D50" t="str">
            <v>Infocrossing, Inc.</v>
          </cell>
          <cell r="E50" t="str">
            <v>81.5</v>
          </cell>
          <cell r="F50" t="str">
            <v>1.2x</v>
          </cell>
          <cell r="G50" t="str">
            <v>9.1x</v>
          </cell>
          <cell r="H50" t="str">
            <v>Acq/Merger</v>
          </cell>
          <cell r="I50" t="str">
            <v>link</v>
          </cell>
          <cell r="J50" t="str">
            <v>link</v>
          </cell>
        </row>
        <row r="51">
          <cell r="D51" t="str">
            <v xml:space="preserve">Advisor(s): Merrill Lynch &amp; Co., Inc. (S - Financial), Evercore Partners LLC (B </v>
          </cell>
        </row>
        <row r="52">
          <cell r="D52" t="str">
            <v xml:space="preserve">- Financial), Gibson, Dunn &amp; Crutcher LLP (B - Legal), Simpson Thacher &amp; </v>
          </cell>
        </row>
        <row r="53">
          <cell r="D53" t="str">
            <v>Bartlett LLP (B - Legal)</v>
          </cell>
        </row>
        <row r="54">
          <cell r="B54" t="str">
            <v>27-Jan-05</v>
          </cell>
          <cell r="C54" t="str">
            <v>27-Jan-05</v>
          </cell>
          <cell r="D54" t="str">
            <v>Tel West Network Services Corp.</v>
          </cell>
          <cell r="E54" t="str">
            <v>--</v>
          </cell>
          <cell r="F54" t="str">
            <v>--</v>
          </cell>
          <cell r="G54" t="str">
            <v>--</v>
          </cell>
          <cell r="H54" t="str">
            <v>Acq/Merger</v>
          </cell>
          <cell r="I54" t="str">
            <v>link</v>
          </cell>
          <cell r="J54" t="str">
            <v>--</v>
          </cell>
        </row>
        <row r="55">
          <cell r="D55" t="str">
            <v>Advisor(s): Daniels &amp; Associates (S - Financial)</v>
          </cell>
        </row>
        <row r="56">
          <cell r="B56" t="str">
            <v>10-May-04</v>
          </cell>
          <cell r="C56" t="str">
            <v>10-May-04</v>
          </cell>
          <cell r="D56" t="str">
            <v>Fiberlink Communications Corp.</v>
          </cell>
          <cell r="E56" t="str">
            <v>--</v>
          </cell>
          <cell r="F56" t="str">
            <v>--</v>
          </cell>
          <cell r="G56" t="str">
            <v>--</v>
          </cell>
          <cell r="H56" t="str">
            <v>Acq/Merger</v>
          </cell>
          <cell r="I56" t="str">
            <v>link</v>
          </cell>
          <cell r="J56" t="str">
            <v>link</v>
          </cell>
        </row>
        <row r="57">
          <cell r="D57" t="str">
            <v>Advisor(s): Not Disclosed</v>
          </cell>
        </row>
        <row r="58">
          <cell r="B58" t="str">
            <v>27-Oct-03</v>
          </cell>
          <cell r="C58" t="str">
            <v>27-Oct-03</v>
          </cell>
          <cell r="D58" t="str">
            <v>H.I.G. Capital Management, Inc.</v>
          </cell>
          <cell r="E58" t="str">
            <v>--</v>
          </cell>
          <cell r="F58" t="str">
            <v>--</v>
          </cell>
          <cell r="G58" t="str">
            <v>--</v>
          </cell>
          <cell r="H58" t="str">
            <v>Acq/Merger</v>
          </cell>
          <cell r="I58" t="str">
            <v>link</v>
          </cell>
          <cell r="J58" t="str">
            <v>--</v>
          </cell>
        </row>
        <row r="59">
          <cell r="D59" t="str">
            <v>Advisor(s): Not Disclosed</v>
          </cell>
        </row>
        <row r="60">
          <cell r="B60" t="str">
            <v>19-Aug-03</v>
          </cell>
          <cell r="C60" t="str">
            <v>31-Dec-03</v>
          </cell>
          <cell r="D60" t="str">
            <v>CenturyTel, Inc.</v>
          </cell>
          <cell r="E60" t="str">
            <v>17.0</v>
          </cell>
          <cell r="F60" t="str">
            <v>--</v>
          </cell>
          <cell r="G60" t="str">
            <v>--</v>
          </cell>
          <cell r="H60" t="str">
            <v>Acq/Merger</v>
          </cell>
          <cell r="I60" t="str">
            <v>link</v>
          </cell>
          <cell r="J60" t="str">
            <v>--</v>
          </cell>
        </row>
        <row r="61">
          <cell r="D61" t="str">
            <v>Advisor(s): Daniels &amp; Associates (S - Financial)</v>
          </cell>
        </row>
        <row r="62">
          <cell r="B62" t="str">
            <v>18-Jun-03</v>
          </cell>
          <cell r="C62" t="str">
            <v>18-Jun-03</v>
          </cell>
          <cell r="D62" t="str">
            <v>H.I.G. Capital Management, Inc.</v>
          </cell>
          <cell r="E62" t="str">
            <v>--</v>
          </cell>
          <cell r="F62" t="str">
            <v>--</v>
          </cell>
          <cell r="G62" t="str">
            <v>--</v>
          </cell>
          <cell r="H62" t="str">
            <v>Acq/Merger</v>
          </cell>
          <cell r="I62" t="str">
            <v>link</v>
          </cell>
          <cell r="J62" t="str">
            <v>--</v>
          </cell>
        </row>
        <row r="63">
          <cell r="D63" t="str">
            <v xml:space="preserve">Advisor(s): Daniels &amp; Associates (S - Financial), Petsky Prunier LLC (B - </v>
          </cell>
        </row>
        <row r="64">
          <cell r="D64" t="str">
            <v>Financial)</v>
          </cell>
        </row>
        <row r="65">
          <cell r="B65" t="str">
            <v>04-Apr-03</v>
          </cell>
          <cell r="C65" t="str">
            <v>31-May-03</v>
          </cell>
          <cell r="D65" t="str">
            <v>Computer Sciences Corp.</v>
          </cell>
          <cell r="E65" t="str">
            <v>--</v>
          </cell>
          <cell r="F65" t="str">
            <v>--</v>
          </cell>
          <cell r="G65" t="str">
            <v>--</v>
          </cell>
          <cell r="H65" t="str">
            <v>Acq/Merger</v>
          </cell>
          <cell r="I65" t="str">
            <v>link</v>
          </cell>
          <cell r="J65" t="str">
            <v>--</v>
          </cell>
        </row>
        <row r="66">
          <cell r="D66" t="str">
            <v>Advisor(s): Not Disclosed</v>
          </cell>
        </row>
        <row r="67">
          <cell r="K67" t="str">
            <v>Source: FactSet Mergerstat</v>
          </cell>
        </row>
        <row r="68">
          <cell r="B68" t="str">
            <v>New Issues from 2000 to Present (2)</v>
          </cell>
        </row>
        <row r="69">
          <cell r="B69" t="str">
            <v>All monetary values in millions, except offer price</v>
          </cell>
        </row>
        <row r="70">
          <cell r="J70" t="str">
            <v>Gross</v>
          </cell>
        </row>
        <row r="71">
          <cell r="I71" t="str">
            <v>% of Over-</v>
          </cell>
          <cell r="J71" t="str">
            <v>Proceeds</v>
          </cell>
        </row>
        <row r="72">
          <cell r="C72" t="str">
            <v>Offer</v>
          </cell>
          <cell r="D72" t="str">
            <v>Offer</v>
          </cell>
          <cell r="F72" t="str">
            <v>Offer</v>
          </cell>
          <cell r="G72" t="str">
            <v>Offer</v>
          </cell>
          <cell r="H72" t="str">
            <v>Total</v>
          </cell>
          <cell r="I72" t="str">
            <v>Allotment</v>
          </cell>
          <cell r="J72" t="str">
            <v>Adj. Over-</v>
          </cell>
          <cell r="K72" t="str">
            <v>Detail</v>
          </cell>
          <cell r="L72" t="str">
            <v>Source</v>
          </cell>
        </row>
        <row r="73">
          <cell r="B73" t="str">
            <v>Closing Name (Ticker(s))</v>
          </cell>
          <cell r="C73" t="str">
            <v>Date</v>
          </cell>
          <cell r="D73" t="str">
            <v>Type</v>
          </cell>
          <cell r="E73" t="str">
            <v>Exchange</v>
          </cell>
          <cell r="F73" t="str">
            <v>Curr.</v>
          </cell>
          <cell r="G73" t="str">
            <v>Price</v>
          </cell>
          <cell r="H73" t="str">
            <v>Shs Offered</v>
          </cell>
          <cell r="I73" t="str">
            <v>Exercised</v>
          </cell>
          <cell r="J73" t="str">
            <v>Allotment</v>
          </cell>
          <cell r="K73" t="str">
            <v>Link</v>
          </cell>
          <cell r="L73" t="str">
            <v>Link</v>
          </cell>
        </row>
        <row r="74">
          <cell r="B74" t="str">
            <v>Level 3 Communications, Inc. (LVLT)</v>
          </cell>
          <cell r="C74">
            <v>38875</v>
          </cell>
          <cell r="D74" t="str">
            <v>Follow-On</v>
          </cell>
          <cell r="E74" t="str">
            <v>NASDAQ</v>
          </cell>
          <cell r="F74" t="str">
            <v>USD</v>
          </cell>
          <cell r="G74">
            <v>4.55</v>
          </cell>
          <cell r="H74">
            <v>125000000</v>
          </cell>
          <cell r="I74">
            <v>0</v>
          </cell>
          <cell r="J74">
            <v>568.75</v>
          </cell>
          <cell r="K74" t="str">
            <v>Link</v>
          </cell>
          <cell r="L74" t="str">
            <v>Link</v>
          </cell>
        </row>
        <row r="75">
          <cell r="B75" t="str">
            <v>Level 3 Communications, Inc. (LVLT)</v>
          </cell>
          <cell r="C75">
            <v>36579</v>
          </cell>
          <cell r="D75" t="str">
            <v>Follow-On</v>
          </cell>
          <cell r="E75" t="str">
            <v>NASDAQ</v>
          </cell>
          <cell r="F75" t="str">
            <v>USD</v>
          </cell>
          <cell r="G75">
            <v>107.88</v>
          </cell>
          <cell r="H75">
            <v>23000000</v>
          </cell>
          <cell r="I75">
            <v>100</v>
          </cell>
          <cell r="J75">
            <v>2481.125</v>
          </cell>
          <cell r="K75" t="str">
            <v>Link</v>
          </cell>
          <cell r="L75" t="str">
            <v>Link</v>
          </cell>
        </row>
        <row r="76">
          <cell r="M76" t="str">
            <v>Source: FactSet New Issues</v>
          </cell>
        </row>
        <row r="77">
          <cell r="B77" t="str">
            <v>Latest Private Placement Deals (5)</v>
          </cell>
          <cell r="K77" t="str">
            <v>link</v>
          </cell>
        </row>
        <row r="78">
          <cell r="B78" t="str">
            <v>All monetary values in millions of U.S. Dollars, except security sold and per share items</v>
          </cell>
        </row>
        <row r="79">
          <cell r="B79" t="str">
            <v>Closing Name/Ticker</v>
          </cell>
          <cell r="C79" t="str">
            <v>Closing Date</v>
          </cell>
          <cell r="D79" t="str">
            <v>Structure Type</v>
          </cell>
          <cell r="E79" t="str">
            <v>Legal Structure</v>
          </cell>
          <cell r="F79" t="str">
            <v>Gross Proceeds</v>
          </cell>
          <cell r="G79" t="str">
            <v>Number of Sec. Sold</v>
          </cell>
          <cell r="H79" t="str">
            <v>Purch Price per Share</v>
          </cell>
          <cell r="I79" t="str">
            <v>Detail Link</v>
          </cell>
          <cell r="J79" t="str">
            <v>Source Link</v>
          </cell>
        </row>
        <row r="80">
          <cell r="B80" t="str">
            <v>Level 3 Communications, Inc. (LVLT)</v>
          </cell>
          <cell r="C80">
            <v>40087</v>
          </cell>
          <cell r="D80" t="str">
            <v>Convertible - Fixed</v>
          </cell>
          <cell r="E80" t="str">
            <v>PIPE</v>
          </cell>
          <cell r="F80">
            <v>275</v>
          </cell>
          <cell r="G80">
            <v>275000</v>
          </cell>
          <cell r="H80">
            <v>1000</v>
          </cell>
          <cell r="I80" t="str">
            <v>link</v>
          </cell>
          <cell r="J80" t="str">
            <v>link</v>
          </cell>
        </row>
        <row r="81">
          <cell r="B81" t="str">
            <v>Level 3 Communications, Inc. (LVLT)</v>
          </cell>
          <cell r="C81">
            <v>39769</v>
          </cell>
          <cell r="D81" t="str">
            <v>Convertible - Fixed</v>
          </cell>
          <cell r="E81" t="str">
            <v>PIPE</v>
          </cell>
          <cell r="F81">
            <v>400</v>
          </cell>
          <cell r="G81">
            <v>400000</v>
          </cell>
          <cell r="H81">
            <v>1000</v>
          </cell>
          <cell r="I81" t="str">
            <v>link</v>
          </cell>
          <cell r="J81" t="str">
            <v>link</v>
          </cell>
        </row>
        <row r="82">
          <cell r="B82" t="str">
            <v>Level 3 Communications, Inc. (LVLT)</v>
          </cell>
          <cell r="C82">
            <v>38401</v>
          </cell>
          <cell r="D82" t="str">
            <v>Convertible - Fixed</v>
          </cell>
          <cell r="E82" t="str">
            <v>PIPE</v>
          </cell>
          <cell r="F82">
            <v>880</v>
          </cell>
          <cell r="G82">
            <v>880000</v>
          </cell>
          <cell r="H82">
            <v>1000</v>
          </cell>
          <cell r="I82" t="str">
            <v>link</v>
          </cell>
          <cell r="J82" t="str">
            <v>--</v>
          </cell>
        </row>
        <row r="83">
          <cell r="B83" t="str">
            <v>Level 3 Communications, Inc. (LVLT)</v>
          </cell>
          <cell r="C83">
            <v>38323</v>
          </cell>
          <cell r="D83" t="str">
            <v>Convertible - Fixed</v>
          </cell>
          <cell r="E83" t="str">
            <v>144-A</v>
          </cell>
          <cell r="F83">
            <v>345</v>
          </cell>
          <cell r="G83">
            <v>345000</v>
          </cell>
          <cell r="H83">
            <v>1000</v>
          </cell>
          <cell r="I83" t="str">
            <v>link</v>
          </cell>
          <cell r="J83" t="str">
            <v>--</v>
          </cell>
        </row>
        <row r="84">
          <cell r="B84" t="str">
            <v>Level 3 Communications, Inc. (LVLT)</v>
          </cell>
          <cell r="C84">
            <v>37445</v>
          </cell>
          <cell r="D84" t="str">
            <v>Convertible - Fixed</v>
          </cell>
          <cell r="E84" t="str">
            <v>PIPE</v>
          </cell>
          <cell r="F84">
            <v>500</v>
          </cell>
          <cell r="G84">
            <v>500000</v>
          </cell>
          <cell r="H84">
            <v>1000</v>
          </cell>
          <cell r="I84" t="str">
            <v>link</v>
          </cell>
          <cell r="J84" t="str">
            <v>--</v>
          </cell>
        </row>
        <row r="85">
          <cell r="K85" t="str">
            <v>Source: PlacementTracker</v>
          </cell>
        </row>
        <row r="86">
          <cell r="A86" t="str">
            <v>1. Deal Value does not include preferred stock or option value.</v>
          </cell>
        </row>
        <row r="87">
          <cell r="A87" t="str">
            <v>2. Financial Advisors are sourced from press releases, filings, offering documents and advisor surveys.</v>
          </cell>
        </row>
        <row r="88">
          <cell r="A88" t="str">
            <v>3. M&amp;A deals shown are for the specified company and companies within its corporate structure.</v>
          </cell>
        </row>
        <row r="89">
          <cell r="A89" t="str">
            <v>4. For more details on how Deal Value is calculated, please see Online Assistant page 13079.</v>
          </cell>
        </row>
      </sheetData>
      <sheetData sheetId="10" refreshError="1">
        <row r="3">
          <cell r="B3" t="str">
            <v>LVLT - HISTORICAL M&amp;A TRANSACTIONS</v>
          </cell>
        </row>
        <row r="4">
          <cell r="B4" t="str">
            <v>Announced Date</v>
          </cell>
          <cell r="C4" t="str">
            <v>Closed Date</v>
          </cell>
          <cell r="D4" t="str">
            <v>Target</v>
          </cell>
          <cell r="E4" t="str">
            <v>Size ($M)</v>
          </cell>
        </row>
        <row r="5">
          <cell r="B5">
            <v>40644</v>
          </cell>
          <cell r="C5" t="str">
            <v>-</v>
          </cell>
          <cell r="D5" t="str">
            <v>Global Crossing Ltd. (NasdaqGS:GLBC)</v>
          </cell>
          <cell r="E5">
            <v>2900</v>
          </cell>
        </row>
        <row r="6">
          <cell r="B6">
            <v>39007</v>
          </cell>
          <cell r="C6">
            <v>39085</v>
          </cell>
          <cell r="D6" t="str">
            <v>Broadwing Corporation</v>
          </cell>
          <cell r="E6">
            <v>1390</v>
          </cell>
        </row>
        <row r="7">
          <cell r="B7">
            <v>38840</v>
          </cell>
          <cell r="C7">
            <v>38922</v>
          </cell>
          <cell r="D7" t="str">
            <v>TelCove, Inc.</v>
          </cell>
          <cell r="E7">
            <v>1082</v>
          </cell>
        </row>
        <row r="8">
          <cell r="B8">
            <v>38655</v>
          </cell>
          <cell r="C8">
            <v>38709</v>
          </cell>
          <cell r="D8" t="str">
            <v>WilTel Communications Group Inc.</v>
          </cell>
          <cell r="E8">
            <v>680.5</v>
          </cell>
        </row>
        <row r="9">
          <cell r="B9">
            <v>37587</v>
          </cell>
          <cell r="C9">
            <v>37656</v>
          </cell>
          <cell r="D9" t="str">
            <v>Genuity Inc., Substantially All Assets (1)</v>
          </cell>
          <cell r="E9">
            <v>242</v>
          </cell>
        </row>
        <row r="10">
          <cell r="B10" t="str">
            <v>(1) LVLT assumes many of Genuity's long-term operating agreements.</v>
          </cell>
        </row>
      </sheetData>
      <sheetData sheetId="11" refreshError="1">
        <row r="4">
          <cell r="C4" t="str">
            <v>LVLT / GLBC TRANSACTION SUMMARY</v>
          </cell>
          <cell r="G4" t="str">
            <v>COMPANY OVERVIEWS</v>
          </cell>
        </row>
        <row r="5">
          <cell r="C5" t="str">
            <v>Consideration</v>
          </cell>
          <cell r="D5" t="str">
            <v>•</v>
          </cell>
          <cell r="E5" t="str">
            <v>100% stock</v>
          </cell>
          <cell r="G5" t="str">
            <v>Level 3 operates one of the largest Internet backbones in the world. Over its broadband fiber optic network, LVLT provides IP services, broadband transport and infrastructure services, colocation services, voice services and voice over IP services.</v>
          </cell>
        </row>
        <row r="6">
          <cell r="C6" t="str">
            <v>Exchange Ratio</v>
          </cell>
          <cell r="D6" t="str">
            <v xml:space="preserve">•
</v>
          </cell>
          <cell r="E6" t="str">
            <v>16 LVLT common shares for each GLBC common and preferred share</v>
          </cell>
        </row>
        <row r="7">
          <cell r="C7" t="str">
            <v>Transaction Value</v>
          </cell>
          <cell r="D7" t="str">
            <v>•</v>
          </cell>
          <cell r="E7" t="str">
            <v>$1.9B, plus GLBC net debt of $1.1B</v>
          </cell>
        </row>
        <row r="8">
          <cell r="C8" t="str">
            <v>Estimated Multiples</v>
          </cell>
          <cell r="D8" t="str">
            <v>•</v>
          </cell>
          <cell r="E8" t="str">
            <v>7.1x GLBC's 2010 Adjusted EBITDA</v>
          </cell>
        </row>
        <row r="9">
          <cell r="C9" t="str">
            <v>Synergies</v>
          </cell>
          <cell r="D9" t="str">
            <v>•
•
•</v>
          </cell>
          <cell r="E9" t="str">
            <v>NPV of synergies $2.5B
$300M of annualized adjusted EBITDA
$40M of annualized capex savings</v>
          </cell>
          <cell r="G9" t="str">
            <v xml:space="preserve">Global Crossing is a leading global IP, Ethernet, data center and video solutions provider with the world's first integrated global IP-based network.
</v>
          </cell>
        </row>
        <row r="10">
          <cell r="C10" t="str">
            <v>Timing</v>
          </cell>
          <cell r="D10" t="str">
            <v>•</v>
          </cell>
          <cell r="E10" t="str">
            <v>Expected to close before year end</v>
          </cell>
        </row>
      </sheetData>
      <sheetData sheetId="12" refreshError="1">
        <row r="2">
          <cell r="A2">
            <v>0</v>
          </cell>
          <cell r="B2">
            <v>0</v>
          </cell>
        </row>
        <row r="3">
          <cell r="A3">
            <v>0</v>
          </cell>
          <cell r="B3">
            <v>0</v>
          </cell>
        </row>
        <row r="4">
          <cell r="A4">
            <v>0</v>
          </cell>
          <cell r="B4">
            <v>0</v>
          </cell>
        </row>
        <row r="5">
          <cell r="B5">
            <v>40724</v>
          </cell>
          <cell r="D5" t="str">
            <v>LVLT</v>
          </cell>
          <cell r="E5" t="str">
            <v>GLBC</v>
          </cell>
          <cell r="F5" t="str">
            <v>Pro Forma</v>
          </cell>
          <cell r="G5" t="str">
            <v>Pro Forma w/ Synergies</v>
          </cell>
        </row>
        <row r="6">
          <cell r="C6" t="str">
            <v>Total Debt</v>
          </cell>
          <cell r="D6">
            <v>7224</v>
          </cell>
          <cell r="E6">
            <v>1417</v>
          </cell>
          <cell r="F6">
            <v>8641</v>
          </cell>
          <cell r="G6">
            <v>8641</v>
          </cell>
        </row>
        <row r="7">
          <cell r="C7" t="str">
            <v>cash and cash equiv</v>
          </cell>
          <cell r="D7">
            <v>584</v>
          </cell>
          <cell r="E7">
            <v>265</v>
          </cell>
          <cell r="F7">
            <v>849</v>
          </cell>
          <cell r="G7">
            <v>849</v>
          </cell>
        </row>
        <row r="8">
          <cell r="C8" t="str">
            <v>Net debt</v>
          </cell>
          <cell r="D8">
            <v>6640</v>
          </cell>
          <cell r="E8">
            <v>1152</v>
          </cell>
          <cell r="F8">
            <v>7792</v>
          </cell>
          <cell r="G8">
            <v>7792</v>
          </cell>
        </row>
        <row r="10">
          <cell r="C10" t="str">
            <v>adjusted EBITDA</v>
          </cell>
          <cell r="D10">
            <v>870</v>
          </cell>
          <cell r="E10">
            <v>407</v>
          </cell>
          <cell r="F10">
            <v>1277</v>
          </cell>
          <cell r="G10">
            <v>1577</v>
          </cell>
        </row>
        <row r="11">
          <cell r="C11" t="str">
            <v>synergies</v>
          </cell>
          <cell r="G11">
            <v>300</v>
          </cell>
        </row>
        <row r="13">
          <cell r="C13" t="str">
            <v>LTM Total Debt / EBITDA</v>
          </cell>
          <cell r="D13">
            <v>8.3034482758620687</v>
          </cell>
          <cell r="E13">
            <v>3.4815724815724818</v>
          </cell>
          <cell r="F13">
            <v>6.7666405638214568</v>
          </cell>
          <cell r="G13">
            <v>5.4793912492073558</v>
          </cell>
        </row>
        <row r="14">
          <cell r="C14" t="str">
            <v>LTM Net Debt / EBITDA</v>
          </cell>
          <cell r="D14">
            <v>7.6321839080459766</v>
          </cell>
          <cell r="E14">
            <v>2.8304668304668303</v>
          </cell>
          <cell r="F14">
            <v>6.1018010963194991</v>
          </cell>
          <cell r="G14">
            <v>4.9410272669625872</v>
          </cell>
        </row>
      </sheetData>
      <sheetData sheetId="13" refreshError="1">
        <row r="2">
          <cell r="B2">
            <v>1</v>
          </cell>
          <cell r="C2">
            <v>2</v>
          </cell>
          <cell r="D2">
            <v>3</v>
          </cell>
          <cell r="E2">
            <v>4</v>
          </cell>
          <cell r="F2">
            <v>5</v>
          </cell>
          <cell r="G2">
            <v>6</v>
          </cell>
          <cell r="H2">
            <v>7</v>
          </cell>
          <cell r="I2">
            <v>8</v>
          </cell>
          <cell r="J2">
            <v>9</v>
          </cell>
          <cell r="K2">
            <v>10</v>
          </cell>
          <cell r="L2">
            <v>11</v>
          </cell>
        </row>
        <row r="3">
          <cell r="F3" t="str">
            <v xml:space="preserve">Date </v>
          </cell>
          <cell r="G3" t="str">
            <v xml:space="preserve">Price </v>
          </cell>
          <cell r="H3" t="str">
            <v>LTM EV / EBITDA</v>
          </cell>
          <cell r="I3" t="str">
            <v>LTM EV / EBITDA</v>
          </cell>
          <cell r="J3" t="str">
            <v xml:space="preserve">Opex </v>
          </cell>
          <cell r="K3" t="str">
            <v xml:space="preserve">Cash </v>
          </cell>
          <cell r="L3" t="str">
            <v xml:space="preserve">Synergies % </v>
          </cell>
        </row>
        <row r="4">
          <cell r="A4" t="str">
            <v>Strategics</v>
          </cell>
          <cell r="D4" t="str">
            <v>Target</v>
          </cell>
          <cell r="E4" t="str">
            <v>Acquirer</v>
          </cell>
          <cell r="F4" t="str">
            <v>Announced</v>
          </cell>
          <cell r="G4" t="str">
            <v>(EV)</v>
          </cell>
          <cell r="H4" t="str">
            <v>Pre-Synergies</v>
          </cell>
          <cell r="I4" t="str">
            <v>Post-Synergies</v>
          </cell>
          <cell r="J4" t="str">
            <v>Synergies</v>
          </cell>
          <cell r="K4" t="str">
            <v>Opex</v>
          </cell>
          <cell r="L4" t="str">
            <v>of Total Opex</v>
          </cell>
        </row>
        <row r="5">
          <cell r="B5">
            <v>10</v>
          </cell>
          <cell r="C5" t="str">
            <v>Level 3 / Global Crossing</v>
          </cell>
          <cell r="D5" t="str">
            <v>Global Crossing</v>
          </cell>
          <cell r="E5" t="str">
            <v>Level 3</v>
          </cell>
          <cell r="F5">
            <v>40644</v>
          </cell>
          <cell r="G5">
            <v>3000</v>
          </cell>
          <cell r="H5">
            <v>7.1</v>
          </cell>
          <cell r="I5">
            <v>4.2</v>
          </cell>
          <cell r="J5">
            <v>300</v>
          </cell>
          <cell r="K5">
            <v>2189</v>
          </cell>
          <cell r="L5">
            <v>0.13704888076747374</v>
          </cell>
          <cell r="O5">
            <v>1</v>
          </cell>
          <cell r="P5" t="str">
            <v>EarthLink / One Comm.</v>
          </cell>
          <cell r="Q5">
            <v>4.0322580645161289E-2</v>
          </cell>
        </row>
        <row r="6">
          <cell r="B6">
            <v>1</v>
          </cell>
          <cell r="C6" t="str">
            <v>EarthLink / One Comm.</v>
          </cell>
          <cell r="D6" t="str">
            <v>One Comm.</v>
          </cell>
          <cell r="E6" t="str">
            <v>EarthLink</v>
          </cell>
          <cell r="F6">
            <v>40532</v>
          </cell>
          <cell r="G6">
            <v>370</v>
          </cell>
          <cell r="H6" t="str">
            <v>4.7x</v>
          </cell>
          <cell r="I6" t="str">
            <v>3.7x</v>
          </cell>
          <cell r="J6">
            <v>20</v>
          </cell>
          <cell r="K6">
            <v>496</v>
          </cell>
          <cell r="L6">
            <v>4.0322580645161289E-2</v>
          </cell>
          <cell r="O6">
            <v>2</v>
          </cell>
          <cell r="P6" t="str">
            <v>Neutral Tandem / Tinet</v>
          </cell>
          <cell r="Q6">
            <v>4.6833184656556649E-2</v>
          </cell>
        </row>
        <row r="7">
          <cell r="B7">
            <v>4</v>
          </cell>
          <cell r="C7" t="str">
            <v>EarthLink / ITC^Deltacom</v>
          </cell>
          <cell r="D7" t="str">
            <v>ITC^Deltacom</v>
          </cell>
          <cell r="E7" t="str">
            <v>EarthLink</v>
          </cell>
          <cell r="F7">
            <v>40452</v>
          </cell>
          <cell r="G7">
            <v>516</v>
          </cell>
          <cell r="H7" t="str">
            <v>5.8x</v>
          </cell>
          <cell r="I7" t="str">
            <v>4.7x</v>
          </cell>
          <cell r="J7">
            <v>20</v>
          </cell>
          <cell r="K7">
            <v>362</v>
          </cell>
          <cell r="L7">
            <v>5.5248618784530384E-2</v>
          </cell>
          <cell r="O7">
            <v>3</v>
          </cell>
          <cell r="P7" t="str">
            <v>PAETEC / US LEC (1)</v>
          </cell>
          <cell r="Q7">
            <v>4.9261083743842367E-2</v>
          </cell>
        </row>
        <row r="8">
          <cell r="B8" t="e">
            <v>#VALUE!</v>
          </cell>
          <cell r="C8" t="str">
            <v>Lightower / Lexent</v>
          </cell>
          <cell r="D8" t="str">
            <v>Lexent</v>
          </cell>
          <cell r="E8" t="str">
            <v>Lightower</v>
          </cell>
          <cell r="F8">
            <v>40435</v>
          </cell>
          <cell r="G8" t="str">
            <v>NA</v>
          </cell>
          <cell r="H8" t="str">
            <v>NA</v>
          </cell>
          <cell r="I8" t="str">
            <v>NA</v>
          </cell>
          <cell r="J8" t="str">
            <v>NA</v>
          </cell>
          <cell r="K8" t="str">
            <v>NA</v>
          </cell>
          <cell r="L8" t="str">
            <v>NA</v>
          </cell>
          <cell r="O8">
            <v>4</v>
          </cell>
          <cell r="P8" t="str">
            <v>EarthLink / ITC^Deltacom</v>
          </cell>
          <cell r="Q8">
            <v>5.5248618784530384E-2</v>
          </cell>
        </row>
        <row r="9">
          <cell r="B9">
            <v>9</v>
          </cell>
          <cell r="C9" t="str">
            <v>PAETEC / Cavalier</v>
          </cell>
          <cell r="D9" t="str">
            <v>Cavalier</v>
          </cell>
          <cell r="E9" t="str">
            <v>PAETEC</v>
          </cell>
          <cell r="F9">
            <v>40434</v>
          </cell>
          <cell r="G9">
            <v>460</v>
          </cell>
          <cell r="H9" t="str">
            <v>5.1x</v>
          </cell>
          <cell r="I9" t="str">
            <v>3.8x</v>
          </cell>
          <cell r="J9">
            <v>30</v>
          </cell>
          <cell r="K9">
            <v>288</v>
          </cell>
          <cell r="L9">
            <v>0.10416666666666667</v>
          </cell>
          <cell r="O9">
            <v>4</v>
          </cell>
          <cell r="P9" t="str">
            <v>EarthLink / ITC^Deltacom</v>
          </cell>
          <cell r="Q9">
            <v>5.5248618784530384E-2</v>
          </cell>
        </row>
        <row r="10">
          <cell r="B10">
            <v>2</v>
          </cell>
          <cell r="C10" t="str">
            <v>Neutral Tandem / Tinet</v>
          </cell>
          <cell r="D10" t="str">
            <v>Tinet</v>
          </cell>
          <cell r="E10" t="str">
            <v>Neutral Tandem</v>
          </cell>
          <cell r="F10">
            <v>40430</v>
          </cell>
          <cell r="G10">
            <v>94.9</v>
          </cell>
          <cell r="H10" t="str">
            <v>7.0x</v>
          </cell>
          <cell r="I10" t="str">
            <v>6.1x</v>
          </cell>
          <cell r="J10">
            <v>2.1</v>
          </cell>
          <cell r="K10">
            <v>44.839999999999996</v>
          </cell>
          <cell r="L10">
            <v>4.6833184656556649E-2</v>
          </cell>
          <cell r="O10">
            <v>5</v>
          </cell>
          <cell r="P10" t="str">
            <v>Windstream / PAETEC</v>
          </cell>
          <cell r="Q10">
            <v>0.06</v>
          </cell>
        </row>
        <row r="11">
          <cell r="B11">
            <v>12</v>
          </cell>
          <cell r="C11" t="str">
            <v>Windstream / KDL / Norlight</v>
          </cell>
          <cell r="D11" t="str">
            <v>KDL / Norlight</v>
          </cell>
          <cell r="E11" t="str">
            <v>Windstream</v>
          </cell>
          <cell r="F11">
            <v>40407</v>
          </cell>
          <cell r="G11">
            <v>782</v>
          </cell>
          <cell r="H11" t="str">
            <v>8.4x</v>
          </cell>
          <cell r="I11" t="str">
            <v>6.6x</v>
          </cell>
          <cell r="J11">
            <v>25</v>
          </cell>
          <cell r="K11">
            <v>138.19999999999999</v>
          </cell>
          <cell r="L11">
            <v>0.18089725036179452</v>
          </cell>
          <cell r="O11">
            <v>6</v>
          </cell>
          <cell r="P11" t="str">
            <v>PAETEC / McLeod USA</v>
          </cell>
          <cell r="Q11">
            <v>6.3965884861407252E-2</v>
          </cell>
        </row>
        <row r="12">
          <cell r="B12">
            <v>11</v>
          </cell>
          <cell r="C12" t="str">
            <v xml:space="preserve">NTELOS / Fibernet </v>
          </cell>
          <cell r="D12" t="str">
            <v xml:space="preserve">Fibernet </v>
          </cell>
          <cell r="E12" t="str">
            <v>NTELOS</v>
          </cell>
          <cell r="F12">
            <v>40379</v>
          </cell>
          <cell r="G12">
            <v>170</v>
          </cell>
          <cell r="H12" t="str">
            <v>6.8x (1)</v>
          </cell>
          <cell r="I12" t="str">
            <v>5.4x (1)</v>
          </cell>
          <cell r="J12">
            <v>8</v>
          </cell>
          <cell r="K12">
            <v>51</v>
          </cell>
          <cell r="L12">
            <v>0.15686274509803921</v>
          </cell>
          <cell r="O12">
            <v>7</v>
          </cell>
          <cell r="P12" t="str">
            <v>Windstream / NuVox</v>
          </cell>
          <cell r="Q12">
            <v>6.726457399103139E-2</v>
          </cell>
        </row>
        <row r="13">
          <cell r="B13" t="e">
            <v>#VALUE!</v>
          </cell>
          <cell r="C13" t="str">
            <v>Lightyear / SouthEast Telephone</v>
          </cell>
          <cell r="D13" t="str">
            <v>SouthEast Telephone</v>
          </cell>
          <cell r="E13" t="str">
            <v>Lightyear</v>
          </cell>
          <cell r="F13">
            <v>40360</v>
          </cell>
          <cell r="G13">
            <v>7.3</v>
          </cell>
          <cell r="H13" t="str">
            <v>NA</v>
          </cell>
          <cell r="I13" t="str">
            <v>NA</v>
          </cell>
          <cell r="J13" t="str">
            <v>NA</v>
          </cell>
          <cell r="K13" t="str">
            <v>NA</v>
          </cell>
          <cell r="L13" t="str">
            <v>NA</v>
          </cell>
          <cell r="O13">
            <v>8</v>
          </cell>
          <cell r="P13" t="str">
            <v>PAETEC / US LEC (2)</v>
          </cell>
          <cell r="Q13">
            <v>9.8039215686274508E-2</v>
          </cell>
        </row>
        <row r="14">
          <cell r="B14" t="e">
            <v>#VALUE!</v>
          </cell>
          <cell r="C14" t="str">
            <v>Zayo Group / AFS</v>
          </cell>
          <cell r="D14" t="str">
            <v>AFS</v>
          </cell>
          <cell r="E14" t="str">
            <v>Zayo Group</v>
          </cell>
          <cell r="F14">
            <v>40359</v>
          </cell>
          <cell r="G14">
            <v>115.5</v>
          </cell>
          <cell r="H14" t="str">
            <v>NA</v>
          </cell>
          <cell r="I14" t="str">
            <v>7.7x</v>
          </cell>
          <cell r="J14" t="str">
            <v>NA</v>
          </cell>
          <cell r="K14" t="str">
            <v>NA</v>
          </cell>
          <cell r="L14" t="str">
            <v>NA</v>
          </cell>
          <cell r="O14">
            <v>9</v>
          </cell>
          <cell r="P14" t="str">
            <v>PAETEC / Cavalier</v>
          </cell>
          <cell r="Q14">
            <v>0.10416666666666667</v>
          </cell>
        </row>
        <row r="15">
          <cell r="B15" t="e">
            <v>#VALUE!</v>
          </cell>
          <cell r="C15" t="str">
            <v>Covad / Megapath / Speakeasy</v>
          </cell>
          <cell r="D15" t="str">
            <v>Speakeasy</v>
          </cell>
          <cell r="E15" t="str">
            <v>Covad / Megapath</v>
          </cell>
          <cell r="F15">
            <v>40340</v>
          </cell>
          <cell r="G15" t="str">
            <v>NA</v>
          </cell>
          <cell r="H15" t="str">
            <v>NA</v>
          </cell>
          <cell r="I15" t="str">
            <v>NA</v>
          </cell>
          <cell r="J15" t="str">
            <v>NA</v>
          </cell>
          <cell r="K15" t="str">
            <v>NA</v>
          </cell>
          <cell r="L15" t="str">
            <v>NA</v>
          </cell>
          <cell r="O15">
            <v>10</v>
          </cell>
          <cell r="P15" t="str">
            <v>Level 3 / Global Crossing</v>
          </cell>
          <cell r="Q15">
            <v>0.13704888076747374</v>
          </cell>
        </row>
        <row r="16">
          <cell r="B16" t="e">
            <v>#VALUE!</v>
          </cell>
          <cell r="C16" t="str">
            <v>Lightower / Veroxity</v>
          </cell>
          <cell r="D16" t="str">
            <v>Veroxity</v>
          </cell>
          <cell r="E16" t="str">
            <v>Lightower</v>
          </cell>
          <cell r="F16">
            <v>40323</v>
          </cell>
          <cell r="G16" t="str">
            <v>NA</v>
          </cell>
          <cell r="H16" t="str">
            <v>NA</v>
          </cell>
          <cell r="I16" t="str">
            <v>NA</v>
          </cell>
          <cell r="J16" t="str">
            <v>NA</v>
          </cell>
          <cell r="K16" t="str">
            <v>NA</v>
          </cell>
          <cell r="L16" t="str">
            <v>NA</v>
          </cell>
          <cell r="O16">
            <v>11</v>
          </cell>
          <cell r="P16" t="str">
            <v xml:space="preserve">NTELOS / Fibernet </v>
          </cell>
          <cell r="Q16">
            <v>0.15686274509803921</v>
          </cell>
        </row>
        <row r="17">
          <cell r="B17" t="e">
            <v>#VALUE!</v>
          </cell>
          <cell r="C17" t="str">
            <v>Covad / Megapath</v>
          </cell>
          <cell r="D17" t="str">
            <v>Megapath</v>
          </cell>
          <cell r="E17" t="str">
            <v>Covad</v>
          </cell>
          <cell r="F17">
            <v>40268</v>
          </cell>
          <cell r="G17" t="str">
            <v>NA</v>
          </cell>
          <cell r="H17" t="str">
            <v>NA</v>
          </cell>
          <cell r="I17" t="str">
            <v>NA</v>
          </cell>
          <cell r="J17" t="str">
            <v>NA</v>
          </cell>
          <cell r="K17" t="str">
            <v>NA</v>
          </cell>
          <cell r="L17" t="str">
            <v>NA</v>
          </cell>
          <cell r="O17">
            <v>12</v>
          </cell>
          <cell r="P17" t="str">
            <v>Windstream / KDL / Norlight</v>
          </cell>
          <cell r="Q17">
            <v>0.18089725036179452</v>
          </cell>
        </row>
        <row r="18">
          <cell r="B18">
            <v>14</v>
          </cell>
          <cell r="C18" t="str">
            <v>Zayo Group / AGL Networks</v>
          </cell>
          <cell r="D18" t="str">
            <v>AGL Networks</v>
          </cell>
          <cell r="E18" t="str">
            <v>Zayo Group</v>
          </cell>
          <cell r="F18">
            <v>40261</v>
          </cell>
          <cell r="G18">
            <v>73</v>
          </cell>
          <cell r="H18" t="str">
            <v>10.1x</v>
          </cell>
          <cell r="I18" t="str">
            <v>7.7x</v>
          </cell>
          <cell r="J18">
            <v>2.2999999999999998</v>
          </cell>
          <cell r="K18">
            <v>11.2</v>
          </cell>
          <cell r="L18">
            <v>0.20535714285714285</v>
          </cell>
          <cell r="O18">
            <v>8</v>
          </cell>
          <cell r="P18" t="str">
            <v>PAETEC / US LEC (2)</v>
          </cell>
          <cell r="Q18">
            <v>9.8039215686274508E-2</v>
          </cell>
        </row>
        <row r="19">
          <cell r="B19" t="e">
            <v>#VALUE!</v>
          </cell>
          <cell r="C19" t="str">
            <v>PacketExchange / Mzima Networks</v>
          </cell>
          <cell r="D19" t="str">
            <v>Mzima Networks</v>
          </cell>
          <cell r="E19" t="str">
            <v>PacketExchange</v>
          </cell>
          <cell r="F19">
            <v>40196</v>
          </cell>
          <cell r="G19" t="str">
            <v>NA</v>
          </cell>
          <cell r="H19" t="str">
            <v>NA</v>
          </cell>
          <cell r="I19" t="str">
            <v>NA</v>
          </cell>
          <cell r="J19" t="str">
            <v>NA</v>
          </cell>
          <cell r="K19" t="str">
            <v>NA</v>
          </cell>
          <cell r="L19" t="str">
            <v>NA</v>
          </cell>
          <cell r="O19">
            <v>9</v>
          </cell>
          <cell r="P19" t="str">
            <v>PAETEC / Cavalier</v>
          </cell>
          <cell r="Q19">
            <v>0.10416666666666667</v>
          </cell>
        </row>
        <row r="20">
          <cell r="B20">
            <v>7</v>
          </cell>
          <cell r="C20" t="str">
            <v>Windstream / NuVox</v>
          </cell>
          <cell r="D20" t="str">
            <v>NuVox</v>
          </cell>
          <cell r="E20" t="str">
            <v>Windstream</v>
          </cell>
          <cell r="F20">
            <v>40120</v>
          </cell>
          <cell r="G20">
            <v>643</v>
          </cell>
          <cell r="H20" t="str">
            <v>5.7x</v>
          </cell>
          <cell r="I20" t="str">
            <v>4.5x</v>
          </cell>
          <cell r="J20">
            <v>30</v>
          </cell>
          <cell r="K20">
            <v>446</v>
          </cell>
          <cell r="L20">
            <v>6.726457399103139E-2</v>
          </cell>
          <cell r="O20">
            <v>9</v>
          </cell>
          <cell r="P20" t="str">
            <v>PAETEC / Cavalier</v>
          </cell>
          <cell r="Q20">
            <v>0.10416666666666667</v>
          </cell>
        </row>
        <row r="21">
          <cell r="B21">
            <v>6</v>
          </cell>
          <cell r="C21" t="str">
            <v>PAETEC / McLeod USA</v>
          </cell>
          <cell r="D21" t="str">
            <v>McLeod USA</v>
          </cell>
          <cell r="E21" t="str">
            <v>PAETEC</v>
          </cell>
          <cell r="F21">
            <v>39342</v>
          </cell>
          <cell r="G21">
            <v>557</v>
          </cell>
          <cell r="H21" t="str">
            <v>11.6x</v>
          </cell>
          <cell r="I21" t="str">
            <v>7.1x</v>
          </cell>
          <cell r="J21">
            <v>30</v>
          </cell>
          <cell r="K21">
            <v>469</v>
          </cell>
          <cell r="L21">
            <v>6.3965884861407252E-2</v>
          </cell>
          <cell r="O21">
            <v>10</v>
          </cell>
          <cell r="P21" t="str">
            <v>Level 3 / Global Crossing</v>
          </cell>
          <cell r="Q21">
            <v>0.13704888076747374</v>
          </cell>
        </row>
        <row r="22">
          <cell r="B22">
            <v>8</v>
          </cell>
          <cell r="C22" t="str">
            <v>PAETEC / US LEC (2)</v>
          </cell>
          <cell r="D22" t="str">
            <v>US LEC (2)</v>
          </cell>
          <cell r="E22" t="str">
            <v>PAETEC</v>
          </cell>
          <cell r="F22">
            <v>38943</v>
          </cell>
          <cell r="G22">
            <v>826</v>
          </cell>
          <cell r="H22" t="str">
            <v>14.2x</v>
          </cell>
          <cell r="I22" t="str">
            <v>8.4x</v>
          </cell>
          <cell r="J22">
            <v>40</v>
          </cell>
          <cell r="K22">
            <v>408</v>
          </cell>
          <cell r="L22">
            <v>9.8039215686274508E-2</v>
          </cell>
          <cell r="O22">
            <v>11</v>
          </cell>
          <cell r="P22" t="str">
            <v xml:space="preserve">NTELOS / Fibernet </v>
          </cell>
          <cell r="Q22">
            <v>0.15686274509803921</v>
          </cell>
        </row>
        <row r="23">
          <cell r="B23">
            <v>3</v>
          </cell>
          <cell r="C23" t="str">
            <v>PAETEC / US LEC (1)</v>
          </cell>
          <cell r="D23" t="str">
            <v>US LEC (1)</v>
          </cell>
          <cell r="E23" t="str">
            <v>PAETEC</v>
          </cell>
          <cell r="F23">
            <v>38943</v>
          </cell>
          <cell r="G23">
            <v>1262</v>
          </cell>
          <cell r="H23" t="str">
            <v>8.6x</v>
          </cell>
          <cell r="I23" t="str">
            <v>6.8x</v>
          </cell>
          <cell r="J23">
            <v>40</v>
          </cell>
          <cell r="K23">
            <v>812</v>
          </cell>
          <cell r="L23">
            <v>4.9261083743842367E-2</v>
          </cell>
          <cell r="O23">
            <v>12</v>
          </cell>
          <cell r="P23" t="str">
            <v>Windstream / KDL / Norlight</v>
          </cell>
          <cell r="Q23">
            <v>0.18089725036179452</v>
          </cell>
        </row>
        <row r="24">
          <cell r="B24">
            <v>15</v>
          </cell>
          <cell r="C24" t="str">
            <v>tw telecom / Xspedius</v>
          </cell>
          <cell r="D24" t="str">
            <v>Xspedius</v>
          </cell>
          <cell r="E24" t="str">
            <v>tw telecom</v>
          </cell>
          <cell r="F24">
            <v>38926</v>
          </cell>
          <cell r="G24">
            <v>531.5</v>
          </cell>
          <cell r="H24" t="str">
            <v>11.8x (2)</v>
          </cell>
          <cell r="I24" t="str">
            <v>5.9x (2)</v>
          </cell>
          <cell r="J24">
            <v>45</v>
          </cell>
          <cell r="K24">
            <v>195</v>
          </cell>
          <cell r="L24">
            <v>0.23076923076923078</v>
          </cell>
          <cell r="O24">
            <v>13</v>
          </cell>
          <cell r="P24" t="str">
            <v>Level 3 / WilTel</v>
          </cell>
          <cell r="Q24">
            <v>0.19444444444444445</v>
          </cell>
        </row>
        <row r="25">
          <cell r="C25" t="str">
            <v>Level 3 / Telcove</v>
          </cell>
          <cell r="D25" t="str">
            <v>Telcove</v>
          </cell>
          <cell r="E25" t="str">
            <v>Level 3</v>
          </cell>
          <cell r="F25">
            <v>38838</v>
          </cell>
          <cell r="G25">
            <v>1237.5</v>
          </cell>
          <cell r="H25" t="str">
            <v>9.5x (3)</v>
          </cell>
          <cell r="I25" t="str">
            <v>NA</v>
          </cell>
          <cell r="J25" t="str">
            <v>NA</v>
          </cell>
          <cell r="K25">
            <v>260</v>
          </cell>
          <cell r="L25" t="str">
            <v>NA</v>
          </cell>
          <cell r="M25" t="str">
            <v>Revenue</v>
          </cell>
          <cell r="N25" t="str">
            <v>Integration</v>
          </cell>
          <cell r="O25">
            <v>12</v>
          </cell>
          <cell r="P25" t="str">
            <v>Windstream / KDL / Norlight</v>
          </cell>
          <cell r="Q25">
            <v>0.18089725036179452</v>
          </cell>
          <cell r="R25" t="str">
            <v>Capex</v>
          </cell>
        </row>
        <row r="26">
          <cell r="B26">
            <v>13</v>
          </cell>
          <cell r="C26" t="str">
            <v>Level 3 / WilTel</v>
          </cell>
          <cell r="D26" t="str">
            <v>WilTel</v>
          </cell>
          <cell r="E26" t="str">
            <v>Level 3</v>
          </cell>
          <cell r="F26">
            <v>38656</v>
          </cell>
          <cell r="G26">
            <v>703.5</v>
          </cell>
          <cell r="H26" t="str">
            <v>NA</v>
          </cell>
          <cell r="I26" t="str">
            <v>NA</v>
          </cell>
          <cell r="J26">
            <v>140</v>
          </cell>
          <cell r="K26">
            <v>720</v>
          </cell>
          <cell r="L26">
            <v>0.19444444444444445</v>
          </cell>
          <cell r="M26">
            <v>900</v>
          </cell>
          <cell r="O26">
            <v>14</v>
          </cell>
          <cell r="P26" t="str">
            <v>Zayo Group / AGL Networks</v>
          </cell>
          <cell r="Q26">
            <v>0.20535714285714285</v>
          </cell>
        </row>
        <row r="27">
          <cell r="B27">
            <v>5</v>
          </cell>
          <cell r="C27" t="str">
            <v>Windstream / PAETEC</v>
          </cell>
          <cell r="D27" t="str">
            <v>PAETEC</v>
          </cell>
          <cell r="E27" t="str">
            <v>Windstream</v>
          </cell>
          <cell r="L27">
            <v>0.06</v>
          </cell>
          <cell r="O27">
            <v>15</v>
          </cell>
          <cell r="P27" t="str">
            <v>tw telecom / Xspedius</v>
          </cell>
          <cell r="Q27">
            <v>0.23076923076923078</v>
          </cell>
        </row>
        <row r="28">
          <cell r="D28" t="str">
            <v>AVERAGE</v>
          </cell>
          <cell r="L28">
            <v>0.1164629645238283</v>
          </cell>
        </row>
        <row r="30">
          <cell r="A30" t="str">
            <v>Private Equity</v>
          </cell>
          <cell r="D30" t="str">
            <v>RCN</v>
          </cell>
          <cell r="E30" t="str">
            <v>ABRY Partners</v>
          </cell>
          <cell r="F30">
            <v>40243</v>
          </cell>
          <cell r="G30">
            <v>1200</v>
          </cell>
          <cell r="H30" t="str">
            <v>8.3x</v>
          </cell>
          <cell r="I30" t="str">
            <v>NA</v>
          </cell>
          <cell r="J30" t="str">
            <v>NA</v>
          </cell>
          <cell r="K30">
            <v>422.5</v>
          </cell>
          <cell r="L30" t="str">
            <v>NA</v>
          </cell>
        </row>
        <row r="31">
          <cell r="D31" t="str">
            <v>DukeNet</v>
          </cell>
          <cell r="E31" t="str">
            <v>Alinda Capital Partners (50% Stake)</v>
          </cell>
          <cell r="F31">
            <v>40354</v>
          </cell>
          <cell r="G31">
            <v>137</v>
          </cell>
          <cell r="H31" t="str">
            <v>NA</v>
          </cell>
          <cell r="I31" t="str">
            <v>NA</v>
          </cell>
          <cell r="J31" t="str">
            <v>NA</v>
          </cell>
          <cell r="K31" t="str">
            <v>NA</v>
          </cell>
          <cell r="L31" t="str">
            <v>NA</v>
          </cell>
        </row>
        <row r="32">
          <cell r="D32" t="str">
            <v>Fibertech</v>
          </cell>
          <cell r="E32" t="str">
            <v>Court Square Capital Partners</v>
          </cell>
          <cell r="F32">
            <v>40416</v>
          </cell>
          <cell r="G32">
            <v>500</v>
          </cell>
          <cell r="H32" t="str">
            <v>NA</v>
          </cell>
          <cell r="I32" t="str">
            <v>NA</v>
          </cell>
          <cell r="J32" t="str">
            <v>NA</v>
          </cell>
          <cell r="K32" t="str">
            <v>NA</v>
          </cell>
          <cell r="L32" t="str">
            <v>NA</v>
          </cell>
        </row>
        <row r="33">
          <cell r="D33" t="str">
            <v>Unite Private Networks</v>
          </cell>
          <cell r="E33" t="str">
            <v>Ridgemont Equity Partners</v>
          </cell>
          <cell r="F33">
            <v>40421</v>
          </cell>
          <cell r="G33" t="str">
            <v>NA</v>
          </cell>
          <cell r="H33" t="str">
            <v>NA</v>
          </cell>
          <cell r="I33" t="str">
            <v>NA</v>
          </cell>
          <cell r="J33" t="str">
            <v>NA</v>
          </cell>
          <cell r="K33" t="str">
            <v>NA</v>
          </cell>
          <cell r="L33" t="str">
            <v>NA</v>
          </cell>
        </row>
        <row r="35">
          <cell r="E35" t="str">
            <v>= Prior Year EBITDA</v>
          </cell>
        </row>
        <row r="37">
          <cell r="E37" t="str">
            <v>= 2007 Projected EBITDA</v>
          </cell>
          <cell r="N37">
            <v>125</v>
          </cell>
          <cell r="O37">
            <v>75</v>
          </cell>
          <cell r="Q37">
            <v>200</v>
          </cell>
          <cell r="R37">
            <v>35</v>
          </cell>
          <cell r="S37">
            <v>235</v>
          </cell>
          <cell r="T37">
            <v>665</v>
          </cell>
          <cell r="U37">
            <v>0.21052631578947367</v>
          </cell>
        </row>
        <row r="38">
          <cell r="E38" t="str">
            <v>= 2006 Projected EBITDA</v>
          </cell>
        </row>
        <row r="40">
          <cell r="D40" t="str">
            <v>(1) Projected Merged Entity</v>
          </cell>
        </row>
        <row r="41">
          <cell r="D41" t="str">
            <v>(2) Price Includes Financing of PAETEC's First and Second Lien Debt, US LEC Debt, Purchase of US LEC Preferred Stock, and Fees &amp; Other</v>
          </cell>
        </row>
      </sheetData>
      <sheetData sheetId="14" refreshError="1">
        <row r="1">
          <cell r="J1" t="str">
            <v>Sep 30 2008 LTM</v>
          </cell>
          <cell r="O1" t="str">
            <v>CTL</v>
          </cell>
          <cell r="P1" t="str">
            <v>SVVS</v>
          </cell>
          <cell r="Q1" t="str">
            <v>SVVS</v>
          </cell>
          <cell r="R1" t="str">
            <v>T/Tmo</v>
          </cell>
          <cell r="X1">
            <v>2008</v>
          </cell>
          <cell r="Z1" t="str">
            <v>12 months ended sept 30 2009</v>
          </cell>
          <cell r="AC1" t="str">
            <v>12 months ended sept 30 2009</v>
          </cell>
        </row>
        <row r="2">
          <cell r="I2" t="str">
            <v>CTL</v>
          </cell>
          <cell r="K2" t="str">
            <v>EMBARQ</v>
          </cell>
          <cell r="L2" t="str">
            <v>CTL</v>
          </cell>
          <cell r="M2" t="str">
            <v>Q</v>
          </cell>
          <cell r="O2" t="str">
            <v>CTL</v>
          </cell>
          <cell r="P2" t="str">
            <v xml:space="preserve">1Q11 </v>
          </cell>
          <cell r="Q2" t="str">
            <v>2011 Guidance</v>
          </cell>
          <cell r="R2">
            <v>2010</v>
          </cell>
          <cell r="T2" t="str">
            <v>Spinco</v>
          </cell>
          <cell r="U2" t="str">
            <v>FRP legacy</v>
          </cell>
          <cell r="V2" t="str">
            <v>adj</v>
          </cell>
          <cell r="X2" t="str">
            <v>FTR</v>
          </cell>
          <cell r="Y2" t="str">
            <v>Spinco</v>
          </cell>
          <cell r="Z2" t="str">
            <v>WIN</v>
          </cell>
          <cell r="AA2" t="str">
            <v>IOWA</v>
          </cell>
          <cell r="AC2" t="str">
            <v>WIN</v>
          </cell>
          <cell r="AD2" t="str">
            <v>Lexcom</v>
          </cell>
          <cell r="AF2" t="str">
            <v>Nuvox</v>
          </cell>
          <cell r="AG2" t="str">
            <v>D&amp;E</v>
          </cell>
          <cell r="AH2" t="str">
            <v>WIN</v>
          </cell>
        </row>
        <row r="3">
          <cell r="B3" t="str">
            <v>WIN / D&amp;E</v>
          </cell>
          <cell r="C3">
            <v>0.29761904761904762</v>
          </cell>
          <cell r="L3">
            <v>7530.2110000000002</v>
          </cell>
          <cell r="M3">
            <v>12311</v>
          </cell>
          <cell r="N3">
            <v>19841.210999999999</v>
          </cell>
          <cell r="Q3">
            <v>1045</v>
          </cell>
          <cell r="R3">
            <v>21346.996447092166</v>
          </cell>
          <cell r="T3">
            <v>1197</v>
          </cell>
          <cell r="U3">
            <v>283</v>
          </cell>
          <cell r="V3">
            <v>-5</v>
          </cell>
          <cell r="W3">
            <v>1475</v>
          </cell>
          <cell r="X3">
            <v>2237</v>
          </cell>
          <cell r="Y3">
            <v>4352</v>
          </cell>
          <cell r="Z3">
            <v>3716.3002721330281</v>
          </cell>
          <cell r="AA3">
            <v>275</v>
          </cell>
          <cell r="AB3">
            <v>3991.3002721330281</v>
          </cell>
          <cell r="AC3">
            <v>3020.2</v>
          </cell>
          <cell r="AD3">
            <v>44</v>
          </cell>
          <cell r="AE3">
            <v>3064.2</v>
          </cell>
          <cell r="AF3">
            <v>565</v>
          </cell>
          <cell r="AG3">
            <v>148</v>
          </cell>
          <cell r="AH3">
            <v>3246.6</v>
          </cell>
          <cell r="AI3">
            <v>3394.6</v>
          </cell>
        </row>
        <row r="4">
          <cell r="B4" t="str">
            <v>WIN / IOWA</v>
          </cell>
          <cell r="C4">
            <v>0.2413793103448276</v>
          </cell>
          <cell r="K4">
            <v>6222</v>
          </cell>
          <cell r="L4">
            <v>3729.6940000000004</v>
          </cell>
          <cell r="M4">
            <v>7896</v>
          </cell>
          <cell r="N4">
            <v>11625.694</v>
          </cell>
          <cell r="Q4">
            <v>767.5</v>
          </cell>
          <cell r="R4">
            <v>15869</v>
          </cell>
          <cell r="T4">
            <v>845</v>
          </cell>
          <cell r="U4">
            <v>218</v>
          </cell>
          <cell r="V4">
            <v>-99</v>
          </cell>
          <cell r="W4">
            <v>964</v>
          </cell>
          <cell r="X4">
            <v>1023</v>
          </cell>
          <cell r="Y4">
            <v>2549</v>
          </cell>
          <cell r="Z4">
            <v>1912.3</v>
          </cell>
          <cell r="AA4">
            <v>145</v>
          </cell>
          <cell r="AB4">
            <v>2057.3000000000002</v>
          </cell>
          <cell r="AC4">
            <v>1497.6999999999998</v>
          </cell>
          <cell r="AD4">
            <v>21</v>
          </cell>
          <cell r="AE4">
            <v>1518.6999999999998</v>
          </cell>
          <cell r="AF4">
            <v>453</v>
          </cell>
          <cell r="AG4">
            <v>84</v>
          </cell>
          <cell r="AH4">
            <v>1527.3</v>
          </cell>
          <cell r="AI4">
            <v>1611.3</v>
          </cell>
        </row>
        <row r="5">
          <cell r="B5" t="str">
            <v>WIN / LEXCOM</v>
          </cell>
          <cell r="C5">
            <v>0.23809523809523808</v>
          </cell>
          <cell r="K5">
            <v>3624</v>
          </cell>
          <cell r="L5">
            <v>3800.5169999999998</v>
          </cell>
          <cell r="M5">
            <v>4415</v>
          </cell>
          <cell r="N5">
            <v>8215.5169999999998</v>
          </cell>
          <cell r="Q5">
            <v>277.5</v>
          </cell>
          <cell r="T5">
            <v>352</v>
          </cell>
          <cell r="U5">
            <v>65</v>
          </cell>
          <cell r="X5">
            <v>1214</v>
          </cell>
          <cell r="Y5">
            <v>1803</v>
          </cell>
          <cell r="Z5">
            <v>1804.0002721330281</v>
          </cell>
          <cell r="AA5">
            <v>130</v>
          </cell>
          <cell r="AB5">
            <v>1934.0002721330281</v>
          </cell>
          <cell r="AC5">
            <v>1522.5</v>
          </cell>
          <cell r="AD5">
            <v>23</v>
          </cell>
          <cell r="AE5">
            <v>1545.5</v>
          </cell>
          <cell r="AF5">
            <v>112</v>
          </cell>
          <cell r="AG5">
            <v>64</v>
          </cell>
          <cell r="AH5">
            <v>1719.3</v>
          </cell>
          <cell r="AI5">
            <v>1783.3</v>
          </cell>
        </row>
        <row r="6">
          <cell r="B6" t="str">
            <v>FTR / VZ</v>
          </cell>
          <cell r="C6">
            <v>0.19615535504119264</v>
          </cell>
          <cell r="K6">
            <v>2598</v>
          </cell>
        </row>
        <row r="7">
          <cell r="B7" t="str">
            <v>T/T-Mo</v>
          </cell>
          <cell r="C7">
            <v>0.18904782910076248</v>
          </cell>
          <cell r="M7">
            <v>575</v>
          </cell>
          <cell r="Q7">
            <v>70</v>
          </cell>
          <cell r="R7">
            <v>3000</v>
          </cell>
          <cell r="T7">
            <v>111</v>
          </cell>
          <cell r="Y7">
            <v>500</v>
          </cell>
          <cell r="AA7">
            <v>35</v>
          </cell>
          <cell r="AD7">
            <v>5</v>
          </cell>
          <cell r="AF7">
            <v>30</v>
          </cell>
          <cell r="AG7">
            <v>25</v>
          </cell>
        </row>
        <row r="8">
          <cell r="B8" t="str">
            <v>LVLT/GLBC</v>
          </cell>
          <cell r="C8">
            <v>0.13700000000000001</v>
          </cell>
          <cell r="J8">
            <v>300</v>
          </cell>
          <cell r="K8">
            <v>375</v>
          </cell>
          <cell r="M8">
            <v>50</v>
          </cell>
        </row>
        <row r="9">
          <cell r="B9" t="str">
            <v>FRP / VZ</v>
          </cell>
          <cell r="C9">
            <v>0.13136094674556212</v>
          </cell>
        </row>
        <row r="10">
          <cell r="B10" t="str">
            <v>CTL / EQ *</v>
          </cell>
          <cell r="C10">
            <v>0.10347682119205298</v>
          </cell>
          <cell r="T10">
            <v>111</v>
          </cell>
          <cell r="Y10">
            <v>500</v>
          </cell>
          <cell r="AG10">
            <v>25</v>
          </cell>
        </row>
        <row r="11">
          <cell r="B11" t="str">
            <v>CTL / SVVS</v>
          </cell>
          <cell r="C11">
            <v>9.1205211726384364E-2</v>
          </cell>
        </row>
        <row r="12">
          <cell r="B12" t="str">
            <v>CTL / EQ **</v>
          </cell>
          <cell r="C12">
            <v>8.2781456953642391E-2</v>
          </cell>
          <cell r="J12">
            <v>8.2781456953642391E-2</v>
          </cell>
          <cell r="K12">
            <v>0.10347682119205298</v>
          </cell>
          <cell r="M12">
            <v>7.2821681864235058E-2</v>
          </cell>
          <cell r="Q12">
            <v>9.1205211726384364E-2</v>
          </cell>
          <cell r="R12">
            <v>0.18904782910076248</v>
          </cell>
          <cell r="T12">
            <v>0.13136094674556212</v>
          </cell>
          <cell r="Y12">
            <v>0.19615535504119264</v>
          </cell>
          <cell r="AA12">
            <v>0.2413793103448276</v>
          </cell>
          <cell r="AD12">
            <v>0.23809523809523808</v>
          </cell>
          <cell r="AF12">
            <v>6.6225165562913912E-2</v>
          </cell>
          <cell r="AG12">
            <v>0.29761904761904762</v>
          </cell>
        </row>
        <row r="13">
          <cell r="B13" t="str">
            <v>CTL / Q (1)</v>
          </cell>
          <cell r="C13">
            <v>7.2821681864235058E-2</v>
          </cell>
          <cell r="I13" t="str">
            <v>Note 1: CenturyTel presentation (10/27/08) assuming $300m in announced cost synergies and $4.4b 2008 proforma cash opex</v>
          </cell>
          <cell r="L13" t="str">
            <v>Note: Investors' presentation (04/22/10) assuming $575 of operating expense synergies and $11.6b 2009 proforma cash opex</v>
          </cell>
          <cell r="T13" t="str">
            <v>Note: Fairpoint investor presentation (04/17/08), assuming $111m of announced cost synergies and $964m in proforma 2007 cash opex.</v>
          </cell>
          <cell r="X13" t="str">
            <v>Note: Assuming $500m cash opex savings and $3.5b in pro forma 2008 cash opex. Spinco numbers from Verizon's 8-k (03/24/2010)</v>
          </cell>
          <cell r="Z13" t="str">
            <v>Note: Windstream press release (11/24/09) assuming $35m in operating expenses and capex savings, and $2.0bn in proforma cash opex for the 12 months ended 09/30/09. IWA proforma for Sherburne, WIN proforma for Nuvox, D&amp;E and Lexcom</v>
          </cell>
          <cell r="AC13" t="str">
            <v>Note: Windstream press releases (09/08/09-12/01/09) assuming $5m in operating expenses and capex savings, and $1.5bn in proforma cash opex for the 12 months ended 09/30/09. WIN excludes Nuvox, D&amp;E and Lexcom.</v>
          </cell>
          <cell r="AG13" t="str">
            <v>(7) Windstream press release (05/11/09) assuming $25m in operating expenses and capex savings, and $1.6bn in proforma cash opex for the 12 months ended 03/31/09. WIN excludes Nuvox.</v>
          </cell>
        </row>
        <row r="14">
          <cell r="B14" t="str">
            <v>WIN / NuVox</v>
          </cell>
          <cell r="C14">
            <v>6.7000000000000004E-2</v>
          </cell>
        </row>
        <row r="15">
          <cell r="B15" t="str">
            <v>WIN / PAET</v>
          </cell>
          <cell r="C15">
            <v>0.06</v>
          </cell>
          <cell r="Q15">
            <v>280</v>
          </cell>
        </row>
        <row r="16">
          <cell r="Q16">
            <v>8000</v>
          </cell>
        </row>
        <row r="17">
          <cell r="I17" t="str">
            <v>Note 2: CenturyTel 2Q09 earnings conference call, assuming $375m in cost synergies and $4.4b 2008 proforma cash opex</v>
          </cell>
          <cell r="Q17">
            <v>8280</v>
          </cell>
        </row>
        <row r="43">
          <cell r="Q43" t="str">
            <v>Share price</v>
          </cell>
          <cell r="R43">
            <v>40</v>
          </cell>
        </row>
        <row r="45">
          <cell r="C45" t="str">
            <v>2Q10</v>
          </cell>
          <cell r="G45" t="str">
            <v>4Q09</v>
          </cell>
          <cell r="R45" t="str">
            <v>CTL</v>
          </cell>
          <cell r="S45" t="str">
            <v>SVVS</v>
          </cell>
          <cell r="T45" t="str">
            <v>CTL+SVVS</v>
          </cell>
        </row>
        <row r="46">
          <cell r="C46" t="str">
            <v>Access 
Lines
(000)</v>
          </cell>
          <cell r="D46" t="str">
            <v>Mkt
Share
(%)</v>
          </cell>
          <cell r="G46" t="str">
            <v>B'band
(000)</v>
          </cell>
          <cell r="H46" t="str">
            <v>Mkt
Share
(%)</v>
          </cell>
          <cell r="I46" t="str">
            <v>Penetration of Access Lines</v>
          </cell>
          <cell r="Q46" t="str">
            <v>Shares</v>
          </cell>
          <cell r="R46">
            <v>588.5</v>
          </cell>
          <cell r="S46">
            <v>16</v>
          </cell>
          <cell r="T46">
            <v>604.5</v>
          </cell>
        </row>
        <row r="47">
          <cell r="Q47" t="str">
            <v>Mkt cap</v>
          </cell>
          <cell r="R47">
            <v>23540</v>
          </cell>
          <cell r="S47">
            <v>640</v>
          </cell>
          <cell r="T47">
            <v>24180</v>
          </cell>
        </row>
        <row r="49">
          <cell r="B49" t="str">
            <v>AT&amp;T</v>
          </cell>
          <cell r="C49">
            <v>46058</v>
          </cell>
          <cell r="D49">
            <v>0.37751097804547484</v>
          </cell>
          <cell r="F49" t="str">
            <v>Comcast</v>
          </cell>
          <cell r="G49">
            <v>16448</v>
          </cell>
          <cell r="H49">
            <v>0.23394901123401871</v>
          </cell>
          <cell r="I49" t="str">
            <v>na</v>
          </cell>
          <cell r="Q49" t="str">
            <v>Net Debt</v>
          </cell>
          <cell r="R49">
            <v>19631</v>
          </cell>
          <cell r="S49">
            <v>2400</v>
          </cell>
          <cell r="T49">
            <v>22031</v>
          </cell>
        </row>
        <row r="50">
          <cell r="B50" t="str">
            <v>Verizon</v>
          </cell>
          <cell r="C50">
            <v>27138</v>
          </cell>
          <cell r="D50">
            <v>0.22243460250549515</v>
          </cell>
          <cell r="F50" t="str">
            <v>AT&amp;T</v>
          </cell>
          <cell r="G50">
            <v>15916</v>
          </cell>
          <cell r="H50">
            <v>0.22638208066638144</v>
          </cell>
          <cell r="I50">
            <v>0.34556428850579701</v>
          </cell>
        </row>
        <row r="51">
          <cell r="B51" t="str">
            <v>CTL + Q</v>
          </cell>
          <cell r="C51">
            <v>16258</v>
          </cell>
          <cell r="D51">
            <v>0.13325749014423835</v>
          </cell>
          <cell r="F51" t="str">
            <v>Time Warner Cable</v>
          </cell>
          <cell r="G51">
            <v>9606</v>
          </cell>
          <cell r="H51">
            <v>0.13663145682842801</v>
          </cell>
          <cell r="I51" t="str">
            <v>na</v>
          </cell>
          <cell r="Q51" t="str">
            <v>EV</v>
          </cell>
          <cell r="R51">
            <v>43171</v>
          </cell>
          <cell r="S51">
            <v>3040</v>
          </cell>
          <cell r="T51">
            <v>46211</v>
          </cell>
        </row>
        <row r="52">
          <cell r="B52" t="str">
            <v>Comcast</v>
          </cell>
          <cell r="C52">
            <v>8125</v>
          </cell>
          <cell r="D52">
            <v>6.659595936904518E-2</v>
          </cell>
          <cell r="F52" t="str">
            <v>Verizon</v>
          </cell>
          <cell r="G52">
            <v>8279</v>
          </cell>
          <cell r="H52">
            <v>0.1177568010704305</v>
          </cell>
          <cell r="I52">
            <v>0.30507038101555017</v>
          </cell>
        </row>
        <row r="53">
          <cell r="B53" t="str">
            <v>Frontier</v>
          </cell>
          <cell r="C53">
            <v>6009.25</v>
          </cell>
          <cell r="D53">
            <v>4.9254371549345817E-2</v>
          </cell>
          <cell r="F53" t="str">
            <v>CTL + Q</v>
          </cell>
          <cell r="G53">
            <v>5201</v>
          </cell>
          <cell r="H53">
            <v>7.3976702786243395E-2</v>
          </cell>
          <cell r="I53">
            <v>0.3199040472382827</v>
          </cell>
        </row>
        <row r="54">
          <cell r="B54" t="str">
            <v>Time Warner Cable</v>
          </cell>
          <cell r="C54">
            <v>4392</v>
          </cell>
          <cell r="D54">
            <v>3.5998701975242638E-2</v>
          </cell>
          <cell r="F54" t="str">
            <v>Cox</v>
          </cell>
          <cell r="G54">
            <v>4157.3310000000001</v>
          </cell>
          <cell r="H54">
            <v>5.9132020721214394E-2</v>
          </cell>
          <cell r="I54" t="str">
            <v>na</v>
          </cell>
          <cell r="Q54" t="str">
            <v>EBITDA</v>
          </cell>
          <cell r="R54">
            <v>8000</v>
          </cell>
          <cell r="S54">
            <v>280</v>
          </cell>
          <cell r="T54">
            <v>8280</v>
          </cell>
          <cell r="U54">
            <v>8350</v>
          </cell>
          <cell r="W54">
            <v>8300</v>
          </cell>
          <cell r="X54">
            <v>8370</v>
          </cell>
        </row>
        <row r="55">
          <cell r="B55" t="str">
            <v>Windstream</v>
          </cell>
          <cell r="C55">
            <v>3358.5</v>
          </cell>
          <cell r="D55">
            <v>2.7527695943500092E-2</v>
          </cell>
          <cell r="F55" t="str">
            <v>Charter</v>
          </cell>
          <cell r="G55">
            <v>3316.2</v>
          </cell>
          <cell r="H55">
            <v>4.7168148775185603E-2</v>
          </cell>
          <cell r="I55" t="str">
            <v>na</v>
          </cell>
        </row>
        <row r="56">
          <cell r="B56" t="str">
            <v>Cox</v>
          </cell>
          <cell r="C56">
            <v>2646.703</v>
          </cell>
          <cell r="D56">
            <v>2.1693504670760613E-2</v>
          </cell>
          <cell r="F56" t="str">
            <v>Cablevision</v>
          </cell>
          <cell r="G56">
            <v>2876.5000000000005</v>
          </cell>
          <cell r="H56">
            <v>4.0914052213926008E-2</v>
          </cell>
          <cell r="I56" t="str">
            <v>na</v>
          </cell>
          <cell r="Q56" t="str">
            <v>EV/EBITDA</v>
          </cell>
          <cell r="R56">
            <v>5.3963749999999999</v>
          </cell>
          <cell r="T56">
            <v>5.5810386473429956</v>
          </cell>
          <cell r="U56">
            <v>5.5342514970059877</v>
          </cell>
        </row>
        <row r="57">
          <cell r="B57" t="str">
            <v>Cablevision</v>
          </cell>
          <cell r="C57">
            <v>2706.0840202898721</v>
          </cell>
          <cell r="D57">
            <v>2.2180216795624215E-2</v>
          </cell>
          <cell r="F57" t="str">
            <v>Frontier</v>
          </cell>
          <cell r="G57">
            <v>1715.4540000000002</v>
          </cell>
          <cell r="H57">
            <v>2.4399852086420377E-2</v>
          </cell>
          <cell r="I57">
            <v>0.28546890210924825</v>
          </cell>
        </row>
        <row r="58">
          <cell r="B58" t="str">
            <v>Charter</v>
          </cell>
          <cell r="C58">
            <v>1708</v>
          </cell>
          <cell r="D58">
            <v>1.3999495212594359E-2</v>
          </cell>
          <cell r="F58" t="str">
            <v>Windstream</v>
          </cell>
          <cell r="G58">
            <v>1273.3</v>
          </cell>
          <cell r="H58">
            <v>1.8110850924384487E-2</v>
          </cell>
          <cell r="I58">
            <v>0.37912758672026203</v>
          </cell>
          <cell r="R58">
            <v>2.453875</v>
          </cell>
          <cell r="T58">
            <v>2.6607487922705313</v>
          </cell>
          <cell r="U58">
            <v>2.6384431137724551</v>
          </cell>
        </row>
        <row r="59">
          <cell r="B59" t="str">
            <v>FairPoint</v>
          </cell>
          <cell r="C59">
            <v>1197</v>
          </cell>
          <cell r="D59">
            <v>9.8111216448919479E-3</v>
          </cell>
          <cell r="F59" t="str">
            <v>Insight</v>
          </cell>
          <cell r="G59">
            <v>517.5</v>
          </cell>
          <cell r="H59">
            <v>7.3606890390080669E-3</v>
          </cell>
          <cell r="I59" t="str">
            <v>na</v>
          </cell>
        </row>
        <row r="60">
          <cell r="B60" t="str">
            <v>TDS</v>
          </cell>
          <cell r="C60">
            <v>868.1</v>
          </cell>
          <cell r="D60">
            <v>7.1153172096329997E-3</v>
          </cell>
          <cell r="F60" t="str">
            <v>FairPoint</v>
          </cell>
          <cell r="G60">
            <v>303</v>
          </cell>
          <cell r="H60">
            <v>4.3097367706655927E-3</v>
          </cell>
          <cell r="I60">
            <v>0.25313283208020049</v>
          </cell>
        </row>
        <row r="61">
          <cell r="B61" t="str">
            <v>Cincinnati Bell</v>
          </cell>
          <cell r="C61">
            <v>699</v>
          </cell>
          <cell r="D61">
            <v>5.7293016121800098E-3</v>
          </cell>
          <cell r="F61" t="str">
            <v>TDS</v>
          </cell>
          <cell r="G61">
            <v>258.2</v>
          </cell>
          <cell r="H61">
            <v>3.672521564969822E-3</v>
          </cell>
          <cell r="I61">
            <v>0.29743117152401793</v>
          </cell>
        </row>
        <row r="62">
          <cell r="B62" t="str">
            <v>Insight</v>
          </cell>
          <cell r="C62">
            <v>310</v>
          </cell>
          <cell r="D62">
            <v>2.5408919882343394E-3</v>
          </cell>
          <cell r="F62" t="str">
            <v>Cincinnati Bell</v>
          </cell>
          <cell r="G62">
            <v>252.6</v>
          </cell>
          <cell r="H62">
            <v>3.5928696642578508E-3</v>
          </cell>
          <cell r="I62">
            <v>0.36137339055793993</v>
          </cell>
          <cell r="S62">
            <v>800</v>
          </cell>
        </row>
        <row r="63">
          <cell r="B63" t="str">
            <v>Consolidated Comm.</v>
          </cell>
          <cell r="C63">
            <v>242.28200000000001</v>
          </cell>
          <cell r="D63">
            <v>1.9858464280432006E-3</v>
          </cell>
          <cell r="F63" t="str">
            <v>Consolidated Comm.</v>
          </cell>
          <cell r="G63">
            <v>103.428</v>
          </cell>
          <cell r="H63">
            <v>1.4711137119353165E-3</v>
          </cell>
          <cell r="I63">
            <v>0.42689097828150663</v>
          </cell>
          <cell r="P63">
            <v>2276</v>
          </cell>
          <cell r="S63">
            <v>20</v>
          </cell>
        </row>
        <row r="64">
          <cell r="B64" t="str">
            <v>Alaska</v>
          </cell>
          <cell r="C64">
            <v>178.00799999999998</v>
          </cell>
          <cell r="D64">
            <v>1.4590293581987683E-3</v>
          </cell>
          <cell r="F64" t="str">
            <v>Alaska</v>
          </cell>
          <cell r="G64">
            <v>45.933</v>
          </cell>
          <cell r="H64">
            <v>6.5333049203624642E-4</v>
          </cell>
          <cell r="I64">
            <v>0.25803896454091951</v>
          </cell>
        </row>
        <row r="65">
          <cell r="B65" t="str">
            <v>nTelos</v>
          </cell>
          <cell r="C65">
            <v>86.432000000000002</v>
          </cell>
          <cell r="D65">
            <v>7.0843347202280773E-4</v>
          </cell>
          <cell r="F65" t="str">
            <v>nTelos</v>
          </cell>
          <cell r="G65">
            <v>24.802</v>
          </cell>
          <cell r="H65">
            <v>3.5277257883184167E-4</v>
          </cell>
          <cell r="I65">
            <v>0.28695390596075526</v>
          </cell>
          <cell r="S65">
            <v>3.3984706881903144E-2</v>
          </cell>
        </row>
        <row r="66">
          <cell r="B66" t="str">
            <v>Shenandoah</v>
          </cell>
          <cell r="C66">
            <v>24.04</v>
          </cell>
          <cell r="D66">
            <v>1.9704207547468876E-4</v>
          </cell>
          <cell r="F66" t="str">
            <v>Shenandoah</v>
          </cell>
          <cell r="G66">
            <v>11.67</v>
          </cell>
          <cell r="H66">
            <v>1.6598887166226886E-4</v>
          </cell>
          <cell r="I66">
            <v>0.48544093178036607</v>
          </cell>
        </row>
        <row r="67">
          <cell r="B67" t="str">
            <v>TOTAL</v>
          </cell>
          <cell r="C67">
            <v>122004.39902028987</v>
          </cell>
          <cell r="D67">
            <v>1.0000000000000002</v>
          </cell>
          <cell r="F67" t="str">
            <v>TOTAL</v>
          </cell>
          <cell r="G67">
            <v>70305.918000000005</v>
          </cell>
          <cell r="H67">
            <v>0.99999999999999978</v>
          </cell>
          <cell r="I67">
            <v>0.57625723797309814</v>
          </cell>
        </row>
        <row r="69">
          <cell r="B69" t="str">
            <v>Qwest</v>
          </cell>
          <cell r="C69">
            <v>0</v>
          </cell>
          <cell r="D69">
            <v>0</v>
          </cell>
          <cell r="F69" t="str">
            <v>Qwest</v>
          </cell>
          <cell r="G69">
            <v>0</v>
          </cell>
          <cell r="H69">
            <v>0</v>
          </cell>
          <cell r="I69" t="e">
            <v>#DIV/0!</v>
          </cell>
          <cell r="S69">
            <v>2500</v>
          </cell>
        </row>
        <row r="70">
          <cell r="B70" t="str">
            <v>CenturyLink</v>
          </cell>
          <cell r="C70">
            <v>16258</v>
          </cell>
          <cell r="D70">
            <v>0.13325749014423835</v>
          </cell>
          <cell r="F70" t="str">
            <v>CenturyLink</v>
          </cell>
          <cell r="G70">
            <v>5201</v>
          </cell>
          <cell r="H70">
            <v>7.3976702786243395E-2</v>
          </cell>
          <cell r="I70">
            <v>0.3199040472382827</v>
          </cell>
          <cell r="R70">
            <v>58</v>
          </cell>
          <cell r="S70">
            <v>43.103448275862071</v>
          </cell>
        </row>
      </sheetData>
      <sheetData sheetId="15" refreshError="1">
        <row r="1">
          <cell r="G1" t="str">
            <v>FCC  Approval</v>
          </cell>
          <cell r="J1">
            <v>40660</v>
          </cell>
        </row>
        <row r="2">
          <cell r="C2" t="str">
            <v>Announced</v>
          </cell>
          <cell r="D2" t="str">
            <v xml:space="preserve">Closed </v>
          </cell>
          <cell r="E2" t="str">
            <v>Days Outstanding</v>
          </cell>
          <cell r="H2" t="str">
            <v>Days Outstanding</v>
          </cell>
        </row>
        <row r="3">
          <cell r="G3" t="str">
            <v>Status</v>
          </cell>
        </row>
        <row r="4">
          <cell r="B4" t="str">
            <v>CenturyTel/Embarq</v>
          </cell>
          <cell r="C4">
            <v>39748</v>
          </cell>
          <cell r="D4">
            <v>39995</v>
          </cell>
          <cell r="E4">
            <v>247</v>
          </cell>
          <cell r="G4" t="str">
            <v>Closed</v>
          </cell>
          <cell r="H4">
            <v>197</v>
          </cell>
        </row>
        <row r="5">
          <cell r="B5" t="str">
            <v>Verizon / Alltel</v>
          </cell>
          <cell r="C5">
            <v>39604</v>
          </cell>
          <cell r="D5">
            <v>39822</v>
          </cell>
          <cell r="E5">
            <v>218</v>
          </cell>
          <cell r="G5" t="str">
            <v>Closed</v>
          </cell>
          <cell r="H5">
            <v>132</v>
          </cell>
        </row>
        <row r="6">
          <cell r="B6" t="str">
            <v xml:space="preserve"> AT&amp;T / Verizon</v>
          </cell>
          <cell r="C6">
            <v>39941</v>
          </cell>
          <cell r="D6">
            <v>40351</v>
          </cell>
          <cell r="E6">
            <v>410</v>
          </cell>
          <cell r="G6" t="str">
            <v>Closed</v>
          </cell>
          <cell r="H6">
            <v>368</v>
          </cell>
        </row>
        <row r="7">
          <cell r="B7" t="str">
            <v xml:space="preserve"> ATN / Verizon</v>
          </cell>
          <cell r="C7">
            <v>39973</v>
          </cell>
          <cell r="D7">
            <v>40288</v>
          </cell>
          <cell r="E7">
            <v>315</v>
          </cell>
          <cell r="G7" t="str">
            <v>Closed</v>
          </cell>
          <cell r="H7">
            <v>285</v>
          </cell>
        </row>
        <row r="8">
          <cell r="B8" t="str">
            <v>AT&amp;T / Centennial</v>
          </cell>
          <cell r="C8">
            <v>39759</v>
          </cell>
          <cell r="D8">
            <v>40123</v>
          </cell>
          <cell r="E8">
            <v>364</v>
          </cell>
          <cell r="G8" t="str">
            <v>Closed</v>
          </cell>
          <cell r="H8">
            <v>323</v>
          </cell>
        </row>
        <row r="9">
          <cell r="B9" t="str">
            <v>Windstream / D&amp;E</v>
          </cell>
          <cell r="C9">
            <v>39944</v>
          </cell>
          <cell r="D9">
            <v>40127</v>
          </cell>
          <cell r="E9">
            <v>183</v>
          </cell>
          <cell r="G9" t="str">
            <v>na</v>
          </cell>
          <cell r="H9" t="str">
            <v>na</v>
          </cell>
        </row>
        <row r="10">
          <cell r="B10" t="str">
            <v>Frontier/Verizon</v>
          </cell>
          <cell r="C10">
            <v>39946</v>
          </cell>
          <cell r="D10">
            <v>40360</v>
          </cell>
          <cell r="E10">
            <v>414</v>
          </cell>
          <cell r="G10" t="str">
            <v>Closed</v>
          </cell>
          <cell r="H10">
            <v>283</v>
          </cell>
        </row>
        <row r="11">
          <cell r="B11" t="str">
            <v>Windstream / Lexcom</v>
          </cell>
          <cell r="C11">
            <v>40064</v>
          </cell>
          <cell r="D11">
            <v>40148</v>
          </cell>
          <cell r="E11">
            <v>84</v>
          </cell>
          <cell r="G11" t="str">
            <v>na</v>
          </cell>
          <cell r="H11" t="str">
            <v>na</v>
          </cell>
        </row>
        <row r="12">
          <cell r="B12" t="str">
            <v>Windstream / Nuvox</v>
          </cell>
          <cell r="C12">
            <v>40120</v>
          </cell>
          <cell r="D12">
            <v>40217</v>
          </cell>
          <cell r="E12">
            <v>97</v>
          </cell>
          <cell r="G12" t="str">
            <v>na</v>
          </cell>
          <cell r="H12" t="str">
            <v>na</v>
          </cell>
          <cell r="J12">
            <v>40326</v>
          </cell>
          <cell r="K12">
            <v>40568</v>
          </cell>
        </row>
        <row r="13">
          <cell r="B13" t="str">
            <v>Windstream / Iowa</v>
          </cell>
          <cell r="C13">
            <v>40141</v>
          </cell>
          <cell r="D13">
            <v>40330</v>
          </cell>
          <cell r="E13">
            <v>189</v>
          </cell>
          <cell r="G13" t="str">
            <v>na</v>
          </cell>
          <cell r="H13" t="str">
            <v>na</v>
          </cell>
          <cell r="K13">
            <v>40506</v>
          </cell>
        </row>
        <row r="14">
          <cell r="B14" t="str">
            <v>CenturyLink/Qwest</v>
          </cell>
          <cell r="C14">
            <v>40290</v>
          </cell>
          <cell r="D14">
            <v>40620</v>
          </cell>
          <cell r="E14">
            <v>330</v>
          </cell>
          <cell r="G14" t="str">
            <v>Closed</v>
          </cell>
          <cell r="H14">
            <v>294</v>
          </cell>
        </row>
        <row r="15">
          <cell r="B15" t="str">
            <v>Verizon / Terremark</v>
          </cell>
          <cell r="C15">
            <v>40571</v>
          </cell>
          <cell r="D15">
            <v>40644</v>
          </cell>
          <cell r="E15">
            <v>73</v>
          </cell>
          <cell r="G15" t="str">
            <v>na</v>
          </cell>
          <cell r="H15" t="str">
            <v>na</v>
          </cell>
        </row>
        <row r="16">
          <cell r="B16" t="str">
            <v>CenturyLink / SAVVIS</v>
          </cell>
          <cell r="C16">
            <v>40660</v>
          </cell>
          <cell r="D16">
            <v>40739</v>
          </cell>
          <cell r="E16">
            <v>79</v>
          </cell>
          <cell r="G16" t="str">
            <v>Closed</v>
          </cell>
          <cell r="H16">
            <v>54</v>
          </cell>
          <cell r="J16">
            <v>40683</v>
          </cell>
          <cell r="K16">
            <v>40737</v>
          </cell>
        </row>
        <row r="17">
          <cell r="B17" t="str">
            <v>Average</v>
          </cell>
          <cell r="E17">
            <v>231</v>
          </cell>
          <cell r="H17">
            <v>242</v>
          </cell>
        </row>
        <row r="19">
          <cell r="B19" t="str">
            <v>PENDING DEALS:</v>
          </cell>
        </row>
        <row r="20">
          <cell r="B20" t="str">
            <v>AT&amp;T / T-Mobile USA</v>
          </cell>
          <cell r="C20">
            <v>40622</v>
          </cell>
          <cell r="E20">
            <v>38</v>
          </cell>
          <cell r="G20" t="str">
            <v>Pending</v>
          </cell>
        </row>
        <row r="21">
          <cell r="B21" t="str">
            <v>Level 3 / Global Crossing</v>
          </cell>
          <cell r="C21">
            <v>40645</v>
          </cell>
          <cell r="E21">
            <v>15</v>
          </cell>
          <cell r="G21" t="str">
            <v>Pending</v>
          </cell>
        </row>
        <row r="23">
          <cell r="F23">
            <v>197</v>
          </cell>
        </row>
        <row r="27">
          <cell r="B27" t="str">
            <v>Fairpoint / Verizon</v>
          </cell>
          <cell r="C27">
            <v>39098</v>
          </cell>
          <cell r="D27">
            <v>39538</v>
          </cell>
          <cell r="E27">
            <v>440</v>
          </cell>
          <cell r="G27" t="str">
            <v>Closed</v>
          </cell>
          <cell r="H27">
            <v>301</v>
          </cell>
        </row>
        <row r="28">
          <cell r="B28" t="str">
            <v>Sprint / Clearwire</v>
          </cell>
          <cell r="C28">
            <v>39575</v>
          </cell>
          <cell r="D28">
            <v>39780</v>
          </cell>
          <cell r="E28">
            <v>205</v>
          </cell>
          <cell r="G28" t="str">
            <v>Closed</v>
          </cell>
          <cell r="H28">
            <v>133</v>
          </cell>
        </row>
      </sheetData>
      <sheetData sheetId="16" refreshError="1">
        <row r="2">
          <cell r="G2">
            <v>2010</v>
          </cell>
          <cell r="K2">
            <v>2011</v>
          </cell>
          <cell r="O2">
            <v>2012</v>
          </cell>
        </row>
        <row r="3">
          <cell r="G3" t="str">
            <v>CTL</v>
          </cell>
          <cell r="H3" t="str">
            <v>SVVS</v>
          </cell>
          <cell r="I3" t="str">
            <v>Synergies</v>
          </cell>
          <cell r="J3" t="str">
            <v>CTL+
SVVS</v>
          </cell>
          <cell r="K3" t="str">
            <v>CTL</v>
          </cell>
          <cell r="L3" t="str">
            <v>SVVS</v>
          </cell>
          <cell r="M3" t="str">
            <v>Synergies</v>
          </cell>
          <cell r="N3" t="str">
            <v>CTL+
SVVS</v>
          </cell>
          <cell r="O3" t="str">
            <v>CTL</v>
          </cell>
          <cell r="P3" t="str">
            <v>SVVS</v>
          </cell>
          <cell r="Q3" t="str">
            <v>Synergies</v>
          </cell>
          <cell r="R3" t="str">
            <v>CTL+
SVVS</v>
          </cell>
          <cell r="AA3" t="str">
            <v>2011E</v>
          </cell>
          <cell r="AD3" t="str">
            <v>2012E</v>
          </cell>
          <cell r="AJ3" t="str">
            <v>2011E</v>
          </cell>
          <cell r="AM3" t="str">
            <v>2012E</v>
          </cell>
        </row>
        <row r="4">
          <cell r="B4" t="str">
            <v>REVENUE</v>
          </cell>
          <cell r="G4">
            <v>0</v>
          </cell>
          <cell r="H4">
            <v>932.98399999999992</v>
          </cell>
          <cell r="J4">
            <v>932.98399999999992</v>
          </cell>
          <cell r="K4">
            <v>0.14130561399182451</v>
          </cell>
          <cell r="L4">
            <v>1064.8198769645483</v>
          </cell>
          <cell r="N4">
            <v>1064.96118257854</v>
          </cell>
          <cell r="O4">
            <v>9.6519420651753007E-2</v>
          </cell>
          <cell r="P4">
            <v>1167.5956745876374</v>
          </cell>
          <cell r="R4">
            <v>1167.6921940082891</v>
          </cell>
          <cell r="AA4" t="str">
            <v>REVENUES</v>
          </cell>
          <cell r="AB4" t="str">
            <v>EBITDA MARGINS</v>
          </cell>
          <cell r="AC4" t="str">
            <v>EBITDA MARGINS w/ SYERNGIES</v>
          </cell>
          <cell r="AD4" t="str">
            <v>REVENUES</v>
          </cell>
          <cell r="AE4" t="str">
            <v>EBITDA MARGINS</v>
          </cell>
          <cell r="AF4" t="str">
            <v>EBITDA MARGINS w/ SYERNGIES</v>
          </cell>
          <cell r="AJ4" t="str">
            <v>REVENUES</v>
          </cell>
          <cell r="AK4" t="str">
            <v>EBITDA MARGINS</v>
          </cell>
          <cell r="AL4" t="str">
            <v>EBITDA MARGINS w/ SYERNGIES</v>
          </cell>
          <cell r="AM4" t="str">
            <v>REVENUES</v>
          </cell>
          <cell r="AN4" t="str">
            <v>EBITDA MARGINS</v>
          </cell>
          <cell r="AO4" t="str">
            <v>EBITDA MARGINS w/ SYERNGIES</v>
          </cell>
        </row>
        <row r="5">
          <cell r="B5" t="str">
            <v>Growth Y/Y</v>
          </cell>
          <cell r="K5" t="e">
            <v>#DIV/0!</v>
          </cell>
          <cell r="L5">
            <v>0.14130561399182451</v>
          </cell>
          <cell r="N5">
            <v>0.14145706955161086</v>
          </cell>
          <cell r="O5">
            <v>-0.31694560516656245</v>
          </cell>
          <cell r="P5">
            <v>9.6519420651753007E-2</v>
          </cell>
          <cell r="R5">
            <v>9.6464559563580909E-2</v>
          </cell>
          <cell r="T5" t="e">
            <v>#DIV/0!</v>
          </cell>
          <cell r="U5">
            <v>4134.1016473014333</v>
          </cell>
          <cell r="AA5">
            <v>7535.5808370512113</v>
          </cell>
          <cell r="AB5" t="e">
            <v>#DIV/0!</v>
          </cell>
          <cell r="AC5" t="e">
            <v>#DIV/0!</v>
          </cell>
          <cell r="AD5">
            <v>12097.002517248649</v>
          </cell>
          <cell r="AE5" t="e">
            <v>#DIV/0!</v>
          </cell>
          <cell r="AF5" t="e">
            <v>#DIV/0!</v>
          </cell>
          <cell r="AJ5">
            <v>0.99986731383612537</v>
          </cell>
          <cell r="AK5">
            <v>1</v>
          </cell>
          <cell r="AL5">
            <v>1</v>
          </cell>
          <cell r="AM5">
            <v>0.99991734172657232</v>
          </cell>
          <cell r="AN5">
            <v>1</v>
          </cell>
          <cell r="AO5">
            <v>1</v>
          </cell>
        </row>
        <row r="6">
          <cell r="B6" t="str">
            <v>EBITDA</v>
          </cell>
          <cell r="G6">
            <v>0</v>
          </cell>
          <cell r="H6">
            <v>231.07099999999994</v>
          </cell>
          <cell r="J6">
            <v>231.07099999999994</v>
          </cell>
          <cell r="K6">
            <v>0</v>
          </cell>
          <cell r="L6">
            <v>309.05796100415847</v>
          </cell>
          <cell r="N6">
            <v>309.05796100415847</v>
          </cell>
          <cell r="O6">
            <v>0</v>
          </cell>
          <cell r="P6">
            <v>332.55774998685092</v>
          </cell>
          <cell r="R6">
            <v>332.55774998685092</v>
          </cell>
        </row>
        <row r="7">
          <cell r="B7" t="str">
            <v>Growth Y/Y</v>
          </cell>
          <cell r="K7" t="e">
            <v>#DIV/0!</v>
          </cell>
          <cell r="L7">
            <v>0.33750215736357458</v>
          </cell>
          <cell r="N7">
            <v>0.33750215736357458</v>
          </cell>
          <cell r="O7" t="e">
            <v>#DIV/0!</v>
          </cell>
          <cell r="P7">
            <v>7.6036834341168369E-2</v>
          </cell>
          <cell r="R7">
            <v>7.6036834341168369E-2</v>
          </cell>
        </row>
        <row r="8">
          <cell r="B8" t="str">
            <v>Margin</v>
          </cell>
          <cell r="G8" t="e">
            <v>#DIV/0!</v>
          </cell>
          <cell r="H8">
            <v>0.24766877031117357</v>
          </cell>
          <cell r="J8">
            <v>0.24766877031117357</v>
          </cell>
          <cell r="K8">
            <v>0</v>
          </cell>
          <cell r="L8">
            <v>0.29024435746370664</v>
          </cell>
          <cell r="N8">
            <v>0.2902058460533285</v>
          </cell>
          <cell r="O8">
            <v>0</v>
          </cell>
          <cell r="P8">
            <v>0.28482269780958308</v>
          </cell>
          <cell r="R8">
            <v>0.28479915485714913</v>
          </cell>
        </row>
        <row r="9">
          <cell r="B9" t="str">
            <v>EBITDA (2)</v>
          </cell>
          <cell r="G9">
            <v>0</v>
          </cell>
          <cell r="H9">
            <v>231.07099999999994</v>
          </cell>
          <cell r="I9">
            <v>70</v>
          </cell>
          <cell r="J9">
            <v>301.07099999999991</v>
          </cell>
          <cell r="K9">
            <v>0</v>
          </cell>
          <cell r="L9">
            <v>309.05796100415847</v>
          </cell>
          <cell r="M9">
            <v>70</v>
          </cell>
          <cell r="N9">
            <v>379.05796100415847</v>
          </cell>
          <cell r="O9">
            <v>0</v>
          </cell>
          <cell r="P9">
            <v>332.55774998685092</v>
          </cell>
          <cell r="Q9">
            <v>70</v>
          </cell>
          <cell r="R9">
            <v>402.55774998685092</v>
          </cell>
        </row>
        <row r="10">
          <cell r="B10" t="str">
            <v>Growth Y/Y</v>
          </cell>
          <cell r="K10" t="e">
            <v>#DIV/0!</v>
          </cell>
          <cell r="L10">
            <v>0.33750215736357458</v>
          </cell>
          <cell r="N10">
            <v>0.25903179317887992</v>
          </cell>
          <cell r="O10" t="e">
            <v>#DIV/0!</v>
          </cell>
          <cell r="P10">
            <v>7.6036834341168369E-2</v>
          </cell>
          <cell r="R10">
            <v>6.1995239251642076E-2</v>
          </cell>
        </row>
        <row r="11">
          <cell r="B11" t="str">
            <v>Margin</v>
          </cell>
          <cell r="G11" t="e">
            <v>#DIV/0!</v>
          </cell>
          <cell r="H11">
            <v>0.24766877031117357</v>
          </cell>
          <cell r="J11">
            <v>0.32269685225041367</v>
          </cell>
          <cell r="K11">
            <v>0</v>
          </cell>
          <cell r="L11">
            <v>0.29024435746370664</v>
          </cell>
          <cell r="N11">
            <v>0.3559359413329633</v>
          </cell>
          <cell r="O11">
            <v>0</v>
          </cell>
          <cell r="P11">
            <v>0.28482269780958308</v>
          </cell>
          <cell r="R11">
            <v>0.34474645977122398</v>
          </cell>
        </row>
        <row r="13">
          <cell r="J13">
            <v>0</v>
          </cell>
          <cell r="N13" t="e">
            <v>#DIV/0!</v>
          </cell>
          <cell r="R13">
            <v>4134.1016473014333</v>
          </cell>
        </row>
        <row r="15">
          <cell r="G15">
            <v>0</v>
          </cell>
          <cell r="J15">
            <v>932.98399999999992</v>
          </cell>
          <cell r="N15">
            <v>1</v>
          </cell>
        </row>
        <row r="16">
          <cell r="G16">
            <v>-466.49199999999996</v>
          </cell>
          <cell r="J16">
            <v>466.49199999999996</v>
          </cell>
          <cell r="N16">
            <v>1</v>
          </cell>
        </row>
        <row r="17">
          <cell r="G17" t="e">
            <v>#DIV/0!</v>
          </cell>
          <cell r="N17">
            <v>379.05796100415847</v>
          </cell>
        </row>
        <row r="20">
          <cell r="G20">
            <v>2010</v>
          </cell>
          <cell r="K20">
            <v>2011</v>
          </cell>
          <cell r="O20">
            <v>2012</v>
          </cell>
        </row>
        <row r="21">
          <cell r="G21" t="str">
            <v>CTL</v>
          </cell>
          <cell r="H21" t="str">
            <v>SVVS</v>
          </cell>
          <cell r="I21" t="str">
            <v>Synergies</v>
          </cell>
          <cell r="J21" t="str">
            <v>CTL+
SVVS</v>
          </cell>
          <cell r="K21" t="str">
            <v>CTL</v>
          </cell>
          <cell r="L21" t="str">
            <v>SVVS</v>
          </cell>
          <cell r="M21" t="str">
            <v>Synergies</v>
          </cell>
          <cell r="N21" t="str">
            <v>CTL+
SVVS</v>
          </cell>
          <cell r="O21" t="str">
            <v>CTL</v>
          </cell>
          <cell r="P21" t="str">
            <v>SVVS</v>
          </cell>
          <cell r="Q21" t="str">
            <v>Synergies</v>
          </cell>
          <cell r="R21" t="str">
            <v>CTL+
SVVS</v>
          </cell>
        </row>
        <row r="22">
          <cell r="B22" t="str">
            <v>REVENUE</v>
          </cell>
          <cell r="G22">
            <v>18552.534</v>
          </cell>
          <cell r="H22">
            <v>933</v>
          </cell>
          <cell r="J22">
            <v>19485.534</v>
          </cell>
          <cell r="K22">
            <v>18124.320550851284</v>
          </cell>
          <cell r="L22">
            <v>1045</v>
          </cell>
          <cell r="N22">
            <v>19169.320550851284</v>
          </cell>
          <cell r="O22">
            <v>17695.292413378193</v>
          </cell>
          <cell r="P22">
            <v>1172</v>
          </cell>
          <cell r="R22">
            <v>18867.292413378193</v>
          </cell>
        </row>
        <row r="23">
          <cell r="B23" t="str">
            <v>Growth Y/Y</v>
          </cell>
          <cell r="K23">
            <v>-2.3081130003519523E-2</v>
          </cell>
          <cell r="L23">
            <v>0.120042872454448</v>
          </cell>
          <cell r="N23">
            <v>-1.6228113078590289E-2</v>
          </cell>
          <cell r="O23">
            <v>-2.367140529595968E-2</v>
          </cell>
          <cell r="P23">
            <v>0.12153110047846893</v>
          </cell>
          <cell r="R23">
            <v>-1.5755808176502017E-2</v>
          </cell>
        </row>
        <row r="24">
          <cell r="B24" t="str">
            <v>EBITDA</v>
          </cell>
          <cell r="G24">
            <v>8063.5629999999983</v>
          </cell>
          <cell r="H24">
            <v>236.2</v>
          </cell>
          <cell r="J24">
            <v>8299.762999999999</v>
          </cell>
          <cell r="K24">
            <v>7926</v>
          </cell>
          <cell r="L24">
            <v>277.5</v>
          </cell>
          <cell r="N24">
            <v>8203.5</v>
          </cell>
          <cell r="O24">
            <v>7952.8475416387664</v>
          </cell>
          <cell r="P24">
            <v>330</v>
          </cell>
          <cell r="R24">
            <v>8282.8475416387664</v>
          </cell>
        </row>
        <row r="25">
          <cell r="B25" t="str">
            <v>Growth Y/Y</v>
          </cell>
          <cell r="K25">
            <v>-1.7059828266983046E-2</v>
          </cell>
          <cell r="L25">
            <v>0.17485182049110937</v>
          </cell>
          <cell r="N25">
            <v>-1.1598282987116515E-2</v>
          </cell>
          <cell r="O25">
            <v>3.3872749985826012E-3</v>
          </cell>
          <cell r="P25">
            <v>0.18918918918918926</v>
          </cell>
          <cell r="R25">
            <v>9.6724010042990027E-3</v>
          </cell>
        </row>
        <row r="26">
          <cell r="B26" t="str">
            <v>Margin</v>
          </cell>
          <cell r="G26">
            <v>0.43463405052916215</v>
          </cell>
          <cell r="H26">
            <v>0.25316184351554127</v>
          </cell>
          <cell r="J26">
            <v>0.42594485734904669</v>
          </cell>
          <cell r="K26">
            <v>0.43731294520873626</v>
          </cell>
          <cell r="L26">
            <v>0.26555023923444976</v>
          </cell>
          <cell r="N26">
            <v>0.4279494402651477</v>
          </cell>
          <cell r="O26">
            <v>0.44943295402262839</v>
          </cell>
          <cell r="P26">
            <v>0.28156996587030719</v>
          </cell>
          <cell r="R26">
            <v>0.439005627313311</v>
          </cell>
        </row>
        <row r="27">
          <cell r="B27" t="str">
            <v>EBITDA w/ Synergies</v>
          </cell>
          <cell r="G27">
            <v>8063.5629999999983</v>
          </cell>
          <cell r="H27">
            <v>236.2</v>
          </cell>
          <cell r="I27">
            <v>70</v>
          </cell>
          <cell r="J27">
            <v>8369.762999999999</v>
          </cell>
          <cell r="K27">
            <v>7926</v>
          </cell>
          <cell r="L27">
            <v>277.5</v>
          </cell>
          <cell r="M27">
            <v>70</v>
          </cell>
          <cell r="N27">
            <v>8273.5</v>
          </cell>
          <cell r="O27">
            <v>7952.8475416387664</v>
          </cell>
          <cell r="P27">
            <v>330</v>
          </cell>
          <cell r="Q27">
            <v>70</v>
          </cell>
          <cell r="R27">
            <v>8352.8475416387664</v>
          </cell>
        </row>
        <row r="28">
          <cell r="B28" t="str">
            <v>Growth Y/Y</v>
          </cell>
          <cell r="K28">
            <v>-1.7059828266983046E-2</v>
          </cell>
          <cell r="L28">
            <v>0.17485182049110937</v>
          </cell>
          <cell r="N28">
            <v>-1.15012814580292E-2</v>
          </cell>
          <cell r="O28">
            <v>3.3872749985826012E-3</v>
          </cell>
          <cell r="P28">
            <v>0.18918918918918926</v>
          </cell>
          <cell r="R28">
            <v>9.5905652551842024E-3</v>
          </cell>
        </row>
        <row r="29">
          <cell r="B29" t="str">
            <v>Margin</v>
          </cell>
          <cell r="G29">
            <v>0.43463405052916215</v>
          </cell>
          <cell r="H29">
            <v>0.25316184351554127</v>
          </cell>
          <cell r="J29">
            <v>0.42953726595329639</v>
          </cell>
          <cell r="K29">
            <v>0.43731294520873626</v>
          </cell>
          <cell r="L29">
            <v>0.26555023923444976</v>
          </cell>
          <cell r="N29">
            <v>0.43160110855533607</v>
          </cell>
          <cell r="O29">
            <v>0.44943295402262839</v>
          </cell>
          <cell r="P29">
            <v>0.28156996587030719</v>
          </cell>
          <cell r="R29">
            <v>0.44271575161023263</v>
          </cell>
        </row>
        <row r="31">
          <cell r="N31">
            <v>68.530169249292342</v>
          </cell>
        </row>
        <row r="35">
          <cell r="B35" t="str">
            <v>REVENUE GROWTH</v>
          </cell>
          <cell r="G35">
            <v>2011</v>
          </cell>
          <cell r="H35">
            <v>2012</v>
          </cell>
        </row>
        <row r="36">
          <cell r="B36" t="str">
            <v>CTL</v>
          </cell>
          <cell r="G36" t="e">
            <v>#DIV/0!</v>
          </cell>
          <cell r="H36">
            <v>-0.31694560516656245</v>
          </cell>
        </row>
        <row r="37">
          <cell r="B37" t="str">
            <v>SVVS</v>
          </cell>
          <cell r="G37">
            <v>0.14130561399182451</v>
          </cell>
          <cell r="H37">
            <v>9.6519420651753007E-2</v>
          </cell>
        </row>
        <row r="38">
          <cell r="B38" t="str">
            <v>CTL+SVVS</v>
          </cell>
          <cell r="G38">
            <v>0.14145706955161086</v>
          </cell>
          <cell r="H38">
            <v>9.6464559563580909E-2</v>
          </cell>
        </row>
        <row r="40">
          <cell r="G40" t="str">
            <v>2011E</v>
          </cell>
          <cell r="J40" t="str">
            <v>2012E</v>
          </cell>
        </row>
        <row r="41">
          <cell r="G41" t="str">
            <v>CTL</v>
          </cell>
          <cell r="H41" t="str">
            <v>∆</v>
          </cell>
          <cell r="I41" t="str">
            <v>CTL+
SVVS</v>
          </cell>
          <cell r="J41" t="str">
            <v>CTL</v>
          </cell>
          <cell r="K41" t="str">
            <v>∆</v>
          </cell>
          <cell r="L41" t="str">
            <v>CTL+
SVVS</v>
          </cell>
        </row>
        <row r="42">
          <cell r="G42" t="e">
            <v>#DIV/0!</v>
          </cell>
          <cell r="H42">
            <v>0.14145706955161086</v>
          </cell>
          <cell r="I42">
            <v>0.14145706955161086</v>
          </cell>
          <cell r="J42">
            <v>-0.31694560516656245</v>
          </cell>
          <cell r="K42">
            <v>9.6464559563580909E-2</v>
          </cell>
          <cell r="L42">
            <v>9.6464559563580909E-2</v>
          </cell>
        </row>
        <row r="43">
          <cell r="H43" t="e">
            <v>#DIV/0!</v>
          </cell>
          <cell r="K43">
            <v>-0.41341016473014336</v>
          </cell>
        </row>
        <row r="45">
          <cell r="H45" t="e">
            <v>#DIV/0!</v>
          </cell>
          <cell r="K45">
            <v>4134.1016473014333</v>
          </cell>
        </row>
      </sheetData>
      <sheetData sheetId="17" refreshError="1">
        <row r="2">
          <cell r="A2" t="str">
            <v>CTL / SVVS TRANSACTION SUMMARY</v>
          </cell>
        </row>
        <row r="3">
          <cell r="A3" t="str">
            <v>Consideration</v>
          </cell>
          <cell r="B3" t="str">
            <v xml:space="preserve">$40 per SVVS share; 75% in cash 25% in stock. </v>
          </cell>
        </row>
        <row r="5">
          <cell r="A5" t="str">
            <v>Exchange ratio</v>
          </cell>
          <cell r="B5" t="str">
            <v>The number of CTL shares issued will be based upon the volume-weighted average price of CTL during the 30-day trading period ending 3 trading days prior to the closing, provided that if this avg price is less than or equal to $34.42, each SAVVIS share wil</v>
          </cell>
        </row>
        <row r="7">
          <cell r="A7" t="str">
            <v>Transaction Value</v>
          </cell>
          <cell r="B7" t="str">
            <v>~$2.5B, plus net debt of ~$0.7B which will be assumed or refinanced at close.</v>
          </cell>
        </row>
        <row r="9">
          <cell r="A9" t="str">
            <v>Estimated Synergies</v>
          </cell>
          <cell r="B9" t="str">
            <v>~$70M annual run-rate synergies or 9.1% of 2011 SAVVIS cash opex guidance</v>
          </cell>
        </row>
        <row r="11">
          <cell r="A11" t="str">
            <v>Estimated multiples</v>
          </cell>
          <cell r="B11" t="str">
            <v>10.9x / 8.8x 2011 EBITDA  (before / after run-rate synergies)</v>
          </cell>
        </row>
        <row r="12">
          <cell r="I12">
            <v>35.619999999999997</v>
          </cell>
        </row>
        <row r="13">
          <cell r="A13" t="str">
            <v>Financing</v>
          </cell>
          <cell r="B13" t="str">
            <v>CTL will finance the transaction through a combination of existing cash and debt, including a $2B committed bridge facility and $1.7B existing undrawn revolver</v>
          </cell>
          <cell r="I13">
            <v>5.66</v>
          </cell>
        </row>
        <row r="14">
          <cell r="I14">
            <v>0.15889949466591805</v>
          </cell>
          <cell r="J14">
            <v>0.16639999999999999</v>
          </cell>
        </row>
        <row r="15">
          <cell r="A15" t="str">
            <v>Net Leverage</v>
          </cell>
          <cell r="B15" t="str">
            <v>CTL's leverage stood at ~2.3x at YE2010, the deal increases leverage to ~2.5x</v>
          </cell>
          <cell r="I15">
            <v>-4.5075152248088668E-2</v>
          </cell>
        </row>
        <row r="17">
          <cell r="A17" t="str">
            <v>Dividend Policy</v>
          </cell>
          <cell r="B17" t="str">
            <v>Maintain CTL's annual dividend of $2.90 per share</v>
          </cell>
          <cell r="I17">
            <v>0.15889949466591805</v>
          </cell>
        </row>
        <row r="19">
          <cell r="A19" t="str">
            <v>Dividend payout ratio</v>
          </cell>
          <cell r="B19" t="str">
            <v xml:space="preserve"> ~50%, management says the deal is FCF accretive in first year after closing</v>
          </cell>
          <cell r="J19">
            <v>8.14</v>
          </cell>
        </row>
        <row r="20">
          <cell r="J20">
            <v>5.65</v>
          </cell>
        </row>
        <row r="21">
          <cell r="A21" t="str">
            <v>Anticipated Closing</v>
          </cell>
          <cell r="B21" t="str">
            <v>Management announced timing of closing to be 2H11</v>
          </cell>
          <cell r="J21">
            <v>2.4900000000000002</v>
          </cell>
        </row>
        <row r="23">
          <cell r="A23" t="str">
            <v>Termination Fee</v>
          </cell>
          <cell r="B23" t="str">
            <v>The Merger Agreement provides that, upon termination of the Merger Agreement under certain circumstances, SAVVIS may be obligated to pay
CenturyLink a termination fee of $85M</v>
          </cell>
        </row>
        <row r="27">
          <cell r="G27" t="str">
            <v>BIG TELCO DEALS OF 2011</v>
          </cell>
        </row>
        <row r="28">
          <cell r="H28" t="str">
            <v>SIZE (EV)</v>
          </cell>
          <cell r="I28" t="str">
            <v>DATE</v>
          </cell>
        </row>
        <row r="29">
          <cell r="G29" t="str">
            <v>VERIZON / TERREMARK</v>
          </cell>
          <cell r="H29">
            <v>1.9</v>
          </cell>
          <cell r="I29">
            <v>40571</v>
          </cell>
        </row>
        <row r="30">
          <cell r="G30" t="str">
            <v>AT&amp;T / T-MOBILE</v>
          </cell>
          <cell r="H30">
            <v>39</v>
          </cell>
          <cell r="I30">
            <v>40622</v>
          </cell>
        </row>
        <row r="31">
          <cell r="G31" t="str">
            <v>LEVEL 3 / GLBC</v>
          </cell>
          <cell r="H31">
            <v>3</v>
          </cell>
          <cell r="I31">
            <v>40645</v>
          </cell>
        </row>
        <row r="32">
          <cell r="G32" t="str">
            <v>CENTURYLINK / SVVS</v>
          </cell>
          <cell r="H32">
            <v>3.2</v>
          </cell>
          <cell r="I32">
            <v>40660</v>
          </cell>
        </row>
        <row r="33">
          <cell r="G33" t="str">
            <v>TOTAL</v>
          </cell>
          <cell r="H33">
            <v>47.1</v>
          </cell>
        </row>
      </sheetData>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Old Q"/>
      <sheetName val="Table"/>
      <sheetName val="Q"/>
      <sheetName val="Rev"/>
      <sheetName val="IS"/>
      <sheetName val="BS"/>
      <sheetName val="CF"/>
      <sheetName val="Debt - PF"/>
      <sheetName val="Debt - Standalone"/>
      <sheetName val="Diff - OLD"/>
      <sheetName val="Maturities"/>
      <sheetName val="Valuation"/>
      <sheetName val="Comparison"/>
      <sheetName val="Tables"/>
      <sheetName val="Link"/>
      <sheetName val="Charts - NEW"/>
      <sheetName val="Performance"/>
      <sheetName val="MWA RR"/>
      <sheetName val="LVLT Standalone"/>
      <sheetName val="GLBC Standalone"/>
      <sheetName val="DCF"/>
      <sheetName val="MW-Cache"/>
      <sheetName val="Est vs Act"/>
      <sheetName val="Est. Table"/>
      <sheetName val="Charts"/>
      <sheetName val="Valuation - Standalone"/>
      <sheetName val="Charts - PF"/>
      <sheetName val="Charts - Standalone"/>
      <sheetName val="mwareSettings"/>
      <sheetName val="Standalone Charts"/>
      <sheetName val="mc"/>
      <sheetName val="pro-forma"/>
      <sheetName val="mwareD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
          <cell r="H1">
            <v>40633</v>
          </cell>
        </row>
        <row r="3">
          <cell r="B3" t="str">
            <v>($MM)</v>
          </cell>
          <cell r="D3" t="str">
            <v>Actual</v>
          </cell>
          <cell r="E3" t="str">
            <v>MS (A)</v>
          </cell>
          <cell r="F3" t="str">
            <v>MS (E)</v>
          </cell>
          <cell r="G3" t="str">
            <v>MS (E)</v>
          </cell>
          <cell r="H3" t="str">
            <v>Cons (E)</v>
          </cell>
          <cell r="I3" t="str">
            <v>MS (E) v.</v>
          </cell>
          <cell r="K3" t="str">
            <v>Actual</v>
          </cell>
          <cell r="L3" t="str">
            <v>Actual</v>
          </cell>
          <cell r="R3" t="str">
            <v>Guidance</v>
          </cell>
          <cell r="S3" t="str">
            <v>Comments</v>
          </cell>
          <cell r="U3" t="str">
            <v>($MM)</v>
          </cell>
          <cell r="V3" t="str">
            <v>NEW</v>
          </cell>
          <cell r="W3" t="str">
            <v>OLD</v>
          </cell>
          <cell r="X3" t="str">
            <v>NEW</v>
          </cell>
          <cell r="Y3" t="str">
            <v>OLD</v>
          </cell>
          <cell r="Z3" t="str">
            <v>NEW</v>
          </cell>
          <cell r="AA3" t="str">
            <v>OLD</v>
          </cell>
        </row>
        <row r="4">
          <cell r="B4" t="str">
            <v>except per share calcs</v>
          </cell>
          <cell r="E4" t="str">
            <v>4Q10</v>
          </cell>
          <cell r="F4" t="str">
            <v>1Q11</v>
          </cell>
          <cell r="G4" t="str">
            <v>Diff.</v>
          </cell>
          <cell r="H4" t="str">
            <v>1Q11</v>
          </cell>
          <cell r="I4" t="str">
            <v>Cons (E)</v>
          </cell>
          <cell r="K4" t="str">
            <v>4Q10</v>
          </cell>
          <cell r="L4" t="str">
            <v>1Q10</v>
          </cell>
          <cell r="M4" t="str">
            <v>Seq. (A)</v>
          </cell>
          <cell r="N4" t="str">
            <v>Y/Y (A)</v>
          </cell>
          <cell r="O4" t="str">
            <v>Seq. (E)</v>
          </cell>
          <cell r="P4" t="str">
            <v>Y/Y (E)</v>
          </cell>
          <cell r="R4" t="str">
            <v xml:space="preserve"> for 2Q10</v>
          </cell>
          <cell r="S4" t="str">
            <v>Post 2Q10</v>
          </cell>
          <cell r="U4" t="str">
            <v>except per share calcs</v>
          </cell>
          <cell r="V4" t="str">
            <v>2011E</v>
          </cell>
          <cell r="W4" t="str">
            <v>2011E</v>
          </cell>
          <cell r="X4" t="str">
            <v>2012E</v>
          </cell>
          <cell r="Y4" t="str">
            <v>2012E</v>
          </cell>
          <cell r="Z4" t="str">
            <v>2013E</v>
          </cell>
          <cell r="AA4" t="str">
            <v>2013E</v>
          </cell>
        </row>
        <row r="5">
          <cell r="U5">
            <v>0</v>
          </cell>
        </row>
        <row r="6">
          <cell r="B6" t="str">
            <v>REVENUES:</v>
          </cell>
          <cell r="U6" t="str">
            <v>REVENUES:</v>
          </cell>
        </row>
        <row r="7">
          <cell r="B7" t="str">
            <v>Core Network Svcs</v>
          </cell>
          <cell r="D7">
            <v>729</v>
          </cell>
          <cell r="E7">
            <v>720</v>
          </cell>
          <cell r="F7">
            <v>729</v>
          </cell>
          <cell r="G7">
            <v>0</v>
          </cell>
          <cell r="K7">
            <v>720</v>
          </cell>
          <cell r="L7">
            <v>701</v>
          </cell>
          <cell r="M7">
            <v>1.2499999999999956E-2</v>
          </cell>
          <cell r="N7">
            <v>3.9942938659058402E-2</v>
          </cell>
          <cell r="O7">
            <v>1.2499999999999956E-2</v>
          </cell>
          <cell r="P7">
            <v>3.9942938659058402E-2</v>
          </cell>
          <cell r="R7" t="str">
            <v>Grow on 694 base</v>
          </cell>
          <cell r="S7" t="str">
            <v>Should grow sequentially in 2H10</v>
          </cell>
          <cell r="U7" t="str">
            <v>Core Network Svcs</v>
          </cell>
          <cell r="V7">
            <v>3008</v>
          </cell>
          <cell r="W7" t="e">
            <v>#REF!</v>
          </cell>
          <cell r="X7">
            <v>0</v>
          </cell>
          <cell r="Y7" t="e">
            <v>#REF!</v>
          </cell>
          <cell r="Z7">
            <v>0</v>
          </cell>
          <cell r="AA7" t="e">
            <v>#REF!</v>
          </cell>
        </row>
        <row r="8">
          <cell r="B8" t="str">
            <v>Wholesale Voice</v>
          </cell>
          <cell r="D8">
            <v>164</v>
          </cell>
          <cell r="E8">
            <v>161</v>
          </cell>
          <cell r="F8">
            <v>164</v>
          </cell>
          <cell r="G8">
            <v>0</v>
          </cell>
          <cell r="K8">
            <v>161</v>
          </cell>
          <cell r="L8">
            <v>165</v>
          </cell>
          <cell r="M8">
            <v>1.8633540372670732E-2</v>
          </cell>
          <cell r="N8">
            <v>-6.0606060606060996E-3</v>
          </cell>
          <cell r="O8">
            <v>1.8633540372670732E-2</v>
          </cell>
          <cell r="P8">
            <v>-6.0606060606060996E-3</v>
          </cell>
          <cell r="S8" t="str">
            <v>Will remain volatile, managed for margin</v>
          </cell>
          <cell r="U8" t="str">
            <v>Wholesale Voice</v>
          </cell>
          <cell r="V8">
            <v>611</v>
          </cell>
          <cell r="W8" t="e">
            <v>#REF!</v>
          </cell>
          <cell r="X8">
            <v>0</v>
          </cell>
          <cell r="Y8" t="e">
            <v>#REF!</v>
          </cell>
          <cell r="Z8">
            <v>0</v>
          </cell>
          <cell r="AA8" t="e">
            <v>#REF!</v>
          </cell>
        </row>
        <row r="9">
          <cell r="B9" t="str">
            <v>Other Communications</v>
          </cell>
          <cell r="D9">
            <v>21</v>
          </cell>
          <cell r="E9">
            <v>23</v>
          </cell>
          <cell r="F9">
            <v>21</v>
          </cell>
          <cell r="G9">
            <v>0</v>
          </cell>
          <cell r="K9">
            <v>23</v>
          </cell>
          <cell r="L9">
            <v>34</v>
          </cell>
          <cell r="M9">
            <v>-8.6956521739130488E-2</v>
          </cell>
          <cell r="N9">
            <v>-0.38235294117647056</v>
          </cell>
          <cell r="O9">
            <v>-8.6956521739130488E-2</v>
          </cell>
          <cell r="P9">
            <v>-0.38235294117647056</v>
          </cell>
          <cell r="R9" t="str">
            <v>Dropping 40% Y/Y</v>
          </cell>
          <cell r="U9" t="str">
            <v>Other Communications</v>
          </cell>
          <cell r="V9">
            <v>69</v>
          </cell>
          <cell r="W9" t="e">
            <v>#REF!</v>
          </cell>
          <cell r="X9">
            <v>0</v>
          </cell>
          <cell r="Y9" t="e">
            <v>#REF!</v>
          </cell>
          <cell r="Z9">
            <v>0</v>
          </cell>
          <cell r="AA9" t="e">
            <v>#REF!</v>
          </cell>
        </row>
        <row r="10">
          <cell r="B10" t="str">
            <v>Coal</v>
          </cell>
          <cell r="D10">
            <v>15</v>
          </cell>
          <cell r="E10">
            <v>17</v>
          </cell>
          <cell r="F10">
            <v>15</v>
          </cell>
          <cell r="G10">
            <v>0</v>
          </cell>
          <cell r="K10">
            <v>17</v>
          </cell>
          <cell r="L10">
            <v>10</v>
          </cell>
          <cell r="M10">
            <v>-0.11764705882352944</v>
          </cell>
          <cell r="N10">
            <v>0.5</v>
          </cell>
          <cell r="O10">
            <v>-0.11764705882352944</v>
          </cell>
          <cell r="P10">
            <v>0.5</v>
          </cell>
          <cell r="R10" t="str">
            <v>Back to mid-teens</v>
          </cell>
          <cell r="U10" t="str">
            <v>Coal</v>
          </cell>
          <cell r="V10">
            <v>54</v>
          </cell>
          <cell r="W10" t="e">
            <v>#REF!</v>
          </cell>
          <cell r="X10">
            <v>0</v>
          </cell>
          <cell r="Y10" t="e">
            <v>#REF!</v>
          </cell>
          <cell r="Z10">
            <v>0</v>
          </cell>
          <cell r="AA10" t="e">
            <v>#REF!</v>
          </cell>
        </row>
        <row r="11">
          <cell r="F11">
            <v>0</v>
          </cell>
          <cell r="N11" t="e">
            <v>#DIV/0!</v>
          </cell>
          <cell r="U11">
            <v>0</v>
          </cell>
          <cell r="W11">
            <v>0</v>
          </cell>
          <cell r="Y11">
            <v>0</v>
          </cell>
        </row>
        <row r="12">
          <cell r="B12" t="str">
            <v>TOTAL REVENUES</v>
          </cell>
          <cell r="D12">
            <v>929</v>
          </cell>
          <cell r="E12">
            <v>921</v>
          </cell>
          <cell r="F12">
            <v>929</v>
          </cell>
          <cell r="G12">
            <v>0</v>
          </cell>
          <cell r="H12">
            <v>922.6</v>
          </cell>
          <cell r="I12">
            <v>6.3999999999999773</v>
          </cell>
          <cell r="K12">
            <v>921</v>
          </cell>
          <cell r="L12">
            <v>910</v>
          </cell>
          <cell r="M12">
            <v>8.6862106406080386E-3</v>
          </cell>
          <cell r="N12">
            <v>2.0879120879120805E-2</v>
          </cell>
          <cell r="O12">
            <v>8.6862106406080386E-3</v>
          </cell>
          <cell r="P12">
            <v>2.0879120879120805E-2</v>
          </cell>
          <cell r="U12" t="str">
            <v>TOTAL REVENUES</v>
          </cell>
          <cell r="V12">
            <v>3742</v>
          </cell>
          <cell r="W12" t="e">
            <v>#REF!</v>
          </cell>
          <cell r="X12">
            <v>0</v>
          </cell>
          <cell r="Y12" t="e">
            <v>#REF!</v>
          </cell>
          <cell r="Z12">
            <v>0</v>
          </cell>
          <cell r="AA12" t="e">
            <v>#REF!</v>
          </cell>
        </row>
        <row r="13">
          <cell r="F13">
            <v>0</v>
          </cell>
          <cell r="U13">
            <v>0</v>
          </cell>
          <cell r="W13">
            <v>0</v>
          </cell>
          <cell r="Y13">
            <v>0</v>
          </cell>
        </row>
        <row r="14">
          <cell r="B14" t="str">
            <v>MARGINS:</v>
          </cell>
          <cell r="U14" t="str">
            <v>MARGINS:</v>
          </cell>
        </row>
        <row r="15">
          <cell r="B15" t="str">
            <v>Cost of Revenue (Comm.)</v>
          </cell>
          <cell r="D15">
            <v>357</v>
          </cell>
          <cell r="E15">
            <v>352</v>
          </cell>
          <cell r="F15">
            <v>357</v>
          </cell>
          <cell r="G15">
            <v>0</v>
          </cell>
          <cell r="K15">
            <v>352</v>
          </cell>
          <cell r="L15">
            <v>371</v>
          </cell>
          <cell r="M15">
            <v>1.4204545454545414E-2</v>
          </cell>
          <cell r="N15">
            <v>-3.7735849056603765E-2</v>
          </cell>
          <cell r="O15">
            <v>1.4204545454545414E-2</v>
          </cell>
          <cell r="P15">
            <v>-3.7735849056603765E-2</v>
          </cell>
          <cell r="S15" t="str">
            <v>Saw network optimization, mix shift benefits in 2Q</v>
          </cell>
          <cell r="U15" t="str">
            <v>Cost of Revenue (Comm.)</v>
          </cell>
          <cell r="V15">
            <v>1388</v>
          </cell>
          <cell r="W15" t="e">
            <v>#REF!</v>
          </cell>
          <cell r="X15">
            <v>0</v>
          </cell>
          <cell r="Y15" t="e">
            <v>#REF!</v>
          </cell>
          <cell r="Z15">
            <v>0</v>
          </cell>
          <cell r="AA15" t="e">
            <v>#REF!</v>
          </cell>
        </row>
        <row r="16">
          <cell r="B16" t="str">
            <v>Gross Margin (Comm.)</v>
          </cell>
          <cell r="D16">
            <v>0.60940919037199126</v>
          </cell>
          <cell r="E16">
            <v>0.61061946902654862</v>
          </cell>
          <cell r="F16">
            <v>0.60940919037199126</v>
          </cell>
          <cell r="G16">
            <v>0</v>
          </cell>
          <cell r="K16">
            <v>0.61061946902654862</v>
          </cell>
          <cell r="L16">
            <v>0.58777777777777773</v>
          </cell>
          <cell r="M16">
            <v>-12.102786545573618</v>
          </cell>
          <cell r="N16">
            <v>216.31412594213529</v>
          </cell>
          <cell r="O16">
            <v>-12.102786545573618</v>
          </cell>
          <cell r="P16">
            <v>216.31412594213529</v>
          </cell>
          <cell r="R16" t="str">
            <v>58 - 60%</v>
          </cell>
          <cell r="U16" t="str">
            <v>Gross Margin (Comm.)</v>
          </cell>
          <cell r="V16">
            <v>0.62364425162689807</v>
          </cell>
          <cell r="W16" t="e">
            <v>#REF!</v>
          </cell>
          <cell r="X16" t="e">
            <v>#DIV/0!</v>
          </cell>
          <cell r="Y16" t="e">
            <v>#REF!</v>
          </cell>
          <cell r="Z16" t="e">
            <v>#DIV/0!</v>
          </cell>
          <cell r="AA16" t="e">
            <v>#REF!</v>
          </cell>
        </row>
        <row r="17">
          <cell r="B17" t="str">
            <v>Cost of Revenue (Coal)</v>
          </cell>
          <cell r="D17">
            <v>15</v>
          </cell>
          <cell r="E17">
            <v>13</v>
          </cell>
          <cell r="F17">
            <v>15</v>
          </cell>
          <cell r="G17">
            <v>0</v>
          </cell>
          <cell r="K17">
            <v>13</v>
          </cell>
          <cell r="L17">
            <v>12</v>
          </cell>
          <cell r="M17">
            <v>0.15384615384615374</v>
          </cell>
          <cell r="N17">
            <v>0.25</v>
          </cell>
          <cell r="O17">
            <v>0.15384615384615374</v>
          </cell>
          <cell r="P17">
            <v>0.25</v>
          </cell>
          <cell r="U17" t="str">
            <v>Cost of Revenue (Coal)</v>
          </cell>
          <cell r="V17">
            <v>52</v>
          </cell>
          <cell r="W17" t="e">
            <v>#REF!</v>
          </cell>
          <cell r="X17">
            <v>0</v>
          </cell>
          <cell r="Y17" t="e">
            <v>#REF!</v>
          </cell>
          <cell r="Z17">
            <v>0</v>
          </cell>
          <cell r="AA17" t="e">
            <v>#REF!</v>
          </cell>
        </row>
        <row r="18">
          <cell r="B18" t="str">
            <v>SG&amp;A</v>
          </cell>
          <cell r="D18">
            <v>332</v>
          </cell>
          <cell r="E18">
            <v>330</v>
          </cell>
          <cell r="F18">
            <v>332</v>
          </cell>
          <cell r="G18">
            <v>0</v>
          </cell>
          <cell r="K18">
            <v>330</v>
          </cell>
          <cell r="L18">
            <v>327</v>
          </cell>
          <cell r="M18">
            <v>6.0606060606060996E-3</v>
          </cell>
          <cell r="N18">
            <v>1.5290519877675823E-2</v>
          </cell>
          <cell r="O18">
            <v>6.0606060606060996E-3</v>
          </cell>
          <cell r="P18">
            <v>1.5290519877675823E-2</v>
          </cell>
          <cell r="R18" t="str">
            <v>Flat through 2010</v>
          </cell>
          <cell r="S18" t="str">
            <v>Likely higher in 3Q on seasonal utility costs</v>
          </cell>
          <cell r="U18" t="str">
            <v>SG&amp;A</v>
          </cell>
          <cell r="V18">
            <v>1384</v>
          </cell>
          <cell r="W18" t="e">
            <v>#REF!</v>
          </cell>
          <cell r="X18">
            <v>0</v>
          </cell>
          <cell r="Y18" t="e">
            <v>#REF!</v>
          </cell>
          <cell r="Z18">
            <v>0</v>
          </cell>
          <cell r="AA18" t="e">
            <v>#REF!</v>
          </cell>
        </row>
        <row r="19">
          <cell r="B19" t="str">
            <v>SG&amp;A (% of Revenue)</v>
          </cell>
          <cell r="D19">
            <v>0.35737351991388588</v>
          </cell>
          <cell r="E19">
            <v>0.35830618892508143</v>
          </cell>
          <cell r="F19">
            <v>0.35737351991388588</v>
          </cell>
          <cell r="G19">
            <v>0</v>
          </cell>
          <cell r="K19">
            <v>0.35830618892508143</v>
          </cell>
          <cell r="L19">
            <v>0.35934065934065934</v>
          </cell>
          <cell r="M19">
            <v>-9.3266901119554149</v>
          </cell>
          <cell r="N19">
            <v>-19.671394267734566</v>
          </cell>
          <cell r="O19">
            <v>-9.3266901119554149</v>
          </cell>
          <cell r="P19">
            <v>-19.671394267734566</v>
          </cell>
          <cell r="R19" t="str">
            <v>Flat through 2010</v>
          </cell>
          <cell r="U19" t="str">
            <v>SG&amp;A (% of Revenue)</v>
          </cell>
          <cell r="V19">
            <v>0.36985569214323893</v>
          </cell>
          <cell r="W19" t="e">
            <v>#REF!</v>
          </cell>
          <cell r="X19" t="e">
            <v>#DIV/0!</v>
          </cell>
          <cell r="Y19" t="e">
            <v>#REF!</v>
          </cell>
          <cell r="Z19" t="e">
            <v>#DIV/0!</v>
          </cell>
          <cell r="AA19" t="e">
            <v>#REF!</v>
          </cell>
        </row>
        <row r="20">
          <cell r="B20" t="str">
            <v>Restructuring</v>
          </cell>
          <cell r="D20">
            <v>0</v>
          </cell>
          <cell r="E20">
            <v>0</v>
          </cell>
          <cell r="F20">
            <v>0</v>
          </cell>
          <cell r="U20" t="str">
            <v>Restructuring</v>
          </cell>
        </row>
        <row r="21">
          <cell r="F21">
            <v>0</v>
          </cell>
          <cell r="U21">
            <v>0</v>
          </cell>
          <cell r="W21">
            <v>0</v>
          </cell>
          <cell r="Y21">
            <v>0</v>
          </cell>
        </row>
        <row r="22">
          <cell r="B22" t="str">
            <v>Adjusted EBITDA</v>
          </cell>
          <cell r="D22">
            <v>225</v>
          </cell>
          <cell r="E22">
            <v>226</v>
          </cell>
          <cell r="F22">
            <v>225</v>
          </cell>
          <cell r="G22">
            <v>0</v>
          </cell>
          <cell r="H22">
            <v>216.1</v>
          </cell>
          <cell r="I22">
            <v>8.9000000000000057</v>
          </cell>
          <cell r="K22">
            <v>226</v>
          </cell>
          <cell r="L22">
            <v>200</v>
          </cell>
          <cell r="M22">
            <v>-4.4247787610619538E-3</v>
          </cell>
          <cell r="N22">
            <v>0.125</v>
          </cell>
          <cell r="O22">
            <v>-4.4247787610619538E-3</v>
          </cell>
          <cell r="P22">
            <v>0.125</v>
          </cell>
          <cell r="S22" t="str">
            <v>Leverage to 80% incremental gross margin in CNS</v>
          </cell>
          <cell r="U22" t="str">
            <v>Adjusted EBITDA</v>
          </cell>
          <cell r="V22">
            <v>918</v>
          </cell>
          <cell r="W22" t="e">
            <v>#REF!</v>
          </cell>
          <cell r="X22">
            <v>0</v>
          </cell>
          <cell r="Y22" t="e">
            <v>#REF!</v>
          </cell>
          <cell r="Z22">
            <v>0</v>
          </cell>
          <cell r="AA22" t="e">
            <v>#REF!</v>
          </cell>
        </row>
        <row r="23">
          <cell r="B23" t="str">
            <v>EBITDA Margin</v>
          </cell>
          <cell r="D23">
            <v>0.24219590958019377</v>
          </cell>
          <cell r="E23">
            <v>0.24538545059717698</v>
          </cell>
          <cell r="F23">
            <v>0.24219590958019377</v>
          </cell>
          <cell r="G23">
            <v>0</v>
          </cell>
          <cell r="H23">
            <v>0.23422935183177973</v>
          </cell>
          <cell r="I23">
            <v>79.665577484140385</v>
          </cell>
          <cell r="K23">
            <v>0.24538545059717698</v>
          </cell>
          <cell r="L23">
            <v>0.21978021978021978</v>
          </cell>
          <cell r="M23">
            <v>-31.895410169832104</v>
          </cell>
          <cell r="N23">
            <v>224.15689799973993</v>
          </cell>
          <cell r="O23">
            <v>-31.895410169832104</v>
          </cell>
          <cell r="P23">
            <v>224.15689799973993</v>
          </cell>
          <cell r="U23" t="str">
            <v>EBITDA Margin</v>
          </cell>
          <cell r="V23">
            <v>0.24532335649385356</v>
          </cell>
          <cell r="W23" t="e">
            <v>#REF!</v>
          </cell>
          <cell r="X23" t="e">
            <v>#DIV/0!</v>
          </cell>
          <cell r="Y23" t="e">
            <v>#REF!</v>
          </cell>
          <cell r="Z23" t="e">
            <v>#DIV/0!</v>
          </cell>
          <cell r="AA23" t="e">
            <v>#REF!</v>
          </cell>
        </row>
        <row r="24">
          <cell r="F24">
            <v>0</v>
          </cell>
          <cell r="U24">
            <v>0</v>
          </cell>
          <cell r="W24">
            <v>0</v>
          </cell>
          <cell r="Y24">
            <v>0</v>
          </cell>
        </row>
        <row r="25">
          <cell r="B25" t="str">
            <v>D&amp;A</v>
          </cell>
          <cell r="E25">
            <v>223</v>
          </cell>
          <cell r="F25">
            <v>0</v>
          </cell>
          <cell r="G25">
            <v>0</v>
          </cell>
          <cell r="H25">
            <v>226.14048099999999</v>
          </cell>
          <cell r="I25">
            <v>-226.14048099999999</v>
          </cell>
          <cell r="K25">
            <v>223</v>
          </cell>
          <cell r="L25">
            <v>229</v>
          </cell>
          <cell r="O25">
            <v>-1</v>
          </cell>
          <cell r="P25">
            <v>-1</v>
          </cell>
          <cell r="U25" t="str">
            <v>D&amp;A</v>
          </cell>
          <cell r="W25">
            <v>0</v>
          </cell>
          <cell r="Y25">
            <v>0</v>
          </cell>
        </row>
        <row r="26">
          <cell r="B26" t="str">
            <v>Stock Comp and Other</v>
          </cell>
          <cell r="E26">
            <v>14</v>
          </cell>
          <cell r="F26">
            <v>0</v>
          </cell>
          <cell r="G26">
            <v>0</v>
          </cell>
          <cell r="K26">
            <v>14</v>
          </cell>
          <cell r="L26">
            <v>10</v>
          </cell>
          <cell r="O26">
            <v>-1</v>
          </cell>
          <cell r="P26">
            <v>-1</v>
          </cell>
          <cell r="U26" t="str">
            <v>Stock Comp and Other</v>
          </cell>
          <cell r="W26">
            <v>0</v>
          </cell>
          <cell r="Y26">
            <v>0</v>
          </cell>
        </row>
        <row r="27">
          <cell r="B27" t="str">
            <v>EBIT</v>
          </cell>
          <cell r="E27">
            <v>-11</v>
          </cell>
          <cell r="F27">
            <v>0</v>
          </cell>
          <cell r="G27">
            <v>0</v>
          </cell>
          <cell r="H27">
            <v>-10.040481</v>
          </cell>
          <cell r="I27">
            <v>10.040481</v>
          </cell>
          <cell r="K27">
            <v>-11</v>
          </cell>
          <cell r="L27">
            <v>-39</v>
          </cell>
          <cell r="O27">
            <v>-1</v>
          </cell>
          <cell r="P27">
            <v>-1</v>
          </cell>
          <cell r="U27" t="str">
            <v>EBIT</v>
          </cell>
          <cell r="W27">
            <v>0</v>
          </cell>
          <cell r="Y27">
            <v>0</v>
          </cell>
        </row>
        <row r="28">
          <cell r="F28">
            <v>0</v>
          </cell>
          <cell r="U28">
            <v>0</v>
          </cell>
          <cell r="W28">
            <v>0</v>
          </cell>
          <cell r="Y28">
            <v>0</v>
          </cell>
        </row>
        <row r="29">
          <cell r="B29" t="str">
            <v>Interest Expense</v>
          </cell>
          <cell r="E29">
            <v>145</v>
          </cell>
          <cell r="F29">
            <v>0</v>
          </cell>
          <cell r="G29">
            <v>0</v>
          </cell>
          <cell r="K29">
            <v>145</v>
          </cell>
          <cell r="L29">
            <v>147</v>
          </cell>
          <cell r="O29">
            <v>-1</v>
          </cell>
          <cell r="P29">
            <v>-1</v>
          </cell>
          <cell r="U29" t="str">
            <v>Interest Expense</v>
          </cell>
          <cell r="W29">
            <v>0</v>
          </cell>
          <cell r="Y29">
            <v>0</v>
          </cell>
        </row>
        <row r="30">
          <cell r="B30" t="str">
            <v>Other</v>
          </cell>
          <cell r="E30">
            <v>-4</v>
          </cell>
          <cell r="F30">
            <v>0</v>
          </cell>
          <cell r="G30">
            <v>0</v>
          </cell>
          <cell r="K30">
            <v>-4</v>
          </cell>
          <cell r="L30">
            <v>-5</v>
          </cell>
          <cell r="U30" t="str">
            <v>Other</v>
          </cell>
          <cell r="W30">
            <v>0</v>
          </cell>
          <cell r="Y30">
            <v>0</v>
          </cell>
        </row>
        <row r="31">
          <cell r="B31" t="str">
            <v>Interest Income</v>
          </cell>
          <cell r="E31">
            <v>0</v>
          </cell>
          <cell r="F31">
            <v>0</v>
          </cell>
          <cell r="G31">
            <v>0</v>
          </cell>
          <cell r="K31">
            <v>0</v>
          </cell>
          <cell r="L31">
            <v>0</v>
          </cell>
          <cell r="U31" t="str">
            <v>Interest Income</v>
          </cell>
          <cell r="W31">
            <v>0</v>
          </cell>
          <cell r="Y31">
            <v>0</v>
          </cell>
        </row>
        <row r="32">
          <cell r="B32" t="str">
            <v>Net Interest Expense and Other</v>
          </cell>
          <cell r="E32">
            <v>141</v>
          </cell>
          <cell r="F32">
            <v>0</v>
          </cell>
          <cell r="G32">
            <v>0</v>
          </cell>
          <cell r="H32">
            <v>156.36071900000002</v>
          </cell>
          <cell r="I32">
            <v>-156.36071900000002</v>
          </cell>
          <cell r="K32">
            <v>141</v>
          </cell>
          <cell r="L32">
            <v>142</v>
          </cell>
          <cell r="U32" t="str">
            <v>Net Interest Expense and Other</v>
          </cell>
          <cell r="W32">
            <v>0</v>
          </cell>
          <cell r="Y32">
            <v>0</v>
          </cell>
        </row>
        <row r="33">
          <cell r="F33">
            <v>0</v>
          </cell>
          <cell r="U33">
            <v>0</v>
          </cell>
          <cell r="W33">
            <v>0</v>
          </cell>
          <cell r="Y33">
            <v>0</v>
          </cell>
        </row>
        <row r="34">
          <cell r="B34" t="str">
            <v>EBT</v>
          </cell>
          <cell r="E34">
            <v>-152</v>
          </cell>
          <cell r="F34">
            <v>0</v>
          </cell>
          <cell r="G34">
            <v>0</v>
          </cell>
          <cell r="H34">
            <v>-166.40120000000002</v>
          </cell>
          <cell r="I34">
            <v>166.40120000000002</v>
          </cell>
          <cell r="K34">
            <v>-152</v>
          </cell>
          <cell r="L34">
            <v>-181</v>
          </cell>
          <cell r="U34" t="str">
            <v>EBT</v>
          </cell>
          <cell r="W34">
            <v>0</v>
          </cell>
          <cell r="Y34">
            <v>0</v>
          </cell>
        </row>
        <row r="35">
          <cell r="F35">
            <v>0</v>
          </cell>
          <cell r="G35">
            <v>0</v>
          </cell>
          <cell r="U35">
            <v>0</v>
          </cell>
          <cell r="W35">
            <v>0</v>
          </cell>
          <cell r="Y35">
            <v>0</v>
          </cell>
        </row>
        <row r="36">
          <cell r="B36" t="str">
            <v>Income Taxes</v>
          </cell>
          <cell r="E36">
            <v>0</v>
          </cell>
          <cell r="F36">
            <v>0</v>
          </cell>
          <cell r="G36">
            <v>0</v>
          </cell>
          <cell r="H36">
            <v>6.4849999999999852</v>
          </cell>
          <cell r="I36">
            <v>-6.4849999999999852</v>
          </cell>
          <cell r="K36">
            <v>0</v>
          </cell>
          <cell r="L36">
            <v>-2</v>
          </cell>
          <cell r="U36" t="str">
            <v>Income Taxes</v>
          </cell>
          <cell r="W36">
            <v>0</v>
          </cell>
          <cell r="Y36">
            <v>0</v>
          </cell>
        </row>
        <row r="37">
          <cell r="F37">
            <v>0</v>
          </cell>
          <cell r="U37">
            <v>0</v>
          </cell>
          <cell r="W37">
            <v>0</v>
          </cell>
          <cell r="Y37">
            <v>0</v>
          </cell>
        </row>
        <row r="38">
          <cell r="B38" t="str">
            <v>Net Income (Operating)</v>
          </cell>
          <cell r="E38">
            <v>-152</v>
          </cell>
          <cell r="F38">
            <v>0</v>
          </cell>
          <cell r="G38">
            <v>0</v>
          </cell>
          <cell r="H38">
            <v>-172.8862</v>
          </cell>
          <cell r="I38">
            <v>172.8862</v>
          </cell>
          <cell r="K38">
            <v>-152</v>
          </cell>
          <cell r="L38">
            <v>-183</v>
          </cell>
          <cell r="U38" t="str">
            <v>Net Income (Operating)</v>
          </cell>
          <cell r="W38">
            <v>0</v>
          </cell>
          <cell r="Y38">
            <v>0</v>
          </cell>
        </row>
        <row r="39">
          <cell r="F39">
            <v>0</v>
          </cell>
          <cell r="U39">
            <v>0</v>
          </cell>
          <cell r="W39">
            <v>0</v>
          </cell>
          <cell r="Y39">
            <v>0</v>
          </cell>
        </row>
        <row r="40">
          <cell r="B40" t="str">
            <v>Reconciliation to (GAAP):</v>
          </cell>
          <cell r="F40">
            <v>0</v>
          </cell>
          <cell r="U40" t="str">
            <v>Reconciliation to (GAAP):</v>
          </cell>
          <cell r="W40">
            <v>0</v>
          </cell>
          <cell r="Y40">
            <v>0</v>
          </cell>
        </row>
        <row r="41">
          <cell r="B41" t="str">
            <v>Minority Interest</v>
          </cell>
          <cell r="F41">
            <v>0</v>
          </cell>
          <cell r="K41">
            <v>0</v>
          </cell>
          <cell r="U41" t="str">
            <v>Minority Interest</v>
          </cell>
          <cell r="W41">
            <v>0</v>
          </cell>
          <cell r="Y41">
            <v>0</v>
          </cell>
        </row>
        <row r="42">
          <cell r="B42" t="str">
            <v>Unusual Charges</v>
          </cell>
          <cell r="F42">
            <v>0</v>
          </cell>
          <cell r="K42">
            <v>0</v>
          </cell>
          <cell r="U42" t="str">
            <v>Unusual Charges</v>
          </cell>
          <cell r="W42">
            <v>0</v>
          </cell>
          <cell r="Y42">
            <v>0</v>
          </cell>
        </row>
        <row r="43">
          <cell r="B43" t="str">
            <v>Asset Impairments</v>
          </cell>
          <cell r="F43">
            <v>0</v>
          </cell>
          <cell r="K43">
            <v>0</v>
          </cell>
          <cell r="U43" t="str">
            <v>Asset Impairments</v>
          </cell>
          <cell r="W43">
            <v>0</v>
          </cell>
          <cell r="Y43">
            <v>0</v>
          </cell>
        </row>
        <row r="44">
          <cell r="B44" t="str">
            <v>Goodwill Impairments</v>
          </cell>
          <cell r="F44">
            <v>0</v>
          </cell>
          <cell r="K44">
            <v>0</v>
          </cell>
          <cell r="U44" t="str">
            <v>Goodwill Impairments</v>
          </cell>
          <cell r="W44">
            <v>0</v>
          </cell>
          <cell r="Y44">
            <v>0</v>
          </cell>
        </row>
        <row r="45">
          <cell r="B45" t="str">
            <v>Dividends on Preferred</v>
          </cell>
          <cell r="F45">
            <v>0</v>
          </cell>
          <cell r="K45">
            <v>0</v>
          </cell>
          <cell r="U45" t="str">
            <v>Dividends on Preferred</v>
          </cell>
          <cell r="W45">
            <v>0</v>
          </cell>
          <cell r="Y45">
            <v>0</v>
          </cell>
        </row>
        <row r="46">
          <cell r="B46" t="str">
            <v>Extraordinary Items</v>
          </cell>
          <cell r="F46">
            <v>0</v>
          </cell>
          <cell r="K46">
            <v>0</v>
          </cell>
          <cell r="U46" t="str">
            <v>Extraordinary Items</v>
          </cell>
          <cell r="W46">
            <v>0</v>
          </cell>
          <cell r="Y46">
            <v>0</v>
          </cell>
        </row>
        <row r="47">
          <cell r="B47" t="str">
            <v>Net Income to Common</v>
          </cell>
          <cell r="E47">
            <v>-152</v>
          </cell>
          <cell r="F47">
            <v>0</v>
          </cell>
          <cell r="G47">
            <v>0</v>
          </cell>
          <cell r="K47">
            <v>-152</v>
          </cell>
          <cell r="L47">
            <v>-183</v>
          </cell>
          <cell r="U47" t="str">
            <v>Net Income to Common</v>
          </cell>
          <cell r="W47">
            <v>0</v>
          </cell>
          <cell r="Y47">
            <v>0</v>
          </cell>
        </row>
        <row r="48">
          <cell r="F48">
            <v>0</v>
          </cell>
          <cell r="U48">
            <v>0</v>
          </cell>
          <cell r="W48">
            <v>0</v>
          </cell>
          <cell r="Y48">
            <v>0</v>
          </cell>
        </row>
        <row r="49">
          <cell r="B49" t="str">
            <v>Basic Reported (GAAP) EPS</v>
          </cell>
          <cell r="E49">
            <v>-9.1565768619326762E-2</v>
          </cell>
          <cell r="F49">
            <v>0</v>
          </cell>
          <cell r="G49">
            <v>0</v>
          </cell>
          <cell r="K49">
            <v>-9.1565768619326762E-2</v>
          </cell>
          <cell r="L49">
            <v>-0.11174023509412741</v>
          </cell>
          <cell r="U49" t="str">
            <v>Basic Reported (GAAP) EPS</v>
          </cell>
          <cell r="W49">
            <v>0</v>
          </cell>
          <cell r="Y49">
            <v>0</v>
          </cell>
        </row>
        <row r="50">
          <cell r="B50" t="str">
            <v>Diluted Reported (GAAP) EPS</v>
          </cell>
          <cell r="E50">
            <v>-9.1565768619326762E-2</v>
          </cell>
          <cell r="F50">
            <v>0</v>
          </cell>
          <cell r="G50">
            <v>0</v>
          </cell>
          <cell r="K50">
            <v>-9.1565768619326762E-2</v>
          </cell>
          <cell r="L50">
            <v>-0.11174023509412741</v>
          </cell>
          <cell r="U50" t="str">
            <v>Diluted Reported (GAAP) EPS</v>
          </cell>
          <cell r="W50">
            <v>0</v>
          </cell>
          <cell r="Y50">
            <v>0</v>
          </cell>
        </row>
        <row r="51">
          <cell r="B51" t="str">
            <v>Diluted EPS (Cont. Ops)</v>
          </cell>
          <cell r="D51">
            <v>-0.12</v>
          </cell>
          <cell r="E51">
            <v>-0.4674347778666037</v>
          </cell>
          <cell r="F51">
            <v>-1.829068085349373</v>
          </cell>
          <cell r="G51">
            <v>1.7090680853493732</v>
          </cell>
          <cell r="H51">
            <v>-0.1</v>
          </cell>
          <cell r="I51">
            <v>-1.729068085349373</v>
          </cell>
          <cell r="K51">
            <v>-9.1565768619326762E-2</v>
          </cell>
          <cell r="L51">
            <v>-0.11174023509412741</v>
          </cell>
          <cell r="M51" t="str">
            <v>NM</v>
          </cell>
          <cell r="N51" t="str">
            <v>NM</v>
          </cell>
          <cell r="O51" t="str">
            <v>NM</v>
          </cell>
          <cell r="P51" t="str">
            <v>NM</v>
          </cell>
          <cell r="U51" t="str">
            <v>Diluted EPS (Cont. Ops)</v>
          </cell>
          <cell r="V51">
            <v>-3.0978389452822923</v>
          </cell>
          <cell r="W51" t="e">
            <v>#REF!</v>
          </cell>
          <cell r="X51">
            <v>0</v>
          </cell>
          <cell r="Y51" t="e">
            <v>#REF!</v>
          </cell>
          <cell r="Z51">
            <v>0</v>
          </cell>
          <cell r="AA51">
            <v>0</v>
          </cell>
        </row>
        <row r="52">
          <cell r="F52">
            <v>0</v>
          </cell>
          <cell r="U52">
            <v>0</v>
          </cell>
          <cell r="W52">
            <v>0</v>
          </cell>
          <cell r="Y52">
            <v>0</v>
          </cell>
        </row>
        <row r="53">
          <cell r="B53" t="str">
            <v>Avg Basic Shares</v>
          </cell>
          <cell r="E53">
            <v>1660.009</v>
          </cell>
          <cell r="F53">
            <v>0</v>
          </cell>
          <cell r="G53">
            <v>0</v>
          </cell>
          <cell r="K53">
            <v>1660.009</v>
          </cell>
          <cell r="L53">
            <v>1637.7270000000001</v>
          </cell>
          <cell r="U53" t="str">
            <v>Avg Basic Shares</v>
          </cell>
          <cell r="W53">
            <v>0</v>
          </cell>
          <cell r="Y53">
            <v>0</v>
          </cell>
        </row>
        <row r="54">
          <cell r="B54" t="str">
            <v>Avg Diluted Shares</v>
          </cell>
          <cell r="E54">
            <v>1660.009</v>
          </cell>
          <cell r="F54">
            <v>0</v>
          </cell>
          <cell r="G54">
            <v>0</v>
          </cell>
          <cell r="K54">
            <v>1660.009</v>
          </cell>
          <cell r="L54">
            <v>1637.7270000000001</v>
          </cell>
          <cell r="U54" t="str">
            <v>Avg Diluted Shares</v>
          </cell>
          <cell r="W54">
            <v>0</v>
          </cell>
          <cell r="Y54">
            <v>0</v>
          </cell>
        </row>
        <row r="55">
          <cell r="W55">
            <v>0</v>
          </cell>
          <cell r="Y55">
            <v>0</v>
          </cell>
        </row>
        <row r="56">
          <cell r="B56" t="str">
            <v>FCFE CALCULATION:</v>
          </cell>
          <cell r="U56" t="str">
            <v>FCFE CALCULATION:</v>
          </cell>
        </row>
        <row r="57">
          <cell r="B57" t="str">
            <v>EBITDA</v>
          </cell>
          <cell r="D57">
            <v>225</v>
          </cell>
          <cell r="E57">
            <v>226</v>
          </cell>
          <cell r="F57">
            <v>225</v>
          </cell>
          <cell r="G57">
            <v>0</v>
          </cell>
          <cell r="H57">
            <v>216.1</v>
          </cell>
          <cell r="I57">
            <v>8.9000000000000057</v>
          </cell>
          <cell r="K57">
            <v>226</v>
          </cell>
          <cell r="L57">
            <v>200</v>
          </cell>
          <cell r="M57">
            <v>-4.4247787610619538E-3</v>
          </cell>
          <cell r="N57">
            <v>0.125</v>
          </cell>
          <cell r="O57">
            <v>-4.4247787610619538E-3</v>
          </cell>
          <cell r="P57">
            <v>0.125</v>
          </cell>
          <cell r="U57" t="str">
            <v>EBITDA</v>
          </cell>
          <cell r="V57">
            <v>918</v>
          </cell>
          <cell r="W57" t="e">
            <v>#REF!</v>
          </cell>
          <cell r="X57">
            <v>0</v>
          </cell>
          <cell r="Y57" t="e">
            <v>#REF!</v>
          </cell>
          <cell r="Z57">
            <v>0</v>
          </cell>
          <cell r="AA57" t="e">
            <v>#REF!</v>
          </cell>
        </row>
        <row r="58">
          <cell r="B58" t="str">
            <v>- Capex</v>
          </cell>
          <cell r="D58">
            <v>115</v>
          </cell>
          <cell r="E58">
            <v>117</v>
          </cell>
          <cell r="F58">
            <v>115</v>
          </cell>
          <cell r="G58">
            <v>0</v>
          </cell>
          <cell r="H58">
            <v>104</v>
          </cell>
          <cell r="I58">
            <v>11</v>
          </cell>
          <cell r="K58">
            <v>117</v>
          </cell>
          <cell r="L58">
            <v>82</v>
          </cell>
          <cell r="M58">
            <v>-1.7094017094017144E-2</v>
          </cell>
          <cell r="N58">
            <v>0.40243902439024382</v>
          </cell>
          <cell r="O58">
            <v>-1.7094017094017144E-2</v>
          </cell>
          <cell r="P58">
            <v>0.40243902439024382</v>
          </cell>
          <cell r="R58" t="str">
            <v>Higher capex in 2010</v>
          </cell>
          <cell r="S58" t="str">
            <v>Close to run-rate for year given better demand trends</v>
          </cell>
          <cell r="U58" t="str">
            <v>- Capex</v>
          </cell>
          <cell r="V58">
            <v>444</v>
          </cell>
          <cell r="W58" t="e">
            <v>#REF!</v>
          </cell>
          <cell r="X58">
            <v>0</v>
          </cell>
          <cell r="Y58" t="e">
            <v>#REF!</v>
          </cell>
          <cell r="Z58">
            <v>0</v>
          </cell>
          <cell r="AA58" t="e">
            <v>#REF!</v>
          </cell>
        </row>
        <row r="59">
          <cell r="B59" t="str">
            <v>- Net Interest Expense</v>
          </cell>
          <cell r="D59">
            <v>157</v>
          </cell>
          <cell r="E59" t="e">
            <v>#REF!</v>
          </cell>
          <cell r="F59" t="e">
            <v>#REF!</v>
          </cell>
          <cell r="G59" t="e">
            <v>#REF!</v>
          </cell>
          <cell r="K59" t="e">
            <v>#REF!</v>
          </cell>
          <cell r="L59" t="e">
            <v>#REF!</v>
          </cell>
          <cell r="M59" t="e">
            <v>#REF!</v>
          </cell>
          <cell r="N59" t="e">
            <v>#REF!</v>
          </cell>
          <cell r="O59" t="e">
            <v>#REF!</v>
          </cell>
          <cell r="P59" t="str">
            <v>NM</v>
          </cell>
          <cell r="U59" t="str">
            <v>- Net Interest Expense</v>
          </cell>
          <cell r="V59">
            <v>495</v>
          </cell>
          <cell r="W59" t="e">
            <v>#REF!</v>
          </cell>
          <cell r="X59">
            <v>0</v>
          </cell>
          <cell r="Y59" t="e">
            <v>#REF!</v>
          </cell>
          <cell r="Z59">
            <v>0</v>
          </cell>
          <cell r="AA59" t="e">
            <v>#REF!</v>
          </cell>
          <cell r="AE59" t="str">
            <v>Actual</v>
          </cell>
          <cell r="AF59" t="str">
            <v>Cons (E)</v>
          </cell>
          <cell r="AI59" t="str">
            <v>Actual</v>
          </cell>
          <cell r="AJ59" t="str">
            <v>Actual</v>
          </cell>
        </row>
        <row r="60">
          <cell r="B60" t="str">
            <v>FCFE</v>
          </cell>
          <cell r="D60">
            <v>-47</v>
          </cell>
          <cell r="E60" t="e">
            <v>#REF!</v>
          </cell>
          <cell r="F60" t="e">
            <v>#REF!</v>
          </cell>
          <cell r="G60" t="e">
            <v>#REF!</v>
          </cell>
          <cell r="K60" t="e">
            <v>#REF!</v>
          </cell>
          <cell r="L60" t="e">
            <v>#REF!</v>
          </cell>
          <cell r="M60" t="e">
            <v>#REF!</v>
          </cell>
          <cell r="N60" t="e">
            <v>#REF!</v>
          </cell>
          <cell r="O60" t="e">
            <v>#REF!</v>
          </cell>
          <cell r="P60" t="e">
            <v>#REF!</v>
          </cell>
          <cell r="S60" t="str">
            <v>Likely negative for the year</v>
          </cell>
          <cell r="U60" t="str">
            <v>FCFE</v>
          </cell>
          <cell r="V60">
            <v>-21</v>
          </cell>
          <cell r="W60" t="e">
            <v>#REF!</v>
          </cell>
          <cell r="X60">
            <v>0</v>
          </cell>
          <cell r="Y60" t="e">
            <v>#REF!</v>
          </cell>
          <cell r="Z60">
            <v>0</v>
          </cell>
          <cell r="AA60" t="e">
            <v>#REF!</v>
          </cell>
          <cell r="AE60" t="str">
            <v>2Q11</v>
          </cell>
          <cell r="AF60" t="str">
            <v>2Q11</v>
          </cell>
          <cell r="AG60" t="str">
            <v>Diff.</v>
          </cell>
          <cell r="AI60" t="str">
            <v>1Q11</v>
          </cell>
          <cell r="AJ60" t="str">
            <v>2Q10</v>
          </cell>
          <cell r="AK60" t="str">
            <v>Seq. (E)</v>
          </cell>
          <cell r="AL60" t="str">
            <v>Y/Y (E)</v>
          </cell>
          <cell r="AM60" t="str">
            <v>Seq. (A)</v>
          </cell>
          <cell r="AN60" t="str">
            <v>Y/Y (A)</v>
          </cell>
        </row>
        <row r="62">
          <cell r="AC62" t="str">
            <v>REVENUES</v>
          </cell>
          <cell r="AF62">
            <v>936.8</v>
          </cell>
          <cell r="AG62">
            <v>-936.8</v>
          </cell>
          <cell r="AI62">
            <v>929</v>
          </cell>
          <cell r="AJ62">
            <v>908</v>
          </cell>
          <cell r="AK62">
            <v>8.3961248654467191E-3</v>
          </cell>
          <cell r="AL62">
            <v>3.1718061674008702E-2</v>
          </cell>
          <cell r="AM62">
            <v>-1</v>
          </cell>
          <cell r="AN62">
            <v>-1</v>
          </cell>
        </row>
        <row r="63">
          <cell r="AC63" t="str">
            <v>GROSS INCOME</v>
          </cell>
          <cell r="AF63">
            <v>563.70000000000005</v>
          </cell>
          <cell r="AG63">
            <v>-563.70000000000005</v>
          </cell>
          <cell r="AI63">
            <v>557</v>
          </cell>
          <cell r="AJ63">
            <v>534</v>
          </cell>
          <cell r="AK63">
            <v>1.2028725314183308E-2</v>
          </cell>
          <cell r="AL63">
            <v>5.5617977528090057E-2</v>
          </cell>
          <cell r="AM63">
            <v>-1</v>
          </cell>
          <cell r="AN63">
            <v>-1</v>
          </cell>
        </row>
        <row r="64">
          <cell r="AC64" t="str">
            <v>Margin</v>
          </cell>
          <cell r="AE64" t="e">
            <v>#DIV/0!</v>
          </cell>
          <cell r="AF64">
            <v>0.60172929120409913</v>
          </cell>
          <cell r="AG64" t="e">
            <v>#DIV/0!</v>
          </cell>
          <cell r="AI64">
            <v>0.59956942949407965</v>
          </cell>
          <cell r="AJ64">
            <v>0.58810572687224671</v>
          </cell>
          <cell r="AK64">
            <v>21.59861710019473</v>
          </cell>
          <cell r="AL64">
            <v>136.23564331852413</v>
          </cell>
        </row>
        <row r="65">
          <cell r="D65">
            <v>115</v>
          </cell>
          <cell r="AC65" t="str">
            <v>EBITDA</v>
          </cell>
          <cell r="AF65">
            <v>230.2</v>
          </cell>
          <cell r="AG65">
            <v>-230.2</v>
          </cell>
          <cell r="AI65">
            <v>225</v>
          </cell>
          <cell r="AJ65">
            <v>209</v>
          </cell>
          <cell r="AK65">
            <v>2.3111111111111082E-2</v>
          </cell>
          <cell r="AL65">
            <v>0.10143540669856455</v>
          </cell>
          <cell r="AM65">
            <v>-1</v>
          </cell>
          <cell r="AN65">
            <v>-1</v>
          </cell>
        </row>
        <row r="66">
          <cell r="AC66" t="str">
            <v>Margin</v>
          </cell>
          <cell r="AE66" t="e">
            <v>#DIV/0!</v>
          </cell>
          <cell r="AF66">
            <v>0.24573014517506406</v>
          </cell>
          <cell r="AG66" t="e">
            <v>#DIV/0!</v>
          </cell>
          <cell r="AI66">
            <v>0.24219590958019377</v>
          </cell>
          <cell r="AJ66">
            <v>0.23017621145374451</v>
          </cell>
          <cell r="AK66">
            <v>35.342355948702888</v>
          </cell>
          <cell r="AL66">
            <v>155.53933721319552</v>
          </cell>
        </row>
        <row r="67">
          <cell r="AC67" t="str">
            <v>CAPEX</v>
          </cell>
          <cell r="AF67">
            <v>107</v>
          </cell>
          <cell r="AG67">
            <v>-107</v>
          </cell>
          <cell r="AI67">
            <v>115</v>
          </cell>
          <cell r="AJ67">
            <v>104</v>
          </cell>
          <cell r="AK67">
            <v>-6.956521739130439E-2</v>
          </cell>
          <cell r="AL67">
            <v>2.8846153846153744E-2</v>
          </cell>
          <cell r="AM67">
            <v>-1</v>
          </cell>
          <cell r="AN67">
            <v>-1</v>
          </cell>
        </row>
        <row r="68">
          <cell r="AC68" t="str">
            <v>Capex Intensity</v>
          </cell>
          <cell r="AE68" t="e">
            <v>#DIV/0!</v>
          </cell>
          <cell r="AF68">
            <v>0.11421861656703673</v>
          </cell>
          <cell r="AG68" t="e">
            <v>#DIV/0!</v>
          </cell>
          <cell r="AI68">
            <v>0.12378902045209902</v>
          </cell>
          <cell r="AJ68">
            <v>0.11453744493392071</v>
          </cell>
          <cell r="AK68">
            <v>-95.704038850622922</v>
          </cell>
          <cell r="AL68">
            <v>-3.1882836688397473</v>
          </cell>
        </row>
        <row r="69">
          <cell r="AC69" t="str">
            <v>NET INTEREST EXP.</v>
          </cell>
          <cell r="AF69">
            <v>154.5</v>
          </cell>
          <cell r="AG69">
            <v>-154.5</v>
          </cell>
          <cell r="AI69">
            <v>157</v>
          </cell>
          <cell r="AJ69">
            <v>145</v>
          </cell>
          <cell r="AK69">
            <v>-1.5923566878980888E-2</v>
          </cell>
          <cell r="AL69">
            <v>6.5517241379310365E-2</v>
          </cell>
          <cell r="AM69">
            <v>-1</v>
          </cell>
          <cell r="AN69">
            <v>-1</v>
          </cell>
        </row>
        <row r="70">
          <cell r="AC70" t="str">
            <v>FCFE</v>
          </cell>
          <cell r="AF70">
            <v>-31.300000000000011</v>
          </cell>
          <cell r="AG70">
            <v>31.300000000000011</v>
          </cell>
          <cell r="AI70">
            <v>-47</v>
          </cell>
          <cell r="AJ70">
            <v>-40</v>
          </cell>
          <cell r="AK70" t="str">
            <v>NA</v>
          </cell>
          <cell r="AL70" t="str">
            <v>NA</v>
          </cell>
        </row>
        <row r="71">
          <cell r="AC71" t="str">
            <v>EPS</v>
          </cell>
          <cell r="AF71">
            <v>-0.09</v>
          </cell>
          <cell r="AG71">
            <v>0.09</v>
          </cell>
          <cell r="AI71">
            <v>-1.829068085349373</v>
          </cell>
          <cell r="AJ71">
            <v>-1.5271001542762721</v>
          </cell>
          <cell r="AK71" t="str">
            <v>NA</v>
          </cell>
          <cell r="AL71" t="str">
            <v>NA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Sheet1 (2)"/>
      <sheetName val="Sheet1"/>
      <sheetName val="Synergies"/>
      <sheetName val="Unemploy"/>
      <sheetName val="Sheet2"/>
    </sheetNames>
    <sheetDataSet>
      <sheetData sheetId="0"/>
      <sheetData sheetId="1"/>
      <sheetData sheetId="2">
        <row r="3">
          <cell r="C3" t="str">
            <v>EMBARQ</v>
          </cell>
          <cell r="H3" t="str">
            <v>CTL</v>
          </cell>
          <cell r="L3" t="str">
            <v>CTL + EQ</v>
          </cell>
          <cell r="R3" t="str">
            <v>Y/Y Change in Unemployment (bps)</v>
          </cell>
          <cell r="X3" t="str">
            <v>Y/Y Change in Business Bankruptcies (%)</v>
          </cell>
        </row>
        <row r="4">
          <cell r="C4" t="str">
            <v>Employees</v>
          </cell>
          <cell r="D4" t="str">
            <v>Retirees</v>
          </cell>
          <cell r="E4" t="str">
            <v>Access lines</v>
          </cell>
          <cell r="F4" t="str">
            <v>DSL enabled</v>
          </cell>
          <cell r="G4" t="str">
            <v>2006 bkdw</v>
          </cell>
          <cell r="H4" t="str">
            <v>Employees</v>
          </cell>
          <cell r="I4" t="str">
            <v>Retirees</v>
          </cell>
          <cell r="J4" t="str">
            <v>Access lines</v>
          </cell>
          <cell r="K4" t="str">
            <v>DSL enabled</v>
          </cell>
          <cell r="Q4" t="str">
            <v>% of 
access lines</v>
          </cell>
          <cell r="R4" t="str">
            <v>4Q07</v>
          </cell>
          <cell r="S4" t="str">
            <v>1Q08</v>
          </cell>
          <cell r="T4" t="str">
            <v>2Q08</v>
          </cell>
          <cell r="U4" t="str">
            <v>3Q08</v>
          </cell>
          <cell r="V4" t="str">
            <v>4Q08</v>
          </cell>
          <cell r="W4" t="str">
            <v>1Q09</v>
          </cell>
          <cell r="X4" t="str">
            <v>4Q07</v>
          </cell>
          <cell r="Y4" t="str">
            <v>1Q08</v>
          </cell>
          <cell r="Z4" t="str">
            <v>2Q08</v>
          </cell>
          <cell r="AA4" t="str">
            <v>3Q08</v>
          </cell>
          <cell r="AB4" t="str">
            <v>4Q08</v>
          </cell>
          <cell r="AC4" t="str">
            <v>1Q09</v>
          </cell>
          <cell r="AD4" t="str">
            <v>2Q09</v>
          </cell>
          <cell r="AN4">
            <v>39747</v>
          </cell>
          <cell r="AO4">
            <v>39813</v>
          </cell>
          <cell r="AP4">
            <v>39903</v>
          </cell>
          <cell r="AQ4">
            <v>39957</v>
          </cell>
          <cell r="AR4">
            <v>39988</v>
          </cell>
        </row>
        <row r="5">
          <cell r="A5">
            <v>1</v>
          </cell>
          <cell r="B5" t="str">
            <v>Florida</v>
          </cell>
          <cell r="C5">
            <v>4451</v>
          </cell>
          <cell r="D5">
            <v>3583</v>
          </cell>
          <cell r="E5">
            <v>1532907.2</v>
          </cell>
          <cell r="F5" t="str">
            <v>na</v>
          </cell>
          <cell r="G5">
            <v>0.27610000000000001</v>
          </cell>
          <cell r="L5">
            <v>1532907.2</v>
          </cell>
          <cell r="M5">
            <v>0.20389840642352119</v>
          </cell>
          <cell r="P5" t="str">
            <v>Florida</v>
          </cell>
          <cell r="Q5">
            <v>0.20389840642352119</v>
          </cell>
          <cell r="W5">
            <v>420.00000000000011</v>
          </cell>
          <cell r="AB5">
            <v>0.68524096385542177</v>
          </cell>
          <cell r="AC5">
            <v>0.42312579415501905</v>
          </cell>
          <cell r="AD5">
            <v>0.65272496831432192</v>
          </cell>
          <cell r="AM5" t="str">
            <v>CTL</v>
          </cell>
          <cell r="AN5">
            <v>29.5</v>
          </cell>
          <cell r="AO5">
            <v>27.330000000000002</v>
          </cell>
          <cell r="AP5">
            <v>28.12</v>
          </cell>
          <cell r="AQ5">
            <v>29.400000000000002</v>
          </cell>
          <cell r="AR5">
            <v>31.51</v>
          </cell>
        </row>
        <row r="6">
          <cell r="A6">
            <v>2</v>
          </cell>
          <cell r="B6" t="str">
            <v>North Carolina</v>
          </cell>
          <cell r="C6">
            <v>2913</v>
          </cell>
          <cell r="D6">
            <v>3826</v>
          </cell>
          <cell r="E6">
            <v>1032672</v>
          </cell>
          <cell r="F6" t="str">
            <v>na</v>
          </cell>
          <cell r="G6">
            <v>0.186</v>
          </cell>
          <cell r="H6">
            <v>35</v>
          </cell>
          <cell r="J6">
            <v>12621</v>
          </cell>
          <cell r="K6">
            <v>0.94640000000000002</v>
          </cell>
          <cell r="L6">
            <v>1045293</v>
          </cell>
          <cell r="M6">
            <v>0.13903879957355653</v>
          </cell>
          <cell r="P6" t="str">
            <v>North Carolina</v>
          </cell>
          <cell r="Q6">
            <v>0.13903879957355653</v>
          </cell>
          <cell r="W6">
            <v>309.99999999999989</v>
          </cell>
          <cell r="AB6">
            <v>0.40677966101694918</v>
          </cell>
          <cell r="AC6">
            <v>0.68306010928961758</v>
          </cell>
          <cell r="AD6">
            <v>0.54672897196261672</v>
          </cell>
          <cell r="AM6" t="str">
            <v>WIN</v>
          </cell>
          <cell r="AN6">
            <v>7.66</v>
          </cell>
          <cell r="AO6">
            <v>9.2000000000000011</v>
          </cell>
          <cell r="AP6">
            <v>8.06</v>
          </cell>
          <cell r="AQ6">
            <v>8.1300000000000008</v>
          </cell>
          <cell r="AR6">
            <v>8.51</v>
          </cell>
        </row>
        <row r="7">
          <cell r="A7">
            <v>3</v>
          </cell>
          <cell r="B7" t="str">
            <v>Nevada</v>
          </cell>
          <cell r="C7">
            <v>1123</v>
          </cell>
          <cell r="D7">
            <v>906</v>
          </cell>
          <cell r="E7">
            <v>577408</v>
          </cell>
          <cell r="F7" t="str">
            <v>na</v>
          </cell>
          <cell r="G7">
            <v>0.104</v>
          </cell>
          <cell r="L7">
            <v>577408</v>
          </cell>
          <cell r="M7">
            <v>7.6803456240659915E-2</v>
          </cell>
          <cell r="P7" t="str">
            <v>Nevada</v>
          </cell>
          <cell r="Q7">
            <v>7.6803456240659915E-2</v>
          </cell>
          <cell r="W7">
            <v>460</v>
          </cell>
          <cell r="AB7">
            <v>0.78651685393258419</v>
          </cell>
          <cell r="AC7">
            <v>1.2735849056603774</v>
          </cell>
          <cell r="AD7">
            <v>1.0849056603773586</v>
          </cell>
          <cell r="AM7" t="str">
            <v>FTR</v>
          </cell>
          <cell r="AN7">
            <v>7.71</v>
          </cell>
          <cell r="AO7">
            <v>8.74</v>
          </cell>
          <cell r="AP7">
            <v>7.18</v>
          </cell>
          <cell r="AQ7">
            <v>7.01</v>
          </cell>
          <cell r="AR7">
            <v>7.01</v>
          </cell>
        </row>
        <row r="8">
          <cell r="A8">
            <v>4</v>
          </cell>
          <cell r="B8" t="str">
            <v>Missouri</v>
          </cell>
          <cell r="C8">
            <v>485</v>
          </cell>
          <cell r="D8">
            <v>780</v>
          </cell>
          <cell r="E8">
            <v>177108.8</v>
          </cell>
          <cell r="F8" t="str">
            <v>na</v>
          </cell>
          <cell r="G8">
            <v>3.1899999999999998E-2</v>
          </cell>
          <cell r="H8">
            <v>794</v>
          </cell>
          <cell r="J8">
            <v>381706</v>
          </cell>
          <cell r="K8">
            <v>0.86760000000000004</v>
          </cell>
          <cell r="L8">
            <v>558814.80000000005</v>
          </cell>
          <cell r="M8">
            <v>7.4330296841112573E-2</v>
          </cell>
          <cell r="P8" t="str">
            <v>Missouri</v>
          </cell>
          <cell r="Q8">
            <v>7.4330296841112573E-2</v>
          </cell>
          <cell r="W8">
            <v>250.00000000000009</v>
          </cell>
          <cell r="AB8">
            <v>0.33333333333333326</v>
          </cell>
          <cell r="AC8">
            <v>0.20408163265306123</v>
          </cell>
          <cell r="AD8">
            <v>0.35294117647058831</v>
          </cell>
          <cell r="AM8" t="str">
            <v>Q</v>
          </cell>
          <cell r="AN8">
            <v>2.29</v>
          </cell>
          <cell r="AO8">
            <v>3.64</v>
          </cell>
          <cell r="AP8">
            <v>3.42</v>
          </cell>
          <cell r="AQ8">
            <v>4.01</v>
          </cell>
          <cell r="AR8">
            <v>3.96</v>
          </cell>
        </row>
        <row r="9">
          <cell r="A9">
            <v>5</v>
          </cell>
          <cell r="B9" t="str">
            <v>Ohio</v>
          </cell>
          <cell r="C9">
            <v>1086</v>
          </cell>
          <cell r="D9">
            <v>1829</v>
          </cell>
          <cell r="E9">
            <v>388084.80000000005</v>
          </cell>
          <cell r="F9" t="str">
            <v>na</v>
          </cell>
          <cell r="G9">
            <v>6.9900000000000004E-2</v>
          </cell>
          <cell r="H9">
            <v>126</v>
          </cell>
          <cell r="J9">
            <v>55476</v>
          </cell>
          <cell r="K9">
            <v>0.99760000000000004</v>
          </cell>
          <cell r="L9">
            <v>443560.80000000005</v>
          </cell>
          <cell r="M9">
            <v>5.8999879622159912E-2</v>
          </cell>
          <cell r="P9" t="str">
            <v>Ohio</v>
          </cell>
          <cell r="Q9">
            <v>5.8999879622159912E-2</v>
          </cell>
          <cell r="W9">
            <v>349.99999999999989</v>
          </cell>
          <cell r="AB9">
            <v>0.3267326732673268</v>
          </cell>
          <cell r="AC9">
            <v>0.39882697947214085</v>
          </cell>
          <cell r="AD9">
            <v>0.42500000000000004</v>
          </cell>
          <cell r="AM9" t="str">
            <v>T</v>
          </cell>
          <cell r="AN9">
            <v>24.68</v>
          </cell>
          <cell r="AO9">
            <v>28.5</v>
          </cell>
          <cell r="AP9">
            <v>25.200000000000003</v>
          </cell>
          <cell r="AQ9">
            <v>23.68</v>
          </cell>
          <cell r="AR9">
            <v>24.650000000000002</v>
          </cell>
        </row>
        <row r="10">
          <cell r="A10">
            <v>6</v>
          </cell>
          <cell r="B10" t="str">
            <v>Virginia</v>
          </cell>
          <cell r="C10">
            <v>472</v>
          </cell>
          <cell r="D10">
            <v>1153</v>
          </cell>
          <cell r="E10">
            <v>277600</v>
          </cell>
          <cell r="G10">
            <v>0.05</v>
          </cell>
          <cell r="H10">
            <v>372</v>
          </cell>
          <cell r="J10">
            <v>144078</v>
          </cell>
          <cell r="K10">
            <v>0.90400000000000003</v>
          </cell>
          <cell r="L10">
            <v>421678</v>
          </cell>
          <cell r="M10">
            <v>5.6089156749904737E-2</v>
          </cell>
          <cell r="P10" t="str">
            <v>Virginia</v>
          </cell>
          <cell r="Q10">
            <v>5.6089156749904737E-2</v>
          </cell>
          <cell r="W10">
            <v>190.00000000000003</v>
          </cell>
          <cell r="AB10">
            <v>0.35532994923857864</v>
          </cell>
          <cell r="AC10">
            <v>0.43497757847533625</v>
          </cell>
          <cell r="AD10">
            <v>0.15481171548117145</v>
          </cell>
          <cell r="AM10" t="str">
            <v>VZ</v>
          </cell>
          <cell r="AN10">
            <v>25.080000000000002</v>
          </cell>
          <cell r="AO10">
            <v>33.9</v>
          </cell>
          <cell r="AP10">
            <v>30.200000000000003</v>
          </cell>
          <cell r="AQ10">
            <v>28.810000000000002</v>
          </cell>
          <cell r="AR10">
            <v>30.8</v>
          </cell>
        </row>
        <row r="11">
          <cell r="A11">
            <v>7</v>
          </cell>
          <cell r="B11" t="str">
            <v>Wisconsin</v>
          </cell>
          <cell r="E11">
            <v>0</v>
          </cell>
          <cell r="H11">
            <v>1255</v>
          </cell>
          <cell r="J11">
            <v>355597</v>
          </cell>
          <cell r="K11">
            <v>0.88959999999999995</v>
          </cell>
          <cell r="L11">
            <v>355597</v>
          </cell>
          <cell r="M11">
            <v>4.7299446195428439E-2</v>
          </cell>
          <cell r="P11" t="str">
            <v>Wisconsin</v>
          </cell>
          <cell r="Q11">
            <v>4.7299446195428439E-2</v>
          </cell>
          <cell r="W11">
            <v>279.99999999999989</v>
          </cell>
          <cell r="AB11">
            <v>0.50387596899224807</v>
          </cell>
          <cell r="AC11">
            <v>0.68503937007874005</v>
          </cell>
          <cell r="AD11">
            <v>0.32515337423312873</v>
          </cell>
          <cell r="AM11" t="str">
            <v>IWA</v>
          </cell>
          <cell r="AN11">
            <v>14.88</v>
          </cell>
          <cell r="AO11">
            <v>14.280000000000001</v>
          </cell>
          <cell r="AP11">
            <v>11.46</v>
          </cell>
          <cell r="AQ11">
            <v>11.43</v>
          </cell>
          <cell r="AR11">
            <v>12.92</v>
          </cell>
        </row>
        <row r="12">
          <cell r="A12">
            <v>8</v>
          </cell>
          <cell r="B12" t="str">
            <v>Texas</v>
          </cell>
          <cell r="C12">
            <v>668</v>
          </cell>
          <cell r="D12">
            <v>803</v>
          </cell>
          <cell r="E12">
            <v>266496</v>
          </cell>
          <cell r="G12">
            <v>4.8000000000000001E-2</v>
          </cell>
          <cell r="H12">
            <v>139</v>
          </cell>
          <cell r="J12">
            <v>30374</v>
          </cell>
          <cell r="K12">
            <v>0.99929999999999997</v>
          </cell>
          <cell r="L12">
            <v>296870</v>
          </cell>
          <cell r="M12">
            <v>3.9487921979197919E-2</v>
          </cell>
          <cell r="P12" t="str">
            <v>Texas</v>
          </cell>
          <cell r="Q12">
            <v>3.9487921979197919E-2</v>
          </cell>
          <cell r="W12">
            <v>270.00000000000011</v>
          </cell>
          <cell r="AB12">
            <v>0.39221556886227549</v>
          </cell>
          <cell r="AC12">
            <v>0.58513931888544901</v>
          </cell>
          <cell r="AD12">
            <v>0.7009602194787381</v>
          </cell>
          <cell r="AM12" t="str">
            <v>EQ</v>
          </cell>
          <cell r="AN12">
            <v>29.740000000000002</v>
          </cell>
          <cell r="AO12">
            <v>35.96</v>
          </cell>
          <cell r="AP12">
            <v>37.85</v>
          </cell>
          <cell r="AQ12">
            <v>39.93</v>
          </cell>
          <cell r="AR12">
            <v>43.02</v>
          </cell>
        </row>
        <row r="13">
          <cell r="A13">
            <v>9</v>
          </cell>
          <cell r="B13" t="str">
            <v>Pennsylvania</v>
          </cell>
          <cell r="C13">
            <v>750</v>
          </cell>
          <cell r="D13">
            <v>1047</v>
          </cell>
          <cell r="E13">
            <v>288704</v>
          </cell>
          <cell r="G13">
            <v>5.1999999999999998E-2</v>
          </cell>
          <cell r="L13">
            <v>288704</v>
          </cell>
          <cell r="M13">
            <v>3.8401728120329957E-2</v>
          </cell>
          <cell r="P13" t="str">
            <v>Pennsylvania</v>
          </cell>
          <cell r="Q13">
            <v>3.8401728120329957E-2</v>
          </cell>
          <cell r="W13">
            <v>250.00000000000009</v>
          </cell>
          <cell r="AB13">
            <v>0.15916955017301038</v>
          </cell>
          <cell r="AC13">
            <v>0.67543859649122817</v>
          </cell>
          <cell r="AD13">
            <v>0.41964285714285721</v>
          </cell>
          <cell r="AM13" t="str">
            <v>CBB</v>
          </cell>
          <cell r="AN13">
            <v>1.94</v>
          </cell>
          <cell r="AO13">
            <v>1.93</v>
          </cell>
          <cell r="AP13">
            <v>2.3000000000000003</v>
          </cell>
          <cell r="AQ13">
            <v>2.5300000000000002</v>
          </cell>
          <cell r="AR13">
            <v>2.95</v>
          </cell>
        </row>
        <row r="14">
          <cell r="A14">
            <v>10</v>
          </cell>
          <cell r="B14" t="str">
            <v>Alabama</v>
          </cell>
          <cell r="E14">
            <v>0</v>
          </cell>
          <cell r="H14">
            <v>539</v>
          </cell>
          <cell r="J14">
            <v>263480</v>
          </cell>
          <cell r="K14">
            <v>0.91349999999999998</v>
          </cell>
          <cell r="L14">
            <v>263480</v>
          </cell>
          <cell r="M14">
            <v>3.5046578243268324E-2</v>
          </cell>
          <cell r="P14" t="str">
            <v>Alabama</v>
          </cell>
          <cell r="Q14">
            <v>3.5046578243268324E-2</v>
          </cell>
          <cell r="W14">
            <v>450</v>
          </cell>
          <cell r="AB14">
            <v>0.71428571428571419</v>
          </cell>
          <cell r="AC14">
            <v>0.67543859649122817</v>
          </cell>
          <cell r="AD14">
            <v>0.61417322834645671</v>
          </cell>
        </row>
        <row r="15">
          <cell r="A15">
            <v>11</v>
          </cell>
          <cell r="B15" t="str">
            <v>Arkansas</v>
          </cell>
          <cell r="E15">
            <v>0</v>
          </cell>
          <cell r="H15">
            <v>430</v>
          </cell>
          <cell r="J15">
            <v>194652</v>
          </cell>
          <cell r="K15">
            <v>0.8901</v>
          </cell>
          <cell r="L15">
            <v>194652</v>
          </cell>
          <cell r="M15">
            <v>2.5891477714470416E-2</v>
          </cell>
          <cell r="P15" t="str">
            <v>Arkansas</v>
          </cell>
          <cell r="Q15">
            <v>2.5891477714470416E-2</v>
          </cell>
          <cell r="W15">
            <v>199.99999999999997</v>
          </cell>
          <cell r="AB15">
            <v>0.375</v>
          </cell>
          <cell r="AC15">
            <v>0.42452830188679247</v>
          </cell>
          <cell r="AD15">
            <v>0.41964285714285721</v>
          </cell>
          <cell r="AN15" t="str">
            <v>Since announcement</v>
          </cell>
          <cell r="AO15" t="str">
            <v>YTD</v>
          </cell>
          <cell r="AP15" t="str">
            <v>QTD</v>
          </cell>
          <cell r="AQ15" t="str">
            <v>MTD</v>
          </cell>
        </row>
        <row r="16">
          <cell r="A16">
            <v>12</v>
          </cell>
          <cell r="B16" t="str">
            <v>Indiana</v>
          </cell>
          <cell r="C16">
            <v>427</v>
          </cell>
          <cell r="D16">
            <v>675</v>
          </cell>
          <cell r="E16">
            <v>185436.79999999999</v>
          </cell>
          <cell r="F16" t="str">
            <v>na</v>
          </cell>
          <cell r="G16">
            <v>3.3399999999999999E-2</v>
          </cell>
          <cell r="H16">
            <v>11</v>
          </cell>
          <cell r="J16">
            <v>4014</v>
          </cell>
          <cell r="K16">
            <v>0.75509999999999999</v>
          </cell>
          <cell r="L16">
            <v>189450.8</v>
          </cell>
          <cell r="M16">
            <v>2.5199644320061401E-2</v>
          </cell>
          <cell r="P16" t="str">
            <v>Indiana</v>
          </cell>
          <cell r="Q16">
            <v>2.5199644320061401E-2</v>
          </cell>
          <cell r="W16">
            <v>210.00000000000006</v>
          </cell>
          <cell r="AB16">
            <v>0.30813953488372103</v>
          </cell>
          <cell r="AC16">
            <v>9.4444444444444553E-2</v>
          </cell>
          <cell r="AD16">
            <v>0.20304568527918776</v>
          </cell>
          <cell r="AM16" t="str">
            <v>CTL</v>
          </cell>
          <cell r="AN16">
            <v>6.813559322033913E-2</v>
          </cell>
          <cell r="AO16">
            <v>0.15294548115623852</v>
          </cell>
          <cell r="AP16">
            <v>0.12055476529160747</v>
          </cell>
          <cell r="AQ16">
            <v>7.1768707482993133E-2</v>
          </cell>
        </row>
        <row r="17">
          <cell r="A17">
            <v>13</v>
          </cell>
          <cell r="B17" t="str">
            <v>Tennessee</v>
          </cell>
          <cell r="C17">
            <v>738</v>
          </cell>
          <cell r="D17">
            <v>878</v>
          </cell>
          <cell r="E17">
            <v>163228.79999999999</v>
          </cell>
          <cell r="G17">
            <v>2.9399999999999999E-2</v>
          </cell>
          <cell r="H17">
            <v>44</v>
          </cell>
          <cell r="J17">
            <v>21128</v>
          </cell>
          <cell r="K17">
            <v>0.90910000000000002</v>
          </cell>
          <cell r="L17">
            <v>184356.8</v>
          </cell>
          <cell r="M17">
            <v>2.4522070046601521E-2</v>
          </cell>
          <cell r="P17" t="str">
            <v>Tennessee</v>
          </cell>
          <cell r="Q17">
            <v>2.4522070046601521E-2</v>
          </cell>
          <cell r="W17">
            <v>330</v>
          </cell>
          <cell r="AB17">
            <v>1.0499999999999998</v>
          </cell>
          <cell r="AC17">
            <v>0.63276836158192085</v>
          </cell>
          <cell r="AD17">
            <v>0.61650485436893199</v>
          </cell>
          <cell r="AM17" t="str">
            <v>WIN</v>
          </cell>
          <cell r="AN17">
            <v>0.11096605744125321</v>
          </cell>
          <cell r="AO17">
            <v>-7.5000000000000178E-2</v>
          </cell>
          <cell r="AP17">
            <v>5.583126550868478E-2</v>
          </cell>
          <cell r="AQ17">
            <v>4.6740467404673858E-2</v>
          </cell>
        </row>
        <row r="18">
          <cell r="A18">
            <v>14</v>
          </cell>
          <cell r="B18" t="str">
            <v>Minnesota</v>
          </cell>
          <cell r="C18">
            <v>149</v>
          </cell>
          <cell r="D18">
            <v>201</v>
          </cell>
          <cell r="E18">
            <v>144352</v>
          </cell>
          <cell r="F18" t="str">
            <v>na</v>
          </cell>
          <cell r="G18">
            <v>2.5999999999999999E-2</v>
          </cell>
          <cell r="H18">
            <v>40</v>
          </cell>
          <cell r="J18">
            <v>24921</v>
          </cell>
          <cell r="K18">
            <v>0.80640000000000001</v>
          </cell>
          <cell r="L18">
            <v>169273</v>
          </cell>
          <cell r="M18">
            <v>2.2515710638275236E-2</v>
          </cell>
          <cell r="P18" t="str">
            <v>Minnesota</v>
          </cell>
          <cell r="Q18">
            <v>2.2515710638275236E-2</v>
          </cell>
          <cell r="W18">
            <v>80.000000000000071</v>
          </cell>
          <cell r="AB18">
            <v>0.79411764705882359</v>
          </cell>
          <cell r="AC18">
            <v>0.10000000000000009</v>
          </cell>
          <cell r="AD18">
            <v>0.17346938775510212</v>
          </cell>
          <cell r="AM18" t="str">
            <v>FTR</v>
          </cell>
          <cell r="AN18">
            <v>-9.079118028534372E-2</v>
          </cell>
          <cell r="AO18">
            <v>-0.19794050343249436</v>
          </cell>
          <cell r="AP18">
            <v>-2.3676880222841201E-2</v>
          </cell>
          <cell r="AQ18">
            <v>0</v>
          </cell>
        </row>
        <row r="19">
          <cell r="A19">
            <v>15</v>
          </cell>
          <cell r="B19" t="str">
            <v>New Jersey</v>
          </cell>
          <cell r="C19">
            <v>216</v>
          </cell>
          <cell r="D19">
            <v>190</v>
          </cell>
          <cell r="E19">
            <v>152680</v>
          </cell>
          <cell r="F19" t="str">
            <v>na</v>
          </cell>
          <cell r="G19">
            <v>2.75E-2</v>
          </cell>
          <cell r="L19">
            <v>152680</v>
          </cell>
          <cell r="M19">
            <v>2.0308606217482192E-2</v>
          </cell>
          <cell r="P19" t="str">
            <v>New Jersey</v>
          </cell>
          <cell r="Q19">
            <v>2.0308606217482192E-2</v>
          </cell>
          <cell r="W19">
            <v>329.99999999999989</v>
          </cell>
          <cell r="AB19">
            <v>0.34347826086956523</v>
          </cell>
          <cell r="AC19">
            <v>0.67226890756302526</v>
          </cell>
          <cell r="AD19">
            <v>0.54393305439330542</v>
          </cell>
          <cell r="AM19" t="str">
            <v>Q</v>
          </cell>
          <cell r="AN19">
            <v>0.72925764192139741</v>
          </cell>
          <cell r="AO19">
            <v>8.7912087912087822E-2</v>
          </cell>
          <cell r="AP19">
            <v>0.15789473684210531</v>
          </cell>
          <cell r="AQ19">
            <v>-1.2468827930174564E-2</v>
          </cell>
        </row>
        <row r="20">
          <cell r="A20">
            <v>16</v>
          </cell>
          <cell r="B20" t="str">
            <v>Oregon</v>
          </cell>
          <cell r="C20">
            <v>419</v>
          </cell>
          <cell r="D20">
            <v>251</v>
          </cell>
          <cell r="E20">
            <v>53854.400000000001</v>
          </cell>
          <cell r="G20">
            <v>9.7000000000000003E-3</v>
          </cell>
          <cell r="H20">
            <v>96</v>
          </cell>
          <cell r="J20">
            <v>61098</v>
          </cell>
          <cell r="K20">
            <v>0.86260000000000003</v>
          </cell>
          <cell r="L20">
            <v>114952.4</v>
          </cell>
          <cell r="M20">
            <v>1.529030013986442E-2</v>
          </cell>
          <cell r="P20" t="str">
            <v>Oregon</v>
          </cell>
          <cell r="Q20">
            <v>1.529030013986442E-2</v>
          </cell>
          <cell r="W20">
            <v>269.99999999999994</v>
          </cell>
          <cell r="AB20">
            <v>1.3134328358208953</v>
          </cell>
          <cell r="AC20">
            <v>1.1129032258064515</v>
          </cell>
          <cell r="AD20">
            <v>0.84782608695652173</v>
          </cell>
          <cell r="AM20" t="str">
            <v>T</v>
          </cell>
          <cell r="AN20">
            <v>-1.2155591572121649E-3</v>
          </cell>
          <cell r="AO20">
            <v>-0.13508771929824559</v>
          </cell>
          <cell r="AP20">
            <v>-2.1825396825396859E-2</v>
          </cell>
          <cell r="AQ20">
            <v>4.096283783783794E-2</v>
          </cell>
        </row>
        <row r="21">
          <cell r="A21">
            <v>17</v>
          </cell>
          <cell r="B21" t="str">
            <v>Michigan</v>
          </cell>
          <cell r="E21">
            <v>0</v>
          </cell>
          <cell r="H21">
            <v>118</v>
          </cell>
          <cell r="J21">
            <v>85065</v>
          </cell>
          <cell r="K21">
            <v>0.83440000000000003</v>
          </cell>
          <cell r="L21">
            <v>85065</v>
          </cell>
          <cell r="M21">
            <v>1.1314851898677774E-2</v>
          </cell>
          <cell r="P21" t="str">
            <v>Michigan</v>
          </cell>
          <cell r="Q21">
            <v>1.1314851898677774E-2</v>
          </cell>
          <cell r="W21">
            <v>440</v>
          </cell>
          <cell r="AB21">
            <v>0.34441087613293053</v>
          </cell>
          <cell r="AC21">
            <v>0.32352941176470584</v>
          </cell>
          <cell r="AD21">
            <v>0.4688279301745637</v>
          </cell>
          <cell r="AM21" t="str">
            <v>VZ</v>
          </cell>
          <cell r="AN21">
            <v>0.22807017543859653</v>
          </cell>
          <cell r="AO21">
            <v>-9.1445427728613526E-2</v>
          </cell>
          <cell r="AP21">
            <v>1.9867549668874052E-2</v>
          </cell>
          <cell r="AQ21">
            <v>6.9073238458868369E-2</v>
          </cell>
        </row>
        <row r="22">
          <cell r="A22">
            <v>18</v>
          </cell>
          <cell r="B22" t="str">
            <v>Colorado</v>
          </cell>
          <cell r="E22">
            <v>0</v>
          </cell>
          <cell r="H22">
            <v>137</v>
          </cell>
          <cell r="J22">
            <v>80611</v>
          </cell>
          <cell r="K22">
            <v>0.76910000000000001</v>
          </cell>
          <cell r="L22">
            <v>80611</v>
          </cell>
          <cell r="M22">
            <v>1.0722406705511245E-2</v>
          </cell>
          <cell r="P22" t="str">
            <v>Colorado</v>
          </cell>
          <cell r="Q22">
            <v>1.0722406705511245E-2</v>
          </cell>
          <cell r="W22">
            <v>170</v>
          </cell>
          <cell r="AB22">
            <v>0.71597633136094685</v>
          </cell>
          <cell r="AC22">
            <v>0.58045977011494254</v>
          </cell>
          <cell r="AD22">
            <v>0.66666666666666674</v>
          </cell>
          <cell r="AM22" t="str">
            <v>IWA</v>
          </cell>
          <cell r="AN22">
            <v>-0.13172043010752699</v>
          </cell>
          <cell r="AO22">
            <v>-9.5238095238095344E-2</v>
          </cell>
          <cell r="AP22">
            <v>0.12739965095986028</v>
          </cell>
          <cell r="AQ22">
            <v>0.13035870516185488</v>
          </cell>
        </row>
        <row r="23">
          <cell r="A23">
            <v>19</v>
          </cell>
          <cell r="B23" t="str">
            <v>Kansas</v>
          </cell>
          <cell r="C23">
            <v>3804</v>
          </cell>
          <cell r="D23">
            <v>677</v>
          </cell>
          <cell r="E23">
            <v>80504</v>
          </cell>
          <cell r="F23" t="str">
            <v>na</v>
          </cell>
          <cell r="G23">
            <v>1.4500000000000001E-2</v>
          </cell>
          <cell r="L23">
            <v>80504</v>
          </cell>
          <cell r="M23">
            <v>1.0708174187399701E-2</v>
          </cell>
          <cell r="P23" t="str">
            <v>Kansas</v>
          </cell>
          <cell r="Q23">
            <v>1.0708174187399701E-2</v>
          </cell>
          <cell r="W23">
            <v>160</v>
          </cell>
          <cell r="AB23">
            <v>9.0909090909090828E-2</v>
          </cell>
          <cell r="AC23">
            <v>0.52542372881355925</v>
          </cell>
          <cell r="AD23">
            <v>0.33823529411764697</v>
          </cell>
          <cell r="AM23" t="str">
            <v>EQ</v>
          </cell>
          <cell r="AN23">
            <v>0.44653665097511763</v>
          </cell>
          <cell r="AO23">
            <v>0.19632925472747509</v>
          </cell>
          <cell r="AP23">
            <v>0.13659180977542928</v>
          </cell>
          <cell r="AQ23">
            <v>7.7385424492862676E-2</v>
          </cell>
        </row>
        <row r="24">
          <cell r="A24">
            <v>20</v>
          </cell>
          <cell r="B24" t="str">
            <v>South Carolina</v>
          </cell>
          <cell r="C24">
            <v>151</v>
          </cell>
          <cell r="D24">
            <v>251</v>
          </cell>
          <cell r="E24">
            <v>79948.800000000003</v>
          </cell>
          <cell r="G24">
            <v>1.44E-2</v>
          </cell>
          <cell r="L24">
            <v>79948.800000000003</v>
          </cell>
          <cell r="M24">
            <v>1.0634324710245221E-2</v>
          </cell>
          <cell r="P24" t="str">
            <v>South Carolina</v>
          </cell>
          <cell r="Q24">
            <v>1.0634324710245221E-2</v>
          </cell>
          <cell r="W24">
            <v>379.99999999999994</v>
          </cell>
          <cell r="AB24">
            <v>1.2051282051282053</v>
          </cell>
          <cell r="AC24">
            <v>1.54</v>
          </cell>
          <cell r="AD24">
            <v>0.47222222222222232</v>
          </cell>
          <cell r="AM24" t="str">
            <v>CBB</v>
          </cell>
          <cell r="AN24">
            <v>0.52061855670103108</v>
          </cell>
          <cell r="AO24">
            <v>0.52849740932642497</v>
          </cell>
          <cell r="AP24">
            <v>0.28260869565217384</v>
          </cell>
          <cell r="AQ24">
            <v>0.16600790513833985</v>
          </cell>
        </row>
        <row r="25">
          <cell r="A25">
            <v>21</v>
          </cell>
          <cell r="B25" t="str">
            <v>Louisiana</v>
          </cell>
          <cell r="E25">
            <v>0</v>
          </cell>
          <cell r="H25">
            <v>1834</v>
          </cell>
          <cell r="J25">
            <v>79006</v>
          </cell>
          <cell r="K25">
            <v>0.88829999999999998</v>
          </cell>
          <cell r="L25">
            <v>79006</v>
          </cell>
          <cell r="M25">
            <v>1.0508918933838079E-2</v>
          </cell>
          <cell r="P25" t="str">
            <v>Louisiana</v>
          </cell>
          <cell r="Q25">
            <v>1.0508918933838079E-2</v>
          </cell>
          <cell r="W25">
            <v>199.99999999999997</v>
          </cell>
          <cell r="AB25">
            <v>-2.515723270440251E-2</v>
          </cell>
          <cell r="AC25">
            <v>0.37037037037037046</v>
          </cell>
          <cell r="AD25">
            <v>0.47972972972972983</v>
          </cell>
        </row>
        <row r="26">
          <cell r="A26">
            <v>22</v>
          </cell>
          <cell r="B26" t="str">
            <v>Washington</v>
          </cell>
          <cell r="C26">
            <v>80</v>
          </cell>
          <cell r="D26">
            <v>162</v>
          </cell>
          <cell r="E26">
            <v>72176</v>
          </cell>
          <cell r="G26">
            <v>1.2999999999999999E-2</v>
          </cell>
          <cell r="L26">
            <v>72176</v>
          </cell>
          <cell r="M26">
            <v>9.6004320300824893E-3</v>
          </cell>
          <cell r="P26" t="str">
            <v>Washington</v>
          </cell>
          <cell r="Q26">
            <v>9.6004320300824893E-3</v>
          </cell>
          <cell r="W26">
            <v>300</v>
          </cell>
          <cell r="AB26">
            <v>0.51677852348993292</v>
          </cell>
          <cell r="AC26">
            <v>0.59459459459459452</v>
          </cell>
          <cell r="AD26">
            <v>1.2550335570469797</v>
          </cell>
          <cell r="AM26" t="str">
            <v>MAX</v>
          </cell>
          <cell r="AN26">
            <v>0.72925764192139741</v>
          </cell>
          <cell r="AO26">
            <v>0.19632925472747509</v>
          </cell>
          <cell r="AP26">
            <v>0.15789473684210531</v>
          </cell>
          <cell r="AQ26">
            <v>0.13035870516185488</v>
          </cell>
        </row>
        <row r="27">
          <cell r="A27">
            <v>23</v>
          </cell>
          <cell r="B27" t="str">
            <v>Nebraska</v>
          </cell>
          <cell r="C27">
            <v>29</v>
          </cell>
          <cell r="D27">
            <v>216</v>
          </cell>
          <cell r="E27">
            <v>71065.600000000006</v>
          </cell>
          <cell r="F27" t="str">
            <v>na</v>
          </cell>
          <cell r="G27">
            <v>1.2800000000000001E-2</v>
          </cell>
          <cell r="L27">
            <v>71065.600000000006</v>
          </cell>
          <cell r="M27">
            <v>9.4527330757735294E-3</v>
          </cell>
          <cell r="P27" t="str">
            <v>Nebraska</v>
          </cell>
          <cell r="Q27">
            <v>9.4527330757735294E-3</v>
          </cell>
          <cell r="W27">
            <v>80</v>
          </cell>
          <cell r="AB27">
            <v>0.2407407407407407</v>
          </cell>
          <cell r="AC27">
            <v>0.11475409836065564</v>
          </cell>
          <cell r="AD27">
            <v>0.7407407407407407</v>
          </cell>
        </row>
        <row r="28">
          <cell r="A28">
            <v>24</v>
          </cell>
          <cell r="B28" t="str">
            <v>Montana</v>
          </cell>
          <cell r="E28">
            <v>0</v>
          </cell>
          <cell r="H28">
            <v>90</v>
          </cell>
          <cell r="J28">
            <v>52107</v>
          </cell>
          <cell r="K28">
            <v>0.93030000000000002</v>
          </cell>
          <cell r="L28">
            <v>52107</v>
          </cell>
          <cell r="M28">
            <v>6.930970291946191E-3</v>
          </cell>
          <cell r="P28" t="str">
            <v>Montana</v>
          </cell>
          <cell r="Q28">
            <v>6.930970291946191E-3</v>
          </cell>
          <cell r="W28">
            <v>170</v>
          </cell>
          <cell r="AB28">
            <v>0.61538461538461542</v>
          </cell>
          <cell r="AC28">
            <v>0.68421052631578938</v>
          </cell>
          <cell r="AD28">
            <v>0.75</v>
          </cell>
          <cell r="AO28">
            <v>-7.22E-2</v>
          </cell>
        </row>
        <row r="29">
          <cell r="A29">
            <v>25</v>
          </cell>
          <cell r="B29" t="str">
            <v>Illinois</v>
          </cell>
          <cell r="E29">
            <v>0</v>
          </cell>
          <cell r="H29">
            <v>138</v>
          </cell>
          <cell r="J29">
            <v>51968</v>
          </cell>
          <cell r="K29">
            <v>0.94750000000000001</v>
          </cell>
          <cell r="L29">
            <v>51968</v>
          </cell>
          <cell r="M29">
            <v>6.9124813198199794E-3</v>
          </cell>
          <cell r="P29" t="str">
            <v>Illinois</v>
          </cell>
          <cell r="Q29">
            <v>6.9124813198199794E-3</v>
          </cell>
          <cell r="W29">
            <v>389.99999999999994</v>
          </cell>
          <cell r="AB29">
            <v>0.73239436619718301</v>
          </cell>
          <cell r="AC29">
            <v>1.2807692307692307</v>
          </cell>
          <cell r="AD29">
            <v>0.55585831062670299</v>
          </cell>
          <cell r="AO29">
            <v>2251.4548115623852</v>
          </cell>
        </row>
        <row r="30">
          <cell r="A30">
            <v>26</v>
          </cell>
          <cell r="B30" t="str">
            <v>Georgia</v>
          </cell>
          <cell r="E30">
            <v>0</v>
          </cell>
          <cell r="H30">
            <v>68</v>
          </cell>
          <cell r="J30">
            <v>29787</v>
          </cell>
          <cell r="K30">
            <v>1</v>
          </cell>
          <cell r="L30">
            <v>29787</v>
          </cell>
          <cell r="M30">
            <v>3.9620936167156272E-3</v>
          </cell>
          <cell r="P30" t="str">
            <v>Georgia</v>
          </cell>
          <cell r="Q30">
            <v>3.9620936167156272E-3</v>
          </cell>
          <cell r="W30">
            <v>280.00000000000011</v>
          </cell>
          <cell r="AB30">
            <v>0.81155778894472363</v>
          </cell>
          <cell r="AC30">
            <v>0.76957494407158844</v>
          </cell>
          <cell r="AD30">
            <v>0.63168724279835398</v>
          </cell>
        </row>
        <row r="31">
          <cell r="A31">
            <v>27</v>
          </cell>
          <cell r="B31" t="str">
            <v>Mississippi</v>
          </cell>
          <cell r="E31">
            <v>0</v>
          </cell>
          <cell r="H31">
            <v>30</v>
          </cell>
          <cell r="J31">
            <v>19998</v>
          </cell>
          <cell r="K31">
            <v>0.97050000000000003</v>
          </cell>
          <cell r="L31">
            <v>19998</v>
          </cell>
          <cell r="M31">
            <v>2.660017730791255E-3</v>
          </cell>
          <cell r="P31" t="str">
            <v>Mississippi</v>
          </cell>
          <cell r="Q31">
            <v>2.660017730791255E-3</v>
          </cell>
          <cell r="W31">
            <v>279.99999999999994</v>
          </cell>
          <cell r="AB31">
            <v>0.37681159420289845</v>
          </cell>
          <cell r="AC31">
            <v>0.29487179487179493</v>
          </cell>
          <cell r="AD31">
            <v>0.45121951219512191</v>
          </cell>
        </row>
        <row r="32">
          <cell r="A32">
            <v>28</v>
          </cell>
          <cell r="B32" t="str">
            <v>Wyoming</v>
          </cell>
          <cell r="C32">
            <v>5</v>
          </cell>
          <cell r="D32">
            <v>13</v>
          </cell>
          <cell r="E32">
            <v>7772.8</v>
          </cell>
          <cell r="G32">
            <v>1.4E-3</v>
          </cell>
          <cell r="H32">
            <v>11</v>
          </cell>
          <cell r="J32">
            <v>6388</v>
          </cell>
          <cell r="K32">
            <v>0.76129999999999998</v>
          </cell>
          <cell r="L32">
            <v>14160.8</v>
          </cell>
          <cell r="M32">
            <v>1.8835873128407244E-3</v>
          </cell>
          <cell r="P32" t="str">
            <v>Wyoming</v>
          </cell>
          <cell r="Q32">
            <v>1.8835873128407244E-3</v>
          </cell>
          <cell r="W32">
            <v>429.99999999999994</v>
          </cell>
          <cell r="AB32">
            <v>1.2000000000000002</v>
          </cell>
          <cell r="AC32">
            <v>3.4000000000000004</v>
          </cell>
          <cell r="AD32">
            <v>0.11764705882352944</v>
          </cell>
        </row>
        <row r="33">
          <cell r="A33">
            <v>29</v>
          </cell>
          <cell r="B33" t="str">
            <v>New Mexico</v>
          </cell>
          <cell r="E33">
            <v>0</v>
          </cell>
          <cell r="H33">
            <v>12</v>
          </cell>
          <cell r="J33">
            <v>5188</v>
          </cell>
          <cell r="K33" t="str">
            <v>na</v>
          </cell>
          <cell r="L33">
            <v>5188</v>
          </cell>
          <cell r="M33">
            <v>6.9007760712796443E-4</v>
          </cell>
          <cell r="P33" t="str">
            <v>New Mexico</v>
          </cell>
          <cell r="Q33">
            <v>6.9007760712796443E-4</v>
          </cell>
          <cell r="W33">
            <v>360.00000000000006</v>
          </cell>
          <cell r="AB33">
            <v>0.11904761904761907</v>
          </cell>
          <cell r="AC33">
            <v>0.95121951219512191</v>
          </cell>
          <cell r="AD33">
            <v>0.58490566037735858</v>
          </cell>
        </row>
        <row r="34">
          <cell r="A34">
            <v>30</v>
          </cell>
          <cell r="B34" t="str">
            <v>Idaho</v>
          </cell>
          <cell r="E34">
            <v>0</v>
          </cell>
          <cell r="H34">
            <v>7</v>
          </cell>
          <cell r="J34">
            <v>5129</v>
          </cell>
          <cell r="K34">
            <v>0.66500000000000004</v>
          </cell>
          <cell r="L34">
            <v>5129</v>
          </cell>
          <cell r="M34">
            <v>6.8222977003842128E-4</v>
          </cell>
          <cell r="P34" t="str">
            <v>Idaho</v>
          </cell>
          <cell r="Q34">
            <v>6.8222977003842128E-4</v>
          </cell>
          <cell r="W34">
            <v>300</v>
          </cell>
          <cell r="AB34">
            <v>0.96666666666666656</v>
          </cell>
          <cell r="AC34">
            <v>0.5</v>
          </cell>
          <cell r="AD34">
            <v>0.68421052631578938</v>
          </cell>
        </row>
        <row r="35">
          <cell r="A35">
            <v>31</v>
          </cell>
          <cell r="B35" t="str">
            <v>Iowa</v>
          </cell>
          <cell r="E35">
            <v>0</v>
          </cell>
          <cell r="H35">
            <v>5</v>
          </cell>
          <cell r="J35">
            <v>1603</v>
          </cell>
          <cell r="K35">
            <v>0.83909999999999996</v>
          </cell>
          <cell r="L35">
            <v>1603</v>
          </cell>
          <cell r="M35">
            <v>2.1322174329724882E-4</v>
          </cell>
          <cell r="P35" t="str">
            <v>Iowa</v>
          </cell>
          <cell r="Q35">
            <v>2.1322174329724882E-4</v>
          </cell>
          <cell r="W35">
            <v>220</v>
          </cell>
          <cell r="AB35">
            <v>0.77192982456140347</v>
          </cell>
          <cell r="AC35">
            <v>0.625</v>
          </cell>
          <cell r="AD35">
            <v>0.39473684210526305</v>
          </cell>
        </row>
        <row r="36">
          <cell r="A36">
            <v>32</v>
          </cell>
          <cell r="B36" t="str">
            <v>California</v>
          </cell>
          <cell r="E36">
            <v>0</v>
          </cell>
          <cell r="L36">
            <v>0</v>
          </cell>
          <cell r="M36">
            <v>0</v>
          </cell>
          <cell r="P36" t="str">
            <v>California</v>
          </cell>
          <cell r="Q36">
            <v>0</v>
          </cell>
          <cell r="W36">
            <v>370.00000000000006</v>
          </cell>
          <cell r="AB36">
            <v>0.77268292682926831</v>
          </cell>
          <cell r="AC36">
            <v>0.71050454921422657</v>
          </cell>
          <cell r="AD36">
            <v>0.46477052359405291</v>
          </cell>
        </row>
        <row r="37">
          <cell r="A37">
            <v>33</v>
          </cell>
          <cell r="B37" t="str">
            <v>Oklahoma</v>
          </cell>
          <cell r="E37">
            <v>0</v>
          </cell>
          <cell r="L37">
            <v>0</v>
          </cell>
          <cell r="M37">
            <v>0</v>
          </cell>
          <cell r="P37" t="str">
            <v>Oklahoma</v>
          </cell>
          <cell r="Q37">
            <v>0</v>
          </cell>
          <cell r="W37">
            <v>200.00000000000003</v>
          </cell>
          <cell r="AB37">
            <v>0.56470588235294117</v>
          </cell>
          <cell r="AC37">
            <v>0.54545454545454541</v>
          </cell>
          <cell r="AD37">
            <v>0.31192660550458706</v>
          </cell>
        </row>
        <row r="38">
          <cell r="E38">
            <v>5552000</v>
          </cell>
          <cell r="G38">
            <v>1.0000000000000002</v>
          </cell>
          <cell r="J38">
            <v>1965995</v>
          </cell>
          <cell r="L38">
            <v>7517994.9999999991</v>
          </cell>
          <cell r="M38">
            <v>1.0000000000000004</v>
          </cell>
          <cell r="P38" t="str">
            <v>US avg</v>
          </cell>
          <cell r="Q38">
            <v>0</v>
          </cell>
          <cell r="W38">
            <v>279.99999999999994</v>
          </cell>
          <cell r="AB38">
            <v>0.61164010931478929</v>
          </cell>
          <cell r="AC38">
            <v>0.72105324841913565</v>
          </cell>
          <cell r="AD38">
            <v>0.6441012822565777</v>
          </cell>
        </row>
        <row r="40">
          <cell r="B40" t="str">
            <v>* Two thirds</v>
          </cell>
          <cell r="E40">
            <v>5551999.9999999991</v>
          </cell>
          <cell r="L40">
            <v>0.73849477154480692</v>
          </cell>
        </row>
        <row r="42">
          <cell r="X42">
            <v>25.76</v>
          </cell>
          <cell r="Y42">
            <v>31.51</v>
          </cell>
        </row>
        <row r="43">
          <cell r="Y43">
            <v>0.22321428571428581</v>
          </cell>
        </row>
        <row r="44">
          <cell r="A44">
            <v>1</v>
          </cell>
          <cell r="B44" t="str">
            <v>Florida</v>
          </cell>
          <cell r="M44">
            <v>0.20389840642352119</v>
          </cell>
        </row>
        <row r="45">
          <cell r="A45">
            <v>2</v>
          </cell>
          <cell r="B45" t="str">
            <v>North Carolina</v>
          </cell>
          <cell r="M45">
            <v>0.13903879957355653</v>
          </cell>
        </row>
        <row r="46">
          <cell r="A46">
            <v>3</v>
          </cell>
          <cell r="B46" t="str">
            <v>Nevada</v>
          </cell>
          <cell r="M46">
            <v>7.6803456240659915E-2</v>
          </cell>
        </row>
        <row r="47">
          <cell r="A47">
            <v>4</v>
          </cell>
          <cell r="B47" t="str">
            <v>Missouri</v>
          </cell>
          <cell r="M47">
            <v>7.4330296841112573E-2</v>
          </cell>
        </row>
        <row r="48">
          <cell r="A48">
            <v>5</v>
          </cell>
          <cell r="B48" t="str">
            <v>Ohio</v>
          </cell>
          <cell r="M48">
            <v>5.8999879622159912E-2</v>
          </cell>
          <cell r="U48">
            <v>0.36619513580416063</v>
          </cell>
          <cell r="V48">
            <v>0.29145305363996654</v>
          </cell>
          <cell r="W48">
            <v>5.3609479655147431E-2</v>
          </cell>
          <cell r="X48">
            <v>0.28852910915742841</v>
          </cell>
        </row>
        <row r="49">
          <cell r="B49" t="str">
            <v>28 Other States</v>
          </cell>
          <cell r="M49">
            <v>0.44692916129898985</v>
          </cell>
          <cell r="P49" t="str">
            <v>FL</v>
          </cell>
          <cell r="Q49" t="str">
            <v>Florida</v>
          </cell>
          <cell r="R49">
            <v>420.00000000000011</v>
          </cell>
          <cell r="S49">
            <v>0.65272496831432192</v>
          </cell>
          <cell r="T49">
            <v>0.20389840642352119</v>
          </cell>
          <cell r="U49">
            <v>0.20389840642352119</v>
          </cell>
        </row>
        <row r="50">
          <cell r="P50" t="str">
            <v>NC</v>
          </cell>
          <cell r="Q50" t="str">
            <v>North Carolina</v>
          </cell>
          <cell r="R50">
            <v>309.99999999999989</v>
          </cell>
          <cell r="S50">
            <v>0.54672897196261672</v>
          </cell>
          <cell r="T50">
            <v>0.13903879957355653</v>
          </cell>
          <cell r="V50">
            <v>0.13903879957355653</v>
          </cell>
        </row>
        <row r="51">
          <cell r="P51" t="str">
            <v>NV</v>
          </cell>
          <cell r="Q51" t="str">
            <v>Nevada</v>
          </cell>
          <cell r="R51">
            <v>460</v>
          </cell>
          <cell r="S51">
            <v>1.0849056603773586</v>
          </cell>
          <cell r="T51">
            <v>7.6803456240659915E-2</v>
          </cell>
          <cell r="U51">
            <v>7.6803456240659915E-2</v>
          </cell>
        </row>
        <row r="52">
          <cell r="P52" t="str">
            <v>MO</v>
          </cell>
          <cell r="Q52" t="str">
            <v>Missouri</v>
          </cell>
          <cell r="R52">
            <v>250.00000000000009</v>
          </cell>
          <cell r="S52">
            <v>0.35294117647058831</v>
          </cell>
          <cell r="T52">
            <v>7.4330296841112573E-2</v>
          </cell>
          <cell r="X52">
            <v>7.4330296841112573E-2</v>
          </cell>
        </row>
        <row r="53">
          <cell r="P53" t="str">
            <v>OH</v>
          </cell>
          <cell r="Q53" t="str">
            <v>Ohio</v>
          </cell>
          <cell r="R53">
            <v>349.99999999999989</v>
          </cell>
          <cell r="S53">
            <v>0.42500000000000004</v>
          </cell>
          <cell r="T53">
            <v>5.8999879622159912E-2</v>
          </cell>
          <cell r="V53">
            <v>5.8999879622159912E-2</v>
          </cell>
        </row>
        <row r="54">
          <cell r="P54" t="str">
            <v>VA</v>
          </cell>
          <cell r="Q54" t="str">
            <v>Virginia</v>
          </cell>
          <cell r="R54">
            <v>190.00000000000003</v>
          </cell>
          <cell r="S54">
            <v>0.15481171548117145</v>
          </cell>
          <cell r="T54">
            <v>5.6089156749904737E-2</v>
          </cell>
          <cell r="X54">
            <v>5.6089156749904737E-2</v>
          </cell>
        </row>
        <row r="55">
          <cell r="P55" t="str">
            <v>WI</v>
          </cell>
          <cell r="Q55" t="str">
            <v>Wisconsin</v>
          </cell>
          <cell r="R55">
            <v>279.99999999999989</v>
          </cell>
          <cell r="S55">
            <v>0.32515337423312873</v>
          </cell>
          <cell r="T55">
            <v>4.7299446195428439E-2</v>
          </cell>
          <cell r="V55">
            <v>4.7299446195428439E-2</v>
          </cell>
        </row>
        <row r="56">
          <cell r="P56" t="str">
            <v>TX</v>
          </cell>
          <cell r="Q56" t="str">
            <v>Texas</v>
          </cell>
          <cell r="R56">
            <v>270.00000000000011</v>
          </cell>
          <cell r="S56">
            <v>0.7009602194787381</v>
          </cell>
          <cell r="T56">
            <v>3.9487921979197919E-2</v>
          </cell>
          <cell r="X56">
            <v>3.9487921979197919E-2</v>
          </cell>
        </row>
        <row r="57">
          <cell r="P57" t="str">
            <v>PA</v>
          </cell>
          <cell r="Q57" t="str">
            <v>Pennsylvania</v>
          </cell>
          <cell r="R57">
            <v>250.00000000000009</v>
          </cell>
          <cell r="S57">
            <v>0.41964285714285721</v>
          </cell>
          <cell r="T57">
            <v>3.8401728120329957E-2</v>
          </cell>
          <cell r="X57">
            <v>3.8401728120329957E-2</v>
          </cell>
        </row>
        <row r="58">
          <cell r="P58" t="str">
            <v>AL</v>
          </cell>
          <cell r="Q58" t="str">
            <v>Alabama</v>
          </cell>
          <cell r="R58">
            <v>450</v>
          </cell>
          <cell r="S58">
            <v>0.61417322834645671</v>
          </cell>
          <cell r="T58">
            <v>3.5046578243268324E-2</v>
          </cell>
          <cell r="U58">
            <v>3.5046578243268324E-2</v>
          </cell>
        </row>
        <row r="59">
          <cell r="P59" t="str">
            <v>AK</v>
          </cell>
          <cell r="Q59" t="str">
            <v>Arkansas</v>
          </cell>
          <cell r="R59">
            <v>199.99999999999997</v>
          </cell>
          <cell r="S59">
            <v>0.41964285714285721</v>
          </cell>
          <cell r="T59">
            <v>2.5891477714470416E-2</v>
          </cell>
          <cell r="X59">
            <v>2.5891477714470416E-2</v>
          </cell>
        </row>
        <row r="60">
          <cell r="P60" t="str">
            <v>IN</v>
          </cell>
          <cell r="Q60" t="str">
            <v>Indiana</v>
          </cell>
          <cell r="R60">
            <v>210.00000000000006</v>
          </cell>
          <cell r="S60">
            <v>0.20304568527918776</v>
          </cell>
          <cell r="T60">
            <v>2.5199644320061401E-2</v>
          </cell>
          <cell r="V60">
            <v>2.5199644320061401E-2</v>
          </cell>
        </row>
        <row r="61">
          <cell r="P61" t="str">
            <v>TN</v>
          </cell>
          <cell r="Q61" t="str">
            <v>Tennessee</v>
          </cell>
          <cell r="R61">
            <v>330</v>
          </cell>
          <cell r="S61">
            <v>0.61650485436893199</v>
          </cell>
          <cell r="T61">
            <v>2.4522070046601521E-2</v>
          </cell>
          <cell r="U61">
            <v>2.4522070046601521E-2</v>
          </cell>
        </row>
        <row r="62">
          <cell r="P62" t="str">
            <v>MN</v>
          </cell>
          <cell r="Q62" t="str">
            <v>Minnesota</v>
          </cell>
          <cell r="R62">
            <v>80.000000000000071</v>
          </cell>
          <cell r="S62">
            <v>0.17346938775510212</v>
          </cell>
          <cell r="T62">
            <v>2.2515710638275236E-2</v>
          </cell>
          <cell r="W62">
            <v>2.2515710638275236E-2</v>
          </cell>
        </row>
        <row r="63">
          <cell r="P63" t="str">
            <v>NJ</v>
          </cell>
          <cell r="Q63" t="str">
            <v>New Jersey</v>
          </cell>
          <cell r="R63">
            <v>329.99999999999989</v>
          </cell>
          <cell r="S63">
            <v>0.54393305439330542</v>
          </cell>
          <cell r="T63">
            <v>2.0308606217482192E-2</v>
          </cell>
          <cell r="X63">
            <v>2.0308606217482192E-2</v>
          </cell>
        </row>
        <row r="64">
          <cell r="P64" t="str">
            <v>OR</v>
          </cell>
          <cell r="Q64" t="str">
            <v>Oregon</v>
          </cell>
          <cell r="R64">
            <v>269.99999999999994</v>
          </cell>
          <cell r="S64">
            <v>0.84782608695652173</v>
          </cell>
          <cell r="T64">
            <v>1.529030013986442E-2</v>
          </cell>
          <cell r="U64">
            <v>1.529030013986442E-2</v>
          </cell>
        </row>
        <row r="65">
          <cell r="P65" t="str">
            <v>MI</v>
          </cell>
          <cell r="Q65" t="str">
            <v>Michigan</v>
          </cell>
          <cell r="R65">
            <v>440</v>
          </cell>
          <cell r="S65">
            <v>0.4688279301745637</v>
          </cell>
          <cell r="T65">
            <v>1.1314851898677774E-2</v>
          </cell>
          <cell r="V65">
            <v>1.1314851898677774E-2</v>
          </cell>
        </row>
        <row r="66">
          <cell r="P66" t="str">
            <v>CO</v>
          </cell>
          <cell r="Q66" t="str">
            <v>Colorado</v>
          </cell>
          <cell r="R66">
            <v>170</v>
          </cell>
          <cell r="S66">
            <v>0.66666666666666674</v>
          </cell>
          <cell r="T66">
            <v>1.0722406705511245E-2</v>
          </cell>
          <cell r="W66">
            <v>1.0722406705511245E-2</v>
          </cell>
        </row>
        <row r="67">
          <cell r="P67" t="str">
            <v>KS</v>
          </cell>
          <cell r="Q67" t="str">
            <v>Kansas</v>
          </cell>
          <cell r="R67">
            <v>160</v>
          </cell>
          <cell r="S67">
            <v>0.33823529411764697</v>
          </cell>
          <cell r="T67">
            <v>1.0708174187399701E-2</v>
          </cell>
          <cell r="X67">
            <v>1.0708174187399701E-2</v>
          </cell>
        </row>
        <row r="68">
          <cell r="P68" t="str">
            <v>SC</v>
          </cell>
          <cell r="Q68" t="str">
            <v>South Carolina</v>
          </cell>
          <cell r="R68">
            <v>379.99999999999994</v>
          </cell>
          <cell r="S68">
            <v>0.47222222222222232</v>
          </cell>
          <cell r="T68">
            <v>1.0634324710245221E-2</v>
          </cell>
          <cell r="U68">
            <v>1.0634324710245221E-2</v>
          </cell>
        </row>
        <row r="69">
          <cell r="P69" t="str">
            <v>LA</v>
          </cell>
          <cell r="Q69" t="str">
            <v>Louisiana</v>
          </cell>
          <cell r="R69">
            <v>199.99999999999997</v>
          </cell>
          <cell r="S69">
            <v>0.47972972972972983</v>
          </cell>
          <cell r="T69">
            <v>1.0508918933838079E-2</v>
          </cell>
          <cell r="X69">
            <v>1.0508918933838079E-2</v>
          </cell>
        </row>
        <row r="70">
          <cell r="P70" t="str">
            <v>WA</v>
          </cell>
          <cell r="Q70" t="str">
            <v>Washington</v>
          </cell>
          <cell r="R70">
            <v>300</v>
          </cell>
          <cell r="S70">
            <v>1.2550335570469797</v>
          </cell>
          <cell r="T70">
            <v>9.6004320300824893E-3</v>
          </cell>
          <cell r="V70">
            <v>9.6004320300824893E-3</v>
          </cell>
        </row>
        <row r="71">
          <cell r="E71" t="str">
            <v>Access lines</v>
          </cell>
          <cell r="F71">
            <v>2041</v>
          </cell>
          <cell r="G71">
            <v>5853</v>
          </cell>
          <cell r="H71">
            <v>7894</v>
          </cell>
          <cell r="P71" t="str">
            <v>NE</v>
          </cell>
          <cell r="Q71" t="str">
            <v>Nebraska</v>
          </cell>
          <cell r="R71">
            <v>80</v>
          </cell>
          <cell r="S71">
            <v>0.7407407407407407</v>
          </cell>
          <cell r="T71">
            <v>9.4527330757735294E-3</v>
          </cell>
          <cell r="X71">
            <v>9.4527330757735294E-3</v>
          </cell>
        </row>
        <row r="72">
          <cell r="E72" t="str">
            <v>Broadband</v>
          </cell>
          <cell r="F72">
            <v>628</v>
          </cell>
          <cell r="G72">
            <v>1388</v>
          </cell>
          <cell r="H72">
            <v>2016</v>
          </cell>
          <cell r="P72" t="str">
            <v>MT</v>
          </cell>
          <cell r="Q72" t="str">
            <v>Montana</v>
          </cell>
          <cell r="R72">
            <v>170</v>
          </cell>
          <cell r="S72">
            <v>0.75</v>
          </cell>
          <cell r="T72">
            <v>6.930970291946191E-3</v>
          </cell>
          <cell r="W72">
            <v>6.930970291946191E-3</v>
          </cell>
        </row>
        <row r="73">
          <cell r="E73" t="str">
            <v>Revenue</v>
          </cell>
          <cell r="F73">
            <v>2613</v>
          </cell>
          <cell r="G73">
            <v>6222</v>
          </cell>
          <cell r="H73">
            <v>8835</v>
          </cell>
          <cell r="P73" t="str">
            <v>IL</v>
          </cell>
          <cell r="Q73" t="str">
            <v>Illinois</v>
          </cell>
          <cell r="R73">
            <v>389.99999999999994</v>
          </cell>
          <cell r="S73">
            <v>0.55585831062670299</v>
          </cell>
          <cell r="T73">
            <v>6.9124813198199794E-3</v>
          </cell>
          <cell r="W73">
            <v>6.9124813198199794E-3</v>
          </cell>
        </row>
        <row r="74">
          <cell r="E74" t="str">
            <v>EBITDA</v>
          </cell>
          <cell r="F74">
            <v>1246</v>
          </cell>
          <cell r="G74">
            <v>2598</v>
          </cell>
          <cell r="H74">
            <v>3844</v>
          </cell>
          <cell r="P74" t="str">
            <v>GA</v>
          </cell>
          <cell r="Q74" t="str">
            <v>Georgia</v>
          </cell>
          <cell r="R74">
            <v>280.00000000000011</v>
          </cell>
          <cell r="S74">
            <v>0.63168724279835398</v>
          </cell>
          <cell r="T74">
            <v>3.9620936167156272E-3</v>
          </cell>
          <cell r="W74">
            <v>3.9620936167156272E-3</v>
          </cell>
        </row>
        <row r="75">
          <cell r="E75" t="str">
            <v>Net Debt</v>
          </cell>
          <cell r="F75">
            <v>3086</v>
          </cell>
          <cell r="G75">
            <v>5757</v>
          </cell>
          <cell r="H75">
            <v>8843</v>
          </cell>
          <cell r="P75" t="str">
            <v>MS</v>
          </cell>
          <cell r="Q75" t="str">
            <v>Mississippi</v>
          </cell>
          <cell r="R75">
            <v>279.99999999999994</v>
          </cell>
          <cell r="S75">
            <v>0.45121951219512191</v>
          </cell>
          <cell r="T75">
            <v>2.660017730791255E-3</v>
          </cell>
          <cell r="X75">
            <v>2.660017730791255E-3</v>
          </cell>
        </row>
        <row r="76">
          <cell r="P76" t="str">
            <v>WY</v>
          </cell>
          <cell r="Q76" t="str">
            <v>Wyoming</v>
          </cell>
          <cell r="R76">
            <v>429.99999999999994</v>
          </cell>
          <cell r="S76">
            <v>0.11764705882352944</v>
          </cell>
          <cell r="T76">
            <v>1.8835873128407244E-3</v>
          </cell>
          <cell r="W76">
            <v>1.8835873128407244E-3</v>
          </cell>
        </row>
        <row r="77">
          <cell r="F77" t="str">
            <v>CenturyTel</v>
          </cell>
          <cell r="G77" t="str">
            <v>Embarq</v>
          </cell>
          <cell r="P77" t="str">
            <v>NM</v>
          </cell>
          <cell r="Q77" t="str">
            <v>New Mexico</v>
          </cell>
          <cell r="R77">
            <v>360.00000000000006</v>
          </cell>
          <cell r="S77">
            <v>0.58490566037735858</v>
          </cell>
          <cell r="T77">
            <v>6.9007760712796443E-4</v>
          </cell>
          <cell r="X77">
            <v>6.9007760712796443E-4</v>
          </cell>
        </row>
        <row r="78">
          <cell r="E78" t="str">
            <v>Access lines</v>
          </cell>
          <cell r="F78">
            <v>0.25855079807448694</v>
          </cell>
          <cell r="G78">
            <v>0.741449201925513</v>
          </cell>
          <cell r="P78" t="str">
            <v>ID</v>
          </cell>
          <cell r="Q78" t="str">
            <v>Idaho</v>
          </cell>
          <cell r="R78">
            <v>300</v>
          </cell>
          <cell r="S78">
            <v>0.68421052631578938</v>
          </cell>
          <cell r="T78">
            <v>6.8222977003842128E-4</v>
          </cell>
          <cell r="W78">
            <v>6.8222977003842128E-4</v>
          </cell>
        </row>
        <row r="79">
          <cell r="E79" t="str">
            <v>Broadband</v>
          </cell>
          <cell r="F79">
            <v>0.31150793650793651</v>
          </cell>
          <cell r="G79">
            <v>0.68849206349206349</v>
          </cell>
          <cell r="P79" t="str">
            <v>IA</v>
          </cell>
          <cell r="Q79" t="str">
            <v>Iowa</v>
          </cell>
          <cell r="R79">
            <v>220</v>
          </cell>
          <cell r="S79">
            <v>0.39473684210526305</v>
          </cell>
          <cell r="T79">
            <v>2.1322174329724882E-4</v>
          </cell>
        </row>
        <row r="80">
          <cell r="E80" t="str">
            <v>Revenue</v>
          </cell>
          <cell r="F80">
            <v>0.29575551782682513</v>
          </cell>
          <cell r="G80">
            <v>0.70424448217317492</v>
          </cell>
          <cell r="P80" t="str">
            <v>CA</v>
          </cell>
          <cell r="Q80" t="str">
            <v>California</v>
          </cell>
          <cell r="R80">
            <v>370.00000000000006</v>
          </cell>
          <cell r="S80">
            <v>0.46477052359405291</v>
          </cell>
          <cell r="T80">
            <v>0</v>
          </cell>
        </row>
        <row r="81">
          <cell r="E81" t="str">
            <v>EBITDA</v>
          </cell>
          <cell r="F81">
            <v>0.32414151925078044</v>
          </cell>
          <cell r="G81">
            <v>0.67585848074921961</v>
          </cell>
          <cell r="P81" t="str">
            <v>OK</v>
          </cell>
          <cell r="Q81" t="str">
            <v>Oklahoma</v>
          </cell>
          <cell r="R81">
            <v>200.00000000000003</v>
          </cell>
          <cell r="S81">
            <v>0.31192660550458706</v>
          </cell>
          <cell r="T81">
            <v>0</v>
          </cell>
        </row>
        <row r="82">
          <cell r="E82" t="str">
            <v>Net Debt</v>
          </cell>
          <cell r="F82">
            <v>0.34897659165441591</v>
          </cell>
          <cell r="G82">
            <v>0.65102340834558403</v>
          </cell>
          <cell r="P82" t="str">
            <v>US AVG</v>
          </cell>
          <cell r="Q82" t="str">
            <v>US avg</v>
          </cell>
          <cell r="R82">
            <v>279.99999999999994</v>
          </cell>
          <cell r="S82">
            <v>0.6441012822565777</v>
          </cell>
          <cell r="T82">
            <v>0</v>
          </cell>
        </row>
      </sheetData>
      <sheetData sheetId="3"/>
      <sheetData sheetId="4"/>
      <sheetData sheetId="5">
        <row r="4">
          <cell r="B4" t="str">
            <v>Access Lines</v>
          </cell>
          <cell r="C4" t="str">
            <v>Broadband</v>
          </cell>
          <cell r="D4" t="str">
            <v>LTM</v>
          </cell>
        </row>
        <row r="5">
          <cell r="B5" t="str">
            <v>Access 
Lines</v>
          </cell>
          <cell r="C5" t="str">
            <v>Broadband</v>
          </cell>
          <cell r="D5" t="str">
            <v>LTM 
Revenue</v>
          </cell>
          <cell r="E5" t="str">
            <v>LTM 
EBITDA</v>
          </cell>
          <cell r="F5" t="str">
            <v>LTM 
FCF</v>
          </cell>
          <cell r="G5" t="str">
            <v>Net 
Debt</v>
          </cell>
          <cell r="H5" t="str">
            <v>LTM Cash Opex</v>
          </cell>
        </row>
        <row r="6">
          <cell r="A6" t="str">
            <v>Embarq</v>
          </cell>
          <cell r="B6">
            <v>5552</v>
          </cell>
          <cell r="C6">
            <v>1452</v>
          </cell>
          <cell r="D6">
            <v>5579</v>
          </cell>
          <cell r="E6">
            <v>2605</v>
          </cell>
          <cell r="F6">
            <v>1186</v>
          </cell>
          <cell r="G6">
            <v>5195</v>
          </cell>
          <cell r="H6">
            <v>2974</v>
          </cell>
          <cell r="J6">
            <v>0.46692955726832763</v>
          </cell>
        </row>
        <row r="7">
          <cell r="A7" t="str">
            <v>CenturyTel</v>
          </cell>
          <cell r="B7">
            <v>1967</v>
          </cell>
          <cell r="C7">
            <v>665</v>
          </cell>
          <cell r="D7">
            <v>2587.4488675051889</v>
          </cell>
          <cell r="E7">
            <v>1247.108867505189</v>
          </cell>
          <cell r="F7">
            <v>0</v>
          </cell>
          <cell r="G7">
            <v>0</v>
          </cell>
          <cell r="H7">
            <v>1340.34</v>
          </cell>
          <cell r="J7">
            <v>0.48198396620206369</v>
          </cell>
        </row>
        <row r="8">
          <cell r="A8" t="str">
            <v>Century Link</v>
          </cell>
          <cell r="B8">
            <v>7519</v>
          </cell>
          <cell r="C8">
            <v>2117</v>
          </cell>
          <cell r="D8">
            <v>8166.4488675051889</v>
          </cell>
          <cell r="E8">
            <v>3852.1088675051888</v>
          </cell>
          <cell r="F8">
            <v>1186</v>
          </cell>
          <cell r="G8">
            <v>5195</v>
          </cell>
          <cell r="H8">
            <v>4314.34</v>
          </cell>
        </row>
        <row r="11">
          <cell r="A11" t="str">
            <v>Embarq</v>
          </cell>
          <cell r="B11">
            <v>0.73839606330629071</v>
          </cell>
          <cell r="C11">
            <v>0.6858762399622107</v>
          </cell>
          <cell r="D11">
            <v>0.68316107656036273</v>
          </cell>
          <cell r="E11">
            <v>0.67625295379751904</v>
          </cell>
          <cell r="F11">
            <v>1</v>
          </cell>
          <cell r="G11">
            <v>1</v>
          </cell>
          <cell r="H11">
            <v>0.68932907466727233</v>
          </cell>
        </row>
        <row r="12">
          <cell r="A12" t="str">
            <v>CenturyTel</v>
          </cell>
          <cell r="B12">
            <v>0.26160393669370929</v>
          </cell>
          <cell r="C12">
            <v>0.3141237600377893</v>
          </cell>
          <cell r="D12">
            <v>0.31683892343963727</v>
          </cell>
          <cell r="E12">
            <v>0.32374704620248096</v>
          </cell>
          <cell r="F12">
            <v>0</v>
          </cell>
          <cell r="G12">
            <v>0</v>
          </cell>
          <cell r="H12">
            <v>0.31067092533272755</v>
          </cell>
        </row>
        <row r="19">
          <cell r="B19" t="str">
            <v>LTM OCF</v>
          </cell>
          <cell r="C19" t="str">
            <v>LTM Capex</v>
          </cell>
          <cell r="D19" t="str">
            <v>LTM FCF</v>
          </cell>
        </row>
        <row r="20">
          <cell r="A20" t="str">
            <v>Embarq</v>
          </cell>
          <cell r="B20">
            <v>1789</v>
          </cell>
          <cell r="C20">
            <v>-603</v>
          </cell>
          <cell r="D20">
            <v>1186</v>
          </cell>
        </row>
        <row r="21">
          <cell r="A21" t="str">
            <v>CenturyTel</v>
          </cell>
          <cell r="B21">
            <v>0</v>
          </cell>
          <cell r="C21">
            <v>0</v>
          </cell>
          <cell r="D21">
            <v>0</v>
          </cell>
        </row>
        <row r="22">
          <cell r="A22" t="str">
            <v>Century Link</v>
          </cell>
          <cell r="B22">
            <v>1789</v>
          </cell>
          <cell r="C22">
            <v>-603</v>
          </cell>
          <cell r="D22">
            <v>1186</v>
          </cell>
        </row>
        <row r="27">
          <cell r="B27" t="str">
            <v>Cash</v>
          </cell>
          <cell r="C27" t="str">
            <v>Debt</v>
          </cell>
          <cell r="D27" t="str">
            <v>Net Debt</v>
          </cell>
        </row>
        <row r="28">
          <cell r="A28" t="str">
            <v>Embarq</v>
          </cell>
          <cell r="B28">
            <v>5195</v>
          </cell>
          <cell r="D28">
            <v>5195</v>
          </cell>
        </row>
        <row r="29">
          <cell r="A29" t="str">
            <v>CenturyTel</v>
          </cell>
          <cell r="D29">
            <v>0</v>
          </cell>
        </row>
        <row r="30">
          <cell r="A30" t="str">
            <v>Century Link</v>
          </cell>
          <cell r="D30">
            <v>5195</v>
          </cell>
        </row>
        <row r="56">
          <cell r="B56" t="str">
            <v>1Q06</v>
          </cell>
          <cell r="C56" t="str">
            <v>2Q06</v>
          </cell>
          <cell r="D56" t="str">
            <v>3Q06</v>
          </cell>
          <cell r="E56" t="str">
            <v>4Q06</v>
          </cell>
          <cell r="F56" t="str">
            <v>1Q07</v>
          </cell>
          <cell r="G56" t="str">
            <v>2Q07</v>
          </cell>
          <cell r="H56" t="str">
            <v>3Q07</v>
          </cell>
          <cell r="I56" t="str">
            <v>4Q07</v>
          </cell>
          <cell r="J56" t="str">
            <v>1Q08</v>
          </cell>
          <cell r="K56" t="str">
            <v>2Q08</v>
          </cell>
          <cell r="L56" t="str">
            <v>3Q08</v>
          </cell>
          <cell r="M56" t="str">
            <v>4Q08</v>
          </cell>
          <cell r="N56" t="str">
            <v>1Q09</v>
          </cell>
          <cell r="O56" t="str">
            <v>2Q09E</v>
          </cell>
        </row>
        <row r="57">
          <cell r="A57" t="str">
            <v>Total capital expenditures</v>
          </cell>
          <cell r="B57">
            <v>264.08800000000002</v>
          </cell>
          <cell r="C57">
            <v>382.36700000000002</v>
          </cell>
          <cell r="D57">
            <v>342.57900000000001</v>
          </cell>
          <cell r="E57">
            <v>315.03699999999998</v>
          </cell>
          <cell r="F57">
            <v>231.88</v>
          </cell>
          <cell r="G57">
            <v>245.976</v>
          </cell>
          <cell r="H57">
            <v>272.44499999999999</v>
          </cell>
          <cell r="I57">
            <v>404.74400000000003</v>
          </cell>
          <cell r="J57">
            <v>231.739</v>
          </cell>
          <cell r="K57">
            <v>238.65899999999999</v>
          </cell>
          <cell r="L57">
            <v>240.60599999999999</v>
          </cell>
          <cell r="M57">
            <v>250.81299999999999</v>
          </cell>
          <cell r="N57">
            <v>150.49600000000001</v>
          </cell>
          <cell r="O57">
            <v>232.30500000000001</v>
          </cell>
        </row>
        <row r="58">
          <cell r="A58" t="str">
            <v xml:space="preserve">   % growth</v>
          </cell>
          <cell r="B58">
            <v>2.525733281711013</v>
          </cell>
          <cell r="C58">
            <v>2.748291850878827</v>
          </cell>
          <cell r="D58">
            <v>2.2612905068352309</v>
          </cell>
          <cell r="E58">
            <v>1.3702318792602735</v>
          </cell>
          <cell r="F58">
            <v>-0.12195934688437193</v>
          </cell>
          <cell r="G58">
            <v>-0.35670180742585011</v>
          </cell>
          <cell r="H58">
            <v>-0.20472358200590235</v>
          </cell>
          <cell r="I58">
            <v>0.28475068007884796</v>
          </cell>
          <cell r="J58">
            <v>-6.0807314127997447E-4</v>
          </cell>
          <cell r="K58">
            <v>-2.974680456629919E-2</v>
          </cell>
          <cell r="L58">
            <v>-0.11686395419258933</v>
          </cell>
          <cell r="M58">
            <v>-0.38031694107880543</v>
          </cell>
          <cell r="N58">
            <v>-0.35057974704300954</v>
          </cell>
          <cell r="O58">
            <v>-2.6623760260455209E-2</v>
          </cell>
        </row>
        <row r="59">
          <cell r="A59" t="str">
            <v xml:space="preserve">   % revenues</v>
          </cell>
          <cell r="B59">
            <v>0.1243740395424749</v>
          </cell>
          <cell r="C59">
            <v>0.18198151376568142</v>
          </cell>
          <cell r="D59">
            <v>0.1630993052857698</v>
          </cell>
          <cell r="E59">
            <v>0.14932822042996738</v>
          </cell>
          <cell r="F59">
            <v>0.1114349630320229</v>
          </cell>
          <cell r="G59">
            <v>0.11596504114331944</v>
          </cell>
          <cell r="H59">
            <v>0.12489994526215029</v>
          </cell>
          <cell r="I59">
            <v>0.1907508839001511</v>
          </cell>
          <cell r="J59">
            <v>0.11010997741153485</v>
          </cell>
          <cell r="K59">
            <v>0.11386006117153361</v>
          </cell>
          <cell r="L59">
            <v>0.11690838954692084</v>
          </cell>
          <cell r="M59">
            <v>0.12363560540596762</v>
          </cell>
          <cell r="N59">
            <v>7.5956024078447246E-2</v>
          </cell>
          <cell r="O59">
            <v>0.11855507793182744</v>
          </cell>
        </row>
        <row r="117">
          <cell r="A117" t="str">
            <v>25% of CTL are unionized</v>
          </cell>
        </row>
        <row r="120">
          <cell r="A120" t="str">
            <v>CTL</v>
          </cell>
        </row>
        <row r="122">
          <cell r="C122">
            <v>2008</v>
          </cell>
          <cell r="E122">
            <v>2007</v>
          </cell>
        </row>
        <row r="123">
          <cell r="B123" t="str">
            <v>USF</v>
          </cell>
          <cell r="C123">
            <v>151.69999999999999</v>
          </cell>
          <cell r="D123">
            <v>5.8000000000000003E-2</v>
          </cell>
          <cell r="E123">
            <v>166.5</v>
          </cell>
          <cell r="F123">
            <v>6.3E-2</v>
          </cell>
        </row>
        <row r="124">
          <cell r="B124" t="str">
            <v>other federal</v>
          </cell>
          <cell r="C124">
            <v>128.5</v>
          </cell>
          <cell r="D124">
            <v>0.05</v>
          </cell>
          <cell r="E124">
            <v>133.9</v>
          </cell>
          <cell r="F124">
            <v>0.05</v>
          </cell>
        </row>
        <row r="125">
          <cell r="C125">
            <v>280.2</v>
          </cell>
          <cell r="D125">
            <v>0.10800000000000001</v>
          </cell>
          <cell r="E125">
            <v>300.39999999999998</v>
          </cell>
          <cell r="F125">
            <v>0.113</v>
          </cell>
        </row>
        <row r="127">
          <cell r="B127" t="str">
            <v>state support</v>
          </cell>
          <cell r="C127">
            <v>39.700000000000003</v>
          </cell>
          <cell r="D127">
            <v>1.4999999999999999E-2</v>
          </cell>
          <cell r="E127">
            <v>35.6</v>
          </cell>
          <cell r="F127">
            <v>1.2999999999999999E-2</v>
          </cell>
        </row>
        <row r="129">
          <cell r="C129">
            <v>319.89999999999998</v>
          </cell>
          <cell r="D129">
            <v>0.12300000000000001</v>
          </cell>
          <cell r="E129">
            <v>336</v>
          </cell>
          <cell r="F129">
            <v>0.126</v>
          </cell>
        </row>
        <row r="132">
          <cell r="A132" t="str">
            <v>CTL</v>
          </cell>
          <cell r="B132" t="str">
            <v>CTL</v>
          </cell>
          <cell r="C132" t="str">
            <v>EQ</v>
          </cell>
        </row>
        <row r="133">
          <cell r="A133" t="str">
            <v>Consumer</v>
          </cell>
          <cell r="B133">
            <v>0.73</v>
          </cell>
          <cell r="C133">
            <v>0.66228386167146969</v>
          </cell>
          <cell r="D133">
            <v>0.67999198589517551</v>
          </cell>
        </row>
        <row r="134">
          <cell r="A134" t="str">
            <v>Business</v>
          </cell>
          <cell r="B134">
            <v>0.27</v>
          </cell>
          <cell r="C134">
            <v>0.33771613832853026</v>
          </cell>
          <cell r="D134">
            <v>0.32000801410482449</v>
          </cell>
        </row>
        <row r="136">
          <cell r="B136">
            <v>1435.17635</v>
          </cell>
          <cell r="C136">
            <v>3677</v>
          </cell>
          <cell r="D136">
            <v>5112.1763499999997</v>
          </cell>
        </row>
        <row r="137">
          <cell r="B137">
            <v>530.81865000000005</v>
          </cell>
          <cell r="C137">
            <v>1875</v>
          </cell>
          <cell r="D137">
            <v>2405.8186500000002</v>
          </cell>
        </row>
        <row r="138">
          <cell r="B138">
            <v>1965.9949999999999</v>
          </cell>
          <cell r="C138">
            <v>5552</v>
          </cell>
          <cell r="D138">
            <v>7517.9949999999999</v>
          </cell>
        </row>
        <row r="145">
          <cell r="D145" t="str">
            <v>2006</v>
          </cell>
          <cell r="E145" t="str">
            <v>2007</v>
          </cell>
          <cell r="F145">
            <v>2008</v>
          </cell>
          <cell r="G145" t="str">
            <v>2009E</v>
          </cell>
          <cell r="H145" t="str">
            <v>2010E</v>
          </cell>
          <cell r="I145" t="str">
            <v>2011E</v>
          </cell>
          <cell r="J145" t="str">
            <v>2012E</v>
          </cell>
          <cell r="K145" t="str">
            <v>2013E</v>
          </cell>
          <cell r="L145" t="str">
            <v>2014E</v>
          </cell>
          <cell r="M145" t="str">
            <v>2015E</v>
          </cell>
        </row>
        <row r="146">
          <cell r="A146" t="str">
            <v>Total access lines</v>
          </cell>
          <cell r="D146">
            <v>9017000</v>
          </cell>
          <cell r="E146">
            <v>8447000</v>
          </cell>
          <cell r="F146">
            <v>7694000</v>
          </cell>
          <cell r="G146">
            <v>6947682</v>
          </cell>
          <cell r="H146">
            <v>6322390.6200000001</v>
          </cell>
          <cell r="I146">
            <v>5784987.4173000008</v>
          </cell>
          <cell r="J146">
            <v>5310618.4490814013</v>
          </cell>
          <cell r="K146">
            <v>4907011.4469512152</v>
          </cell>
          <cell r="L146">
            <v>4553706.6227707276</v>
          </cell>
          <cell r="M146">
            <v>4244054.5724223182</v>
          </cell>
        </row>
        <row r="147">
          <cell r="A147" t="str">
            <v xml:space="preserve">   % Y/Y growth</v>
          </cell>
          <cell r="D147">
            <v>-7.4269945532638992E-2</v>
          </cell>
          <cell r="E147">
            <v>-6.3213929244759881E-2</v>
          </cell>
          <cell r="F147">
            <v>-8.9144074819462515E-2</v>
          </cell>
          <cell r="G147">
            <v>-9.6999999999999975E-2</v>
          </cell>
          <cell r="H147">
            <v>-0.09</v>
          </cell>
          <cell r="I147">
            <v>-8.5000000000000006E-2</v>
          </cell>
          <cell r="J147">
            <v>-8.2000000000000003E-2</v>
          </cell>
          <cell r="K147">
            <v>-7.5999999999999998E-2</v>
          </cell>
          <cell r="L147">
            <v>-7.1999999999999995E-2</v>
          </cell>
          <cell r="M147">
            <v>-6.8000000000000005E-2</v>
          </cell>
        </row>
        <row r="148">
          <cell r="A148" t="str">
            <v>Total DSL subscribers</v>
          </cell>
          <cell r="D148">
            <v>1439710.409679878</v>
          </cell>
          <cell r="E148">
            <v>1832000</v>
          </cell>
          <cell r="F148">
            <v>2053000</v>
          </cell>
          <cell r="G148">
            <v>2201829.7872340423</v>
          </cell>
          <cell r="H148">
            <v>2306010.6382978722</v>
          </cell>
          <cell r="I148">
            <v>2384146.2765957443</v>
          </cell>
          <cell r="J148">
            <v>2443529.3617021274</v>
          </cell>
          <cell r="K148">
            <v>2489254.3372340421</v>
          </cell>
          <cell r="L148">
            <v>2524919.8181489357</v>
          </cell>
          <cell r="M148">
            <v>2553095.5480717015</v>
          </cell>
        </row>
        <row r="149">
          <cell r="A149" t="str">
            <v xml:space="preserve">   % growth</v>
          </cell>
          <cell r="D149">
            <v>0.45826685541503442</v>
          </cell>
          <cell r="E149">
            <v>0.27247812315766207</v>
          </cell>
          <cell r="F149">
            <v>0.12063318777292587</v>
          </cell>
          <cell r="G149">
            <v>7.2493807712636249E-2</v>
          </cell>
          <cell r="H149">
            <v>4.7315578918887713E-2</v>
          </cell>
          <cell r="I149">
            <v>3.3883468272091877E-2</v>
          </cell>
          <cell r="J149">
            <v>2.490748394480824E-2</v>
          </cell>
          <cell r="K149">
            <v>1.8712676937126416E-2</v>
          </cell>
          <cell r="L149">
            <v>1.4327776949672133E-2</v>
          </cell>
          <cell r="M149">
            <v>1.1159059277938477E-2</v>
          </cell>
        </row>
        <row r="151">
          <cell r="A151" t="str">
            <v>RGUs</v>
          </cell>
          <cell r="D151">
            <v>10456710.409679879</v>
          </cell>
          <cell r="E151">
            <v>10279000</v>
          </cell>
          <cell r="F151">
            <v>9747000</v>
          </cell>
          <cell r="G151">
            <v>9149511.7872340418</v>
          </cell>
          <cell r="H151">
            <v>8628401.2582978718</v>
          </cell>
          <cell r="I151">
            <v>8169133.6938957451</v>
          </cell>
          <cell r="J151">
            <v>7754147.8107835287</v>
          </cell>
          <cell r="K151">
            <v>7396265.7841852568</v>
          </cell>
          <cell r="L151">
            <v>7078626.4409196638</v>
          </cell>
          <cell r="M151">
            <v>6797150.1204940192</v>
          </cell>
        </row>
        <row r="152">
          <cell r="E152">
            <v>-1.6994867670368952E-2</v>
          </cell>
          <cell r="F152">
            <v>-5.1756007393715331E-2</v>
          </cell>
          <cell r="G152">
            <v>-6.1299703782287662E-2</v>
          </cell>
          <cell r="H152">
            <v>-5.6955009300414861E-2</v>
          </cell>
          <cell r="I152">
            <v>-5.3227423094220683E-2</v>
          </cell>
          <cell r="J152">
            <v>-5.0799252241679915E-2</v>
          </cell>
          <cell r="K152">
            <v>-4.6153624528613268E-2</v>
          </cell>
          <cell r="L152">
            <v>-4.2945907101495928E-2</v>
          </cell>
          <cell r="M152">
            <v>-3.9764256918334406E-2</v>
          </cell>
        </row>
        <row r="156">
          <cell r="D156" t="str">
            <v>2006</v>
          </cell>
          <cell r="E156" t="str">
            <v>2007</v>
          </cell>
          <cell r="F156" t="str">
            <v>2008</v>
          </cell>
          <cell r="G156" t="str">
            <v>2009E</v>
          </cell>
          <cell r="H156" t="str">
            <v>2010E</v>
          </cell>
          <cell r="I156" t="str">
            <v>2011E</v>
          </cell>
          <cell r="J156" t="str">
            <v>2012E</v>
          </cell>
          <cell r="K156" t="str">
            <v>2013E</v>
          </cell>
          <cell r="L156" t="str">
            <v>2014E</v>
          </cell>
          <cell r="M156" t="str">
            <v>2015E</v>
          </cell>
        </row>
        <row r="157">
          <cell r="A157" t="str">
            <v>Total revenues</v>
          </cell>
          <cell r="D157">
            <v>8434.5950000000012</v>
          </cell>
          <cell r="E157">
            <v>8505.128999999999</v>
          </cell>
          <cell r="F157">
            <v>8287.4069999999992</v>
          </cell>
          <cell r="G157">
            <v>7709.8521178268256</v>
          </cell>
          <cell r="H157">
            <v>7224.3624475156084</v>
          </cell>
          <cell r="I157">
            <v>6796.7692682399575</v>
          </cell>
          <cell r="J157">
            <v>6415.5305821667307</v>
          </cell>
          <cell r="K157">
            <v>6080.9489715872351</v>
          </cell>
          <cell r="L157">
            <v>5782.4025308056016</v>
          </cell>
          <cell r="M157">
            <v>5512.4651581324915</v>
          </cell>
        </row>
        <row r="158">
          <cell r="A158" t="str">
            <v>% growth</v>
          </cell>
          <cell r="D158">
            <v>2.4020724799253972</v>
          </cell>
          <cell r="E158">
            <v>8.3624643506887697E-3</v>
          </cell>
          <cell r="F158">
            <v>-2.5598906259975518E-2</v>
          </cell>
          <cell r="G158">
            <v>-6.9690662250951774E-2</v>
          </cell>
          <cell r="H158">
            <v>-6.2970036635159543E-2</v>
          </cell>
          <cell r="I158">
            <v>-5.9187669829978695E-2</v>
          </cell>
          <cell r="J158">
            <v>-5.609116199584474E-2</v>
          </cell>
          <cell r="K158">
            <v>-5.2151822252945568E-2</v>
          </cell>
          <cell r="L158">
            <v>-4.9095370176031494E-2</v>
          </cell>
          <cell r="M158">
            <v>-4.6682563386935771E-2</v>
          </cell>
        </row>
        <row r="159">
          <cell r="A159" t="str">
            <v>Total operating income</v>
          </cell>
          <cell r="D159">
            <v>2280.3963294460655</v>
          </cell>
          <cell r="E159">
            <v>2096.3149999999996</v>
          </cell>
          <cell r="F159">
            <v>2205.0133333333324</v>
          </cell>
          <cell r="G159">
            <v>2141.7830678348582</v>
          </cell>
          <cell r="H159">
            <v>2002.7831223800977</v>
          </cell>
          <cell r="I159">
            <v>1769.6752691956481</v>
          </cell>
          <cell r="J159">
            <v>1563.5786378908351</v>
          </cell>
          <cell r="K159">
            <v>1383.947512103623</v>
          </cell>
          <cell r="L159">
            <v>1224.9426552574014</v>
          </cell>
          <cell r="M159">
            <v>1082.4680427894791</v>
          </cell>
        </row>
        <row r="160">
          <cell r="A160" t="str">
            <v>% growth</v>
          </cell>
          <cell r="D160">
            <v>2.0722504492332376</v>
          </cell>
          <cell r="E160">
            <v>-8.0723393152795198E-2</v>
          </cell>
          <cell r="F160">
            <v>5.1852099199467983E-2</v>
          </cell>
          <cell r="G160">
            <v>-2.8675683970984744E-2</v>
          </cell>
          <cell r="H160">
            <v>-6.4899170948847007E-2</v>
          </cell>
          <cell r="I160">
            <v>-0.11639196005777463</v>
          </cell>
          <cell r="J160">
            <v>-0.11646014096048696</v>
          </cell>
          <cell r="K160">
            <v>-0.11488461241036307</v>
          </cell>
          <cell r="L160">
            <v>-0.1148922596092764</v>
          </cell>
          <cell r="M160">
            <v>-0.11631125086258309</v>
          </cell>
        </row>
        <row r="161">
          <cell r="A161" t="str">
            <v>% margin</v>
          </cell>
          <cell r="D161">
            <v>0.2703622793324475</v>
          </cell>
          <cell r="E161">
            <v>0.24647656725723971</v>
          </cell>
          <cell r="F161">
            <v>0.2660679430047701</v>
          </cell>
          <cell r="G161">
            <v>0.27779820353267193</v>
          </cell>
          <cell r="H161">
            <v>0.27722627940252864</v>
          </cell>
          <cell r="I161">
            <v>0.26037006691767695</v>
          </cell>
          <cell r="J161">
            <v>0.24371774366365259</v>
          </cell>
          <cell r="K161">
            <v>0.22758742403036286</v>
          </cell>
          <cell r="L161">
            <v>0.21183974113381951</v>
          </cell>
          <cell r="M161">
            <v>0.19636732600341672</v>
          </cell>
        </row>
        <row r="162">
          <cell r="A162" t="str">
            <v>EBITDA</v>
          </cell>
          <cell r="D162">
            <v>3867.9813294460655</v>
          </cell>
          <cell r="E162">
            <v>3852.5699999999997</v>
          </cell>
          <cell r="F162">
            <v>3894.465999999999</v>
          </cell>
          <cell r="G162">
            <v>3796.6270589134128</v>
          </cell>
          <cell r="H162">
            <v>3641.0786735478669</v>
          </cell>
          <cell r="I162">
            <v>3391.5878648517391</v>
          </cell>
          <cell r="J162">
            <v>3169.2721075903655</v>
          </cell>
          <cell r="K162">
            <v>2973.5840471061583</v>
          </cell>
          <cell r="L162">
            <v>2798.6828249099108</v>
          </cell>
          <cell r="M162">
            <v>2640.4708107454635</v>
          </cell>
        </row>
        <row r="163">
          <cell r="A163" t="str">
            <v>% growth</v>
          </cell>
          <cell r="D163">
            <v>2.0356465176980034</v>
          </cell>
          <cell r="E163">
            <v>-3.9843339802968503E-3</v>
          </cell>
          <cell r="F163">
            <v>1.0874818627565341E-2</v>
          </cell>
          <cell r="G163">
            <v>-2.5122556234047577E-2</v>
          </cell>
          <cell r="H163">
            <v>-4.0970151387495934E-2</v>
          </cell>
          <cell r="I163">
            <v>-6.8521125486427303E-2</v>
          </cell>
          <cell r="J163">
            <v>-6.5549166384663904E-2</v>
          </cell>
          <cell r="K163">
            <v>-6.1745427290871291E-2</v>
          </cell>
          <cell r="L163">
            <v>-5.8818321401225671E-2</v>
          </cell>
          <cell r="M163">
            <v>-5.6530884013103577E-2</v>
          </cell>
        </row>
        <row r="164">
          <cell r="D164">
            <v>0.45858530604564474</v>
          </cell>
          <cell r="E164">
            <v>0.45297020186289944</v>
          </cell>
          <cell r="F164">
            <v>0.46992575602960002</v>
          </cell>
          <cell r="G164">
            <v>0.49243837636454785</v>
          </cell>
          <cell r="H164">
            <v>0.504</v>
          </cell>
          <cell r="I164">
            <v>0.49900000000000005</v>
          </cell>
          <cell r="J164">
            <v>0.49400000000000011</v>
          </cell>
          <cell r="K164">
            <v>0.48900000000000005</v>
          </cell>
          <cell r="L164">
            <v>0.48399999999999993</v>
          </cell>
          <cell r="M164">
            <v>0.47900000000000004</v>
          </cell>
        </row>
        <row r="166">
          <cell r="D166" t="str">
            <v>2006</v>
          </cell>
          <cell r="E166" t="str">
            <v>2007</v>
          </cell>
          <cell r="F166" t="str">
            <v>2008</v>
          </cell>
          <cell r="G166" t="str">
            <v>2009E</v>
          </cell>
          <cell r="H166" t="str">
            <v>2010E</v>
          </cell>
          <cell r="I166" t="str">
            <v>2011E</v>
          </cell>
          <cell r="J166" t="str">
            <v>2012E</v>
          </cell>
          <cell r="K166" t="str">
            <v>2013E</v>
          </cell>
          <cell r="L166" t="str">
            <v>2014E</v>
          </cell>
          <cell r="M166" t="str">
            <v>2015E</v>
          </cell>
        </row>
        <row r="167">
          <cell r="A167" t="str">
            <v>Levered Free Cash Flow (OCF - capex)</v>
          </cell>
          <cell r="D167">
            <v>1143.6777069824577</v>
          </cell>
          <cell r="E167">
            <v>1498.9409999999998</v>
          </cell>
          <cell r="F167">
            <v>1639.4830000000002</v>
          </cell>
          <cell r="G167">
            <v>1905.6792362536066</v>
          </cell>
          <cell r="H167">
            <v>1571.8639253336798</v>
          </cell>
          <cell r="I167">
            <v>1454.8976818234999</v>
          </cell>
          <cell r="J167">
            <v>1347.886859811864</v>
          </cell>
          <cell r="K167">
            <v>1279.0980556319537</v>
          </cell>
          <cell r="L167">
            <v>1216.299299845417</v>
          </cell>
          <cell r="M167">
            <v>1158.9421703269045</v>
          </cell>
        </row>
        <row r="168">
          <cell r="D168" t="e">
            <v>#DIV/0!</v>
          </cell>
          <cell r="E168">
            <v>0.31063234934856632</v>
          </cell>
          <cell r="F168">
            <v>9.3760861835122444E-2</v>
          </cell>
          <cell r="G168">
            <v>0.16236596308324414</v>
          </cell>
          <cell r="H168">
            <v>-0.1751686771674007</v>
          </cell>
          <cell r="I168">
            <v>-7.4412448574611822E-2</v>
          </cell>
          <cell r="J168">
            <v>-7.3552129024986534E-2</v>
          </cell>
          <cell r="K168">
            <v>-5.1034553589692111E-2</v>
          </cell>
          <cell r="L168">
            <v>-4.9096123248745238E-2</v>
          </cell>
          <cell r="M168">
            <v>-4.7157085041323432E-2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GWP"/>
      <sheetName val="Sheet1"/>
      <sheetName val="Scenario"/>
      <sheetName val="ImportantDisclosures"/>
      <sheetName val="IndexInformation"/>
      <sheetName val="Income"/>
      <sheetName val="Euro vs. PM"/>
      <sheetName val="Ruble"/>
      <sheetName val="MS_IRI_Methodology"/>
      <sheetName val="MARKET_SHARE ($)_RAW_DATA"/>
      <sheetName val="NEXXUS_RAW_DATA"/>
      <sheetName val="HAIR_CARE_MARKET SHARE ROLL-UP"/>
      <sheetName val="TOTAL_ACV_DOLLAR_SALES"/>
      <sheetName val="TimeSeries"/>
      <sheetName val="Valuation Analyzer"/>
      <sheetName val="Income Statement"/>
      <sheetName val="Margins"/>
      <sheetName val="Comps"/>
      <sheetName val="Switches"/>
      <sheetName val="SSB Nielsen Sales"/>
      <sheetName val="EBITDA"/>
      <sheetName val="GWP-WLine"/>
      <sheetName val="TS_Stnd_Dev_Band"/>
      <sheetName val="Print "/>
      <sheetName val="Lookup"/>
      <sheetName val="Input"/>
      <sheetName val="99 cons YTD"/>
      <sheetName val="KPN"/>
      <sheetName val="Realizations vs Average"/>
      <sheetName val="summary"/>
      <sheetName val="B"/>
      <sheetName val="Ratios"/>
      <sheetName val="C"/>
      <sheetName val="Oil Consumption – barrels"/>
      <sheetName val="rev change analysis"/>
      <sheetName val="SOP"/>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DFDFD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1.xml" Type="http://schemas.openxmlformats.org/officeDocument/2006/relationships/drawing"/>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2.vml" Type="http://schemas.openxmlformats.org/officeDocument/2006/relationships/vmlDrawing"/>
<Relationship Id="rId3" Target="../comments1.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drawing3.xml" Type="http://schemas.openxmlformats.org/officeDocument/2006/relationships/drawing"/>
</Relationships>

</file>

<file path=xl/worksheets/_rels/sheet11.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C2:M31"/>
  <sheetViews>
    <sheetView workbookViewId="0">
      <selection activeCell="C4" sqref="C4:D16"/>
    </sheetView>
  </sheetViews>
  <sheetFormatPr defaultColWidth="10.6640625" defaultRowHeight="12.75"/>
  <cols>
    <col min="1" max="1" width="10.6640625" style="378" customWidth="1"/>
    <col min="2" max="2" width="9.33203125" style="378" customWidth="1"/>
    <col min="3" max="3" width="22.1640625" style="378" customWidth="1"/>
    <col min="4" max="4" width="18.83203125" style="378" bestFit="1" customWidth="1"/>
    <col min="5" max="5" width="9.33203125" style="378" customWidth="1"/>
    <col min="6" max="6" width="22.1640625" style="378" customWidth="1"/>
    <col min="7" max="7" width="18.83203125" style="378" bestFit="1" customWidth="1"/>
    <col min="8" max="8" width="10.6640625" style="379" customWidth="1"/>
    <col min="9" max="9" width="43.6640625" style="378" bestFit="1" customWidth="1"/>
    <col min="10" max="10" width="10.6640625" style="378" customWidth="1"/>
    <col min="11" max="11" width="13" style="378" bestFit="1" customWidth="1"/>
    <col min="12" max="12" width="10.6640625" style="378" customWidth="1"/>
    <col min="13" max="13" width="11.6640625" style="380" bestFit="1" customWidth="1"/>
    <col min="14" max="16384" width="10.6640625" style="378"/>
  </cols>
  <sheetData>
    <row r="2" spans="3:13">
      <c r="C2" s="378" t="s">
        <v>459</v>
      </c>
      <c r="F2" s="378" t="s">
        <v>459</v>
      </c>
    </row>
    <row r="4" spans="3:13">
      <c r="C4" s="381" t="s">
        <v>467</v>
      </c>
      <c r="D4" s="382"/>
      <c r="F4" s="381" t="s">
        <v>460</v>
      </c>
      <c r="G4" s="382"/>
    </row>
    <row r="5" spans="3:13">
      <c r="C5" s="383" t="s">
        <v>461</v>
      </c>
      <c r="D5" s="384"/>
      <c r="F5" s="383" t="s">
        <v>461</v>
      </c>
      <c r="G5" s="384"/>
      <c r="I5" s="385" t="s">
        <v>461</v>
      </c>
    </row>
    <row r="6" spans="3:13">
      <c r="C6" s="386" t="s">
        <v>234</v>
      </c>
      <c r="D6" s="393">
        <v>395815</v>
      </c>
      <c r="F6" s="386" t="s">
        <v>234</v>
      </c>
      <c r="G6" s="387">
        <f t="shared" ref="G6:G13" si="0">+SUMIF($K$7:$K$30,F6,$M$7:$M$30)</f>
        <v>79589.717000000004</v>
      </c>
      <c r="I6" s="384" t="s">
        <v>215</v>
      </c>
    </row>
    <row r="7" spans="3:13">
      <c r="C7" s="391" t="s">
        <v>192</v>
      </c>
      <c r="D7" s="393">
        <v>171100</v>
      </c>
      <c r="F7" s="386" t="s">
        <v>195</v>
      </c>
      <c r="G7" s="387">
        <f t="shared" si="0"/>
        <v>76745.566000000006</v>
      </c>
      <c r="I7" s="378" t="s">
        <v>216</v>
      </c>
      <c r="K7" s="378" t="s">
        <v>195</v>
      </c>
      <c r="M7" s="380">
        <v>42129.372000000003</v>
      </c>
    </row>
    <row r="8" spans="3:13">
      <c r="C8" s="391" t="s">
        <v>195</v>
      </c>
      <c r="D8" s="393">
        <v>188602</v>
      </c>
      <c r="F8" s="386" t="s">
        <v>192</v>
      </c>
      <c r="G8" s="387">
        <f t="shared" si="0"/>
        <v>32232.212000000003</v>
      </c>
      <c r="I8" s="378" t="s">
        <v>218</v>
      </c>
      <c r="K8" s="378" t="s">
        <v>195</v>
      </c>
      <c r="M8" s="380">
        <v>34616.194000000003</v>
      </c>
    </row>
    <row r="9" spans="3:13">
      <c r="C9" s="378" t="s">
        <v>220</v>
      </c>
      <c r="D9" s="394">
        <v>57078</v>
      </c>
      <c r="F9" s="378" t="s">
        <v>220</v>
      </c>
      <c r="G9" s="380">
        <f t="shared" si="0"/>
        <v>6533.0360000000001</v>
      </c>
      <c r="I9" s="378" t="s">
        <v>217</v>
      </c>
      <c r="K9" s="378" t="s">
        <v>192</v>
      </c>
      <c r="M9" s="380">
        <v>32181.848000000002</v>
      </c>
    </row>
    <row r="10" spans="3:13">
      <c r="C10" s="392" t="s">
        <v>189</v>
      </c>
      <c r="D10" s="394">
        <v>36222</v>
      </c>
      <c r="F10" s="386" t="s">
        <v>235</v>
      </c>
      <c r="G10" s="387">
        <f t="shared" si="0"/>
        <v>2319.2350000000001</v>
      </c>
      <c r="I10" s="378" t="s">
        <v>219</v>
      </c>
      <c r="K10" s="378" t="s">
        <v>220</v>
      </c>
      <c r="M10" s="380">
        <v>5131.3159999999998</v>
      </c>
    </row>
    <row r="11" spans="3:13">
      <c r="C11" s="378" t="s">
        <v>463</v>
      </c>
      <c r="D11" s="394">
        <v>35765</v>
      </c>
      <c r="F11" s="378" t="s">
        <v>238</v>
      </c>
      <c r="G11" s="380">
        <f t="shared" si="0"/>
        <v>1349.7270000000001</v>
      </c>
      <c r="I11" s="378" t="s">
        <v>221</v>
      </c>
      <c r="K11" s="378" t="s">
        <v>220</v>
      </c>
      <c r="M11" s="380">
        <v>1401.72</v>
      </c>
    </row>
    <row r="12" spans="3:13">
      <c r="C12" s="386" t="s">
        <v>235</v>
      </c>
      <c r="D12" s="393">
        <v>23278</v>
      </c>
      <c r="F12" s="378" t="s">
        <v>240</v>
      </c>
      <c r="G12" s="380">
        <f t="shared" si="0"/>
        <v>303.20699999999999</v>
      </c>
      <c r="I12" s="378" t="s">
        <v>462</v>
      </c>
      <c r="K12" s="378" t="s">
        <v>463</v>
      </c>
      <c r="M12" s="380">
        <v>130.428</v>
      </c>
    </row>
    <row r="13" spans="3:13">
      <c r="C13" s="392" t="s">
        <v>236</v>
      </c>
      <c r="D13" s="394">
        <v>13200</v>
      </c>
      <c r="F13" s="378" t="s">
        <v>463</v>
      </c>
      <c r="G13" s="380">
        <f t="shared" si="0"/>
        <v>130.428</v>
      </c>
      <c r="I13" s="378" t="s">
        <v>191</v>
      </c>
      <c r="K13" s="378" t="s">
        <v>192</v>
      </c>
      <c r="M13" s="380">
        <v>50.363999999999997</v>
      </c>
    </row>
    <row r="14" spans="3:13">
      <c r="C14" s="388" t="s">
        <v>252</v>
      </c>
      <c r="D14" s="395">
        <f>SUM(D6:D13)</f>
        <v>921060</v>
      </c>
      <c r="F14" s="378" t="s">
        <v>12</v>
      </c>
      <c r="G14" s="380">
        <f>+M15+M26+M31-SUM(G6:G13)</f>
        <v>12526.60500000001</v>
      </c>
      <c r="I14" s="378" t="s">
        <v>222</v>
      </c>
      <c r="M14" s="380">
        <v>9380.9380000000001</v>
      </c>
    </row>
    <row r="15" spans="3:13">
      <c r="F15" s="388" t="s">
        <v>252</v>
      </c>
      <c r="G15" s="389">
        <f>SUM(G6:G14)</f>
        <v>211729.73300000001</v>
      </c>
      <c r="I15" s="390" t="s">
        <v>252</v>
      </c>
      <c r="M15" s="389">
        <f>(SUM(M7:M14))</f>
        <v>125022.18000000001</v>
      </c>
    </row>
    <row r="16" spans="3:13">
      <c r="C16" s="386" t="s">
        <v>464</v>
      </c>
      <c r="D16" s="386"/>
    </row>
    <row r="17" spans="6:13">
      <c r="F17" s="386" t="s">
        <v>464</v>
      </c>
      <c r="G17" s="386"/>
      <c r="I17" s="384" t="s">
        <v>224</v>
      </c>
    </row>
    <row r="18" spans="6:13">
      <c r="I18" s="378" t="s">
        <v>225</v>
      </c>
      <c r="K18" s="378" t="s">
        <v>234</v>
      </c>
      <c r="M18" s="380">
        <v>31524.905999999999</v>
      </c>
    </row>
    <row r="19" spans="6:13">
      <c r="I19" s="378" t="s">
        <v>226</v>
      </c>
      <c r="K19" s="378" t="s">
        <v>234</v>
      </c>
      <c r="M19" s="380">
        <v>17437.330000000002</v>
      </c>
    </row>
    <row r="20" spans="6:13">
      <c r="I20" s="378" t="s">
        <v>227</v>
      </c>
      <c r="K20" s="378" t="s">
        <v>234</v>
      </c>
      <c r="M20" s="380">
        <v>13148.576999999999</v>
      </c>
    </row>
    <row r="21" spans="6:13">
      <c r="I21" s="378" t="s">
        <v>228</v>
      </c>
      <c r="K21" s="378" t="s">
        <v>234</v>
      </c>
      <c r="M21" s="380">
        <v>10322.312</v>
      </c>
    </row>
    <row r="22" spans="6:13">
      <c r="I22" s="378" t="s">
        <v>229</v>
      </c>
      <c r="K22" s="378" t="s">
        <v>234</v>
      </c>
      <c r="M22" s="380">
        <v>5746.1629999999996</v>
      </c>
    </row>
    <row r="23" spans="6:13">
      <c r="I23" s="378" t="s">
        <v>230</v>
      </c>
      <c r="K23" s="378" t="s">
        <v>235</v>
      </c>
      <c r="M23" s="380">
        <v>2319.2350000000001</v>
      </c>
    </row>
    <row r="24" spans="6:13">
      <c r="I24" s="378" t="s">
        <v>231</v>
      </c>
      <c r="K24" s="378" t="s">
        <v>234</v>
      </c>
      <c r="M24" s="380">
        <v>1410.4290000000001</v>
      </c>
    </row>
    <row r="25" spans="6:13">
      <c r="I25" s="378" t="s">
        <v>232</v>
      </c>
      <c r="M25" s="380">
        <v>3145.6669999999999</v>
      </c>
    </row>
    <row r="26" spans="6:13">
      <c r="I26" s="390" t="s">
        <v>252</v>
      </c>
      <c r="M26" s="389">
        <f>+SUM(M18:M25)</f>
        <v>85054.619000000006</v>
      </c>
    </row>
    <row r="28" spans="6:13">
      <c r="I28" s="384" t="s">
        <v>236</v>
      </c>
    </row>
    <row r="29" spans="6:13">
      <c r="I29" s="378" t="s">
        <v>465</v>
      </c>
      <c r="K29" s="378" t="s">
        <v>238</v>
      </c>
      <c r="M29" s="380">
        <v>1349.7270000000001</v>
      </c>
    </row>
    <row r="30" spans="6:13">
      <c r="I30" s="378" t="s">
        <v>466</v>
      </c>
      <c r="K30" s="378" t="s">
        <v>240</v>
      </c>
      <c r="M30" s="380">
        <v>303.20699999999999</v>
      </c>
    </row>
    <row r="31" spans="6:13">
      <c r="I31" s="390" t="s">
        <v>252</v>
      </c>
      <c r="M31" s="389">
        <f>SUM(M29:M30)</f>
        <v>1652.9340000000002</v>
      </c>
    </row>
  </sheetData>
  <phoneticPr fontId="1" type="noConversion"/>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77"/>
  <sheetViews>
    <sheetView showGridLines="0" zoomScale="85" zoomScaleNormal="85" workbookViewId="0">
      <pane xSplit="2" ySplit="2" topLeftCell="C48" activePane="bottomRight" state="frozen"/>
      <selection pane="topRight" activeCell="C1" sqref="C1"/>
      <selection pane="bottomLeft" activeCell="A3" sqref="A3"/>
      <selection pane="bottomRight" activeCell="B46" sqref="B46"/>
    </sheetView>
  </sheetViews>
  <sheetFormatPr defaultRowHeight="11.25"/>
  <cols>
    <col min="1" max="1" width="3.6640625" customWidth="1"/>
    <col min="2" max="2" width="58.83203125" customWidth="1"/>
  </cols>
  <sheetData>
    <row r="2" spans="1:4">
      <c r="C2" s="71" t="s">
        <v>537</v>
      </c>
      <c r="D2" s="71" t="s">
        <v>538</v>
      </c>
    </row>
    <row r="3" spans="1:4" s="127" customFormat="1">
      <c r="A3" s="222" t="s">
        <v>293</v>
      </c>
      <c r="B3" s="223" t="s">
        <v>348</v>
      </c>
    </row>
    <row r="4" spans="1:4" s="127" customFormat="1">
      <c r="A4" s="222"/>
      <c r="B4" s="472" t="s">
        <v>345</v>
      </c>
      <c r="C4" s="229">
        <v>0.26</v>
      </c>
      <c r="D4" s="229"/>
    </row>
    <row r="5" spans="1:4" s="127" customFormat="1">
      <c r="A5" s="222"/>
      <c r="B5" s="127" t="s">
        <v>259</v>
      </c>
      <c r="C5" s="229">
        <v>0.22</v>
      </c>
      <c r="D5" s="229"/>
    </row>
    <row r="6" spans="1:4" s="127" customFormat="1">
      <c r="A6" s="222"/>
      <c r="B6" s="127" t="s">
        <v>262</v>
      </c>
      <c r="C6" s="229">
        <v>0.21</v>
      </c>
      <c r="D6" s="229"/>
    </row>
    <row r="7" spans="1:4" s="127" customFormat="1">
      <c r="A7" s="222"/>
      <c r="B7" s="127" t="s">
        <v>458</v>
      </c>
      <c r="C7" s="229">
        <v>0.09</v>
      </c>
      <c r="D7" s="229"/>
    </row>
    <row r="8" spans="1:4" s="127" customFormat="1">
      <c r="A8" s="222"/>
      <c r="B8" s="127" t="s">
        <v>346</v>
      </c>
      <c r="C8" s="229">
        <v>0.09</v>
      </c>
      <c r="D8" s="229"/>
    </row>
    <row r="9" spans="1:4" s="127" customFormat="1">
      <c r="A9" s="222"/>
      <c r="B9" s="127" t="s">
        <v>347</v>
      </c>
      <c r="C9" s="229">
        <v>0.03</v>
      </c>
      <c r="D9" s="229"/>
    </row>
    <row r="10" spans="1:4" s="127" customFormat="1">
      <c r="A10" s="222"/>
      <c r="B10" s="127" t="s">
        <v>12</v>
      </c>
      <c r="C10" s="229">
        <v>0.1</v>
      </c>
      <c r="D10" s="229"/>
    </row>
    <row r="25" spans="1:4" s="127" customFormat="1">
      <c r="A25" s="222" t="s">
        <v>293</v>
      </c>
      <c r="B25" s="223" t="s">
        <v>348</v>
      </c>
    </row>
    <row r="26" spans="1:4" s="127" customFormat="1">
      <c r="A26" s="222"/>
      <c r="B26" s="472" t="s">
        <v>345</v>
      </c>
      <c r="C26" s="229"/>
      <c r="D26" s="229">
        <v>0.3</v>
      </c>
    </row>
    <row r="27" spans="1:4" s="127" customFormat="1">
      <c r="A27" s="222"/>
      <c r="B27" s="127" t="s">
        <v>259</v>
      </c>
      <c r="C27" s="229"/>
      <c r="D27" s="229">
        <v>0.27</v>
      </c>
    </row>
    <row r="28" spans="1:4" s="127" customFormat="1">
      <c r="A28" s="222"/>
      <c r="B28" s="127" t="s">
        <v>458</v>
      </c>
      <c r="C28" s="229"/>
      <c r="D28" s="229">
        <v>0.11</v>
      </c>
    </row>
    <row r="29" spans="1:4" s="127" customFormat="1">
      <c r="A29" s="222"/>
      <c r="B29" s="127" t="s">
        <v>346</v>
      </c>
      <c r="C29" s="229"/>
      <c r="D29" s="229">
        <v>0.11</v>
      </c>
    </row>
    <row r="30" spans="1:4" s="127" customFormat="1">
      <c r="A30" s="222"/>
      <c r="B30" s="127" t="s">
        <v>262</v>
      </c>
      <c r="C30" s="229"/>
      <c r="D30" s="229">
        <v>0.1</v>
      </c>
    </row>
    <row r="31" spans="1:4" s="127" customFormat="1">
      <c r="A31" s="222"/>
      <c r="B31" s="127" t="s">
        <v>347</v>
      </c>
      <c r="C31" s="229"/>
      <c r="D31" s="229">
        <v>0.02</v>
      </c>
    </row>
    <row r="32" spans="1:4" s="127" customFormat="1">
      <c r="A32" s="222"/>
      <c r="B32" s="127" t="s">
        <v>12</v>
      </c>
      <c r="C32" s="229"/>
      <c r="D32" s="229">
        <v>0.09</v>
      </c>
    </row>
    <row r="47" spans="1:4" s="127" customFormat="1">
      <c r="A47" s="222" t="s">
        <v>293</v>
      </c>
      <c r="B47" s="223" t="s">
        <v>535</v>
      </c>
    </row>
    <row r="48" spans="1:4" s="127" customFormat="1">
      <c r="A48" s="222"/>
      <c r="B48" s="472" t="s">
        <v>195</v>
      </c>
      <c r="C48" s="229">
        <v>0.24</v>
      </c>
      <c r="D48" s="224"/>
    </row>
    <row r="49" spans="1:4" s="127" customFormat="1">
      <c r="A49" s="222"/>
      <c r="B49" s="127" t="s">
        <v>234</v>
      </c>
      <c r="C49" s="229">
        <v>0.23</v>
      </c>
      <c r="D49" s="224"/>
    </row>
    <row r="50" spans="1:4" s="127" customFormat="1">
      <c r="A50" s="222"/>
      <c r="B50" s="127" t="s">
        <v>536</v>
      </c>
      <c r="C50" s="229">
        <v>0.18</v>
      </c>
      <c r="D50" s="224"/>
    </row>
    <row r="51" spans="1:4" s="127" customFormat="1">
      <c r="A51" s="222"/>
      <c r="B51" s="127" t="s">
        <v>192</v>
      </c>
      <c r="C51" s="229">
        <v>0.18</v>
      </c>
      <c r="D51" s="224"/>
    </row>
    <row r="52" spans="1:4" s="127" customFormat="1">
      <c r="A52" s="222"/>
      <c r="B52" s="127" t="s">
        <v>189</v>
      </c>
      <c r="C52" s="229">
        <v>0.06</v>
      </c>
      <c r="D52" s="224"/>
    </row>
    <row r="53" spans="1:4" s="127" customFormat="1">
      <c r="A53" s="222"/>
      <c r="B53" s="127" t="s">
        <v>463</v>
      </c>
      <c r="C53" s="229">
        <v>0.05</v>
      </c>
      <c r="D53" s="224"/>
    </row>
    <row r="54" spans="1:4" s="127" customFormat="1">
      <c r="A54" s="222"/>
      <c r="B54" s="127" t="s">
        <v>220</v>
      </c>
      <c r="C54" s="229">
        <v>0.04</v>
      </c>
      <c r="D54" s="224"/>
    </row>
    <row r="55" spans="1:4" s="127" customFormat="1">
      <c r="A55" s="222"/>
      <c r="B55" s="127" t="s">
        <v>12</v>
      </c>
      <c r="C55" s="229">
        <v>0.02</v>
      </c>
      <c r="D55" s="224"/>
    </row>
    <row r="70" spans="1:4" s="127" customFormat="1">
      <c r="A70" s="222" t="s">
        <v>293</v>
      </c>
      <c r="B70" s="223" t="s">
        <v>535</v>
      </c>
    </row>
    <row r="71" spans="1:4" s="127" customFormat="1">
      <c r="A71" s="222"/>
      <c r="B71" s="472" t="s">
        <v>195</v>
      </c>
      <c r="C71" s="229"/>
      <c r="D71" s="229">
        <v>0.28999999999999998</v>
      </c>
    </row>
    <row r="72" spans="1:4" s="127" customFormat="1">
      <c r="A72" s="222"/>
      <c r="B72" s="127" t="s">
        <v>234</v>
      </c>
      <c r="C72" s="229"/>
      <c r="D72" s="229">
        <v>0.28000000000000003</v>
      </c>
    </row>
    <row r="73" spans="1:4" s="127" customFormat="1">
      <c r="A73" s="222"/>
      <c r="B73" s="127" t="s">
        <v>192</v>
      </c>
      <c r="C73" s="229"/>
      <c r="D73" s="229">
        <v>0.21</v>
      </c>
    </row>
    <row r="74" spans="1:4" s="127" customFormat="1">
      <c r="A74" s="222"/>
      <c r="B74" s="127" t="s">
        <v>189</v>
      </c>
      <c r="C74" s="229"/>
      <c r="D74" s="229">
        <v>0.08</v>
      </c>
    </row>
    <row r="75" spans="1:4" s="127" customFormat="1">
      <c r="A75" s="222"/>
      <c r="B75" s="127" t="s">
        <v>463</v>
      </c>
      <c r="C75" s="229"/>
      <c r="D75" s="229">
        <v>0.06</v>
      </c>
    </row>
    <row r="76" spans="1:4" s="127" customFormat="1">
      <c r="A76" s="222"/>
      <c r="B76" s="127" t="s">
        <v>220</v>
      </c>
      <c r="C76" s="229"/>
      <c r="D76" s="229">
        <v>0.05</v>
      </c>
    </row>
    <row r="77" spans="1:4" s="127" customFormat="1">
      <c r="A77" s="222"/>
      <c r="B77" s="127" t="s">
        <v>12</v>
      </c>
      <c r="C77" s="229"/>
      <c r="D77" s="229">
        <v>0.03</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AX26"/>
  <sheetViews>
    <sheetView showGridLines="0" view="pageBreakPreview" zoomScale="85" zoomScaleNormal="80" workbookViewId="0">
      <pane xSplit="3" ySplit="9" topLeftCell="D10" activePane="bottomRight" state="frozen"/>
      <selection pane="topRight" activeCell="C1" sqref="C1"/>
      <selection pane="bottomLeft" activeCell="A3" sqref="A3"/>
      <selection pane="bottomRight" activeCell="D10" sqref="D10"/>
    </sheetView>
  </sheetViews>
  <sheetFormatPr defaultColWidth="10.6640625" defaultRowHeight="12.75"/>
  <cols>
    <col min="1" max="1" width="9.33203125" style="101" customWidth="1"/>
    <col min="2" max="2" width="9.33203125" style="110" customWidth="1"/>
    <col min="3" max="3" width="40" style="101" customWidth="1"/>
    <col min="4" max="8" width="10.6640625" style="101" customWidth="1"/>
    <col min="9" max="9" width="4" style="107" customWidth="1"/>
    <col min="10" max="14" width="10.6640625" style="101" customWidth="1"/>
    <col min="15" max="15" width="4.6640625" style="101" customWidth="1"/>
    <col min="16" max="16384" width="10.6640625" style="101"/>
  </cols>
  <sheetData>
    <row r="3" spans="2:50">
      <c r="B3" s="136">
        <v>2</v>
      </c>
      <c r="C3" s="135" t="str">
        <f>+VLOOKUP(B3,B5:C7,2,FALSE)</f>
        <v>Base</v>
      </c>
    </row>
    <row r="4" spans="2:50">
      <c r="B4" s="133"/>
      <c r="C4" s="134"/>
    </row>
    <row r="5" spans="2:50">
      <c r="B5" s="137">
        <v>1</v>
      </c>
      <c r="C5" s="131" t="s">
        <v>197</v>
      </c>
    </row>
    <row r="6" spans="2:50">
      <c r="B6" s="137">
        <v>2</v>
      </c>
      <c r="C6" s="131" t="s">
        <v>198</v>
      </c>
    </row>
    <row r="7" spans="2:50">
      <c r="B7" s="138">
        <v>3</v>
      </c>
      <c r="C7" s="132" t="s">
        <v>199</v>
      </c>
    </row>
    <row r="9" spans="2:50">
      <c r="D9" s="102" t="s">
        <v>184</v>
      </c>
      <c r="E9" s="102" t="s">
        <v>185</v>
      </c>
      <c r="F9" s="102" t="s">
        <v>186</v>
      </c>
      <c r="G9" s="102" t="s">
        <v>417</v>
      </c>
      <c r="H9" s="102">
        <v>2012</v>
      </c>
      <c r="I9" s="103"/>
      <c r="J9" s="102" t="s">
        <v>453</v>
      </c>
      <c r="K9" s="102" t="s">
        <v>474</v>
      </c>
      <c r="L9" s="102" t="s">
        <v>501</v>
      </c>
      <c r="M9" s="102" t="s">
        <v>502</v>
      </c>
      <c r="N9" s="102">
        <v>2013</v>
      </c>
      <c r="P9" s="102" t="s">
        <v>503</v>
      </c>
      <c r="Q9" s="102" t="s">
        <v>511</v>
      </c>
      <c r="R9" s="102" t="s">
        <v>521</v>
      </c>
      <c r="S9" s="102" t="s">
        <v>531</v>
      </c>
      <c r="T9" s="102">
        <v>2014</v>
      </c>
      <c r="V9" s="102" t="s">
        <v>534</v>
      </c>
      <c r="W9" s="102" t="s">
        <v>576</v>
      </c>
      <c r="X9" s="102" t="s">
        <v>654</v>
      </c>
      <c r="Y9" s="102" t="s">
        <v>655</v>
      </c>
      <c r="Z9" s="102">
        <v>2015</v>
      </c>
      <c r="AB9" s="102" t="s">
        <v>656</v>
      </c>
      <c r="AC9" s="102" t="s">
        <v>657</v>
      </c>
      <c r="AD9" s="102" t="s">
        <v>658</v>
      </c>
      <c r="AE9" s="102" t="s">
        <v>659</v>
      </c>
      <c r="AF9" s="102">
        <v>2016</v>
      </c>
      <c r="AH9" s="102" t="s">
        <v>577</v>
      </c>
      <c r="AI9" s="102" t="s">
        <v>578</v>
      </c>
      <c r="AJ9" s="102" t="s">
        <v>579</v>
      </c>
      <c r="AK9" s="102" t="s">
        <v>580</v>
      </c>
      <c r="AL9" s="102">
        <v>2017</v>
      </c>
      <c r="AN9" s="102" t="s">
        <v>660</v>
      </c>
      <c r="AO9" s="102" t="s">
        <v>661</v>
      </c>
      <c r="AP9" s="102" t="s">
        <v>662</v>
      </c>
      <c r="AQ9" s="102" t="s">
        <v>663</v>
      </c>
      <c r="AR9" s="102">
        <v>2018</v>
      </c>
      <c r="AT9" s="102" t="s">
        <v>694</v>
      </c>
      <c r="AU9" s="102" t="s">
        <v>695</v>
      </c>
      <c r="AV9" s="102" t="s">
        <v>696</v>
      </c>
      <c r="AW9" s="102" t="s">
        <v>697</v>
      </c>
      <c r="AX9" s="102">
        <v>2019</v>
      </c>
    </row>
    <row r="10" spans="2:50">
      <c r="B10" s="111" t="s">
        <v>0</v>
      </c>
      <c r="C10" s="108" t="s">
        <v>401</v>
      </c>
      <c r="D10" s="104">
        <f>INDEX(Model!$O$9:$JH$69,MATCH($B10,Model!$B$9:$B$69,0),MATCH(D$9,Model!$O$8:$JH$8,0))</f>
        <v>52.1</v>
      </c>
      <c r="E10" s="104">
        <f>INDEX(Model!$O$9:$JH$69,MATCH($B10,Model!$B$9:$B$69,0),MATCH(E$9,Model!$O$8:$JH$8,0))</f>
        <v>54</v>
      </c>
      <c r="F10" s="104">
        <f>INDEX(Model!$O$9:$JH$69,MATCH($B10,Model!$B$9:$B$69,0),MATCH(F$9,Model!$O$8:$JH$8,0))</f>
        <v>56.7</v>
      </c>
      <c r="G10" s="104">
        <f>INDEX(Model!$O$9:$JH$69,MATCH($B10,Model!$B$9:$B$69,0),MATCH(G$9,Model!$O$8:$JH$8,0))</f>
        <v>58</v>
      </c>
      <c r="H10" s="105">
        <f>INDEX(Model!$O$9:$JH$69,MATCH($B10,Model!$B$9:$B$69,0),MATCH(H$9,Model!$O$8:$JH$8,0))</f>
        <v>220.8</v>
      </c>
      <c r="I10" s="106"/>
      <c r="J10" s="104">
        <f>INDEX(Model!$O$9:$JH$69,MATCH($B10,Model!$B$9:$B$69,0),MATCH(J$9,Model!$O$8:$JH$8,0))</f>
        <v>60.1</v>
      </c>
      <c r="K10" s="104">
        <f>INDEX(Model!$O$9:$JH$69,MATCH($B10,Model!$B$9:$B$69,0),MATCH(K$9,Model!$O$8:$JH$8,0))</f>
        <v>63.6</v>
      </c>
      <c r="L10" s="104">
        <f>INDEX(Model!$O$9:$JH$69,MATCH($B10,Model!$B$9:$B$69,0),MATCH(L$9,Model!$O$8:$JH$8,0))</f>
        <v>67.5</v>
      </c>
      <c r="M10" s="104">
        <f>INDEX(Model!$O$9:$JH$69,MATCH($B10,Model!$B$9:$B$69,0),MATCH(M$9,Model!$O$8:$JH$8,0))</f>
        <v>72.3</v>
      </c>
      <c r="N10" s="105">
        <f>INDEX(Model!$O$9:$JH$69,MATCH($B10,Model!$B$9:$B$69,0),MATCH(N$9,Model!$O$8:$JH$8,0))</f>
        <v>263.5</v>
      </c>
      <c r="P10" s="104">
        <f>INDEX(Model!$O$9:$JH$69,MATCH($B10,Model!$B$9:$B$69,0),MATCH(P$9,Model!$O$8:$JH$8,0))</f>
        <v>77.5</v>
      </c>
      <c r="Q10" s="104">
        <f>INDEX(Model!$O$9:$JH$69,MATCH($B10,Model!$B$9:$B$69,0),MATCH(Q$9,Model!$O$8:$JH$8,0))</f>
        <v>81.7</v>
      </c>
      <c r="R10" s="104">
        <f>INDEX(Model!$O$9:$JH$69,MATCH($B10,Model!$B$9:$B$69,0),MATCH(R$9,Model!$O$8:$JH$8,0))</f>
        <v>84.8</v>
      </c>
      <c r="S10" s="104">
        <f>INDEX(Model!$O$9:$JH$69,MATCH($B10,Model!$B$9:$B$69,0),MATCH(S$9,Model!$O$8:$JH$8,0))</f>
        <v>86.9</v>
      </c>
      <c r="T10" s="105">
        <f>INDEX(Model!$O$9:$JH$69,MATCH($B10,Model!$B$9:$B$69,0),MATCH(T$9,Model!$O$8:$JH$8,0))</f>
        <v>330.9</v>
      </c>
      <c r="U10" s="140"/>
      <c r="V10" s="104">
        <f>INDEX(Model!$O$9:$JH$69,MATCH($B10,Model!$B$9:$B$69,0),MATCH(V$9,Model!$O$8:$JH$8,0))</f>
        <v>85.7</v>
      </c>
      <c r="W10" s="104">
        <f>INDEX(Model!$O$9:$JH$69,MATCH($B10,Model!$B$9:$B$69,0),MATCH(W$9,Model!$O$8:$JH$8,0))</f>
        <v>89.1</v>
      </c>
      <c r="X10" s="104">
        <f>INDEX(Model!$O$9:$JH$69,MATCH($B10,Model!$B$9:$B$69,0),MATCH(X$9,Model!$O$8:$JH$8,0))</f>
        <v>111.2</v>
      </c>
      <c r="Y10" s="104">
        <f>INDEX(Model!$O$9:$JH$69,MATCH($B10,Model!$B$9:$B$69,0),MATCH(Y$9,Model!$O$8:$JH$8,0))</f>
        <v>113.3</v>
      </c>
      <c r="Z10" s="105">
        <f>INDEX(Model!$O$9:$JH$69,MATCH($B10,Model!$B$9:$B$69,0),MATCH(Z$9,Model!$O$8:$JH$8,0))</f>
        <v>399.3</v>
      </c>
      <c r="AB10" s="104">
        <f>INDEX(Model!$O$9:$JH$69,MATCH($B10,Model!$B$9:$B$69,0),MATCH(AB$9,Model!$O$8:$JH$8,0))</f>
        <v>117.8</v>
      </c>
      <c r="AC10" s="104">
        <f>INDEX(Model!$O$9:$JH$69,MATCH($B10,Model!$B$9:$B$69,0),MATCH(AC$9,Model!$O$8:$JH$8,0))</f>
        <v>130.1</v>
      </c>
      <c r="AD10" s="104">
        <f>INDEX(Model!$O$9:$JH$69,MATCH($B10,Model!$B$9:$B$69,0),MATCH(AD$9,Model!$O$8:$JH$8,0))</f>
        <v>143.80000000000001</v>
      </c>
      <c r="AE10" s="104">
        <f>INDEX(Model!$O$9:$JH$69,MATCH($B10,Model!$B$9:$B$69,0),MATCH(AE$9,Model!$O$8:$JH$8,0))</f>
        <v>137.4</v>
      </c>
      <c r="AF10" s="105">
        <f>INDEX(Model!$O$9:$JH$69,MATCH($B10,Model!$B$9:$B$69,0),MATCH(AF$9,Model!$O$8:$JH$8,0))</f>
        <v>529.1</v>
      </c>
      <c r="AH10" s="104" t="e">
        <f>INDEX(Model!$O$9:$JH$69,MATCH($B10,Model!$B$9:$B$69,0),MATCH(AH$9,Model!$O$8:$JH$8,0))</f>
        <v>#N/A</v>
      </c>
      <c r="AI10" s="104" t="e">
        <f>INDEX(Model!$O$9:$JH$69,MATCH($B10,Model!$B$9:$B$69,0),MATCH(AI$9,Model!$O$8:$JH$8,0))</f>
        <v>#N/A</v>
      </c>
      <c r="AJ10" s="104" t="e">
        <f>INDEX(Model!$O$9:$JH$69,MATCH($B10,Model!$B$9:$B$69,0),MATCH(AJ$9,Model!$O$8:$JH$8,0))</f>
        <v>#N/A</v>
      </c>
      <c r="AK10" s="104" t="e">
        <f>INDEX(Model!$O$9:$JH$69,MATCH($B10,Model!$B$9:$B$69,0),MATCH(AK$9,Model!$O$8:$JH$8,0))</f>
        <v>#N/A</v>
      </c>
      <c r="AL10" s="105">
        <f>INDEX(Model!$O$9:$JH$69,MATCH($B10,Model!$B$9:$B$69,0),MATCH(AL$9,Model!$O$8:$JH$8,0))</f>
        <v>672</v>
      </c>
      <c r="AN10" s="104">
        <f ca="1">INDEX(Model!$O$9:$JH$69,MATCH($B10,Model!$B$9:$B$69,0),MATCH(AN$9,Model!$O$8:$JH$8,0))</f>
        <v>187.2652292468824</v>
      </c>
      <c r="AO10" s="104">
        <f ca="1">INDEX(Model!$O$9:$JH$69,MATCH($B10,Model!$B$9:$B$69,0),MATCH(AO$9,Model!$O$8:$JH$8,0))</f>
        <v>199.47129512435455</v>
      </c>
      <c r="AP10" s="104">
        <f ca="1">INDEX(Model!$O$9:$JH$69,MATCH($B10,Model!$B$9:$B$69,0),MATCH(AP$9,Model!$O$8:$JH$8,0))</f>
        <v>208.98736999094336</v>
      </c>
      <c r="AQ10" s="104">
        <f ca="1">INDEX(Model!$O$9:$JH$69,MATCH($B10,Model!$B$9:$B$69,0),MATCH(AQ$9,Model!$O$8:$JH$8,0))</f>
        <v>218.09349893760321</v>
      </c>
      <c r="AR10" s="105">
        <f ca="1">INDEX(Model!$O$9:$JH$69,MATCH($B10,Model!$B$9:$B$69,0),MATCH(AR$9,Model!$O$8:$JH$8,0))</f>
        <v>813.81739329978359</v>
      </c>
      <c r="AT10" s="104">
        <f ca="1">INDEX(Model!$O$9:$JH$69,MATCH($B10,Model!$B$9:$B$69,0),MATCH(AT$9,Model!$O$8:$JH$8,0))</f>
        <v>226.03272799712724</v>
      </c>
      <c r="AU10" s="104">
        <f ca="1">INDEX(Model!$O$9:$JH$69,MATCH($B10,Model!$B$9:$B$69,0),MATCH(AU$9,Model!$O$8:$JH$8,0))</f>
        <v>233.91559553718091</v>
      </c>
      <c r="AV10" s="104">
        <f ca="1">INDEX(Model!$O$9:$JH$69,MATCH($B10,Model!$B$9:$B$69,0),MATCH(AV$9,Model!$O$8:$JH$8,0))</f>
        <v>241.74299471193902</v>
      </c>
      <c r="AW10" s="104">
        <f ca="1">INDEX(Model!$O$9:$JH$69,MATCH($B10,Model!$B$9:$B$69,0),MATCH(AW$9,Model!$O$8:$JH$8,0))</f>
        <v>249.51580506387006</v>
      </c>
      <c r="AX10" s="105">
        <f ca="1">INDEX(Model!$O$9:$JH$69,MATCH($B10,Model!$B$9:$B$69,0),MATCH(AX$9,Model!$O$8:$JH$8,0))</f>
        <v>951.20712331011725</v>
      </c>
    </row>
    <row r="11" spans="2:50">
      <c r="K11" s="116"/>
      <c r="L11" s="116"/>
      <c r="M11" s="116"/>
      <c r="P11" s="116"/>
      <c r="Q11" s="116"/>
      <c r="R11" s="116"/>
      <c r="S11" s="116"/>
      <c r="V11" s="116"/>
      <c r="W11" s="116"/>
      <c r="X11" s="116"/>
      <c r="Y11" s="116"/>
      <c r="AB11" s="116"/>
      <c r="AC11" s="116"/>
      <c r="AD11" s="116"/>
      <c r="AE11" s="116"/>
      <c r="AH11" s="116"/>
      <c r="AI11" s="116"/>
      <c r="AJ11" s="116"/>
      <c r="AK11" s="116"/>
      <c r="AN11" s="116"/>
      <c r="AO11" s="116"/>
      <c r="AP11" s="116"/>
      <c r="AQ11" s="116"/>
      <c r="AT11" s="116"/>
      <c r="AU11" s="116"/>
      <c r="AV11" s="116"/>
      <c r="AW11" s="116"/>
    </row>
    <row r="12" spans="2:50">
      <c r="B12" s="111" t="s">
        <v>1</v>
      </c>
      <c r="C12" s="108" t="s">
        <v>402</v>
      </c>
      <c r="D12" s="104">
        <f>INDEX(Model!$O$9:$JH$69,MATCH($B12,Model!$B$9:$B$69,0),MATCH(D$9,Model!$O$8:$JH$8,0))</f>
        <v>-17.3</v>
      </c>
      <c r="E12" s="104">
        <f>INDEX(Model!$O$9:$JH$69,MATCH($B12,Model!$B$9:$B$69,0),MATCH(E$9,Model!$O$8:$JH$8,0))</f>
        <v>-18.100000000000001</v>
      </c>
      <c r="F12" s="104">
        <f>INDEX(Model!$O$9:$JH$69,MATCH($B12,Model!$B$9:$B$69,0),MATCH(F$9,Model!$O$8:$JH$8,0))</f>
        <v>-20</v>
      </c>
      <c r="G12" s="104">
        <f>INDEX(Model!$O$9:$JH$69,MATCH($B12,Model!$B$9:$B$69,0),MATCH(G$9,Model!$O$8:$JH$8,0))</f>
        <v>-20.6</v>
      </c>
      <c r="H12" s="105">
        <f>INDEX(Model!$O$9:$JH$69,MATCH($B12,Model!$B$9:$B$69,0),MATCH(H$9,Model!$O$8:$JH$8,0))</f>
        <v>-76</v>
      </c>
      <c r="I12" s="106"/>
      <c r="J12" s="104">
        <f>INDEX(Model!$O$9:$JH$69,MATCH($B12,Model!$B$9:$B$69,0),MATCH(J$9,Model!$O$8:$JH$8,0))</f>
        <v>-20.100000000000001</v>
      </c>
      <c r="K12" s="104">
        <f>INDEX(Model!$O$9:$JH$69,MATCH($B12,Model!$B$9:$B$69,0),MATCH(K$9,Model!$O$8:$JH$8,0))</f>
        <v>-24.6</v>
      </c>
      <c r="L12" s="104">
        <f>INDEX(Model!$O$9:$JH$69,MATCH($B12,Model!$B$9:$B$69,0),MATCH(L$9,Model!$O$8:$JH$8,0))</f>
        <v>-24.2</v>
      </c>
      <c r="M12" s="104">
        <f>INDEX(Model!$O$9:$JH$69,MATCH($B12,Model!$B$9:$B$69,0),MATCH(M$9,Model!$O$8:$JH$8,0))</f>
        <v>-24.3</v>
      </c>
      <c r="N12" s="105">
        <f>INDEX(Model!$O$9:$JH$69,MATCH($B12,Model!$B$9:$B$69,0),MATCH(N$9,Model!$O$8:$JH$8,0))</f>
        <v>-93.2</v>
      </c>
      <c r="P12" s="104">
        <f>INDEX(Model!$O$9:$JH$69,MATCH($B12,Model!$B$9:$B$69,0),MATCH(P$9,Model!$O$8:$JH$8,0))</f>
        <v>-27.7</v>
      </c>
      <c r="Q12" s="104">
        <f>INDEX(Model!$O$9:$JH$69,MATCH($B12,Model!$B$9:$B$69,0),MATCH(Q$9,Model!$O$8:$JH$8,0))</f>
        <v>-31.8</v>
      </c>
      <c r="R12" s="104">
        <f>INDEX(Model!$O$9:$JH$69,MATCH($B12,Model!$B$9:$B$69,0),MATCH(R$9,Model!$O$8:$JH$8,0))</f>
        <v>-33</v>
      </c>
      <c r="S12" s="104">
        <f>INDEX(Model!$O$9:$JH$69,MATCH($B12,Model!$B$9:$B$69,0),MATCH(S$9,Model!$O$8:$JH$8,0))</f>
        <v>-32</v>
      </c>
      <c r="T12" s="105">
        <f>INDEX(Model!$O$9:$JH$69,MATCH($B12,Model!$B$9:$B$69,0),MATCH(T$9,Model!$O$8:$JH$8,0))</f>
        <v>-124.5</v>
      </c>
      <c r="V12" s="104">
        <f>INDEX(Model!$O$9:$JH$69,MATCH($B12,Model!$B$9:$B$69,0),MATCH(V$9,Model!$O$8:$JH$8,0))</f>
        <v>-32.299999999999997</v>
      </c>
      <c r="W12" s="104">
        <f>INDEX(Model!$O$9:$JH$69,MATCH($B12,Model!$B$9:$B$69,0),MATCH(W$9,Model!$O$8:$JH$8,0))</f>
        <v>-32.799999999999997</v>
      </c>
      <c r="X12" s="104">
        <f>INDEX(Model!$O$9:$JH$69,MATCH($B12,Model!$B$9:$B$69,0),MATCH(X$9,Model!$O$8:$JH$8,0))</f>
        <v>-42.2</v>
      </c>
      <c r="Y12" s="104">
        <f>INDEX(Model!$O$9:$JH$69,MATCH($B12,Model!$B$9:$B$69,0),MATCH(Y$9,Model!$O$8:$JH$8,0))</f>
        <v>-41.4</v>
      </c>
      <c r="Z12" s="105">
        <f>INDEX(Model!$O$9:$JH$69,MATCH($B12,Model!$B$9:$B$69,0),MATCH(Z$9,Model!$O$8:$JH$8,0))</f>
        <v>-148.69999999999999</v>
      </c>
      <c r="AB12" s="104">
        <f>INDEX(Model!$O$9:$JH$69,MATCH($B12,Model!$B$9:$B$69,0),MATCH(AB$9,Model!$O$8:$JH$8,0))</f>
        <v>-40.299999999999997</v>
      </c>
      <c r="AC12" s="104">
        <f>INDEX(Model!$O$9:$JH$69,MATCH($B12,Model!$B$9:$B$69,0),MATCH(AC$9,Model!$O$8:$JH$8,0))</f>
        <v>-44.8</v>
      </c>
      <c r="AD12" s="104">
        <f>INDEX(Model!$O$9:$JH$69,MATCH($B12,Model!$B$9:$B$69,0),MATCH(AD$9,Model!$O$8:$JH$8,0))</f>
        <v>-54.6</v>
      </c>
      <c r="AE12" s="104">
        <f>INDEX(Model!$O$9:$JH$69,MATCH($B12,Model!$B$9:$B$69,0),MATCH(AE$9,Model!$O$8:$JH$8,0))</f>
        <v>-47.8</v>
      </c>
      <c r="AF12" s="105">
        <f>INDEX(Model!$O$9:$JH$69,MATCH($B12,Model!$B$9:$B$69,0),MATCH(AF$9,Model!$O$8:$JH$8,0))</f>
        <v>-187.5</v>
      </c>
      <c r="AH12" s="104" t="e">
        <f>INDEX(Model!$O$9:$JH$69,MATCH($B12,Model!$B$9:$B$69,0),MATCH(AH$9,Model!$O$8:$JH$8,0))</f>
        <v>#N/A</v>
      </c>
      <c r="AI12" s="104" t="e">
        <f>INDEX(Model!$O$9:$JH$69,MATCH($B12,Model!$B$9:$B$69,0),MATCH(AI$9,Model!$O$8:$JH$8,0))</f>
        <v>#N/A</v>
      </c>
      <c r="AJ12" s="104" t="e">
        <f>INDEX(Model!$O$9:$JH$69,MATCH($B12,Model!$B$9:$B$69,0),MATCH(AJ$9,Model!$O$8:$JH$8,0))</f>
        <v>#N/A</v>
      </c>
      <c r="AK12" s="104" t="e">
        <f>INDEX(Model!$O$9:$JH$69,MATCH($B12,Model!$B$9:$B$69,0),MATCH(AK$9,Model!$O$8:$JH$8,0))</f>
        <v>#N/A</v>
      </c>
      <c r="AL12" s="105">
        <f>INDEX(Model!$O$9:$JH$69,MATCH($B12,Model!$B$9:$B$69,0),MATCH(AL$9,Model!$O$8:$JH$8,0))</f>
        <v>-235.10000000000002</v>
      </c>
      <c r="AN12" s="104">
        <f ca="1">INDEX(Model!$O$9:$JH$69,MATCH($B12,Model!$B$9:$B$69,0),MATCH(AN$9,Model!$O$8:$JH$8,0))</f>
        <v>-63.726620913237461</v>
      </c>
      <c r="AO12" s="104">
        <f ca="1">INDEX(Model!$O$9:$JH$69,MATCH($B12,Model!$B$9:$B$69,0),MATCH(AO$9,Model!$O$8:$JH$8,0))</f>
        <v>-68.239142013587227</v>
      </c>
      <c r="AP12" s="104">
        <f ca="1">INDEX(Model!$O$9:$JH$69,MATCH($B12,Model!$B$9:$B$69,0),MATCH(AP$9,Model!$O$8:$JH$8,0))</f>
        <v>-71.971888305979718</v>
      </c>
      <c r="AQ12" s="104">
        <f ca="1">INDEX(Model!$O$9:$JH$69,MATCH($B12,Model!$B$9:$B$69,0),MATCH(AQ$9,Model!$O$8:$JH$8,0))</f>
        <v>-69.466706302881732</v>
      </c>
      <c r="AR12" s="105">
        <f ca="1">INDEX(Model!$O$9:$JH$69,MATCH($B12,Model!$B$9:$B$69,0),MATCH(AR$9,Model!$O$8:$JH$8,0))</f>
        <v>-273.40435753568613</v>
      </c>
      <c r="AT12" s="104">
        <f ca="1">INDEX(Model!$O$9:$JH$69,MATCH($B12,Model!$B$9:$B$69,0),MATCH(AT$9,Model!$O$8:$JH$8,0))</f>
        <v>-73.528764346955626</v>
      </c>
      <c r="AU12" s="104">
        <f ca="1">INDEX(Model!$O$9:$JH$69,MATCH($B12,Model!$B$9:$B$69,0),MATCH(AU$9,Model!$O$8:$JH$8,0))</f>
        <v>-80.022539248583882</v>
      </c>
      <c r="AV12" s="104">
        <f ca="1">INDEX(Model!$O$9:$JH$69,MATCH($B12,Model!$B$9:$B$69,0),MATCH(AV$9,Model!$O$8:$JH$8,0))</f>
        <v>-83.25239852970401</v>
      </c>
      <c r="AW12" s="104">
        <f ca="1">INDEX(Model!$O$9:$JH$69,MATCH($B12,Model!$B$9:$B$69,0),MATCH(AW$9,Model!$O$8:$JH$8,0))</f>
        <v>-79.475276579692789</v>
      </c>
      <c r="AX12" s="105">
        <f ca="1">INDEX(Model!$O$9:$JH$69,MATCH($B12,Model!$B$9:$B$69,0),MATCH(AX$9,Model!$O$8:$JH$8,0))</f>
        <v>-316.27897870493632</v>
      </c>
    </row>
    <row r="13" spans="2:50">
      <c r="P13" s="104"/>
      <c r="Q13" s="104"/>
      <c r="R13" s="104"/>
      <c r="S13" s="104"/>
      <c r="V13" s="104"/>
      <c r="W13" s="104"/>
      <c r="X13" s="104"/>
      <c r="Y13" s="104"/>
      <c r="AB13" s="104"/>
      <c r="AC13" s="104"/>
      <c r="AD13" s="104"/>
      <c r="AE13" s="104"/>
      <c r="AH13" s="104"/>
      <c r="AI13" s="104"/>
      <c r="AJ13" s="104"/>
      <c r="AK13" s="104"/>
      <c r="AN13" s="104"/>
      <c r="AO13" s="104"/>
      <c r="AP13" s="104"/>
      <c r="AQ13" s="104"/>
      <c r="AT13" s="104"/>
      <c r="AU13" s="104"/>
      <c r="AV13" s="104"/>
      <c r="AW13" s="104"/>
    </row>
    <row r="14" spans="2:50">
      <c r="B14" s="110" t="s">
        <v>7</v>
      </c>
      <c r="C14" s="108" t="s">
        <v>403</v>
      </c>
      <c r="D14" s="104">
        <f>INDEX(Model!$O$9:$JH$69,MATCH($B14,Model!$B$9:$B$69,0),MATCH(D$9,Model!$O$8:$JH$8,0))</f>
        <v>34.799999999999997</v>
      </c>
      <c r="E14" s="104">
        <f>INDEX(Model!$O$9:$JH$69,MATCH($B14,Model!$B$9:$B$69,0),MATCH(E$9,Model!$O$8:$JH$8,0))</f>
        <v>35.9</v>
      </c>
      <c r="F14" s="104">
        <f>INDEX(Model!$O$9:$JH$69,MATCH($B14,Model!$B$9:$B$69,0),MATCH(F$9,Model!$O$8:$JH$8,0))</f>
        <v>36.700000000000003</v>
      </c>
      <c r="G14" s="104">
        <f>INDEX(Model!$O$9:$JH$69,MATCH($B14,Model!$B$9:$B$69,0),MATCH(G$9,Model!$O$8:$JH$8,0))</f>
        <v>37.4</v>
      </c>
      <c r="H14" s="105">
        <f>INDEX(Model!$O$9:$JH$69,MATCH($B14,Model!$B$9:$B$69,0),MATCH(H$9,Model!$O$8:$JH$8,0))</f>
        <v>144.80000000000001</v>
      </c>
      <c r="I14" s="106"/>
      <c r="J14" s="104">
        <f>INDEX(Model!$O$9:$JH$69,MATCH($B14,Model!$B$9:$B$69,0),MATCH(J$9,Model!$O$8:$JH$8,0))</f>
        <v>40</v>
      </c>
      <c r="K14" s="104">
        <f>INDEX(Model!$O$9:$JH$69,MATCH($B14,Model!$B$9:$B$69,0),MATCH(K$9,Model!$O$8:$JH$8,0))</f>
        <v>39</v>
      </c>
      <c r="L14" s="104">
        <f>INDEX(Model!$O$9:$JH$69,MATCH($B14,Model!$B$9:$B$69,0),MATCH(L$9,Model!$O$8:$JH$8,0))</f>
        <v>43.3</v>
      </c>
      <c r="M14" s="104">
        <f>INDEX(Model!$O$9:$JH$69,MATCH($B14,Model!$B$9:$B$69,0),MATCH(M$9,Model!$O$8:$JH$8,0))</f>
        <v>48</v>
      </c>
      <c r="N14" s="105">
        <f>INDEX(Model!$O$9:$JH$69,MATCH($B14,Model!$B$9:$B$69,0),MATCH(N$9,Model!$O$8:$JH$8,0))</f>
        <v>170.3</v>
      </c>
      <c r="P14" s="104">
        <f>INDEX(Model!$O$9:$JH$69,MATCH($B14,Model!$B$9:$B$69,0),MATCH(P$9,Model!$O$8:$JH$8,0))</f>
        <v>49.8</v>
      </c>
      <c r="Q14" s="104">
        <f>INDEX(Model!$O$9:$JH$69,MATCH($B14,Model!$B$9:$B$69,0),MATCH(Q$9,Model!$O$8:$JH$8,0))</f>
        <v>49.900000000000006</v>
      </c>
      <c r="R14" s="104">
        <f>INDEX(Model!$O$9:$JH$69,MATCH($B14,Model!$B$9:$B$69,0),MATCH(R$9,Model!$O$8:$JH$8,0))</f>
        <v>51.8</v>
      </c>
      <c r="S14" s="104">
        <f>INDEX(Model!$O$9:$JH$69,MATCH($B14,Model!$B$9:$B$69,0),MATCH(S$9,Model!$O$8:$JH$8,0))</f>
        <v>54.900000000000006</v>
      </c>
      <c r="T14" s="105">
        <f>INDEX(Model!$O$9:$JH$69,MATCH($B14,Model!$B$9:$B$69,0),MATCH(T$9,Model!$O$8:$JH$8,0))</f>
        <v>206.39999999999998</v>
      </c>
      <c r="V14" s="104">
        <f>INDEX(Model!$O$9:$JH$69,MATCH($B14,Model!$B$9:$B$69,0),MATCH(V$9,Model!$O$8:$JH$8,0))</f>
        <v>53.400000000000006</v>
      </c>
      <c r="W14" s="104">
        <f>INDEX(Model!$O$9:$JH$69,MATCH($B14,Model!$B$9:$B$69,0),MATCH(W$9,Model!$O$8:$JH$8,0))</f>
        <v>56.3</v>
      </c>
      <c r="X14" s="104">
        <f>INDEX(Model!$O$9:$JH$69,MATCH($B14,Model!$B$9:$B$69,0),MATCH(X$9,Model!$O$8:$JH$8,0))</f>
        <v>69</v>
      </c>
      <c r="Y14" s="104">
        <f>INDEX(Model!$O$9:$JH$69,MATCH($B14,Model!$B$9:$B$69,0),MATCH(Y$9,Model!$O$8:$JH$8,0))</f>
        <v>71.900000000000006</v>
      </c>
      <c r="Z14" s="105">
        <f>INDEX(Model!$O$9:$JH$69,MATCH($B14,Model!$B$9:$B$69,0),MATCH(Z$9,Model!$O$8:$JH$8,0))</f>
        <v>250.60000000000002</v>
      </c>
      <c r="AB14" s="104">
        <f>INDEX(Model!$O$9:$JH$69,MATCH($B14,Model!$B$9:$B$69,0),MATCH(AB$9,Model!$O$8:$JH$8,0))</f>
        <v>77.5</v>
      </c>
      <c r="AC14" s="104">
        <f>INDEX(Model!$O$9:$JH$69,MATCH($B14,Model!$B$9:$B$69,0),MATCH(AC$9,Model!$O$8:$JH$8,0))</f>
        <v>85.3</v>
      </c>
      <c r="AD14" s="104">
        <f>INDEX(Model!$O$9:$JH$69,MATCH($B14,Model!$B$9:$B$69,0),MATCH(AD$9,Model!$O$8:$JH$8,0))</f>
        <v>89.200000000000017</v>
      </c>
      <c r="AE14" s="104">
        <f>INDEX(Model!$O$9:$JH$69,MATCH($B14,Model!$B$9:$B$69,0),MATCH(AE$9,Model!$O$8:$JH$8,0))</f>
        <v>89.600000000000009</v>
      </c>
      <c r="AF14" s="105">
        <f>INDEX(Model!$O$9:$JH$69,MATCH($B14,Model!$B$9:$B$69,0),MATCH(AF$9,Model!$O$8:$JH$8,0))</f>
        <v>341.6</v>
      </c>
      <c r="AH14" s="104" t="e">
        <f>INDEX(Model!$O$9:$JH$69,MATCH($B14,Model!$B$9:$B$69,0),MATCH(AH$9,Model!$O$8:$JH$8,0))</f>
        <v>#N/A</v>
      </c>
      <c r="AI14" s="104" t="e">
        <f>INDEX(Model!$O$9:$JH$69,MATCH($B14,Model!$B$9:$B$69,0),MATCH(AI$9,Model!$O$8:$JH$8,0))</f>
        <v>#N/A</v>
      </c>
      <c r="AJ14" s="104" t="e">
        <f>INDEX(Model!$O$9:$JH$69,MATCH($B14,Model!$B$9:$B$69,0),MATCH(AJ$9,Model!$O$8:$JH$8,0))</f>
        <v>#N/A</v>
      </c>
      <c r="AK14" s="104" t="e">
        <f>INDEX(Model!$O$9:$JH$69,MATCH($B14,Model!$B$9:$B$69,0),MATCH(AK$9,Model!$O$8:$JH$8,0))</f>
        <v>#N/A</v>
      </c>
      <c r="AL14" s="105">
        <f>INDEX(Model!$O$9:$JH$69,MATCH($B14,Model!$B$9:$B$69,0),MATCH(AL$9,Model!$O$8:$JH$8,0))</f>
        <v>436.9</v>
      </c>
      <c r="AN14" s="104">
        <f ca="1">INDEX(Model!$O$9:$JH$69,MATCH($B14,Model!$B$9:$B$69,0),MATCH(AN$9,Model!$O$8:$JH$8,0))</f>
        <v>123.53860833364493</v>
      </c>
      <c r="AO14" s="104">
        <f ca="1">INDEX(Model!$O$9:$JH$69,MATCH($B14,Model!$B$9:$B$69,0),MATCH(AO$9,Model!$O$8:$JH$8,0))</f>
        <v>131.23215311076734</v>
      </c>
      <c r="AP14" s="104">
        <f ca="1">INDEX(Model!$O$9:$JH$69,MATCH($B14,Model!$B$9:$B$69,0),MATCH(AP$9,Model!$O$8:$JH$8,0))</f>
        <v>137.01548168496365</v>
      </c>
      <c r="AQ14" s="104">
        <f ca="1">INDEX(Model!$O$9:$JH$69,MATCH($B14,Model!$B$9:$B$69,0),MATCH(AQ$9,Model!$O$8:$JH$8,0))</f>
        <v>148.62679263472148</v>
      </c>
      <c r="AR14" s="105">
        <f ca="1">INDEX(Model!$O$9:$JH$69,MATCH($B14,Model!$B$9:$B$69,0),MATCH(AR$9,Model!$O$8:$JH$8,0))</f>
        <v>540.41303576409746</v>
      </c>
      <c r="AT14" s="104">
        <f ca="1">INDEX(Model!$O$9:$JH$69,MATCH($B14,Model!$B$9:$B$69,0),MATCH(AT$9,Model!$O$8:$JH$8,0))</f>
        <v>152.50396365017161</v>
      </c>
      <c r="AU14" s="104">
        <f ca="1">INDEX(Model!$O$9:$JH$69,MATCH($B14,Model!$B$9:$B$69,0),MATCH(AU$9,Model!$O$8:$JH$8,0))</f>
        <v>153.89305628859702</v>
      </c>
      <c r="AV14" s="104">
        <f ca="1">INDEX(Model!$O$9:$JH$69,MATCH($B14,Model!$B$9:$B$69,0),MATCH(AV$9,Model!$O$8:$JH$8,0))</f>
        <v>158.49059618223501</v>
      </c>
      <c r="AW14" s="104">
        <f ca="1">INDEX(Model!$O$9:$JH$69,MATCH($B14,Model!$B$9:$B$69,0),MATCH(AW$9,Model!$O$8:$JH$8,0))</f>
        <v>170.04052848417729</v>
      </c>
      <c r="AX14" s="105">
        <f ca="1">INDEX(Model!$O$9:$JH$69,MATCH($B14,Model!$B$9:$B$69,0),MATCH(AX$9,Model!$O$8:$JH$8,0))</f>
        <v>634.92814460518093</v>
      </c>
    </row>
    <row r="15" spans="2:50">
      <c r="K15" s="116"/>
      <c r="L15" s="116"/>
      <c r="M15" s="116"/>
      <c r="P15" s="116"/>
      <c r="Q15" s="116"/>
      <c r="R15" s="116"/>
      <c r="S15" s="116"/>
      <c r="V15" s="116"/>
      <c r="W15" s="116"/>
      <c r="X15" s="116"/>
      <c r="Y15" s="116"/>
      <c r="AB15" s="116"/>
      <c r="AC15" s="116"/>
      <c r="AD15" s="116"/>
      <c r="AE15" s="116"/>
      <c r="AH15" s="116"/>
      <c r="AI15" s="116"/>
      <c r="AJ15" s="116"/>
      <c r="AK15" s="116"/>
      <c r="AN15" s="116"/>
      <c r="AO15" s="116"/>
      <c r="AP15" s="116"/>
      <c r="AQ15" s="116"/>
      <c r="AT15" s="116"/>
      <c r="AU15" s="116"/>
      <c r="AV15" s="116"/>
      <c r="AW15" s="116"/>
    </row>
    <row r="16" spans="2:50">
      <c r="B16" s="111" t="s">
        <v>2</v>
      </c>
      <c r="C16" s="108" t="s">
        <v>404</v>
      </c>
      <c r="D16" s="104">
        <f>INDEX(Model!$O$9:$JH$69,MATCH($B16,Model!$B$9:$B$69,0),MATCH(D$9,Model!$O$8:$JH$8,0))</f>
        <v>-1.8</v>
      </c>
      <c r="E16" s="104">
        <f>INDEX(Model!$O$9:$JH$69,MATCH($B16,Model!$B$9:$B$69,0),MATCH(E$9,Model!$O$8:$JH$8,0))</f>
        <v>-1.8</v>
      </c>
      <c r="F16" s="104">
        <f>INDEX(Model!$O$9:$JH$69,MATCH($B16,Model!$B$9:$B$69,0),MATCH(F$9,Model!$O$8:$JH$8,0))</f>
        <v>-2.1</v>
      </c>
      <c r="G16" s="104">
        <f>INDEX(Model!$O$9:$JH$69,MATCH($B16,Model!$B$9:$B$69,0),MATCH(G$9,Model!$O$8:$JH$8,0))</f>
        <v>-4</v>
      </c>
      <c r="H16" s="105">
        <f>INDEX(Model!$O$9:$JH$69,MATCH($B16,Model!$B$9:$B$69,0),MATCH(H$9,Model!$O$8:$JH$8,0))</f>
        <v>-9.6999999999999993</v>
      </c>
      <c r="I16" s="106"/>
      <c r="J16" s="104">
        <f>INDEX(Model!$O$9:$JH$69,MATCH($B16,Model!$B$9:$B$69,0),MATCH(J$9,Model!$O$8:$JH$8,0))</f>
        <v>-2.8</v>
      </c>
      <c r="K16" s="104">
        <f>INDEX(Model!$O$9:$JH$69,MATCH($B16,Model!$B$9:$B$69,0),MATCH(K$9,Model!$O$8:$JH$8,0))</f>
        <v>-2.9</v>
      </c>
      <c r="L16" s="104">
        <f>INDEX(Model!$O$9:$JH$69,MATCH($B16,Model!$B$9:$B$69,0),MATCH(L$9,Model!$O$8:$JH$8,0))</f>
        <v>-2.2999999999999998</v>
      </c>
      <c r="M16" s="104">
        <f>INDEX(Model!$O$9:$JH$69,MATCH($B16,Model!$B$9:$B$69,0),MATCH(M$9,Model!$O$8:$JH$8,0))</f>
        <v>-2.6</v>
      </c>
      <c r="N16" s="105">
        <f>INDEX(Model!$O$9:$JH$69,MATCH($B16,Model!$B$9:$B$69,0),MATCH(N$9,Model!$O$8:$JH$8,0))</f>
        <v>-10.6</v>
      </c>
      <c r="P16" s="104">
        <f>INDEX(Model!$O$9:$JH$69,MATCH($B16,Model!$B$9:$B$69,0),MATCH(P$9,Model!$O$8:$JH$8,0))</f>
        <v>-3</v>
      </c>
      <c r="Q16" s="104">
        <f>INDEX(Model!$O$9:$JH$69,MATCH($B16,Model!$B$9:$B$69,0),MATCH(Q$9,Model!$O$8:$JH$8,0))</f>
        <v>-3.5</v>
      </c>
      <c r="R16" s="104">
        <f>INDEX(Model!$O$9:$JH$69,MATCH($B16,Model!$B$9:$B$69,0),MATCH(R$9,Model!$O$8:$JH$8,0))</f>
        <v>-3.2</v>
      </c>
      <c r="S16" s="104">
        <f>INDEX(Model!$O$9:$JH$69,MATCH($B16,Model!$B$9:$B$69,0),MATCH(S$9,Model!$O$8:$JH$8,0))</f>
        <v>-3.1</v>
      </c>
      <c r="T16" s="105">
        <f>INDEX(Model!$O$9:$JH$69,MATCH($B16,Model!$B$9:$B$69,0),MATCH(T$9,Model!$O$8:$JH$8,0))</f>
        <v>-12.799999999999999</v>
      </c>
      <c r="V16" s="104">
        <f>INDEX(Model!$O$9:$JH$69,MATCH($B16,Model!$B$9:$B$69,0),MATCH(V$9,Model!$O$8:$JH$8,0))</f>
        <v>-2.9</v>
      </c>
      <c r="W16" s="104">
        <f>INDEX(Model!$O$9:$JH$69,MATCH($B16,Model!$B$9:$B$69,0),MATCH(W$9,Model!$O$8:$JH$8,0))</f>
        <v>-2.8</v>
      </c>
      <c r="X16" s="104">
        <f>INDEX(Model!$O$9:$JH$69,MATCH($B16,Model!$B$9:$B$69,0),MATCH(X$9,Model!$O$8:$JH$8,0))</f>
        <v>-3.2</v>
      </c>
      <c r="Y16" s="104">
        <f>INDEX(Model!$O$9:$JH$69,MATCH($B16,Model!$B$9:$B$69,0),MATCH(Y$9,Model!$O$8:$JH$8,0))</f>
        <v>-3.2</v>
      </c>
      <c r="Z16" s="105">
        <f>INDEX(Model!$O$9:$JH$69,MATCH($B16,Model!$B$9:$B$69,0),MATCH(Z$9,Model!$O$8:$JH$8,0))</f>
        <v>-12.099999999999998</v>
      </c>
      <c r="AB16" s="104">
        <f>INDEX(Model!$O$9:$JH$69,MATCH($B16,Model!$B$9:$B$69,0),MATCH(AB$9,Model!$O$8:$JH$8,0))</f>
        <v>-4</v>
      </c>
      <c r="AC16" s="104">
        <f>INDEX(Model!$O$9:$JH$69,MATCH($B16,Model!$B$9:$B$69,0),MATCH(AC$9,Model!$O$8:$JH$8,0))</f>
        <v>-4.2</v>
      </c>
      <c r="AD16" s="104">
        <f>INDEX(Model!$O$9:$JH$69,MATCH($B16,Model!$B$9:$B$69,0),MATCH(AD$9,Model!$O$8:$JH$8,0))</f>
        <v>-4.7</v>
      </c>
      <c r="AE16" s="104">
        <f>INDEX(Model!$O$9:$JH$69,MATCH($B16,Model!$B$9:$B$69,0),MATCH(AE$9,Model!$O$8:$JH$8,0))</f>
        <v>-4</v>
      </c>
      <c r="AF16" s="105">
        <f>INDEX(Model!$O$9:$JH$69,MATCH($B16,Model!$B$9:$B$69,0),MATCH(AF$9,Model!$O$8:$JH$8,0))</f>
        <v>-16.899999999999999</v>
      </c>
      <c r="AH16" s="104" t="e">
        <f>INDEX(Model!$O$9:$JH$69,MATCH($B16,Model!$B$9:$B$69,0),MATCH(AH$9,Model!$O$8:$JH$8,0))</f>
        <v>#N/A</v>
      </c>
      <c r="AI16" s="104" t="e">
        <f>INDEX(Model!$O$9:$JH$69,MATCH($B16,Model!$B$9:$B$69,0),MATCH(AI$9,Model!$O$8:$JH$8,0))</f>
        <v>#N/A</v>
      </c>
      <c r="AJ16" s="104" t="e">
        <f>INDEX(Model!$O$9:$JH$69,MATCH($B16,Model!$B$9:$B$69,0),MATCH(AJ$9,Model!$O$8:$JH$8,0))</f>
        <v>#N/A</v>
      </c>
      <c r="AK16" s="104" t="e">
        <f>INDEX(Model!$O$9:$JH$69,MATCH($B16,Model!$B$9:$B$69,0),MATCH(AK$9,Model!$O$8:$JH$8,0))</f>
        <v>#N/A</v>
      </c>
      <c r="AL16" s="105">
        <f>INDEX(Model!$O$9:$JH$69,MATCH($B16,Model!$B$9:$B$69,0),MATCH(AL$9,Model!$O$8:$JH$8,0))</f>
        <v>-17</v>
      </c>
      <c r="AN16" s="104">
        <f ca="1">INDEX(Model!$O$9:$JH$69,MATCH($B16,Model!$B$9:$B$69,0),MATCH(AN$9,Model!$O$8:$JH$8,0))</f>
        <v>-4.0049922901181647</v>
      </c>
      <c r="AO16" s="104">
        <f ca="1">INDEX(Model!$O$9:$JH$69,MATCH($B16,Model!$B$9:$B$69,0),MATCH(AO$9,Model!$O$8:$JH$8,0))</f>
        <v>-4.2544089537156493</v>
      </c>
      <c r="AP16" s="104">
        <f ca="1">INDEX(Model!$O$9:$JH$69,MATCH($B16,Model!$B$9:$B$69,0),MATCH(AP$9,Model!$O$8:$JH$8,0))</f>
        <v>-4.44189840873947</v>
      </c>
      <c r="AQ16" s="104">
        <f ca="1">INDEX(Model!$O$9:$JH$69,MATCH($B16,Model!$B$9:$B$69,0),MATCH(AQ$9,Model!$O$8:$JH$8,0))</f>
        <v>-4.8183249482578034</v>
      </c>
      <c r="AR16" s="105">
        <f ca="1">INDEX(Model!$O$9:$JH$69,MATCH($B16,Model!$B$9:$B$69,0),MATCH(AR$9,Model!$O$8:$JH$8,0))</f>
        <v>-17.519624600831087</v>
      </c>
      <c r="AT16" s="104">
        <f ca="1">INDEX(Model!$O$9:$JH$69,MATCH($B16,Model!$B$9:$B$69,0),MATCH(AT$9,Model!$O$8:$JH$8,0))</f>
        <v>-4.944018771701324</v>
      </c>
      <c r="AU16" s="104">
        <f ca="1">INDEX(Model!$O$9:$JH$69,MATCH($B16,Model!$B$9:$B$69,0),MATCH(AU$9,Model!$O$8:$JH$8,0))</f>
        <v>-4.9890517001290808</v>
      </c>
      <c r="AV16" s="104">
        <f ca="1">INDEX(Model!$O$9:$JH$69,MATCH($B16,Model!$B$9:$B$69,0),MATCH(AV$9,Model!$O$8:$JH$8,0))</f>
        <v>-5.1380991281023816</v>
      </c>
      <c r="AW16" s="104">
        <f ca="1">INDEX(Model!$O$9:$JH$69,MATCH($B16,Model!$B$9:$B$69,0),MATCH(AW$9,Model!$O$8:$JH$8,0))</f>
        <v>-5.512535836145398</v>
      </c>
      <c r="AX16" s="105">
        <f ca="1">INDEX(Model!$O$9:$JH$69,MATCH($B16,Model!$B$9:$B$69,0),MATCH(AX$9,Model!$O$8:$JH$8,0))</f>
        <v>-20.583705436078183</v>
      </c>
    </row>
    <row r="17" spans="2:50">
      <c r="D17" s="104"/>
      <c r="E17" s="104"/>
      <c r="F17" s="104"/>
      <c r="G17" s="104"/>
      <c r="H17" s="105"/>
      <c r="I17" s="106"/>
      <c r="J17" s="104"/>
      <c r="K17" s="104"/>
      <c r="L17" s="104"/>
      <c r="M17" s="104"/>
      <c r="N17" s="105"/>
      <c r="P17" s="104"/>
      <c r="Q17" s="104"/>
      <c r="R17" s="104"/>
      <c r="S17" s="104"/>
      <c r="T17" s="105"/>
      <c r="V17" s="104"/>
      <c r="W17" s="104"/>
      <c r="X17" s="104"/>
      <c r="Y17" s="104"/>
      <c r="Z17" s="105"/>
      <c r="AB17" s="104"/>
      <c r="AC17" s="104"/>
      <c r="AD17" s="104"/>
      <c r="AE17" s="104"/>
      <c r="AF17" s="105"/>
      <c r="AH17" s="104"/>
      <c r="AI17" s="104"/>
      <c r="AJ17" s="104"/>
      <c r="AK17" s="104"/>
      <c r="AL17" s="105"/>
      <c r="AN17" s="104"/>
      <c r="AO17" s="104"/>
      <c r="AP17" s="104"/>
      <c r="AQ17" s="104"/>
      <c r="AR17" s="105"/>
      <c r="AT17" s="104"/>
      <c r="AU17" s="104"/>
      <c r="AV17" s="104"/>
      <c r="AW17" s="104"/>
      <c r="AX17" s="105"/>
    </row>
    <row r="18" spans="2:50">
      <c r="B18" s="111" t="s">
        <v>3</v>
      </c>
      <c r="C18" s="108" t="s">
        <v>405</v>
      </c>
      <c r="D18" s="104">
        <f>INDEX(Model!$O$9:$JH$69,MATCH($B18,Model!$B$9:$B$69,0),MATCH(D$9,Model!$O$8:$JH$8,0))</f>
        <v>-4.5</v>
      </c>
      <c r="E18" s="104">
        <f>INDEX(Model!$O$9:$JH$69,MATCH($B18,Model!$B$9:$B$69,0),MATCH(E$9,Model!$O$8:$JH$8,0))</f>
        <v>-5.5</v>
      </c>
      <c r="F18" s="104">
        <f>INDEX(Model!$O$9:$JH$69,MATCH($B18,Model!$B$9:$B$69,0),MATCH(F$9,Model!$O$8:$JH$8,0))</f>
        <v>-5.3</v>
      </c>
      <c r="G18" s="104">
        <f>INDEX(Model!$O$9:$JH$69,MATCH($B18,Model!$B$9:$B$69,0),MATCH(G$9,Model!$O$8:$JH$8,0))</f>
        <v>-5.4</v>
      </c>
      <c r="H18" s="105">
        <f>INDEX(Model!$O$9:$JH$69,MATCH($B18,Model!$B$9:$B$69,0),MATCH(H$9,Model!$O$8:$JH$8,0))</f>
        <v>-20.700000000000003</v>
      </c>
      <c r="I18" s="106"/>
      <c r="J18" s="104">
        <f>INDEX(Model!$O$9:$JH$69,MATCH($B18,Model!$B$9:$B$69,0),MATCH(J$9,Model!$O$8:$JH$8,0))</f>
        <v>-6.9</v>
      </c>
      <c r="K18" s="104">
        <f>INDEX(Model!$O$9:$JH$69,MATCH($B18,Model!$B$9:$B$69,0),MATCH(K$9,Model!$O$8:$JH$8,0))</f>
        <v>-7.1</v>
      </c>
      <c r="L18" s="104">
        <f>INDEX(Model!$O$9:$JH$69,MATCH($B18,Model!$B$9:$B$69,0),MATCH(L$9,Model!$O$8:$JH$8,0))</f>
        <v>-6.5</v>
      </c>
      <c r="M18" s="104">
        <f>INDEX(Model!$O$9:$JH$69,MATCH($B18,Model!$B$9:$B$69,0),MATCH(M$9,Model!$O$8:$JH$8,0))</f>
        <v>-6.8</v>
      </c>
      <c r="N18" s="105">
        <f>INDEX(Model!$O$9:$JH$69,MATCH($B18,Model!$B$9:$B$69,0),MATCH(N$9,Model!$O$8:$JH$8,0))</f>
        <v>-27.3</v>
      </c>
      <c r="P18" s="104">
        <f>INDEX(Model!$O$9:$JH$69,MATCH($B18,Model!$B$9:$B$69,0),MATCH(P$9,Model!$O$8:$JH$8,0))</f>
        <v>-7.3</v>
      </c>
      <c r="Q18" s="104">
        <f>INDEX(Model!$O$9:$JH$69,MATCH($B18,Model!$B$9:$B$69,0),MATCH(Q$9,Model!$O$8:$JH$8,0))</f>
        <v>-8.4</v>
      </c>
      <c r="R18" s="104">
        <f>INDEX(Model!$O$9:$JH$69,MATCH($B18,Model!$B$9:$B$69,0),MATCH(R$9,Model!$O$8:$JH$8,0))</f>
        <v>-9</v>
      </c>
      <c r="S18" s="104">
        <f>INDEX(Model!$O$9:$JH$69,MATCH($B18,Model!$B$9:$B$69,0),MATCH(S$9,Model!$O$8:$JH$8,0))</f>
        <v>-9.9</v>
      </c>
      <c r="T18" s="105">
        <f>INDEX(Model!$O$9:$JH$69,MATCH($B18,Model!$B$9:$B$69,0),MATCH(T$9,Model!$O$8:$JH$8,0))</f>
        <v>-34.6</v>
      </c>
      <c r="V18" s="104">
        <f>INDEX(Model!$O$9:$JH$69,MATCH($B18,Model!$B$9:$B$69,0),MATCH(V$9,Model!$O$8:$JH$8,0))</f>
        <v>-9.1</v>
      </c>
      <c r="W18" s="104">
        <f>INDEX(Model!$O$9:$JH$69,MATCH($B18,Model!$B$9:$B$69,0),MATCH(W$9,Model!$O$8:$JH$8,0))</f>
        <v>-9.9</v>
      </c>
      <c r="X18" s="104">
        <f>INDEX(Model!$O$9:$JH$69,MATCH($B18,Model!$B$9:$B$69,0),MATCH(X$9,Model!$O$8:$JH$8,0))</f>
        <v>-12.5</v>
      </c>
      <c r="Y18" s="104">
        <f>INDEX(Model!$O$9:$JH$69,MATCH($B18,Model!$B$9:$B$69,0),MATCH(Y$9,Model!$O$8:$JH$8,0))</f>
        <v>-15.1</v>
      </c>
      <c r="Z18" s="105">
        <f>INDEX(Model!$O$9:$JH$69,MATCH($B18,Model!$B$9:$B$69,0),MATCH(Z$9,Model!$O$8:$JH$8,0))</f>
        <v>-46.6</v>
      </c>
      <c r="AB18" s="104">
        <f>INDEX(Model!$O$9:$JH$69,MATCH($B18,Model!$B$9:$B$69,0),MATCH(AB$9,Model!$O$8:$JH$8,0))</f>
        <v>-14</v>
      </c>
      <c r="AC18" s="104">
        <f>INDEX(Model!$O$9:$JH$69,MATCH($B18,Model!$B$9:$B$69,0),MATCH(AC$9,Model!$O$8:$JH$8,0))</f>
        <v>-14.9</v>
      </c>
      <c r="AD18" s="104">
        <f>INDEX(Model!$O$9:$JH$69,MATCH($B18,Model!$B$9:$B$69,0),MATCH(AD$9,Model!$O$8:$JH$8,0))</f>
        <v>-13.9</v>
      </c>
      <c r="AE18" s="104">
        <f>INDEX(Model!$O$9:$JH$69,MATCH($B18,Model!$B$9:$B$69,0),MATCH(AE$9,Model!$O$8:$JH$8,0))</f>
        <v>-17.899999999999999</v>
      </c>
      <c r="AF18" s="105">
        <f>INDEX(Model!$O$9:$JH$69,MATCH($B18,Model!$B$9:$B$69,0),MATCH(AF$9,Model!$O$8:$JH$8,0))</f>
        <v>-60.699999999999996</v>
      </c>
      <c r="AH18" s="104" t="e">
        <f>INDEX(Model!$O$9:$JH$69,MATCH($B18,Model!$B$9:$B$69,0),MATCH(AH$9,Model!$O$8:$JH$8,0))</f>
        <v>#N/A</v>
      </c>
      <c r="AI18" s="104" t="e">
        <f>INDEX(Model!$O$9:$JH$69,MATCH($B18,Model!$B$9:$B$69,0),MATCH(AI$9,Model!$O$8:$JH$8,0))</f>
        <v>#N/A</v>
      </c>
      <c r="AJ18" s="104" t="e">
        <f>INDEX(Model!$O$9:$JH$69,MATCH($B18,Model!$B$9:$B$69,0),MATCH(AJ$9,Model!$O$8:$JH$8,0))</f>
        <v>#N/A</v>
      </c>
      <c r="AK18" s="104" t="e">
        <f>INDEX(Model!$O$9:$JH$69,MATCH($B18,Model!$B$9:$B$69,0),MATCH(AK$9,Model!$O$8:$JH$8,0))</f>
        <v>#N/A</v>
      </c>
      <c r="AL18" s="105">
        <f>INDEX(Model!$O$9:$JH$69,MATCH($B18,Model!$B$9:$B$69,0),MATCH(AL$9,Model!$O$8:$JH$8,0))</f>
        <v>-67</v>
      </c>
      <c r="AN18" s="104">
        <f ca="1">INDEX(Model!$O$9:$JH$69,MATCH($B18,Model!$B$9:$B$69,0),MATCH(AN$9,Model!$O$8:$JH$8,0))</f>
        <v>-16.841506040496895</v>
      </c>
      <c r="AO18" s="104">
        <f ca="1">INDEX(Model!$O$9:$JH$69,MATCH($B18,Model!$B$9:$B$69,0),MATCH(AO$9,Model!$O$8:$JH$8,0))</f>
        <v>-17.890335087419651</v>
      </c>
      <c r="AP18" s="104">
        <f ca="1">INDEX(Model!$O$9:$JH$69,MATCH($B18,Model!$B$9:$B$69,0),MATCH(AP$9,Model!$O$8:$JH$8,0))</f>
        <v>-18.678752282904433</v>
      </c>
      <c r="AQ18" s="104">
        <f ca="1">INDEX(Model!$O$9:$JH$69,MATCH($B18,Model!$B$9:$B$69,0),MATCH(AQ$9,Model!$O$8:$JH$8,0))</f>
        <v>-20.261674141391786</v>
      </c>
      <c r="AR18" s="105">
        <f ca="1">INDEX(Model!$O$9:$JH$69,MATCH($B18,Model!$B$9:$B$69,0),MATCH(AR$9,Model!$O$8:$JH$8,0))</f>
        <v>-73.672267552212759</v>
      </c>
      <c r="AT18" s="104">
        <f ca="1">INDEX(Model!$O$9:$JH$69,MATCH($B18,Model!$B$9:$B$69,0),MATCH(AT$9,Model!$O$8:$JH$8,0))</f>
        <v>-20.790232783564541</v>
      </c>
      <c r="AU18" s="104">
        <f ca="1">INDEX(Model!$O$9:$JH$69,MATCH($B18,Model!$B$9:$B$69,0),MATCH(AU$9,Model!$O$8:$JH$8,0))</f>
        <v>-20.979602021055619</v>
      </c>
      <c r="AV18" s="104">
        <f ca="1">INDEX(Model!$O$9:$JH$69,MATCH($B18,Model!$B$9:$B$69,0),MATCH(AV$9,Model!$O$8:$JH$8,0))</f>
        <v>-21.606365564327962</v>
      </c>
      <c r="AW18" s="104">
        <f ca="1">INDEX(Model!$O$9:$JH$69,MATCH($B18,Model!$B$9:$B$69,0),MATCH(AW$9,Model!$O$8:$JH$8,0))</f>
        <v>-23.180919926355006</v>
      </c>
      <c r="AX18" s="105">
        <f ca="1">INDEX(Model!$O$9:$JH$69,MATCH($B18,Model!$B$9:$B$69,0),MATCH(AX$9,Model!$O$8:$JH$8,0))</f>
        <v>-86.557120295303122</v>
      </c>
    </row>
    <row r="20" spans="2:50">
      <c r="B20" s="110" t="s">
        <v>441</v>
      </c>
      <c r="C20" s="108" t="s">
        <v>454</v>
      </c>
      <c r="D20" s="104">
        <f>INDEX(Model!$O$9:$JH$69,MATCH($B20,Model!$B$9:$B$69,0),MATCH(D$9,Model!$O$8:$JH$8,0))</f>
        <v>27.8</v>
      </c>
      <c r="E20" s="104">
        <f>INDEX(Model!$O$9:$JH$69,MATCH($B20,Model!$B$9:$B$69,0),MATCH(E$9,Model!$O$8:$JH$8,0))</f>
        <v>28.1</v>
      </c>
      <c r="F20" s="104">
        <f>INDEX(Model!$O$9:$JH$69,MATCH($B20,Model!$B$9:$B$69,0),MATCH(F$9,Model!$O$8:$JH$8,0))</f>
        <v>28.400000000000002</v>
      </c>
      <c r="G20" s="104">
        <f>INDEX(Model!$O$9:$JH$69,MATCH($B20,Model!$B$9:$B$69,0),MATCH(G$9,Model!$O$8:$JH$8,0))</f>
        <v>27.6</v>
      </c>
      <c r="H20" s="105">
        <f>INDEX(Model!$O$9:$JH$69,MATCH($B20,Model!$B$9:$B$69,0),MATCH(H$9,Model!$O$8:$JH$8,0))</f>
        <v>111.90000000000002</v>
      </c>
      <c r="I20" s="106"/>
      <c r="J20" s="104">
        <f>INDEX(Model!$O$9:$JH$69,MATCH($B20,Model!$B$9:$B$69,0),MATCH(J$9,Model!$O$8:$JH$8,0))</f>
        <v>30.300000000000004</v>
      </c>
      <c r="K20" s="104">
        <f>INDEX(Model!$O$9:$JH$69,MATCH($B20,Model!$B$9:$B$69,0),MATCH(K$9,Model!$O$8:$JH$8,0))</f>
        <v>29</v>
      </c>
      <c r="L20" s="104">
        <f>INDEX(Model!$O$9:$JH$69,MATCH($B20,Model!$B$9:$B$69,0),MATCH(L$9,Model!$O$8:$JH$8,0))</f>
        <v>34.5</v>
      </c>
      <c r="M20" s="104">
        <f>INDEX(Model!$O$9:$JH$69,MATCH($B20,Model!$B$9:$B$69,0),MATCH(M$9,Model!$O$8:$JH$8,0))</f>
        <v>38.6</v>
      </c>
      <c r="N20" s="105">
        <f>INDEX(Model!$O$9:$JH$69,MATCH($B20,Model!$B$9:$B$69,0),MATCH(N$9,Model!$O$8:$JH$8,0))</f>
        <v>132.4</v>
      </c>
      <c r="P20" s="104">
        <f>INDEX(Model!$O$9:$JH$69,MATCH($B20,Model!$B$9:$B$69,0),MATCH(P$9,Model!$O$8:$JH$8,0))</f>
        <v>39.5</v>
      </c>
      <c r="Q20" s="104">
        <f>INDEX(Model!$O$9:$JH$69,MATCH($B20,Model!$B$9:$B$69,0),MATCH(Q$9,Model!$O$8:$JH$8,0))</f>
        <v>38.000000000000007</v>
      </c>
      <c r="R20" s="104">
        <f>INDEX(Model!$O$9:$JH$69,MATCH($B20,Model!$B$9:$B$69,0),MATCH(R$9,Model!$O$8:$JH$8,0))</f>
        <v>39.599999999999994</v>
      </c>
      <c r="S20" s="104">
        <f>INDEX(Model!$O$9:$JH$69,MATCH($B20,Model!$B$9:$B$69,0),MATCH(S$9,Model!$O$8:$JH$8,0))</f>
        <v>41.900000000000006</v>
      </c>
      <c r="T20" s="105">
        <f>INDEX(Model!$O$9:$JH$69,MATCH($B20,Model!$B$9:$B$69,0),MATCH(T$9,Model!$O$8:$JH$8,0))</f>
        <v>158.99999999999997</v>
      </c>
      <c r="U20" s="140"/>
      <c r="V20" s="104">
        <f>INDEX(Model!$O$9:$JH$69,MATCH($B20,Model!$B$9:$B$69,0),MATCH(V$9,Model!$O$8:$JH$8,0))</f>
        <v>42.100000000000009</v>
      </c>
      <c r="W20" s="104">
        <f>INDEX(Model!$O$9:$JH$69,MATCH($B20,Model!$B$9:$B$69,0),MATCH(W$9,Model!$O$8:$JH$8,0))</f>
        <v>43.9</v>
      </c>
      <c r="X20" s="104">
        <f>INDEX(Model!$O$9:$JH$69,MATCH($B20,Model!$B$9:$B$69,0),MATCH(X$9,Model!$O$8:$JH$8,0))</f>
        <v>55.599999999999994</v>
      </c>
      <c r="Y20" s="104">
        <f>INDEX(Model!$O$9:$JH$69,MATCH($B20,Model!$B$9:$B$69,0),MATCH(Y$9,Model!$O$8:$JH$8,0))</f>
        <v>58.1</v>
      </c>
      <c r="Z20" s="105">
        <f>INDEX(Model!$O$9:$JH$69,MATCH($B20,Model!$B$9:$B$69,0),MATCH(Z$9,Model!$O$8:$JH$8,0))</f>
        <v>199.70000000000005</v>
      </c>
      <c r="AB20" s="104">
        <f>INDEX(Model!$O$9:$JH$69,MATCH($B20,Model!$B$9:$B$69,0),MATCH(AB$9,Model!$O$8:$JH$8,0))</f>
        <v>59.7</v>
      </c>
      <c r="AC20" s="104">
        <f>INDEX(Model!$O$9:$JH$69,MATCH($B20,Model!$B$9:$B$69,0),MATCH(AC$9,Model!$O$8:$JH$8,0))</f>
        <v>66.499999999999986</v>
      </c>
      <c r="AD20" s="104">
        <f>INDEX(Model!$O$9:$JH$69,MATCH($B20,Model!$B$9:$B$69,0),MATCH(AD$9,Model!$O$8:$JH$8,0))</f>
        <v>70.800000000000011</v>
      </c>
      <c r="AE20" s="104">
        <f>INDEX(Model!$O$9:$JH$69,MATCH($B20,Model!$B$9:$B$69,0),MATCH(AE$9,Model!$O$8:$JH$8,0))</f>
        <v>70.000000000000014</v>
      </c>
      <c r="AF20" s="105">
        <f>INDEX(Model!$O$9:$JH$69,MATCH($B20,Model!$B$9:$B$69,0),MATCH(AF$9,Model!$O$8:$JH$8,0))</f>
        <v>267.00000000000006</v>
      </c>
      <c r="AH20" s="104" t="e">
        <f>INDEX(Model!$O$9:$JH$69,MATCH($B20,Model!$B$9:$B$69,0),MATCH(AH$9,Model!$O$8:$JH$8,0))</f>
        <v>#N/A</v>
      </c>
      <c r="AI20" s="104" t="e">
        <f>INDEX(Model!$O$9:$JH$69,MATCH($B20,Model!$B$9:$B$69,0),MATCH(AI$9,Model!$O$8:$JH$8,0))</f>
        <v>#N/A</v>
      </c>
      <c r="AJ20" s="104" t="e">
        <f>INDEX(Model!$O$9:$JH$69,MATCH($B20,Model!$B$9:$B$69,0),MATCH(AJ$9,Model!$O$8:$JH$8,0))</f>
        <v>#N/A</v>
      </c>
      <c r="AK20" s="104" t="e">
        <f>INDEX(Model!$O$9:$JH$69,MATCH($B20,Model!$B$9:$B$69,0),MATCH(AK$9,Model!$O$8:$JH$8,0))</f>
        <v>#N/A</v>
      </c>
      <c r="AL20" s="105">
        <f>INDEX(Model!$O$9:$JH$69,MATCH($B20,Model!$B$9:$B$69,0),MATCH(AL$9,Model!$O$8:$JH$8,0))</f>
        <v>356.9</v>
      </c>
      <c r="AN20" s="104">
        <f ca="1">INDEX(Model!$O$9:$JH$69,MATCH($B20,Model!$B$9:$B$69,0),MATCH(AN$9,Model!$O$8:$JH$8,0))</f>
        <v>102.69211000302987</v>
      </c>
      <c r="AO20" s="104">
        <f ca="1">INDEX(Model!$O$9:$JH$69,MATCH($B20,Model!$B$9:$B$69,0),MATCH(AO$9,Model!$O$8:$JH$8,0))</f>
        <v>109.08740906963203</v>
      </c>
      <c r="AP20" s="104">
        <f ca="1">INDEX(Model!$O$9:$JH$69,MATCH($B20,Model!$B$9:$B$69,0),MATCH(AP$9,Model!$O$8:$JH$8,0))</f>
        <v>113.89483099331974</v>
      </c>
      <c r="AQ20" s="104">
        <f ca="1">INDEX(Model!$O$9:$JH$69,MATCH($B20,Model!$B$9:$B$69,0),MATCH(AQ$9,Model!$O$8:$JH$8,0))</f>
        <v>123.54679354507189</v>
      </c>
      <c r="AR20" s="105">
        <f ca="1">INDEX(Model!$O$9:$JH$69,MATCH($B20,Model!$B$9:$B$69,0),MATCH(AR$9,Model!$O$8:$JH$8,0))</f>
        <v>449.22114361105361</v>
      </c>
      <c r="AT20" s="104">
        <f ca="1">INDEX(Model!$O$9:$JH$69,MATCH($B20,Model!$B$9:$B$69,0),MATCH(AT$9,Model!$O$8:$JH$8,0))</f>
        <v>126.76971209490574</v>
      </c>
      <c r="AU20" s="104">
        <f ca="1">INDEX(Model!$O$9:$JH$69,MATCH($B20,Model!$B$9:$B$69,0),MATCH(AU$9,Model!$O$8:$JH$8,0))</f>
        <v>127.92440256741233</v>
      </c>
      <c r="AV20" s="104">
        <f ca="1">INDEX(Model!$O$9:$JH$69,MATCH($B20,Model!$B$9:$B$69,0),MATCH(AV$9,Model!$O$8:$JH$8,0))</f>
        <v>131.74613148980467</v>
      </c>
      <c r="AW20" s="104">
        <f ca="1">INDEX(Model!$O$9:$JH$69,MATCH($B20,Model!$B$9:$B$69,0),MATCH(AW$9,Model!$O$8:$JH$8,0))</f>
        <v>141.34707272167688</v>
      </c>
      <c r="AX20" s="105">
        <f ca="1">INDEX(Model!$O$9:$JH$69,MATCH($B20,Model!$B$9:$B$69,0),MATCH(AX$9,Model!$O$8:$JH$8,0))</f>
        <v>527.78731887379968</v>
      </c>
    </row>
    <row r="22" spans="2:50">
      <c r="B22" s="110" t="s">
        <v>442</v>
      </c>
      <c r="C22" s="108" t="s">
        <v>470</v>
      </c>
      <c r="D22" s="104">
        <f>INDEX(Model!$O$9:$JH$69,MATCH($B22,Model!$B$9:$B$69,0),MATCH(D$9,Model!$O$8:$JH$8,0))</f>
        <v>28.3</v>
      </c>
      <c r="E22" s="104">
        <f>INDEX(Model!$O$9:$JH$69,MATCH($B22,Model!$B$9:$B$69,0),MATCH(E$9,Model!$O$8:$JH$8,0))</f>
        <v>28.5</v>
      </c>
      <c r="F22" s="104">
        <f>INDEX(Model!$O$9:$JH$69,MATCH($B22,Model!$B$9:$B$69,0),MATCH(F$9,Model!$O$8:$JH$8,0))</f>
        <v>30.1</v>
      </c>
      <c r="G22" s="104">
        <f>INDEX(Model!$O$9:$JH$69,MATCH($B22,Model!$B$9:$B$69,0),MATCH(G$9,Model!$O$8:$JH$8,0))</f>
        <v>28.400000000000002</v>
      </c>
      <c r="H22" s="105">
        <f>INDEX(Model!$O$9:$JH$69,MATCH($B22,Model!$B$9:$B$69,0),MATCH(H$9,Model!$O$8:$JH$8,0))</f>
        <v>115.30000000000003</v>
      </c>
      <c r="I22" s="106"/>
      <c r="J22" s="104">
        <f>INDEX(Model!$O$9:$JH$69,MATCH($B22,Model!$B$9:$B$69,0),MATCH(J$9,Model!$O$8:$JH$8,0))</f>
        <v>31.500000000000004</v>
      </c>
      <c r="K22" s="104">
        <f>INDEX(Model!$O$9:$JH$69,MATCH($B22,Model!$B$9:$B$69,0),MATCH(K$9,Model!$O$8:$JH$8,0))</f>
        <v>30.8</v>
      </c>
      <c r="L22" s="104">
        <f>INDEX(Model!$O$9:$JH$69,MATCH($B22,Model!$B$9:$B$69,0),MATCH(L$9,Model!$O$8:$JH$8,0))</f>
        <v>36.5</v>
      </c>
      <c r="M22" s="104">
        <f>INDEX(Model!$O$9:$JH$69,MATCH($B22,Model!$B$9:$B$69,0),MATCH(M$9,Model!$O$8:$JH$8,0))</f>
        <v>39.9</v>
      </c>
      <c r="N22" s="105">
        <f>INDEX(Model!$O$9:$JH$69,MATCH($B22,Model!$B$9:$B$69,0),MATCH(N$9,Model!$O$8:$JH$8,0))</f>
        <v>138.70000000000002</v>
      </c>
      <c r="P22" s="104">
        <f>INDEX(Model!$O$9:$JH$69,MATCH($B22,Model!$B$9:$B$69,0),MATCH(P$9,Model!$O$8:$JH$8,0))</f>
        <v>41.7</v>
      </c>
      <c r="Q22" s="104">
        <f>INDEX(Model!$O$9:$JH$69,MATCH($B22,Model!$B$9:$B$69,0),MATCH(Q$9,Model!$O$8:$JH$8,0))</f>
        <v>40.800000000000004</v>
      </c>
      <c r="R22" s="104">
        <f>INDEX(Model!$O$9:$JH$69,MATCH($B22,Model!$B$9:$B$69,0),MATCH(R$9,Model!$O$8:$JH$8,0))</f>
        <v>42.199999999999996</v>
      </c>
      <c r="S22" s="104">
        <f>INDEX(Model!$O$9:$JH$69,MATCH($B22,Model!$B$9:$B$69,0),MATCH(S$9,Model!$O$8:$JH$8,0))</f>
        <v>44.600000000000009</v>
      </c>
      <c r="T22" s="105">
        <f>INDEX(Model!$O$9:$JH$69,MATCH($B22,Model!$B$9:$B$69,0),MATCH(T$9,Model!$O$8:$JH$8,0))</f>
        <v>169.29999999999998</v>
      </c>
      <c r="U22" s="140"/>
      <c r="V22" s="104">
        <f>INDEX(Model!$O$9:$JH$69,MATCH($B22,Model!$B$9:$B$69,0),MATCH(V$9,Model!$O$8:$JH$8,0))</f>
        <v>45.100000000000009</v>
      </c>
      <c r="W22" s="104">
        <f>INDEX(Model!$O$9:$JH$69,MATCH($B22,Model!$B$9:$B$69,0),MATCH(W$9,Model!$O$8:$JH$8,0))</f>
        <v>47.1</v>
      </c>
      <c r="X22" s="104">
        <f>INDEX(Model!$O$9:$JH$69,MATCH($B22,Model!$B$9:$B$69,0),MATCH(X$9,Model!$O$8:$JH$8,0))</f>
        <v>58.999999999999993</v>
      </c>
      <c r="Y22" s="104">
        <f>INDEX(Model!$O$9:$JH$69,MATCH($B22,Model!$B$9:$B$69,0),MATCH(Y$9,Model!$O$8:$JH$8,0))</f>
        <v>60.5</v>
      </c>
      <c r="Z22" s="105">
        <f>INDEX(Model!$O$9:$JH$69,MATCH($B22,Model!$B$9:$B$69,0),MATCH(Z$9,Model!$O$8:$JH$8,0))</f>
        <v>211.70000000000005</v>
      </c>
      <c r="AB22" s="104">
        <f>INDEX(Model!$O$9:$JH$69,MATCH($B22,Model!$B$9:$B$69,0),MATCH(AB$9,Model!$O$8:$JH$8,0))</f>
        <v>62.7</v>
      </c>
      <c r="AC22" s="104">
        <f>INDEX(Model!$O$9:$JH$69,MATCH($B22,Model!$B$9:$B$69,0),MATCH(AC$9,Model!$O$8:$JH$8,0))</f>
        <v>69.699999999999989</v>
      </c>
      <c r="AD22" s="104">
        <f>INDEX(Model!$O$9:$JH$69,MATCH($B22,Model!$B$9:$B$69,0),MATCH(AD$9,Model!$O$8:$JH$8,0))</f>
        <v>73.100000000000009</v>
      </c>
      <c r="AE22" s="104">
        <f>INDEX(Model!$O$9:$JH$69,MATCH($B22,Model!$B$9:$B$69,0),MATCH(AE$9,Model!$O$8:$JH$8,0))</f>
        <v>73.000000000000014</v>
      </c>
      <c r="AF22" s="105">
        <f>INDEX(Model!$O$9:$JH$69,MATCH($B22,Model!$B$9:$B$69,0),MATCH(AF$9,Model!$O$8:$JH$8,0))</f>
        <v>278.50000000000006</v>
      </c>
      <c r="AH22" s="104" t="e">
        <f>INDEX(Model!$O$9:$JH$69,MATCH($B22,Model!$B$9:$B$69,0),MATCH(AH$9,Model!$O$8:$JH$8,0))</f>
        <v>#N/A</v>
      </c>
      <c r="AI22" s="104" t="e">
        <f>INDEX(Model!$O$9:$JH$69,MATCH($B22,Model!$B$9:$B$69,0),MATCH(AI$9,Model!$O$8:$JH$8,0))</f>
        <v>#N/A</v>
      </c>
      <c r="AJ22" s="104" t="e">
        <f>INDEX(Model!$O$9:$JH$69,MATCH($B22,Model!$B$9:$B$69,0),MATCH(AJ$9,Model!$O$8:$JH$8,0))</f>
        <v>#N/A</v>
      </c>
      <c r="AK22" s="104" t="e">
        <f>INDEX(Model!$O$9:$JH$69,MATCH($B22,Model!$B$9:$B$69,0),MATCH(AK$9,Model!$O$8:$JH$8,0))</f>
        <v>#N/A</v>
      </c>
      <c r="AL22" s="105">
        <f>INDEX(Model!$O$9:$JH$69,MATCH($B22,Model!$B$9:$B$69,0),MATCH(AL$9,Model!$O$8:$JH$8,0))</f>
        <v>371.59999999999997</v>
      </c>
      <c r="AN22" s="104">
        <f ca="1">INDEX(Model!$O$9:$JH$69,MATCH($B22,Model!$B$9:$B$69,0),MATCH(AN$9,Model!$O$8:$JH$8,0))</f>
        <v>106.38575803998248</v>
      </c>
      <c r="AO22" s="104">
        <f ca="1">INDEX(Model!$O$9:$JH$69,MATCH($B22,Model!$B$9:$B$69,0),MATCH(AO$9,Model!$O$8:$JH$8,0))</f>
        <v>112.94462596814644</v>
      </c>
      <c r="AP22" s="104">
        <f ca="1">INDEX(Model!$O$9:$JH$69,MATCH($B22,Model!$B$9:$B$69,0),MATCH(AP$9,Model!$O$8:$JH$8,0))</f>
        <v>117.84913722811122</v>
      </c>
      <c r="AQ22" s="104">
        <f ca="1">INDEX(Model!$O$9:$JH$69,MATCH($B22,Model!$B$9:$B$69,0),MATCH(AQ$9,Model!$O$8:$JH$8,0))</f>
        <v>127.77969385611222</v>
      </c>
      <c r="AR22" s="105">
        <f ca="1">INDEX(Model!$O$9:$JH$69,MATCH($B22,Model!$B$9:$B$69,0),MATCH(AR$9,Model!$O$8:$JH$8,0))</f>
        <v>464.95921509235239</v>
      </c>
      <c r="AT22" s="104">
        <f ca="1">INDEX(Model!$O$9:$JH$69,MATCH($B22,Model!$B$9:$B$69,0),MATCH(AT$9,Model!$O$8:$JH$8,0))</f>
        <v>131.21639980496909</v>
      </c>
      <c r="AU22" s="104">
        <f ca="1">INDEX(Model!$O$9:$JH$69,MATCH($B22,Model!$B$9:$B$69,0),MATCH(AU$9,Model!$O$8:$JH$8,0))</f>
        <v>132.38308899518393</v>
      </c>
      <c r="AV22" s="104">
        <f ca="1">INDEX(Model!$O$9:$JH$69,MATCH($B22,Model!$B$9:$B$69,0),MATCH(AV$9,Model!$O$8:$JH$8,0))</f>
        <v>136.32139162971509</v>
      </c>
      <c r="AW22" s="104">
        <f ca="1">INDEX(Model!$O$9:$JH$69,MATCH($B22,Model!$B$9:$B$69,0),MATCH(AW$9,Model!$O$8:$JH$8,0))</f>
        <v>146.25606833028036</v>
      </c>
      <c r="AX22" s="105">
        <f ca="1">INDEX(Model!$O$9:$JH$69,MATCH($B22,Model!$B$9:$B$69,0),MATCH(AX$9,Model!$O$8:$JH$8,0))</f>
        <v>546.17694876014855</v>
      </c>
    </row>
    <row r="23" spans="2:50">
      <c r="J23" s="104"/>
    </row>
    <row r="24" spans="2:50">
      <c r="B24" s="112" t="s">
        <v>445</v>
      </c>
      <c r="C24" s="108" t="s">
        <v>406</v>
      </c>
      <c r="D24" s="104">
        <f>INDEX(Model!$O$9:$JH$69,MATCH($B24,Model!$B$9:$B$69,0),MATCH(D$9,Model!$O$8:$JH$8,0))</f>
        <v>14.899999999999999</v>
      </c>
      <c r="E24" s="104">
        <f>INDEX(Model!$O$9:$JH$69,MATCH($B24,Model!$B$9:$B$69,0),MATCH(E$9,Model!$O$8:$JH$8,0))</f>
        <v>20.5</v>
      </c>
      <c r="F24" s="104">
        <f>INDEX(Model!$O$9:$JH$69,MATCH($B24,Model!$B$9:$B$69,0),MATCH(F$9,Model!$O$8:$JH$8,0))</f>
        <v>15.200000000000001</v>
      </c>
      <c r="G24" s="104">
        <f>INDEX(Model!$O$9:$JH$69,MATCH($B24,Model!$B$9:$B$69,0),MATCH(G$9,Model!$O$8:$JH$8,0))</f>
        <v>16.800000000000004</v>
      </c>
      <c r="H24" s="105">
        <f>INDEX(Model!$O$9:$JH$69,MATCH($B24,Model!$B$9:$B$69,0),MATCH(H$9,Model!$O$8:$JH$8,0))</f>
        <v>67.400000000000006</v>
      </c>
      <c r="I24" s="106"/>
      <c r="J24" s="104">
        <f>INDEX(Model!$O$9:$JH$69,MATCH($B24,Model!$B$9:$B$69,0),MATCH(J$9,Model!$O$8:$JH$8,0))</f>
        <v>17.200000000000003</v>
      </c>
      <c r="K24" s="104">
        <f>INDEX(Model!$O$9:$JH$69,MATCH($B24,Model!$B$9:$B$69,0),MATCH(K$9,Model!$O$8:$JH$8,0))</f>
        <v>15.999999999999996</v>
      </c>
      <c r="L24" s="104">
        <f>INDEX(Model!$O$9:$JH$69,MATCH($B24,Model!$B$9:$B$69,0),MATCH(L$9,Model!$O$8:$JH$8,0))</f>
        <v>21.900000000000002</v>
      </c>
      <c r="M24" s="104">
        <f>INDEX(Model!$O$9:$JH$69,MATCH($B24,Model!$B$9:$B$69,0),MATCH(M$9,Model!$O$8:$JH$8,0))</f>
        <v>23.599999999999998</v>
      </c>
      <c r="N24" s="105">
        <f>INDEX(Model!$O$9:$JH$69,MATCH($B24,Model!$B$9:$B$69,0),MATCH(N$9,Model!$O$8:$JH$8,0))</f>
        <v>78.699999999999989</v>
      </c>
      <c r="P24" s="104">
        <f>INDEX(Model!$O$9:$JH$69,MATCH($B24,Model!$B$9:$B$69,0),MATCH(P$9,Model!$O$8:$JH$8,0))</f>
        <v>27.200000000000003</v>
      </c>
      <c r="Q24" s="104">
        <f>INDEX(Model!$O$9:$JH$69,MATCH($B24,Model!$B$9:$B$69,0),MATCH(Q$9,Model!$O$8:$JH$8,0))</f>
        <v>25.600000000000009</v>
      </c>
      <c r="R24" s="104">
        <f>INDEX(Model!$O$9:$JH$69,MATCH($B24,Model!$B$9:$B$69,0),MATCH(R$9,Model!$O$8:$JH$8,0))</f>
        <v>28.899999999999995</v>
      </c>
      <c r="S24" s="104">
        <f>INDEX(Model!$O$9:$JH$69,MATCH($B24,Model!$B$9:$B$69,0),MATCH(S$9,Model!$O$8:$JH$8,0))</f>
        <v>31.200000000000006</v>
      </c>
      <c r="T24" s="105">
        <f>INDEX(Model!$O$9:$JH$69,MATCH($B24,Model!$B$9:$B$69,0),MATCH(T$9,Model!$O$8:$JH$8,0))</f>
        <v>112.9</v>
      </c>
      <c r="V24" s="104">
        <f>INDEX(Model!$O$9:$JH$69,MATCH($B24,Model!$B$9:$B$69,0),MATCH(V$9,Model!$O$8:$JH$8,0))</f>
        <v>31.900000000000006</v>
      </c>
      <c r="W24" s="104">
        <f>INDEX(Model!$O$9:$JH$69,MATCH($B24,Model!$B$9:$B$69,0),MATCH(W$9,Model!$O$8:$JH$8,0))</f>
        <v>33.400000000000013</v>
      </c>
      <c r="X24" s="104">
        <f>INDEX(Model!$O$9:$JH$69,MATCH($B24,Model!$B$9:$B$69,0),MATCH(X$9,Model!$O$8:$JH$8,0))</f>
        <v>41.199999999999989</v>
      </c>
      <c r="Y24" s="104">
        <f>INDEX(Model!$O$9:$JH$69,MATCH($B24,Model!$B$9:$B$69,0),MATCH(Y$9,Model!$O$8:$JH$8,0))</f>
        <v>44.199999999999996</v>
      </c>
      <c r="Z24" s="105">
        <f>INDEX(Model!$O$9:$JH$69,MATCH($B24,Model!$B$9:$B$69,0),MATCH(Z$9,Model!$O$8:$JH$8,0))</f>
        <v>150.69999999999999</v>
      </c>
      <c r="AB24" s="104">
        <f>INDEX(Model!$O$9:$JH$69,MATCH($B24,Model!$B$9:$B$69,0),MATCH(AB$9,Model!$O$8:$JH$8,0))</f>
        <v>45.900000000000006</v>
      </c>
      <c r="AC24" s="104">
        <f>INDEX(Model!$O$9:$JH$69,MATCH($B24,Model!$B$9:$B$69,0),MATCH(AC$9,Model!$O$8:$JH$8,0))</f>
        <v>53.099999999999987</v>
      </c>
      <c r="AD24" s="104">
        <f>INDEX(Model!$O$9:$JH$69,MATCH($B24,Model!$B$9:$B$69,0),MATCH(AD$9,Model!$O$8:$JH$8,0))</f>
        <v>54.800000000000011</v>
      </c>
      <c r="AE24" s="104">
        <f>INDEX(Model!$O$9:$JH$69,MATCH($B24,Model!$B$9:$B$69,0),MATCH(AE$9,Model!$O$8:$JH$8,0))</f>
        <v>56.40000000000002</v>
      </c>
      <c r="AF24" s="105">
        <f>INDEX(Model!$O$9:$JH$69,MATCH($B24,Model!$B$9:$B$69,0),MATCH(AF$9,Model!$O$8:$JH$8,0))</f>
        <v>210.20000000000007</v>
      </c>
      <c r="AH24" s="104" t="e">
        <f>INDEX(Model!$O$9:$JH$69,MATCH($B24,Model!$B$9:$B$69,0),MATCH(AH$9,Model!$O$8:$JH$8,0))</f>
        <v>#N/A</v>
      </c>
      <c r="AI24" s="104" t="e">
        <f>INDEX(Model!$O$9:$JH$69,MATCH($B24,Model!$B$9:$B$69,0),MATCH(AI$9,Model!$O$8:$JH$8,0))</f>
        <v>#N/A</v>
      </c>
      <c r="AJ24" s="104" t="e">
        <f>INDEX(Model!$O$9:$JH$69,MATCH($B24,Model!$B$9:$B$69,0),MATCH(AJ$9,Model!$O$8:$JH$8,0))</f>
        <v>#N/A</v>
      </c>
      <c r="AK24" s="104" t="e">
        <f>INDEX(Model!$O$9:$JH$69,MATCH($B24,Model!$B$9:$B$69,0),MATCH(AK$9,Model!$O$8:$JH$8,0))</f>
        <v>#N/A</v>
      </c>
      <c r="AL24" s="105">
        <f>INDEX(Model!$O$9:$JH$69,MATCH($B24,Model!$B$9:$B$69,0),MATCH(AL$9,Model!$O$8:$JH$8,0))</f>
        <v>228.00000000000003</v>
      </c>
      <c r="AN24" s="104">
        <f ca="1">INDEX(Model!$O$9:$JH$69,MATCH($B24,Model!$B$9:$B$69,0),MATCH(AN$9,Model!$O$8:$JH$8,0))</f>
        <v>75.161143442369806</v>
      </c>
      <c r="AO24" s="104">
        <f ca="1">INDEX(Model!$O$9:$JH$69,MATCH($B24,Model!$B$9:$B$69,0),MATCH(AO$9,Model!$O$8:$JH$8,0))</f>
        <v>76.448870593322283</v>
      </c>
      <c r="AP24" s="104">
        <f ca="1">INDEX(Model!$O$9:$JH$69,MATCH($B24,Model!$B$9:$B$69,0),MATCH(AP$9,Model!$O$8:$JH$8,0))</f>
        <v>77.573715338403147</v>
      </c>
      <c r="AQ24" s="104">
        <f ca="1">INDEX(Model!$O$9:$JH$69,MATCH($B24,Model!$B$9:$B$69,0),MATCH(AQ$9,Model!$O$8:$JH$8,0))</f>
        <v>85.711908082142145</v>
      </c>
      <c r="AR24" s="105">
        <f ca="1">INDEX(Model!$O$9:$JH$69,MATCH($B24,Model!$B$9:$B$69,0),MATCH(AR$9,Model!$O$8:$JH$8,0))</f>
        <v>314.89563745623735</v>
      </c>
      <c r="AT24" s="104">
        <f ca="1">INDEX(Model!$O$9:$JH$69,MATCH($B24,Model!$B$9:$B$69,0),MATCH(AT$9,Model!$O$8:$JH$8,0))</f>
        <v>87.90726113304936</v>
      </c>
      <c r="AU24" s="104">
        <f ca="1">INDEX(Model!$O$9:$JH$69,MATCH($B24,Model!$B$9:$B$69,0),MATCH(AU$9,Model!$O$8:$JH$8,0))</f>
        <v>87.317269757663723</v>
      </c>
      <c r="AV24" s="104">
        <f ca="1">INDEX(Model!$O$9:$JH$69,MATCH($B24,Model!$B$9:$B$69,0),MATCH(AV$9,Model!$O$8:$JH$8,0))</f>
        <v>89.832319019619135</v>
      </c>
      <c r="AW24" s="104">
        <f ca="1">INDEX(Model!$O$9:$JH$69,MATCH($B24,Model!$B$9:$B$69,0),MATCH(AW$9,Model!$O$8:$JH$8,0))</f>
        <v>98.437540310667316</v>
      </c>
      <c r="AX24" s="105">
        <f ca="1">INDEX(Model!$O$9:$JH$69,MATCH($B24,Model!$B$9:$B$69,0),MATCH(AX$9,Model!$O$8:$JH$8,0))</f>
        <v>363.49439022099949</v>
      </c>
    </row>
    <row r="26" spans="2:50">
      <c r="B26" s="112" t="s">
        <v>139</v>
      </c>
      <c r="C26" s="108" t="s">
        <v>407</v>
      </c>
      <c r="D26" s="104">
        <f>INDEX(Model!$O$9:$JH$69,MATCH($B26,Model!$B$9:$B$69,0),MATCH(D$9,Model!$O$8:$JH$8,0))</f>
        <v>12.1</v>
      </c>
      <c r="E26" s="104">
        <f>INDEX(Model!$O$9:$JH$69,MATCH($B26,Model!$B$9:$B$69,0),MATCH(E$9,Model!$O$8:$JH$8,0))</f>
        <v>14.399999999999999</v>
      </c>
      <c r="F26" s="104">
        <f>INDEX(Model!$O$9:$JH$69,MATCH($B26,Model!$B$9:$B$69,0),MATCH(F$9,Model!$O$8:$JH$8,0))</f>
        <v>13.2</v>
      </c>
      <c r="G26" s="104">
        <f>INDEX(Model!$O$9:$JH$69,MATCH($B26,Model!$B$9:$B$69,0),MATCH(G$9,Model!$O$8:$JH$8,0))</f>
        <v>13.500000000000005</v>
      </c>
      <c r="H26" s="105">
        <f>INDEX(Model!$O$9:$JH$69,MATCH($B26,Model!$B$9:$B$69,0),MATCH(H$9,Model!$O$8:$JH$8,0))</f>
        <v>53.2</v>
      </c>
      <c r="I26" s="106"/>
      <c r="J26" s="104">
        <f>INDEX(Model!$O$9:$JH$69,MATCH($B26,Model!$B$9:$B$69,0),MATCH(J$9,Model!$O$8:$JH$8,0))</f>
        <v>17.500000000000004</v>
      </c>
      <c r="K26" s="104">
        <f>INDEX(Model!$O$9:$JH$69,MATCH($B26,Model!$B$9:$B$69,0),MATCH(K$9,Model!$O$8:$JH$8,0))</f>
        <v>14.799999999999997</v>
      </c>
      <c r="L26" s="104">
        <f>INDEX(Model!$O$9:$JH$69,MATCH($B26,Model!$B$9:$B$69,0),MATCH(L$9,Model!$O$8:$JH$8,0))</f>
        <v>19.299999999999997</v>
      </c>
      <c r="M26" s="104">
        <f>INDEX(Model!$O$9:$JH$69,MATCH($B26,Model!$B$9:$B$69,0),MATCH(M$9,Model!$O$8:$JH$8,0))</f>
        <v>20.799999999999997</v>
      </c>
      <c r="N26" s="105">
        <f>INDEX(Model!$O$9:$JH$69,MATCH($B26,Model!$B$9:$B$69,0),MATCH(N$9,Model!$O$8:$JH$8,0))</f>
        <v>72.399999999999977</v>
      </c>
      <c r="P26" s="104">
        <f>INDEX(Model!$O$9:$JH$69,MATCH($B26,Model!$B$9:$B$69,0),MATCH(P$9,Model!$O$8:$JH$8,0))</f>
        <v>27.5</v>
      </c>
      <c r="Q26" s="104">
        <f>INDEX(Model!$O$9:$JH$69,MATCH($B26,Model!$B$9:$B$69,0),MATCH(Q$9,Model!$O$8:$JH$8,0))</f>
        <v>25.300000000000004</v>
      </c>
      <c r="R26" s="104">
        <f>INDEX(Model!$O$9:$JH$69,MATCH($B26,Model!$B$9:$B$69,0),MATCH(R$9,Model!$O$8:$JH$8,0))</f>
        <v>29.099999999999994</v>
      </c>
      <c r="S26" s="104">
        <f>INDEX(Model!$O$9:$JH$69,MATCH($B26,Model!$B$9:$B$69,0),MATCH(S$9,Model!$O$8:$JH$8,0))</f>
        <v>29.800000000000015</v>
      </c>
      <c r="T26" s="105">
        <f>INDEX(Model!$O$9:$JH$69,MATCH($B26,Model!$B$9:$B$69,0),MATCH(T$9,Model!$O$8:$JH$8,0))</f>
        <v>111.7</v>
      </c>
      <c r="U26" s="140"/>
      <c r="V26" s="104">
        <f>INDEX(Model!$O$9:$JH$69,MATCH($B26,Model!$B$9:$B$69,0),MATCH(V$9,Model!$O$8:$JH$8,0))</f>
        <v>35.000000000000007</v>
      </c>
      <c r="W26" s="104">
        <f>INDEX(Model!$O$9:$JH$69,MATCH($B26,Model!$B$9:$B$69,0),MATCH(W$9,Model!$O$8:$JH$8,0))</f>
        <v>36.500000000000021</v>
      </c>
      <c r="X26" s="104">
        <f>INDEX(Model!$O$9:$JH$69,MATCH($B26,Model!$B$9:$B$69,0),MATCH(X$9,Model!$O$8:$JH$8,0))</f>
        <v>42.799999999999983</v>
      </c>
      <c r="Y26" s="104">
        <f>INDEX(Model!$O$9:$JH$69,MATCH($B26,Model!$B$9:$B$69,0),MATCH(Y$9,Model!$O$8:$JH$8,0))</f>
        <v>46.29999999999999</v>
      </c>
      <c r="Z26" s="105">
        <f>INDEX(Model!$O$9:$JH$69,MATCH($B26,Model!$B$9:$B$69,0),MATCH(Z$9,Model!$O$8:$JH$8,0))</f>
        <v>160.6</v>
      </c>
      <c r="AB26" s="104">
        <f>INDEX(Model!$O$9:$JH$69,MATCH($B26,Model!$B$9:$B$69,0),MATCH(AB$9,Model!$O$8:$JH$8,0))</f>
        <v>46.500000000000007</v>
      </c>
      <c r="AC26" s="104">
        <f>INDEX(Model!$O$9:$JH$69,MATCH($B26,Model!$B$9:$B$69,0),MATCH(AC$9,Model!$O$8:$JH$8,0))</f>
        <v>49.499999999999993</v>
      </c>
      <c r="AD26" s="104">
        <f>INDEX(Model!$O$9:$JH$69,MATCH($B26,Model!$B$9:$B$69,0),MATCH(AD$9,Model!$O$8:$JH$8,0))</f>
        <v>44.300000000000011</v>
      </c>
      <c r="AE26" s="104">
        <f>INDEX(Model!$O$9:$JH$69,MATCH($B26,Model!$B$9:$B$69,0),MATCH(AE$9,Model!$O$8:$JH$8,0))</f>
        <v>54.000000000000028</v>
      </c>
      <c r="AF26" s="105">
        <f>INDEX(Model!$O$9:$JH$69,MATCH($B26,Model!$B$9:$B$69,0),MATCH(AF$9,Model!$O$8:$JH$8,0))</f>
        <v>194.30000000000007</v>
      </c>
      <c r="AH26" s="104" t="e">
        <f>INDEX(Model!$O$9:$JH$69,MATCH($B26,Model!$B$9:$B$69,0),MATCH(AH$9,Model!$O$8:$JH$8,0))</f>
        <v>#N/A</v>
      </c>
      <c r="AI26" s="104" t="e">
        <f>INDEX(Model!$O$9:$JH$69,MATCH($B26,Model!$B$9:$B$69,0),MATCH(AI$9,Model!$O$8:$JH$8,0))</f>
        <v>#N/A</v>
      </c>
      <c r="AJ26" s="104" t="e">
        <f>INDEX(Model!$O$9:$JH$69,MATCH($B26,Model!$B$9:$B$69,0),MATCH(AJ$9,Model!$O$8:$JH$8,0))</f>
        <v>#N/A</v>
      </c>
      <c r="AK26" s="104" t="e">
        <f>INDEX(Model!$O$9:$JH$69,MATCH($B26,Model!$B$9:$B$69,0),MATCH(AK$9,Model!$O$8:$JH$8,0))</f>
        <v>#N/A</v>
      </c>
      <c r="AL26" s="105">
        <f>INDEX(Model!$O$9:$JH$69,MATCH($B26,Model!$B$9:$B$69,0),MATCH(AL$9,Model!$O$8:$JH$8,0))</f>
        <v>223.00000000000003</v>
      </c>
      <c r="AN26" s="104">
        <f ca="1">INDEX(Model!$O$9:$JH$69,MATCH($B26,Model!$B$9:$B$69,0),MATCH(AN$9,Model!$O$8:$JH$8,0))</f>
        <v>72.457191201510085</v>
      </c>
      <c r="AO26" s="104">
        <f ca="1">INDEX(Model!$O$9:$JH$69,MATCH($B26,Model!$B$9:$B$69,0),MATCH(AO$9,Model!$O$8:$JH$8,0))</f>
        <v>73.416624220085282</v>
      </c>
      <c r="AP26" s="104">
        <f ca="1">INDEX(Model!$O$9:$JH$69,MATCH($B26,Model!$B$9:$B$69,0),MATCH(AP$9,Model!$O$8:$JH$8,0))</f>
        <v>74.230529670934587</v>
      </c>
      <c r="AQ26" s="104">
        <f ca="1">INDEX(Model!$O$9:$JH$69,MATCH($B26,Model!$B$9:$B$69,0),MATCH(AQ$9,Model!$O$8:$JH$8,0))</f>
        <v>82.320818246950736</v>
      </c>
      <c r="AR26" s="105">
        <f ca="1">INDEX(Model!$O$9:$JH$69,MATCH($B26,Model!$B$9:$B$69,0),MATCH(AR$9,Model!$O$8:$JH$8,0))</f>
        <v>302.42516333948066</v>
      </c>
      <c r="AT26" s="104">
        <f ca="1">INDEX(Model!$O$9:$JH$69,MATCH($B26,Model!$B$9:$B$69,0),MATCH(AT$9,Model!$O$8:$JH$8,0))</f>
        <v>84.602341870241744</v>
      </c>
      <c r="AU26" s="104">
        <f ca="1">INDEX(Model!$O$9:$JH$69,MATCH($B26,Model!$B$9:$B$69,0),MATCH(AU$9,Model!$O$8:$JH$8,0))</f>
        <v>83.843024004310706</v>
      </c>
      <c r="AV26" s="104">
        <f ca="1">INDEX(Model!$O$9:$JH$69,MATCH($B26,Model!$B$9:$B$69,0),MATCH(AV$9,Model!$O$8:$JH$8,0))</f>
        <v>86.094905409627941</v>
      </c>
      <c r="AW26" s="104">
        <f ca="1">INDEX(Model!$O$9:$JH$69,MATCH($B26,Model!$B$9:$B$69,0),MATCH(AW$9,Model!$O$8:$JH$8,0))</f>
        <v>94.528374992280504</v>
      </c>
      <c r="AX26" s="105">
        <f ca="1">INDEX(Model!$O$9:$JH$69,MATCH($B26,Model!$B$9:$B$69,0),MATCH(AX$9,Model!$O$8:$JH$8,0))</f>
        <v>349.06864627646087</v>
      </c>
    </row>
  </sheetData>
  <phoneticPr fontId="1" type="noConversion"/>
  <pageMargins left="0.75" right="0.75" top="1" bottom="1" header="0.5" footer="0.5"/>
  <pageSetup scale="27"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24"/>
    <pageSetUpPr fitToPage="1"/>
  </sheetPr>
  <dimension ref="B1:BC114"/>
  <sheetViews>
    <sheetView showGridLines="0" zoomScale="85" zoomScaleNormal="85" zoomScaleSheetLayoutView="85" workbookViewId="0">
      <pane xSplit="4" ySplit="9" topLeftCell="X10" activePane="bottomRight" state="frozen"/>
      <selection activeCell="D52" sqref="D52:F52"/>
      <selection pane="topRight" activeCell="D52" sqref="D52:F52"/>
      <selection pane="bottomLeft" activeCell="D52" sqref="D52:F52"/>
      <selection pane="bottomRight" activeCell="X10" sqref="X10"/>
    </sheetView>
  </sheetViews>
  <sheetFormatPr defaultRowHeight="12.75" outlineLevelRow="1" outlineLevelCol="1"/>
  <cols>
    <col min="1" max="1" width="10.6640625" style="235" customWidth="1"/>
    <col min="2" max="2" width="18.1640625" style="235" bestFit="1" customWidth="1"/>
    <col min="3" max="3" width="3" style="235" customWidth="1"/>
    <col min="4" max="4" width="28.33203125" style="235" customWidth="1"/>
    <col min="5" max="23" width="11.33203125" style="235" hidden="1" customWidth="1" outlineLevel="1"/>
    <col min="24" max="24" width="11.33203125" style="235" bestFit="1" customWidth="1" collapsed="1"/>
    <col min="25" max="26" width="11.33203125" style="235" hidden="1" customWidth="1" outlineLevel="1"/>
    <col min="27" max="27" width="11.33203125" style="235" bestFit="1" customWidth="1" collapsed="1"/>
    <col min="28" max="28" width="11.33203125" style="235" bestFit="1" customWidth="1"/>
    <col min="29" max="29" width="11.33203125" style="235" customWidth="1" outlineLevel="1"/>
    <col min="30" max="30" width="11.6640625" style="235" customWidth="1" outlineLevel="1"/>
    <col min="31" max="31" width="10.5" style="235" customWidth="1"/>
    <col min="32" max="32" width="10.5" style="235" hidden="1" customWidth="1" outlineLevel="1"/>
    <col min="33" max="33" width="9.1640625" style="235" customWidth="1" collapsed="1"/>
    <col min="34" max="34" width="56.5" style="235" hidden="1" customWidth="1" outlineLevel="1"/>
    <col min="35" max="35" width="10.6640625" style="235" customWidth="1" collapsed="1"/>
    <col min="36" max="36" width="10.6640625" style="235" customWidth="1"/>
    <col min="37" max="37" width="27.1640625" style="235" customWidth="1"/>
    <col min="38" max="38" width="20.33203125" style="235" bestFit="1" customWidth="1"/>
    <col min="39" max="39" width="20.33203125" style="258" bestFit="1" customWidth="1"/>
    <col min="40" max="41" width="20.33203125" style="235" bestFit="1" customWidth="1"/>
    <col min="42" max="42" width="14.5" style="235" bestFit="1" customWidth="1"/>
    <col min="43" max="45" width="9.33203125" style="235"/>
    <col min="46" max="46" width="32" style="235" customWidth="1"/>
    <col min="47" max="48" width="18.33203125" style="235" bestFit="1" customWidth="1"/>
    <col min="49" max="16384" width="9.33203125" style="235"/>
  </cols>
  <sheetData>
    <row r="1" spans="2:51">
      <c r="E1" s="235" t="s">
        <v>471</v>
      </c>
    </row>
    <row r="2" spans="2:51">
      <c r="B2" s="234"/>
      <c r="AJ2" s="530"/>
    </row>
    <row r="3" spans="2:51">
      <c r="B3" s="234"/>
    </row>
    <row r="4" spans="2:51">
      <c r="B4" s="234"/>
    </row>
    <row r="5" spans="2:51">
      <c r="B5" s="234"/>
      <c r="AB5" s="455"/>
      <c r="AM5" s="235"/>
    </row>
    <row r="6" spans="2:51">
      <c r="AJ6" s="530"/>
      <c r="AM6" s="235"/>
    </row>
    <row r="7" spans="2:51">
      <c r="AL7" s="455"/>
      <c r="AM7" s="235"/>
    </row>
    <row r="8" spans="2:51">
      <c r="B8" s="236"/>
      <c r="C8" s="237"/>
      <c r="D8" s="238"/>
      <c r="E8" s="239"/>
      <c r="F8" s="239"/>
      <c r="G8" s="239"/>
      <c r="H8" s="239"/>
      <c r="I8" s="239"/>
      <c r="J8" s="239"/>
      <c r="K8" s="239"/>
      <c r="L8" s="239"/>
      <c r="M8" s="239"/>
      <c r="N8" s="239"/>
      <c r="O8" s="239"/>
      <c r="P8" s="239"/>
      <c r="Q8" s="239"/>
      <c r="R8" s="239"/>
      <c r="S8" s="239"/>
      <c r="T8" s="239"/>
      <c r="U8" s="239"/>
      <c r="V8" s="239"/>
      <c r="W8" s="239"/>
      <c r="X8" s="239"/>
      <c r="Y8" s="239"/>
      <c r="Z8" s="239"/>
      <c r="AA8" s="240"/>
      <c r="AB8" s="424" t="s">
        <v>365</v>
      </c>
      <c r="AC8" s="241" t="s">
        <v>366</v>
      </c>
      <c r="AD8" s="241" t="s">
        <v>367</v>
      </c>
      <c r="AE8" s="242"/>
      <c r="AF8" s="241" t="s">
        <v>367</v>
      </c>
      <c r="AG8" s="540" t="s">
        <v>368</v>
      </c>
      <c r="AH8" s="542" t="s">
        <v>369</v>
      </c>
    </row>
    <row r="9" spans="2:51">
      <c r="B9" s="237"/>
      <c r="C9" s="237"/>
      <c r="D9" s="243"/>
      <c r="E9" s="244" t="s">
        <v>333</v>
      </c>
      <c r="F9" s="244" t="s">
        <v>334</v>
      </c>
      <c r="G9" s="244" t="s">
        <v>335</v>
      </c>
      <c r="H9" s="244" t="s">
        <v>336</v>
      </c>
      <c r="I9" s="244" t="s">
        <v>424</v>
      </c>
      <c r="J9" s="244" t="s">
        <v>472</v>
      </c>
      <c r="K9" s="244" t="s">
        <v>475</v>
      </c>
      <c r="L9" s="244" t="s">
        <v>482</v>
      </c>
      <c r="M9" s="244" t="s">
        <v>494</v>
      </c>
      <c r="N9" s="244" t="s">
        <v>505</v>
      </c>
      <c r="O9" s="244" t="s">
        <v>512</v>
      </c>
      <c r="P9" s="244" t="s">
        <v>522</v>
      </c>
      <c r="Q9" s="244" t="s">
        <v>533</v>
      </c>
      <c r="R9" s="244" t="s">
        <v>539</v>
      </c>
      <c r="S9" s="244" t="s">
        <v>582</v>
      </c>
      <c r="T9" s="244" t="s">
        <v>596</v>
      </c>
      <c r="U9" s="244" t="s">
        <v>624</v>
      </c>
      <c r="V9" s="244" t="s">
        <v>629</v>
      </c>
      <c r="W9" s="244" t="s">
        <v>636</v>
      </c>
      <c r="X9" s="244" t="s">
        <v>644</v>
      </c>
      <c r="Y9" s="244" t="s">
        <v>664</v>
      </c>
      <c r="Z9" s="244" t="s">
        <v>676</v>
      </c>
      <c r="AA9" s="245" t="s">
        <v>683</v>
      </c>
      <c r="AB9" s="246" t="s">
        <v>704</v>
      </c>
      <c r="AC9" s="245" t="str">
        <f>+AB9</f>
        <v>4Q17</v>
      </c>
      <c r="AD9" s="245" t="s">
        <v>370</v>
      </c>
      <c r="AE9" s="246" t="s">
        <v>371</v>
      </c>
      <c r="AF9" s="245" t="s">
        <v>370</v>
      </c>
      <c r="AG9" s="541"/>
      <c r="AH9" s="543"/>
      <c r="AN9" s="455"/>
    </row>
    <row r="10" spans="2:51" ht="15" customHeight="1">
      <c r="B10" s="236" t="s">
        <v>372</v>
      </c>
      <c r="C10" s="237"/>
      <c r="D10" s="518" t="s">
        <v>373</v>
      </c>
      <c r="E10" s="265"/>
      <c r="F10" s="265"/>
      <c r="G10" s="265"/>
      <c r="H10" s="265"/>
      <c r="I10" s="265"/>
      <c r="J10" s="265"/>
      <c r="K10" s="265"/>
      <c r="L10" s="265"/>
      <c r="M10" s="265"/>
      <c r="N10" s="265"/>
      <c r="O10" s="265"/>
      <c r="P10" s="265"/>
      <c r="Q10" s="265"/>
      <c r="R10" s="265"/>
      <c r="S10" s="265"/>
      <c r="T10" s="265"/>
      <c r="U10" s="265"/>
      <c r="V10" s="265"/>
      <c r="W10" s="265"/>
      <c r="X10" s="265"/>
      <c r="Y10" s="265"/>
      <c r="Z10" s="265"/>
      <c r="AA10" s="266"/>
      <c r="AB10" s="267"/>
      <c r="AC10" s="265"/>
      <c r="AD10" s="267"/>
      <c r="AE10" s="268"/>
      <c r="AF10" s="267"/>
      <c r="AG10" s="269"/>
      <c r="AH10" s="270"/>
      <c r="AJ10" s="258"/>
      <c r="AK10" s="397" t="s">
        <v>705</v>
      </c>
      <c r="AL10" s="397"/>
      <c r="AM10" s="397"/>
      <c r="AN10" s="396"/>
      <c r="AO10" s="396"/>
      <c r="AP10" s="396"/>
      <c r="AQ10" s="396"/>
    </row>
    <row r="11" spans="2:51" ht="15" customHeight="1">
      <c r="B11" s="247" t="s">
        <v>409</v>
      </c>
      <c r="C11" s="247"/>
      <c r="D11" s="519" t="s">
        <v>374</v>
      </c>
      <c r="E11" s="355">
        <f>Model!O9</f>
        <v>52.1</v>
      </c>
      <c r="F11" s="355">
        <f>Model!P9</f>
        <v>54</v>
      </c>
      <c r="G11" s="355">
        <f>Model!Q9</f>
        <v>56.7</v>
      </c>
      <c r="H11" s="355">
        <f>Model!R9</f>
        <v>58</v>
      </c>
      <c r="I11" s="355">
        <f>Model!S9</f>
        <v>60.1</v>
      </c>
      <c r="J11" s="355">
        <f>Model!T9</f>
        <v>63.6</v>
      </c>
      <c r="K11" s="355">
        <f>Model!U9</f>
        <v>67.5</v>
      </c>
      <c r="L11" s="355">
        <f>Model!V9</f>
        <v>72.3</v>
      </c>
      <c r="M11" s="355">
        <f>Model!W9</f>
        <v>77.5</v>
      </c>
      <c r="N11" s="355">
        <f>Model!X9</f>
        <v>81.7</v>
      </c>
      <c r="O11" s="355">
        <f>Model!Y9</f>
        <v>84.8</v>
      </c>
      <c r="P11" s="355">
        <f>Model!Z9</f>
        <v>86.9</v>
      </c>
      <c r="Q11" s="355">
        <f>Model!AA9</f>
        <v>85.7</v>
      </c>
      <c r="R11" s="355">
        <f>Model!AB9</f>
        <v>89.1</v>
      </c>
      <c r="S11" s="355">
        <f>Model!AC9</f>
        <v>111.2</v>
      </c>
      <c r="T11" s="355">
        <f>Model!AD9</f>
        <v>113.3</v>
      </c>
      <c r="U11" s="355">
        <f>Model!AE9</f>
        <v>117.8</v>
      </c>
      <c r="V11" s="355">
        <f>Model!AF9</f>
        <v>130.1</v>
      </c>
      <c r="W11" s="355">
        <f>Model!AG9</f>
        <v>143.80000000000001</v>
      </c>
      <c r="X11" s="355">
        <f>Model!AH9</f>
        <v>137.4</v>
      </c>
      <c r="Y11" s="355">
        <f>Model!AI9</f>
        <v>149.30000000000001</v>
      </c>
      <c r="Z11" s="355">
        <f>Model!AJ9</f>
        <v>166.9</v>
      </c>
      <c r="AA11" s="356">
        <f>Model!AK9</f>
        <v>175.3</v>
      </c>
      <c r="AB11" s="356">
        <f>Model!AL9</f>
        <v>180.5</v>
      </c>
      <c r="AC11" s="417">
        <v>180.5</v>
      </c>
      <c r="AD11" s="311">
        <f>AC11-AB11</f>
        <v>0</v>
      </c>
      <c r="AE11" s="357">
        <v>182.87</v>
      </c>
      <c r="AF11" s="310">
        <f>AE11-AB11</f>
        <v>2.3700000000000045</v>
      </c>
      <c r="AG11" s="544" t="s">
        <v>602</v>
      </c>
      <c r="AH11" s="547" t="s">
        <v>495</v>
      </c>
      <c r="AJ11" s="426" t="s">
        <v>484</v>
      </c>
      <c r="AK11" s="398"/>
      <c r="AL11" s="399" t="s">
        <v>87</v>
      </c>
      <c r="AM11" s="401" t="s">
        <v>365</v>
      </c>
      <c r="AN11" s="401" t="s">
        <v>371</v>
      </c>
      <c r="AR11" s="401"/>
      <c r="AS11" s="401"/>
      <c r="AU11" s="426" t="s">
        <v>0</v>
      </c>
      <c r="AV11" s="426" t="s">
        <v>175</v>
      </c>
    </row>
    <row r="12" spans="2:51" ht="15" customHeight="1">
      <c r="B12" s="247"/>
      <c r="C12" s="247"/>
      <c r="D12" s="520" t="s">
        <v>375</v>
      </c>
      <c r="E12" s="264"/>
      <c r="F12" s="264"/>
      <c r="G12" s="264"/>
      <c r="H12" s="264"/>
      <c r="I12" s="248">
        <f t="shared" ref="I12:N12" si="0">+I11/E11-1</f>
        <v>0.15355086372360849</v>
      </c>
      <c r="J12" s="248">
        <f t="shared" si="0"/>
        <v>0.17777777777777781</v>
      </c>
      <c r="K12" s="248">
        <f t="shared" si="0"/>
        <v>0.19047619047619047</v>
      </c>
      <c r="L12" s="248">
        <f t="shared" si="0"/>
        <v>0.24655172413793092</v>
      </c>
      <c r="M12" s="248">
        <f t="shared" si="0"/>
        <v>0.28951747088186353</v>
      </c>
      <c r="N12" s="248">
        <f t="shared" si="0"/>
        <v>0.28459119496855356</v>
      </c>
      <c r="O12" s="248">
        <f t="shared" ref="O12:R12" si="1">+O11/K11-1</f>
        <v>0.25629629629629624</v>
      </c>
      <c r="P12" s="248">
        <f t="shared" si="1"/>
        <v>0.2019363762102353</v>
      </c>
      <c r="Q12" s="248">
        <f t="shared" si="1"/>
        <v>0.10580645161290336</v>
      </c>
      <c r="R12" s="248">
        <f t="shared" si="1"/>
        <v>9.057527539779664E-2</v>
      </c>
      <c r="S12" s="248">
        <f t="shared" ref="S12" si="2">+S11/O11-1</f>
        <v>0.31132075471698117</v>
      </c>
      <c r="T12" s="248">
        <f t="shared" ref="T12" si="3">+T11/P11-1</f>
        <v>0.30379746835443022</v>
      </c>
      <c r="U12" s="248">
        <f t="shared" ref="U12" si="4">+U11/Q11-1</f>
        <v>0.37456242707117848</v>
      </c>
      <c r="V12" s="248">
        <f t="shared" ref="V12" si="5">+V11/R11-1</f>
        <v>0.46015712682379362</v>
      </c>
      <c r="W12" s="248">
        <f t="shared" ref="W12" si="6">+W11/S11-1</f>
        <v>0.29316546762589946</v>
      </c>
      <c r="X12" s="248">
        <f t="shared" ref="X12" si="7">+X11/T11-1</f>
        <v>0.21270962047661079</v>
      </c>
      <c r="Y12" s="248">
        <f t="shared" ref="Y12" si="8">+Y11/U11-1</f>
        <v>0.26740237691001711</v>
      </c>
      <c r="Z12" s="248">
        <f t="shared" ref="Z12" si="9">+Z11/V11-1</f>
        <v>0.28285933897002313</v>
      </c>
      <c r="AA12" s="414">
        <f t="shared" ref="AA12" si="10">+AA11/W11-1</f>
        <v>0.21905424200278167</v>
      </c>
      <c r="AB12" s="414">
        <f t="shared" ref="AB12" si="11">+AB11/X11-1</f>
        <v>0.31368267831149921</v>
      </c>
      <c r="AC12" s="248">
        <f>+AC11/X11-1</f>
        <v>0.31368267831149921</v>
      </c>
      <c r="AD12" s="249">
        <f>(AC12-X12)*10000</f>
        <v>1009.7305783488841</v>
      </c>
      <c r="AE12" s="250">
        <f>+AE11/X11-1</f>
        <v>0.33093158660844257</v>
      </c>
      <c r="AF12" s="249">
        <f>(AE12-AB12)*10000</f>
        <v>172.48908296943367</v>
      </c>
      <c r="AG12" s="545"/>
      <c r="AH12" s="548"/>
      <c r="AJ12" s="235">
        <v>817.5</v>
      </c>
      <c r="AK12" s="398" t="s">
        <v>542</v>
      </c>
      <c r="AL12" s="325" t="s">
        <v>706</v>
      </c>
      <c r="AM12" s="324">
        <f ca="1">+Model!BT9</f>
        <v>813.81739329978359</v>
      </c>
      <c r="AN12" s="325">
        <f>796.95</f>
        <v>796.95</v>
      </c>
      <c r="AR12" s="325"/>
      <c r="AS12" s="324"/>
      <c r="AT12" s="531" t="s">
        <v>712</v>
      </c>
      <c r="AU12" s="536">
        <v>818</v>
      </c>
      <c r="AV12" s="536">
        <v>465</v>
      </c>
    </row>
    <row r="13" spans="2:51" ht="15" customHeight="1">
      <c r="B13" s="247"/>
      <c r="C13" s="247"/>
      <c r="D13" s="520" t="s">
        <v>376</v>
      </c>
      <c r="E13" s="264"/>
      <c r="F13" s="248">
        <f t="shared" ref="F13:L13" si="12">+F11/E11-1</f>
        <v>3.6468330134356908E-2</v>
      </c>
      <c r="G13" s="248">
        <f t="shared" si="12"/>
        <v>5.0000000000000044E-2</v>
      </c>
      <c r="H13" s="248">
        <f t="shared" si="12"/>
        <v>2.2927689594356204E-2</v>
      </c>
      <c r="I13" s="248">
        <f t="shared" si="12"/>
        <v>3.6206896551724155E-2</v>
      </c>
      <c r="J13" s="248">
        <f t="shared" si="12"/>
        <v>5.8236272878535722E-2</v>
      </c>
      <c r="K13" s="248">
        <f t="shared" si="12"/>
        <v>6.1320754716981174E-2</v>
      </c>
      <c r="L13" s="248">
        <f t="shared" si="12"/>
        <v>7.1111111111111125E-2</v>
      </c>
      <c r="M13" s="248">
        <f>+M11/L11-1</f>
        <v>7.1922544951590561E-2</v>
      </c>
      <c r="N13" s="248">
        <f>+N11/M11-1</f>
        <v>5.4193548387096779E-2</v>
      </c>
      <c r="O13" s="248">
        <f>+O11/N11-1</f>
        <v>3.7943696450428277E-2</v>
      </c>
      <c r="P13" s="248">
        <f>+P11/O11-1</f>
        <v>2.4764150943396235E-2</v>
      </c>
      <c r="Q13" s="248">
        <f>+Q11/P11-1</f>
        <v>-1.3808975834292303E-2</v>
      </c>
      <c r="R13" s="248">
        <f t="shared" ref="R13" si="13">+R11/Q11-1</f>
        <v>3.9673278879813312E-2</v>
      </c>
      <c r="S13" s="248">
        <f t="shared" ref="S13" si="14">+S11/R11-1</f>
        <v>0.24803591470258146</v>
      </c>
      <c r="T13" s="248">
        <f t="shared" ref="T13" si="15">+T11/S11-1</f>
        <v>1.8884892086330929E-2</v>
      </c>
      <c r="U13" s="248">
        <f t="shared" ref="U13" si="16">+U11/T11-1</f>
        <v>3.9717563989408733E-2</v>
      </c>
      <c r="V13" s="248">
        <f t="shared" ref="V13" si="17">+V11/U11-1</f>
        <v>0.1044142614601018</v>
      </c>
      <c r="W13" s="248">
        <f t="shared" ref="W13" si="18">+W11/V11-1</f>
        <v>0.1053036126056881</v>
      </c>
      <c r="X13" s="248">
        <f t="shared" ref="X13" si="19">+X11/W11-1</f>
        <v>-4.4506258692628697E-2</v>
      </c>
      <c r="Y13" s="248">
        <f t="shared" ref="Y13" si="20">+Y11/X11-1</f>
        <v>8.6608442503639083E-2</v>
      </c>
      <c r="Z13" s="248">
        <f t="shared" ref="Z13" si="21">+Z11/Y11-1</f>
        <v>0.11788345612860018</v>
      </c>
      <c r="AA13" s="414">
        <f t="shared" ref="AA13" si="22">+AA11/Z11-1</f>
        <v>5.0329538645895733E-2</v>
      </c>
      <c r="AB13" s="414">
        <f t="shared" ref="AB13" si="23">+AB11/AA11-1</f>
        <v>2.9663434112949139E-2</v>
      </c>
      <c r="AC13" s="248">
        <f>+AC11/AA11-1</f>
        <v>2.9663434112949139E-2</v>
      </c>
      <c r="AD13" s="249">
        <f>(AC13-AB13)*10000</f>
        <v>0</v>
      </c>
      <c r="AE13" s="250">
        <f>+AE11/AA11-1</f>
        <v>4.3183114660581889E-2</v>
      </c>
      <c r="AF13" s="249">
        <f>(AE13-AB13)*10000</f>
        <v>135.19680547632751</v>
      </c>
      <c r="AG13" s="546"/>
      <c r="AH13" s="549"/>
      <c r="AK13" s="400" t="s">
        <v>390</v>
      </c>
      <c r="AL13" s="326"/>
      <c r="AM13" s="446">
        <f ca="1">+Model!BT10</f>
        <v>0.21103778764848746</v>
      </c>
      <c r="AN13" s="329">
        <f>AN12/674.66-1</f>
        <v>0.18126167254617154</v>
      </c>
      <c r="AR13" s="329"/>
      <c r="AS13" s="446"/>
      <c r="AT13" s="531" t="s">
        <v>714</v>
      </c>
      <c r="AU13" s="536">
        <f>+AV13/0.63</f>
        <v>28.571428571428573</v>
      </c>
      <c r="AV13" s="536">
        <v>18</v>
      </c>
    </row>
    <row r="14" spans="2:51" s="258" customFormat="1" ht="15" customHeight="1">
      <c r="B14" s="237"/>
      <c r="C14" s="237"/>
      <c r="D14" s="521" t="s">
        <v>377</v>
      </c>
      <c r="E14" s="358">
        <f>-Model!O19</f>
        <v>17.3</v>
      </c>
      <c r="F14" s="358">
        <f>-Model!P19</f>
        <v>18.100000000000001</v>
      </c>
      <c r="G14" s="358">
        <f>-Model!Q19</f>
        <v>20</v>
      </c>
      <c r="H14" s="358">
        <f>-Model!R19</f>
        <v>20.6</v>
      </c>
      <c r="I14" s="358">
        <f>-Model!S19</f>
        <v>20.100000000000001</v>
      </c>
      <c r="J14" s="358">
        <f>-Model!T19</f>
        <v>24.6</v>
      </c>
      <c r="K14" s="358">
        <f>-Model!U19</f>
        <v>24.2</v>
      </c>
      <c r="L14" s="358">
        <f>-Model!V19</f>
        <v>24.3</v>
      </c>
      <c r="M14" s="358">
        <f>-Model!W19</f>
        <v>27.7</v>
      </c>
      <c r="N14" s="358">
        <f>-Model!X19</f>
        <v>31.8</v>
      </c>
      <c r="O14" s="358">
        <f>-Model!Y19</f>
        <v>33</v>
      </c>
      <c r="P14" s="358">
        <f>-Model!Z19</f>
        <v>32</v>
      </c>
      <c r="Q14" s="358">
        <f>-Model!AA19</f>
        <v>32.299999999999997</v>
      </c>
      <c r="R14" s="358">
        <f>-Model!AB19</f>
        <v>32.799999999999997</v>
      </c>
      <c r="S14" s="358">
        <f>-Model!AC19</f>
        <v>42.2</v>
      </c>
      <c r="T14" s="358">
        <f>-Model!AD19</f>
        <v>41.4</v>
      </c>
      <c r="U14" s="358">
        <f>-Model!AE19</f>
        <v>40.299999999999997</v>
      </c>
      <c r="V14" s="358">
        <f>-Model!AF19</f>
        <v>44.8</v>
      </c>
      <c r="W14" s="358">
        <f>-Model!AG19</f>
        <v>54.6</v>
      </c>
      <c r="X14" s="358">
        <f>-Model!AH19</f>
        <v>47.8</v>
      </c>
      <c r="Y14" s="358">
        <f>-Model!AI19</f>
        <v>52.3</v>
      </c>
      <c r="Z14" s="358">
        <f>-Model!AJ19</f>
        <v>59.6</v>
      </c>
      <c r="AA14" s="359">
        <f>-Model!AK19</f>
        <v>63</v>
      </c>
      <c r="AB14" s="359">
        <f>-Model!AL19</f>
        <v>60.2</v>
      </c>
      <c r="AC14" s="418">
        <v>60.2</v>
      </c>
      <c r="AD14" s="316">
        <f>+AB14-AC14</f>
        <v>0</v>
      </c>
      <c r="AE14" s="316"/>
      <c r="AF14" s="313"/>
      <c r="AG14" s="320" t="s">
        <v>357</v>
      </c>
      <c r="AH14" s="315" t="s">
        <v>489</v>
      </c>
      <c r="AI14" s="235"/>
      <c r="AJ14" s="235"/>
      <c r="AK14" s="400" t="s">
        <v>543</v>
      </c>
      <c r="AL14" s="325" t="s">
        <v>707</v>
      </c>
      <c r="AM14" s="446"/>
      <c r="AN14" s="329"/>
      <c r="AO14" s="235"/>
      <c r="AP14" s="235"/>
      <c r="AQ14" s="235"/>
      <c r="AR14" s="329"/>
      <c r="AS14" s="324"/>
      <c r="AT14" s="531" t="s">
        <v>717</v>
      </c>
      <c r="AU14" s="536">
        <f>+AU13*0.666666666666667</f>
        <v>19.047619047619058</v>
      </c>
      <c r="AV14" s="536">
        <f>+AV13*0.666666666666667</f>
        <v>12.000000000000005</v>
      </c>
      <c r="AW14" s="235"/>
      <c r="AX14" s="235"/>
      <c r="AY14" s="235"/>
    </row>
    <row r="15" spans="2:51" s="258" customFormat="1" ht="15" customHeight="1">
      <c r="B15" s="237"/>
      <c r="C15" s="237"/>
      <c r="D15" s="522" t="s">
        <v>7</v>
      </c>
      <c r="E15" s="360">
        <f t="shared" ref="E15:J15" si="24">+E11-E14</f>
        <v>34.799999999999997</v>
      </c>
      <c r="F15" s="360">
        <f t="shared" si="24"/>
        <v>35.9</v>
      </c>
      <c r="G15" s="360">
        <f t="shared" si="24"/>
        <v>36.700000000000003</v>
      </c>
      <c r="H15" s="360">
        <f t="shared" si="24"/>
        <v>37.4</v>
      </c>
      <c r="I15" s="360">
        <f t="shared" si="24"/>
        <v>40</v>
      </c>
      <c r="J15" s="360">
        <f t="shared" si="24"/>
        <v>39</v>
      </c>
      <c r="K15" s="360">
        <f t="shared" ref="K15:P15" si="25">+K11-K14</f>
        <v>43.3</v>
      </c>
      <c r="L15" s="360">
        <f t="shared" si="25"/>
        <v>48</v>
      </c>
      <c r="M15" s="360">
        <f t="shared" si="25"/>
        <v>49.8</v>
      </c>
      <c r="N15" s="360">
        <f t="shared" si="25"/>
        <v>49.900000000000006</v>
      </c>
      <c r="O15" s="360">
        <f t="shared" si="25"/>
        <v>51.8</v>
      </c>
      <c r="P15" s="360">
        <f t="shared" si="25"/>
        <v>54.900000000000006</v>
      </c>
      <c r="Q15" s="360">
        <f>+Q11-Q14</f>
        <v>53.400000000000006</v>
      </c>
      <c r="R15" s="360">
        <f t="shared" ref="R15" si="26">+R11-R14</f>
        <v>56.3</v>
      </c>
      <c r="S15" s="360">
        <f t="shared" ref="S15" si="27">+S11-S14</f>
        <v>69</v>
      </c>
      <c r="T15" s="360">
        <f t="shared" ref="T15" si="28">+T11-T14</f>
        <v>71.900000000000006</v>
      </c>
      <c r="U15" s="360">
        <f t="shared" ref="U15" si="29">+U11-U14</f>
        <v>77.5</v>
      </c>
      <c r="V15" s="360">
        <f t="shared" ref="V15:AB15" si="30">+V11-V14</f>
        <v>85.3</v>
      </c>
      <c r="W15" s="360">
        <f t="shared" si="30"/>
        <v>89.200000000000017</v>
      </c>
      <c r="X15" s="360">
        <f t="shared" si="30"/>
        <v>89.600000000000009</v>
      </c>
      <c r="Y15" s="360">
        <f t="shared" si="30"/>
        <v>97.000000000000014</v>
      </c>
      <c r="Z15" s="360">
        <f t="shared" si="30"/>
        <v>107.30000000000001</v>
      </c>
      <c r="AA15" s="361">
        <f t="shared" si="30"/>
        <v>112.30000000000001</v>
      </c>
      <c r="AB15" s="361">
        <f t="shared" si="30"/>
        <v>120.3</v>
      </c>
      <c r="AC15" s="361">
        <f>+AC11-AC14</f>
        <v>120.3</v>
      </c>
      <c r="AD15" s="316">
        <f>AC15-AB15</f>
        <v>0</v>
      </c>
      <c r="AE15" s="362"/>
      <c r="AF15" s="313"/>
      <c r="AG15" s="552" t="s">
        <v>357</v>
      </c>
      <c r="AH15" s="553" t="s">
        <v>497</v>
      </c>
      <c r="AI15" s="235"/>
      <c r="AJ15" s="235"/>
      <c r="AK15" s="400" t="s">
        <v>544</v>
      </c>
      <c r="AL15" s="325" t="s">
        <v>648</v>
      </c>
      <c r="AM15" s="446"/>
      <c r="AN15" s="329"/>
      <c r="AO15" s="235"/>
      <c r="AP15" s="235"/>
      <c r="AQ15" s="235"/>
      <c r="AR15" s="329"/>
      <c r="AS15" s="329"/>
      <c r="AT15" s="532" t="s">
        <v>718</v>
      </c>
      <c r="AU15" s="536">
        <f>+AU12-AU14</f>
        <v>798.95238095238096</v>
      </c>
      <c r="AV15" s="536">
        <f>+AV12-AV14</f>
        <v>453</v>
      </c>
      <c r="AW15" s="235"/>
      <c r="AX15" s="235"/>
      <c r="AY15" s="235"/>
    </row>
    <row r="16" spans="2:51" ht="15" customHeight="1">
      <c r="B16" s="247"/>
      <c r="C16" s="247"/>
      <c r="D16" s="520" t="s">
        <v>378</v>
      </c>
      <c r="E16" s="251">
        <f t="shared" ref="E16:J16" si="31">1-E14/E11</f>
        <v>0.66794625719769674</v>
      </c>
      <c r="F16" s="251">
        <f t="shared" si="31"/>
        <v>0.66481481481481475</v>
      </c>
      <c r="G16" s="251">
        <f t="shared" si="31"/>
        <v>0.64726631393298062</v>
      </c>
      <c r="H16" s="251">
        <f t="shared" si="31"/>
        <v>0.64482758620689651</v>
      </c>
      <c r="I16" s="251">
        <f t="shared" si="31"/>
        <v>0.66555740432612309</v>
      </c>
      <c r="J16" s="251">
        <f t="shared" si="31"/>
        <v>0.6132075471698113</v>
      </c>
      <c r="K16" s="251">
        <f t="shared" ref="K16:P16" si="32">1-K14/K11</f>
        <v>0.64148148148148154</v>
      </c>
      <c r="L16" s="251">
        <f t="shared" si="32"/>
        <v>0.66390041493775931</v>
      </c>
      <c r="M16" s="251">
        <f t="shared" si="32"/>
        <v>0.64258064516129032</v>
      </c>
      <c r="N16" s="251">
        <f t="shared" si="32"/>
        <v>0.6107711138310894</v>
      </c>
      <c r="O16" s="251">
        <f t="shared" si="32"/>
        <v>0.61084905660377364</v>
      </c>
      <c r="P16" s="251">
        <f t="shared" si="32"/>
        <v>0.63176064441887236</v>
      </c>
      <c r="Q16" s="251">
        <f>1-Q14/Q11</f>
        <v>0.62310385064177365</v>
      </c>
      <c r="R16" s="251">
        <f t="shared" ref="R16" si="33">1-R14/R11</f>
        <v>0.63187429854096522</v>
      </c>
      <c r="S16" s="251">
        <f t="shared" ref="S16" si="34">1-S14/S11</f>
        <v>0.62050359712230208</v>
      </c>
      <c r="T16" s="251">
        <f t="shared" ref="T16" si="35">1-T14/T11</f>
        <v>0.63459841129744043</v>
      </c>
      <c r="U16" s="251">
        <f t="shared" ref="U16" si="36">1-U14/U11</f>
        <v>0.65789473684210531</v>
      </c>
      <c r="V16" s="251">
        <f t="shared" ref="V16:AB16" si="37">1-V14/V11</f>
        <v>0.65564950038431968</v>
      </c>
      <c r="W16" s="251">
        <f t="shared" si="37"/>
        <v>0.62030598052851182</v>
      </c>
      <c r="X16" s="251">
        <f t="shared" si="37"/>
        <v>0.65211062590975266</v>
      </c>
      <c r="Y16" s="251">
        <f t="shared" si="37"/>
        <v>0.64969859343603487</v>
      </c>
      <c r="Z16" s="251">
        <f t="shared" si="37"/>
        <v>0.64289994008388263</v>
      </c>
      <c r="AA16" s="252">
        <f t="shared" si="37"/>
        <v>0.64061608670849979</v>
      </c>
      <c r="AB16" s="252">
        <f t="shared" si="37"/>
        <v>0.6664819944598338</v>
      </c>
      <c r="AC16" s="251">
        <f>1-AC14/AC11</f>
        <v>0.6664819944598338</v>
      </c>
      <c r="AD16" s="249">
        <f>(AC16-AB16)*10000</f>
        <v>0</v>
      </c>
      <c r="AE16" s="477"/>
      <c r="AF16" s="249"/>
      <c r="AG16" s="546"/>
      <c r="AH16" s="549"/>
      <c r="AJ16" s="258">
        <v>465</v>
      </c>
      <c r="AK16" s="398" t="s">
        <v>652</v>
      </c>
      <c r="AL16" s="325" t="s">
        <v>708</v>
      </c>
      <c r="AM16" s="324">
        <f ca="1">+Model!BT32</f>
        <v>464.95921509235239</v>
      </c>
      <c r="AN16" s="325">
        <v>438.73</v>
      </c>
      <c r="AR16" s="325"/>
      <c r="AS16" s="425"/>
      <c r="AT16" s="531" t="s">
        <v>713</v>
      </c>
      <c r="AU16" s="536">
        <f>+Model!BS9</f>
        <v>672</v>
      </c>
      <c r="AV16" s="536">
        <f>+Model!BS32</f>
        <v>371.59999999999997</v>
      </c>
    </row>
    <row r="17" spans="2:55" s="258" customFormat="1" ht="15" customHeight="1">
      <c r="B17" s="237"/>
      <c r="C17" s="237"/>
      <c r="D17" s="522" t="s">
        <v>2</v>
      </c>
      <c r="E17" s="358">
        <f>-Model!O27</f>
        <v>1.8</v>
      </c>
      <c r="F17" s="358">
        <f>-Model!P27</f>
        <v>1.8</v>
      </c>
      <c r="G17" s="358">
        <f>-Model!Q27</f>
        <v>2.1</v>
      </c>
      <c r="H17" s="358">
        <f>-Model!R27</f>
        <v>4</v>
      </c>
      <c r="I17" s="358">
        <f>-Model!S27</f>
        <v>2.8</v>
      </c>
      <c r="J17" s="358">
        <f>-Model!T27</f>
        <v>2.9</v>
      </c>
      <c r="K17" s="358">
        <f>-Model!U27</f>
        <v>2.2999999999999998</v>
      </c>
      <c r="L17" s="358">
        <f>-Model!V27</f>
        <v>2.6</v>
      </c>
      <c r="M17" s="358">
        <f>-Model!W27</f>
        <v>3</v>
      </c>
      <c r="N17" s="358">
        <f>-Model!X27</f>
        <v>3.5</v>
      </c>
      <c r="O17" s="358">
        <f>-Model!Y27</f>
        <v>3.2</v>
      </c>
      <c r="P17" s="358">
        <f>-Model!Z27</f>
        <v>3.1</v>
      </c>
      <c r="Q17" s="358">
        <f>-Model!AA27</f>
        <v>2.9</v>
      </c>
      <c r="R17" s="358">
        <f>-Model!AB27</f>
        <v>2.8</v>
      </c>
      <c r="S17" s="358">
        <f>-Model!AC27</f>
        <v>3.2</v>
      </c>
      <c r="T17" s="358">
        <f>-Model!AD27</f>
        <v>3.2</v>
      </c>
      <c r="U17" s="358">
        <f>-Model!AE27</f>
        <v>4</v>
      </c>
      <c r="V17" s="358">
        <f>-Model!AF27</f>
        <v>4.2</v>
      </c>
      <c r="W17" s="358">
        <f>-Model!AG27</f>
        <v>4.7</v>
      </c>
      <c r="X17" s="358">
        <f>-Model!AH27</f>
        <v>4</v>
      </c>
      <c r="Y17" s="358">
        <f>-Model!AI27</f>
        <v>4.9000000000000004</v>
      </c>
      <c r="Z17" s="358">
        <f>-Model!AJ27</f>
        <v>4.3</v>
      </c>
      <c r="AA17" s="359">
        <f>-Model!AK27</f>
        <v>3.9</v>
      </c>
      <c r="AB17" s="359">
        <f>-Model!AL27</f>
        <v>3.9</v>
      </c>
      <c r="AC17" s="418">
        <v>3.9</v>
      </c>
      <c r="AD17" s="316">
        <f>AB17-AC17</f>
        <v>0</v>
      </c>
      <c r="AE17" s="362"/>
      <c r="AF17" s="313"/>
      <c r="AG17" s="320" t="s">
        <v>410</v>
      </c>
      <c r="AH17" s="315" t="s">
        <v>496</v>
      </c>
      <c r="AI17" s="235"/>
      <c r="AK17" s="400" t="s">
        <v>416</v>
      </c>
      <c r="AL17" s="329">
        <f>+AJ16/AJ12</f>
        <v>0.56880733944954132</v>
      </c>
      <c r="AM17" s="329">
        <f ca="1">+AM16/AM12</f>
        <v>0.5713311351175272</v>
      </c>
      <c r="AN17" s="329">
        <f>+AN16/AN12</f>
        <v>0.5505113244243679</v>
      </c>
      <c r="AO17" s="235"/>
      <c r="AP17" s="235"/>
      <c r="AQ17" s="235"/>
      <c r="AR17" s="329"/>
      <c r="AS17" s="329"/>
      <c r="AT17" s="532" t="s">
        <v>719</v>
      </c>
      <c r="AU17" s="535">
        <f>+AU15/AU16-1</f>
        <v>0.18891723356009082</v>
      </c>
      <c r="AV17" s="535">
        <f>+AV15/AV16-1</f>
        <v>0.21905274488697546</v>
      </c>
      <c r="AW17" s="235"/>
      <c r="AX17" s="235"/>
      <c r="AY17" s="235"/>
    </row>
    <row r="18" spans="2:55" s="258" customFormat="1" ht="15" customHeight="1">
      <c r="B18" s="237"/>
      <c r="C18" s="237"/>
      <c r="D18" s="522" t="s">
        <v>3</v>
      </c>
      <c r="E18" s="358">
        <f>-Model!O28</f>
        <v>4.5</v>
      </c>
      <c r="F18" s="358">
        <f>-Model!P28</f>
        <v>5.5</v>
      </c>
      <c r="G18" s="358">
        <f>-Model!Q28</f>
        <v>5.3</v>
      </c>
      <c r="H18" s="358">
        <f>-Model!R28</f>
        <v>5.4</v>
      </c>
      <c r="I18" s="358">
        <f>-Model!S28</f>
        <v>6.9</v>
      </c>
      <c r="J18" s="358">
        <f>-Model!T28</f>
        <v>7.1</v>
      </c>
      <c r="K18" s="358">
        <f>-Model!U28</f>
        <v>6.5</v>
      </c>
      <c r="L18" s="358">
        <f>-Model!V28</f>
        <v>6.8</v>
      </c>
      <c r="M18" s="358">
        <f>-Model!W28</f>
        <v>7.3</v>
      </c>
      <c r="N18" s="358">
        <f>-Model!X28</f>
        <v>8.4</v>
      </c>
      <c r="O18" s="358">
        <f>-Model!Y28</f>
        <v>9</v>
      </c>
      <c r="P18" s="358">
        <f>-Model!Z28</f>
        <v>9.9</v>
      </c>
      <c r="Q18" s="358">
        <f>-Model!AA28</f>
        <v>9.1</v>
      </c>
      <c r="R18" s="358">
        <f>-Model!AB28</f>
        <v>9.9</v>
      </c>
      <c r="S18" s="358">
        <f>-Model!AC28</f>
        <v>12.5</v>
      </c>
      <c r="T18" s="358">
        <f>-Model!AD28</f>
        <v>15.1</v>
      </c>
      <c r="U18" s="358">
        <f>-Model!AE28</f>
        <v>14</v>
      </c>
      <c r="V18" s="358">
        <f>-Model!AF28</f>
        <v>14.9</v>
      </c>
      <c r="W18" s="358">
        <f>-Model!AG28</f>
        <v>13.9</v>
      </c>
      <c r="X18" s="358">
        <f>-Model!AH28</f>
        <v>17.899999999999999</v>
      </c>
      <c r="Y18" s="358">
        <f>-Model!AI28</f>
        <v>15.8</v>
      </c>
      <c r="Z18" s="358">
        <f>-Model!AJ28</f>
        <v>17.3</v>
      </c>
      <c r="AA18" s="359">
        <f>-Model!AK28</f>
        <v>17.5</v>
      </c>
      <c r="AB18" s="359">
        <f>-Model!AL28</f>
        <v>16.399999999999999</v>
      </c>
      <c r="AC18" s="418">
        <v>16.399999999999999</v>
      </c>
      <c r="AD18" s="316">
        <f>AB18-AC18</f>
        <v>0</v>
      </c>
      <c r="AE18" s="362"/>
      <c r="AF18" s="313"/>
      <c r="AG18" s="320" t="s">
        <v>410</v>
      </c>
      <c r="AH18" s="315"/>
      <c r="AI18" s="235"/>
      <c r="AJ18" s="235">
        <v>875</v>
      </c>
      <c r="AK18" s="398" t="s">
        <v>380</v>
      </c>
      <c r="AL18" s="325" t="s">
        <v>709</v>
      </c>
      <c r="AM18" s="425">
        <f ca="1">+Model!BT180+Model!BT380</f>
        <v>865.06784577929602</v>
      </c>
      <c r="AN18" s="325"/>
      <c r="AO18" s="235"/>
      <c r="AP18" s="235"/>
      <c r="AQ18" s="235"/>
      <c r="AR18" s="325"/>
      <c r="AS18" s="324"/>
      <c r="AT18" s="532" t="s">
        <v>720</v>
      </c>
      <c r="AU18" s="535" t="s">
        <v>721</v>
      </c>
      <c r="AV18" s="535" t="s">
        <v>722</v>
      </c>
      <c r="AW18" s="235"/>
      <c r="AX18" s="235"/>
      <c r="AY18" s="235"/>
    </row>
    <row r="19" spans="2:55" s="258" customFormat="1" ht="15" customHeight="1">
      <c r="B19" s="237"/>
      <c r="C19" s="237"/>
      <c r="D19" s="522" t="s">
        <v>448</v>
      </c>
      <c r="E19" s="358">
        <f>-Model!O29</f>
        <v>0.7</v>
      </c>
      <c r="F19" s="358">
        <f>-Model!P29</f>
        <v>0.5</v>
      </c>
      <c r="G19" s="358">
        <f>-Model!Q29</f>
        <v>0.9</v>
      </c>
      <c r="H19" s="358">
        <f>-Model!R29</f>
        <v>0.4</v>
      </c>
      <c r="I19" s="358">
        <f>-Model!S29</f>
        <v>0</v>
      </c>
      <c r="J19" s="358">
        <f>-Model!T29</f>
        <v>0</v>
      </c>
      <c r="K19" s="358">
        <f>-Model!U29</f>
        <v>0</v>
      </c>
      <c r="L19" s="358">
        <f>-Model!V29</f>
        <v>0</v>
      </c>
      <c r="M19" s="358">
        <f>-Model!W29</f>
        <v>0</v>
      </c>
      <c r="N19" s="358">
        <f>-Model!X29</f>
        <v>0</v>
      </c>
      <c r="O19" s="358">
        <f>-Model!Y29</f>
        <v>0</v>
      </c>
      <c r="P19" s="358">
        <f>-Model!Z29</f>
        <v>0</v>
      </c>
      <c r="Q19" s="358">
        <f>-Model!AA29</f>
        <v>-0.7</v>
      </c>
      <c r="R19" s="358">
        <f>-Model!AB29</f>
        <v>-0.3</v>
      </c>
      <c r="S19" s="358">
        <f>-Model!AC29</f>
        <v>-2.2999999999999998</v>
      </c>
      <c r="T19" s="358">
        <f>-Model!AD29</f>
        <v>-4.4999999999999991</v>
      </c>
      <c r="U19" s="358">
        <f>-Model!AE29</f>
        <v>-0.2</v>
      </c>
      <c r="V19" s="358">
        <f>-Model!AF29</f>
        <v>-0.3</v>
      </c>
      <c r="W19" s="358">
        <f>-Model!AG29</f>
        <v>-0.2</v>
      </c>
      <c r="X19" s="358">
        <f>-Model!AH29</f>
        <v>-2.2999999999999998</v>
      </c>
      <c r="Y19" s="358">
        <f>-Model!AI29</f>
        <v>-0.7</v>
      </c>
      <c r="Z19" s="358">
        <f>-Model!AJ29</f>
        <v>-1.1000000000000001</v>
      </c>
      <c r="AA19" s="359">
        <f>-Model!AK29</f>
        <v>-1.1000000000000001</v>
      </c>
      <c r="AB19" s="359">
        <f>-Model!AL29</f>
        <v>-1.1000000000000001</v>
      </c>
      <c r="AC19" s="363">
        <f>-(104.2-(AC11-AC14-AC17-AC18+AC21))</f>
        <v>-1.1000000000000085</v>
      </c>
      <c r="AD19" s="316"/>
      <c r="AE19" s="362"/>
      <c r="AF19" s="313"/>
      <c r="AG19" s="320"/>
      <c r="AH19" s="315"/>
      <c r="AI19" s="235"/>
      <c r="AK19" s="400" t="s">
        <v>430</v>
      </c>
      <c r="AL19" s="329">
        <f>+AJ18/AJ12</f>
        <v>1.070336391437309</v>
      </c>
      <c r="AM19" s="329">
        <f ca="1">+AM18/AM12</f>
        <v>1.0629753712582959</v>
      </c>
      <c r="AN19" s="329"/>
      <c r="AO19" s="235"/>
      <c r="AP19" s="235"/>
      <c r="AQ19" s="235"/>
      <c r="AR19" s="329"/>
      <c r="AS19" s="324"/>
      <c r="AT19" s="533" t="s">
        <v>715</v>
      </c>
      <c r="AU19" s="534"/>
      <c r="AV19" s="534"/>
      <c r="AW19" s="235"/>
      <c r="AX19" s="235"/>
      <c r="AY19" s="235"/>
    </row>
    <row r="20" spans="2:55" s="258" customFormat="1" ht="15" customHeight="1">
      <c r="B20" s="237"/>
      <c r="C20" s="237"/>
      <c r="D20" s="522" t="s">
        <v>8</v>
      </c>
      <c r="E20" s="360">
        <f t="shared" ref="E20:J20" si="38">+E15-E17-E18-E19</f>
        <v>27.8</v>
      </c>
      <c r="F20" s="360">
        <f t="shared" si="38"/>
        <v>28.1</v>
      </c>
      <c r="G20" s="360">
        <f t="shared" si="38"/>
        <v>28.400000000000002</v>
      </c>
      <c r="H20" s="360">
        <f t="shared" si="38"/>
        <v>27.6</v>
      </c>
      <c r="I20" s="360">
        <f t="shared" si="38"/>
        <v>30.300000000000004</v>
      </c>
      <c r="J20" s="360">
        <f t="shared" si="38"/>
        <v>29</v>
      </c>
      <c r="K20" s="360">
        <f t="shared" ref="K20:P20" si="39">+K15-K17-K18-K19</f>
        <v>34.5</v>
      </c>
      <c r="L20" s="360">
        <f t="shared" si="39"/>
        <v>38.6</v>
      </c>
      <c r="M20" s="360">
        <f t="shared" si="39"/>
        <v>39.5</v>
      </c>
      <c r="N20" s="360">
        <f t="shared" si="39"/>
        <v>38.000000000000007</v>
      </c>
      <c r="O20" s="360">
        <f t="shared" si="39"/>
        <v>39.599999999999994</v>
      </c>
      <c r="P20" s="360">
        <f t="shared" si="39"/>
        <v>41.900000000000006</v>
      </c>
      <c r="Q20" s="360">
        <f>+Q15-Q17-Q18-Q19</f>
        <v>42.100000000000009</v>
      </c>
      <c r="R20" s="360">
        <f t="shared" ref="R20" si="40">+R15-R17-R18-R19</f>
        <v>43.9</v>
      </c>
      <c r="S20" s="360">
        <f t="shared" ref="S20" si="41">+S15-S17-S18-S19</f>
        <v>55.599999999999994</v>
      </c>
      <c r="T20" s="360">
        <f t="shared" ref="T20" si="42">+T15-T17-T18-T19</f>
        <v>58.1</v>
      </c>
      <c r="U20" s="360">
        <f t="shared" ref="U20" si="43">+U15-U17-U18-U19</f>
        <v>59.7</v>
      </c>
      <c r="V20" s="360">
        <f t="shared" ref="V20:AB20" si="44">+V15-V17-V18-V19</f>
        <v>66.499999999999986</v>
      </c>
      <c r="W20" s="360">
        <f t="shared" si="44"/>
        <v>70.800000000000011</v>
      </c>
      <c r="X20" s="360">
        <f t="shared" si="44"/>
        <v>70.000000000000014</v>
      </c>
      <c r="Y20" s="360">
        <f t="shared" si="44"/>
        <v>77.000000000000014</v>
      </c>
      <c r="Z20" s="360">
        <f t="shared" si="44"/>
        <v>86.800000000000011</v>
      </c>
      <c r="AA20" s="361">
        <f t="shared" si="44"/>
        <v>92</v>
      </c>
      <c r="AB20" s="361">
        <f t="shared" si="44"/>
        <v>101.1</v>
      </c>
      <c r="AC20" s="360">
        <f>+AC15-AC17-AC18-AC19</f>
        <v>101.10000000000001</v>
      </c>
      <c r="AD20" s="316">
        <f>AC20-AB20</f>
        <v>0</v>
      </c>
      <c r="AE20" s="362"/>
      <c r="AF20" s="313"/>
      <c r="AG20" s="314"/>
      <c r="AH20" s="315"/>
      <c r="AI20" s="235"/>
      <c r="AK20" s="400" t="s">
        <v>431</v>
      </c>
      <c r="AL20" s="325" t="s">
        <v>710</v>
      </c>
      <c r="AM20" s="324">
        <f ca="1">-Model!BT381</f>
        <v>858.01066958326328</v>
      </c>
      <c r="AN20" s="329"/>
      <c r="AO20" s="235"/>
      <c r="AP20" s="235"/>
      <c r="AQ20" s="235"/>
      <c r="AR20" s="329"/>
      <c r="AS20" s="327"/>
      <c r="AT20" s="532" t="s">
        <v>716</v>
      </c>
      <c r="AU20" s="235"/>
      <c r="AV20" s="235"/>
      <c r="AW20" s="235"/>
      <c r="AX20" s="235"/>
      <c r="AY20" s="235"/>
    </row>
    <row r="21" spans="2:55" s="258" customFormat="1" ht="15" customHeight="1">
      <c r="B21" s="237" t="s">
        <v>409</v>
      </c>
      <c r="C21" s="237"/>
      <c r="D21" s="522" t="s">
        <v>384</v>
      </c>
      <c r="E21" s="358">
        <f>Model!O31</f>
        <v>0.5</v>
      </c>
      <c r="F21" s="358">
        <f>Model!P31</f>
        <v>0.4</v>
      </c>
      <c r="G21" s="358">
        <f>Model!Q31</f>
        <v>1.7</v>
      </c>
      <c r="H21" s="358">
        <f>Model!R31</f>
        <v>0.8</v>
      </c>
      <c r="I21" s="358">
        <f>Model!S31</f>
        <v>1.2</v>
      </c>
      <c r="J21" s="358">
        <f>Model!T31</f>
        <v>1.8</v>
      </c>
      <c r="K21" s="358">
        <f>Model!U31</f>
        <v>2</v>
      </c>
      <c r="L21" s="358">
        <f>Model!V31</f>
        <v>1.3</v>
      </c>
      <c r="M21" s="358">
        <f>Model!W31</f>
        <v>2.2000000000000002</v>
      </c>
      <c r="N21" s="358">
        <f>Model!X31</f>
        <v>2.8</v>
      </c>
      <c r="O21" s="358">
        <f>Model!Y31</f>
        <v>2.6</v>
      </c>
      <c r="P21" s="358">
        <f>Model!Z31</f>
        <v>2.7</v>
      </c>
      <c r="Q21" s="358">
        <f>Model!AA31</f>
        <v>3</v>
      </c>
      <c r="R21" s="358">
        <f>Model!AB31</f>
        <v>3.2</v>
      </c>
      <c r="S21" s="358">
        <f>Model!AC31</f>
        <v>3.4</v>
      </c>
      <c r="T21" s="358">
        <f>Model!AD31</f>
        <v>2.4</v>
      </c>
      <c r="U21" s="358">
        <f>Model!AE31</f>
        <v>3</v>
      </c>
      <c r="V21" s="358">
        <f>Model!AF31</f>
        <v>3.2</v>
      </c>
      <c r="W21" s="358">
        <f>Model!AG31</f>
        <v>2.2999999999999998</v>
      </c>
      <c r="X21" s="358">
        <f>Model!AH31</f>
        <v>3</v>
      </c>
      <c r="Y21" s="358">
        <f>Model!AI31</f>
        <v>3.7</v>
      </c>
      <c r="Z21" s="358">
        <f>Model!AJ31</f>
        <v>4</v>
      </c>
      <c r="AA21" s="359">
        <f>Model!AK31</f>
        <v>3.9</v>
      </c>
      <c r="AB21" s="359">
        <f>Model!AL31</f>
        <v>3.1</v>
      </c>
      <c r="AC21" s="363">
        <v>3.1</v>
      </c>
      <c r="AD21" s="316">
        <f>+AC21-AB21</f>
        <v>0</v>
      </c>
      <c r="AE21" s="362"/>
      <c r="AF21" s="313"/>
      <c r="AG21" s="314"/>
      <c r="AH21" s="315"/>
      <c r="AI21" s="235"/>
      <c r="AK21" s="400" t="s">
        <v>433</v>
      </c>
      <c r="AL21" s="325" t="s">
        <v>434</v>
      </c>
      <c r="AM21" s="324">
        <f>-Model!BT382</f>
        <v>7.0571761960326738</v>
      </c>
      <c r="AN21" s="329"/>
      <c r="AO21" s="235"/>
      <c r="AP21" s="235"/>
      <c r="AQ21" s="235"/>
      <c r="AR21" s="329"/>
      <c r="AS21" s="327"/>
      <c r="AT21" s="532"/>
      <c r="AU21" s="235"/>
      <c r="AV21" s="235"/>
      <c r="AW21" s="235"/>
      <c r="AX21" s="235"/>
      <c r="AY21" s="235"/>
    </row>
    <row r="22" spans="2:55" ht="15" customHeight="1">
      <c r="B22" s="247"/>
      <c r="C22" s="247"/>
      <c r="D22" s="522" t="s">
        <v>175</v>
      </c>
      <c r="E22" s="360">
        <f t="shared" ref="E22:J22" si="45">+E20+E21</f>
        <v>28.3</v>
      </c>
      <c r="F22" s="360">
        <f t="shared" si="45"/>
        <v>28.5</v>
      </c>
      <c r="G22" s="360">
        <f t="shared" si="45"/>
        <v>30.1</v>
      </c>
      <c r="H22" s="360">
        <f t="shared" si="45"/>
        <v>28.400000000000002</v>
      </c>
      <c r="I22" s="360">
        <f t="shared" si="45"/>
        <v>31.500000000000004</v>
      </c>
      <c r="J22" s="360">
        <f t="shared" si="45"/>
        <v>30.8</v>
      </c>
      <c r="K22" s="360">
        <f t="shared" ref="K22:P22" si="46">+K20+K21</f>
        <v>36.5</v>
      </c>
      <c r="L22" s="360">
        <f t="shared" si="46"/>
        <v>39.9</v>
      </c>
      <c r="M22" s="360">
        <f t="shared" si="46"/>
        <v>41.7</v>
      </c>
      <c r="N22" s="360">
        <f t="shared" si="46"/>
        <v>40.800000000000004</v>
      </c>
      <c r="O22" s="360">
        <f t="shared" si="46"/>
        <v>42.199999999999996</v>
      </c>
      <c r="P22" s="360">
        <f t="shared" si="46"/>
        <v>44.600000000000009</v>
      </c>
      <c r="Q22" s="360">
        <f>+Q20+Q21</f>
        <v>45.100000000000009</v>
      </c>
      <c r="R22" s="360">
        <f t="shared" ref="R22" si="47">+R20+R21</f>
        <v>47.1</v>
      </c>
      <c r="S22" s="360">
        <f t="shared" ref="S22" si="48">+S20+S21</f>
        <v>58.999999999999993</v>
      </c>
      <c r="T22" s="360">
        <f t="shared" ref="T22" si="49">+T20+T21</f>
        <v>60.5</v>
      </c>
      <c r="U22" s="360">
        <f t="shared" ref="U22" si="50">+U20+U21</f>
        <v>62.7</v>
      </c>
      <c r="V22" s="360">
        <f t="shared" ref="V22:AB22" si="51">+V20+V21</f>
        <v>69.699999999999989</v>
      </c>
      <c r="W22" s="360">
        <f t="shared" si="51"/>
        <v>73.100000000000009</v>
      </c>
      <c r="X22" s="360">
        <f t="shared" si="51"/>
        <v>73.000000000000014</v>
      </c>
      <c r="Y22" s="360">
        <f t="shared" si="51"/>
        <v>80.700000000000017</v>
      </c>
      <c r="Z22" s="360">
        <f t="shared" si="51"/>
        <v>90.800000000000011</v>
      </c>
      <c r="AA22" s="361">
        <f t="shared" si="51"/>
        <v>95.9</v>
      </c>
      <c r="AB22" s="361">
        <f t="shared" si="51"/>
        <v>104.19999999999999</v>
      </c>
      <c r="AC22" s="360">
        <f>+AC20+AC21</f>
        <v>104.2</v>
      </c>
      <c r="AD22" s="316">
        <f>AC22-AB22</f>
        <v>0</v>
      </c>
      <c r="AE22" s="364">
        <v>101.41</v>
      </c>
      <c r="AF22" s="313">
        <f>AE22-AB22</f>
        <v>-2.789999999999992</v>
      </c>
      <c r="AG22" s="550" t="s">
        <v>410</v>
      </c>
      <c r="AH22" s="553" t="s">
        <v>499</v>
      </c>
      <c r="AJ22" s="258">
        <v>3</v>
      </c>
      <c r="AK22" s="257" t="s">
        <v>427</v>
      </c>
      <c r="AL22" s="328" t="s">
        <v>711</v>
      </c>
      <c r="AM22" s="327">
        <f ca="1">+Model!BT66</f>
        <v>3.1983328068206509</v>
      </c>
      <c r="AN22" s="328">
        <v>3.38</v>
      </c>
      <c r="AR22" s="328"/>
      <c r="AS22" s="258"/>
      <c r="AT22" s="258"/>
    </row>
    <row r="23" spans="2:55" s="258" customFormat="1" ht="15" customHeight="1">
      <c r="B23" s="237" t="s">
        <v>409</v>
      </c>
      <c r="C23" s="237"/>
      <c r="D23" s="520" t="s">
        <v>379</v>
      </c>
      <c r="E23" s="251">
        <f t="shared" ref="E23:J23" si="52">+E22/E11</f>
        <v>0.54318618042226485</v>
      </c>
      <c r="F23" s="251">
        <f t="shared" si="52"/>
        <v>0.52777777777777779</v>
      </c>
      <c r="G23" s="251">
        <f t="shared" si="52"/>
        <v>0.53086419753086422</v>
      </c>
      <c r="H23" s="251">
        <f t="shared" si="52"/>
        <v>0.48965517241379314</v>
      </c>
      <c r="I23" s="251">
        <f t="shared" si="52"/>
        <v>0.52412645590682205</v>
      </c>
      <c r="J23" s="251">
        <f t="shared" si="52"/>
        <v>0.48427672955974843</v>
      </c>
      <c r="K23" s="251">
        <f t="shared" ref="K23:P23" si="53">+K22/K11</f>
        <v>0.54074074074074074</v>
      </c>
      <c r="L23" s="251">
        <f t="shared" si="53"/>
        <v>0.55186721991701249</v>
      </c>
      <c r="M23" s="251">
        <f t="shared" si="53"/>
        <v>0.53806451612903228</v>
      </c>
      <c r="N23" s="251">
        <f t="shared" si="53"/>
        <v>0.49938800489596086</v>
      </c>
      <c r="O23" s="251">
        <f t="shared" si="53"/>
        <v>0.49764150943396224</v>
      </c>
      <c r="P23" s="251">
        <f t="shared" si="53"/>
        <v>0.51323360184119682</v>
      </c>
      <c r="Q23" s="251">
        <f>+Q22/Q11</f>
        <v>0.52625437572928835</v>
      </c>
      <c r="R23" s="251">
        <f t="shared" ref="R23" si="54">+R22/R11</f>
        <v>0.52861952861952866</v>
      </c>
      <c r="S23" s="251">
        <f t="shared" ref="S23" si="55">+S22/S11</f>
        <v>0.53057553956834524</v>
      </c>
      <c r="T23" s="251">
        <f t="shared" ref="T23" si="56">+T22/T11</f>
        <v>0.53398058252427183</v>
      </c>
      <c r="U23" s="251">
        <f t="shared" ref="U23" si="57">+U22/U11</f>
        <v>0.53225806451612911</v>
      </c>
      <c r="V23" s="251">
        <f t="shared" ref="V23:AB23" si="58">+V22/V11</f>
        <v>0.53574173712528816</v>
      </c>
      <c r="W23" s="251">
        <f t="shared" si="58"/>
        <v>0.50834492350486793</v>
      </c>
      <c r="X23" s="251">
        <f t="shared" si="58"/>
        <v>0.53129548762736545</v>
      </c>
      <c r="Y23" s="251">
        <f t="shared" si="58"/>
        <v>0.54052243804420641</v>
      </c>
      <c r="Z23" s="251">
        <f t="shared" si="58"/>
        <v>0.54403834631515879</v>
      </c>
      <c r="AA23" s="252">
        <f t="shared" si="58"/>
        <v>0.54706217912150601</v>
      </c>
      <c r="AB23" s="252">
        <f t="shared" si="58"/>
        <v>0.57728531855955667</v>
      </c>
      <c r="AC23" s="251">
        <f>+AC22/AC11</f>
        <v>0.57728531855955678</v>
      </c>
      <c r="AD23" s="249">
        <f>(AC23-AB23)*10000</f>
        <v>1.1102230246251565E-12</v>
      </c>
      <c r="AE23" s="253">
        <f>+AE22/AE11</f>
        <v>0.55454694591786513</v>
      </c>
      <c r="AF23" s="249">
        <f>(AE23-AB23)*10000</f>
        <v>-227.38372641691541</v>
      </c>
      <c r="AG23" s="546"/>
      <c r="AH23" s="549"/>
      <c r="AI23" s="235"/>
      <c r="AK23" s="257"/>
      <c r="AL23" s="257"/>
      <c r="AM23" s="257"/>
      <c r="AN23" s="257"/>
      <c r="AO23" s="257"/>
      <c r="AP23" s="515"/>
      <c r="AQ23" s="257"/>
      <c r="AR23" s="235"/>
      <c r="AS23" s="235"/>
      <c r="AT23" s="235"/>
      <c r="AU23" s="235"/>
      <c r="AV23" s="235"/>
      <c r="AW23" s="235"/>
      <c r="AX23" s="327"/>
      <c r="AY23" s="328"/>
      <c r="BA23" s="235"/>
      <c r="BB23" s="235"/>
      <c r="BC23" s="235"/>
    </row>
    <row r="24" spans="2:55" s="258" customFormat="1" ht="15" customHeight="1">
      <c r="B24" s="237"/>
      <c r="C24" s="237"/>
      <c r="D24" s="522" t="s">
        <v>10</v>
      </c>
      <c r="E24" s="358">
        <f>Model!O43</f>
        <v>-0.69999999999999862</v>
      </c>
      <c r="F24" s="358">
        <f>Model!P43</f>
        <v>-9.8978420000000042</v>
      </c>
      <c r="G24" s="358">
        <f>Model!Q43</f>
        <v>-2.8</v>
      </c>
      <c r="H24" s="358">
        <f>Model!R43</f>
        <v>-6.8999999999999959</v>
      </c>
      <c r="I24" s="358">
        <f>Model!S43</f>
        <v>-23</v>
      </c>
      <c r="J24" s="358">
        <f>Model!T43</f>
        <v>-6.8</v>
      </c>
      <c r="K24" s="358">
        <f>Model!U43</f>
        <v>-2.1999999999999984</v>
      </c>
      <c r="L24" s="358">
        <f>Model!V43</f>
        <v>-3.6000000000000032</v>
      </c>
      <c r="M24" s="358">
        <f>Model!W43</f>
        <v>0.70000000000000195</v>
      </c>
      <c r="N24" s="358">
        <f>Model!X43</f>
        <v>-3.5999999999999956</v>
      </c>
      <c r="O24" s="358">
        <f>Model!Y43</f>
        <v>0.19999999999999574</v>
      </c>
      <c r="P24" s="358">
        <f>Model!Z43</f>
        <v>-11.799999999999994</v>
      </c>
      <c r="Q24" s="358">
        <f>Model!AA43</f>
        <v>-7.1999999999999913</v>
      </c>
      <c r="R24" s="358">
        <f>Model!AB43</f>
        <v>-6.4999999999999938</v>
      </c>
      <c r="S24" s="358">
        <f>Model!AC43</f>
        <v>-5.3000000000000096</v>
      </c>
      <c r="T24" s="358">
        <f>Model!AD43</f>
        <v>-1.1999999999999988</v>
      </c>
      <c r="U24" s="358">
        <f>Model!AE43</f>
        <v>5.600000000000005</v>
      </c>
      <c r="V24" s="358">
        <f>Model!AF43</f>
        <v>9.0999999999999872</v>
      </c>
      <c r="W24" s="358">
        <f>Model!AG43</f>
        <v>4.4000000000000101</v>
      </c>
      <c r="X24" s="358">
        <f>Model!AH43</f>
        <v>0.80000000000001847</v>
      </c>
      <c r="Y24" s="358">
        <f>Model!AI43</f>
        <v>-30.399999999999981</v>
      </c>
      <c r="Z24" s="358">
        <f>Model!AJ43</f>
        <v>-0.79999999999999005</v>
      </c>
      <c r="AA24" s="359">
        <f>Model!AK43</f>
        <v>-55.1</v>
      </c>
      <c r="AB24" s="359">
        <f>Model!AL43</f>
        <v>2.7999999999999967</v>
      </c>
      <c r="AC24" s="418">
        <v>2.8</v>
      </c>
      <c r="AD24" s="316">
        <f>AC24-AB24</f>
        <v>0</v>
      </c>
      <c r="AE24" s="317">
        <v>5.05</v>
      </c>
      <c r="AF24" s="316">
        <f>AE24-AB24</f>
        <v>2.2500000000000031</v>
      </c>
      <c r="AG24" s="314"/>
      <c r="AH24" s="315"/>
      <c r="AI24" s="235"/>
      <c r="AJ24" s="235"/>
      <c r="AK24" s="235"/>
      <c r="AL24" s="235"/>
      <c r="AN24" s="455"/>
      <c r="AO24" s="235"/>
      <c r="AP24" s="235"/>
      <c r="AQ24" s="235"/>
      <c r="AR24" s="235"/>
      <c r="AS24" s="235"/>
      <c r="AT24" s="235"/>
      <c r="AU24" s="328"/>
      <c r="AV24" s="235"/>
      <c r="AW24" s="235"/>
      <c r="AX24" s="235"/>
      <c r="AY24" s="235"/>
      <c r="AZ24" s="235"/>
      <c r="BA24" s="235"/>
    </row>
    <row r="25" spans="2:55" s="258" customFormat="1" ht="15" customHeight="1" collapsed="1">
      <c r="B25" s="237"/>
      <c r="C25" s="237"/>
      <c r="D25" s="522" t="s">
        <v>31</v>
      </c>
      <c r="E25" s="358">
        <f>Model!O52</f>
        <v>10.799999999999999</v>
      </c>
      <c r="F25" s="358">
        <f>Model!P52</f>
        <v>15.799999999999999</v>
      </c>
      <c r="G25" s="358">
        <f>Model!Q52</f>
        <v>10.600000000000001</v>
      </c>
      <c r="H25" s="358">
        <f>Model!R52</f>
        <v>8.5000000000000036</v>
      </c>
      <c r="I25" s="358">
        <f>Model!S52</f>
        <v>-7.1</v>
      </c>
      <c r="J25" s="358">
        <f>Model!T52</f>
        <v>10.099999999999998</v>
      </c>
      <c r="K25" s="358">
        <f>Model!U52</f>
        <v>15.600000000000001</v>
      </c>
      <c r="L25" s="358">
        <f>Model!V52</f>
        <v>19.2</v>
      </c>
      <c r="M25" s="358">
        <f>Model!W52</f>
        <v>22.900000000000002</v>
      </c>
      <c r="N25" s="358">
        <f>Model!X52</f>
        <v>20.500000000000007</v>
      </c>
      <c r="O25" s="358">
        <f>Model!Y52</f>
        <v>24.699999999999996</v>
      </c>
      <c r="P25" s="358">
        <f>Model!Z52</f>
        <v>13.300000000000008</v>
      </c>
      <c r="Q25" s="358">
        <f>Model!AA52</f>
        <v>27.400000000000006</v>
      </c>
      <c r="R25" s="358">
        <f>Model!AB52</f>
        <v>19.800000000000008</v>
      </c>
      <c r="S25" s="358">
        <f>Model!AC52</f>
        <v>31.499999999999986</v>
      </c>
      <c r="T25" s="358">
        <f>Model!AD52</f>
        <v>31.599999999999998</v>
      </c>
      <c r="U25" s="358">
        <f>Model!AE52</f>
        <v>38.600000000000009</v>
      </c>
      <c r="V25" s="358">
        <f>Model!AF52</f>
        <v>47.499999999999986</v>
      </c>
      <c r="W25" s="358">
        <f>Model!AG52</f>
        <v>48.600000000000016</v>
      </c>
      <c r="X25" s="358">
        <f>Model!AH52</f>
        <v>48.100000000000016</v>
      </c>
      <c r="Y25" s="358">
        <f>Model!AI52</f>
        <v>18.500000000000021</v>
      </c>
      <c r="Z25" s="358">
        <f>Model!AJ52</f>
        <v>58.100000000000009</v>
      </c>
      <c r="AA25" s="359">
        <f>Model!AK52</f>
        <v>60.699999999999996</v>
      </c>
      <c r="AB25" s="359">
        <f>Model!AL52</f>
        <v>65.599999999999994</v>
      </c>
      <c r="AC25" s="418">
        <v>65.599999999999994</v>
      </c>
      <c r="AD25" s="316">
        <f>AC25-AB25</f>
        <v>0</v>
      </c>
      <c r="AE25" s="318"/>
      <c r="AF25" s="316"/>
      <c r="AG25" s="333"/>
      <c r="AH25" s="332"/>
      <c r="AI25" s="235"/>
      <c r="AJ25" s="235"/>
      <c r="AK25" s="235"/>
      <c r="AL25" s="235"/>
      <c r="AN25" s="455"/>
      <c r="AO25" s="235"/>
      <c r="AP25" s="235"/>
      <c r="AQ25" s="235"/>
      <c r="AR25" s="235"/>
      <c r="AS25" s="235"/>
      <c r="AT25" s="235"/>
      <c r="AU25" s="235"/>
      <c r="AV25" s="235"/>
    </row>
    <row r="26" spans="2:55" s="258" customFormat="1" ht="15" customHeight="1">
      <c r="B26" s="237"/>
      <c r="C26" s="237"/>
      <c r="D26" s="523" t="s">
        <v>684</v>
      </c>
      <c r="E26" s="355">
        <f>Model!O55</f>
        <v>14.899999999999999</v>
      </c>
      <c r="F26" s="355">
        <f>Model!P55</f>
        <v>20.5</v>
      </c>
      <c r="G26" s="355">
        <f>Model!Q55</f>
        <v>15.200000000000001</v>
      </c>
      <c r="H26" s="355">
        <f>Model!R55</f>
        <v>16.800000000000004</v>
      </c>
      <c r="I26" s="355">
        <f>Model!S55</f>
        <v>17.200000000000003</v>
      </c>
      <c r="J26" s="355">
        <f>Model!T55</f>
        <v>15.999999999999996</v>
      </c>
      <c r="K26" s="355">
        <f>Model!U55</f>
        <v>21.900000000000002</v>
      </c>
      <c r="L26" s="355">
        <f>Model!V55</f>
        <v>23.599999999999998</v>
      </c>
      <c r="M26" s="355">
        <f>Model!W55</f>
        <v>27.200000000000003</v>
      </c>
      <c r="N26" s="355">
        <f>Model!X55</f>
        <v>25.600000000000009</v>
      </c>
      <c r="O26" s="355">
        <f>Model!Y55</f>
        <v>28.899999999999995</v>
      </c>
      <c r="P26" s="355">
        <f>Model!Z55</f>
        <v>31.200000000000006</v>
      </c>
      <c r="Q26" s="355">
        <f>Model!AA55</f>
        <v>31.900000000000006</v>
      </c>
      <c r="R26" s="355">
        <f>Model!AB55</f>
        <v>33.400000000000013</v>
      </c>
      <c r="S26" s="355">
        <f>Model!AC55</f>
        <v>41.199999999999989</v>
      </c>
      <c r="T26" s="355">
        <f>Model!AD55</f>
        <v>44.199999999999996</v>
      </c>
      <c r="U26" s="355">
        <f>Model!AE55</f>
        <v>45.900000000000006</v>
      </c>
      <c r="V26" s="355">
        <f>Model!AF55</f>
        <v>53.099999999999987</v>
      </c>
      <c r="W26" s="355">
        <f>Model!AG55</f>
        <v>54.800000000000011</v>
      </c>
      <c r="X26" s="355">
        <f>Model!AH55</f>
        <v>56.40000000000002</v>
      </c>
      <c r="Y26" s="355">
        <f>Model!AI55</f>
        <v>61.200000000000031</v>
      </c>
      <c r="Z26" s="355">
        <f>Model!AJ55</f>
        <v>67.900000000000006</v>
      </c>
      <c r="AA26" s="356">
        <f>Model!AK55</f>
        <v>71.399999999999991</v>
      </c>
      <c r="AB26" s="356">
        <f>Model!AL55</f>
        <v>78.399999999999991</v>
      </c>
      <c r="AC26" s="419">
        <v>78.400000000000006</v>
      </c>
      <c r="AD26" s="311">
        <f>AC26-AB26</f>
        <v>0</v>
      </c>
      <c r="AE26" s="312"/>
      <c r="AF26" s="311"/>
      <c r="AG26" s="550" t="s">
        <v>410</v>
      </c>
      <c r="AH26" s="548" t="s">
        <v>498</v>
      </c>
      <c r="AI26" s="235"/>
      <c r="AK26" s="397" t="s">
        <v>645</v>
      </c>
      <c r="AL26" s="397"/>
      <c r="AM26" s="397"/>
      <c r="AN26" s="396"/>
      <c r="AO26" s="396"/>
      <c r="AP26" s="396"/>
      <c r="AQ26" s="396"/>
      <c r="AR26" s="235"/>
      <c r="AS26" s="235"/>
      <c r="AT26" s="235"/>
      <c r="AU26" s="235"/>
      <c r="AV26" s="235"/>
    </row>
    <row r="27" spans="2:55" s="258" customFormat="1" ht="15" customHeight="1">
      <c r="B27" s="237"/>
      <c r="C27" s="237"/>
      <c r="D27" s="520" t="s">
        <v>427</v>
      </c>
      <c r="E27" s="365">
        <f ca="1">Model!O66</f>
        <v>0.23109732454439705</v>
      </c>
      <c r="F27" s="365">
        <f ca="1">Model!P66</f>
        <v>0.3179526948429624</v>
      </c>
      <c r="G27" s="365">
        <f ca="1">Model!Q66</f>
        <v>0.23575029081039167</v>
      </c>
      <c r="H27" s="365">
        <f ca="1">Model!R66</f>
        <v>0.26056611089569609</v>
      </c>
      <c r="I27" s="365">
        <f ca="1">Model!S66</f>
        <v>0.26677006591702218</v>
      </c>
      <c r="J27" s="365">
        <f ca="1">Model!T66</f>
        <v>0.24815820085304377</v>
      </c>
      <c r="K27" s="365">
        <f>Model!U66</f>
        <v>0.33846958611985378</v>
      </c>
      <c r="L27" s="365">
        <f>Model!V66</f>
        <v>0.36544668176271156</v>
      </c>
      <c r="M27" s="365">
        <f>Model!W66</f>
        <v>0.41676050162152012</v>
      </c>
      <c r="N27" s="365">
        <f>Model!X66</f>
        <v>0.39224517799672493</v>
      </c>
      <c r="O27" s="365">
        <f>Model!Y66</f>
        <v>0.44285346824601179</v>
      </c>
      <c r="P27" s="365">
        <f>Model!Z66</f>
        <v>0.4781363568878424</v>
      </c>
      <c r="Q27" s="365">
        <f>Model!AA66</f>
        <v>0.48583153059122008</v>
      </c>
      <c r="R27" s="365">
        <f>Model!AB66</f>
        <v>0.5059629015578736</v>
      </c>
      <c r="S27" s="365">
        <f>Model!AC66</f>
        <v>0.56749311294765825</v>
      </c>
      <c r="T27" s="365">
        <f>Model!AD66</f>
        <v>0.60881542699724511</v>
      </c>
      <c r="U27" s="365">
        <f>Model!AE66</f>
        <v>0.63049450549450559</v>
      </c>
      <c r="V27" s="365">
        <f>Model!AF66</f>
        <v>0.67215189873417702</v>
      </c>
      <c r="W27" s="365">
        <f>Model!AG66</f>
        <v>0.67404674046740487</v>
      </c>
      <c r="X27" s="365">
        <f>Model!AH66</f>
        <v>0.68048660149028761</v>
      </c>
      <c r="Y27" s="365">
        <f>Model!AI66</f>
        <v>0.72426035502958619</v>
      </c>
      <c r="Z27" s="365">
        <f>Model!AJ66</f>
        <v>0.76723163841807918</v>
      </c>
      <c r="AA27" s="366">
        <f>Model!AK66</f>
        <v>0.78547854785478533</v>
      </c>
      <c r="AB27" s="366">
        <f>Model!AL66</f>
        <v>0.83850267379679133</v>
      </c>
      <c r="AC27" s="420">
        <v>0.84</v>
      </c>
      <c r="AD27" s="323">
        <f>+AC27-AB27</f>
        <v>1.4973262032086376E-3</v>
      </c>
      <c r="AE27" s="322">
        <v>0.8</v>
      </c>
      <c r="AF27" s="323">
        <f>+AE27-AB27</f>
        <v>-3.8502673796791287E-2</v>
      </c>
      <c r="AG27" s="546"/>
      <c r="AH27" s="549"/>
      <c r="AI27" s="516">
        <f>+AC11/AE11-1</f>
        <v>-1.2960026248154399E-2</v>
      </c>
      <c r="AJ27" s="426" t="s">
        <v>484</v>
      </c>
      <c r="AK27" s="398"/>
      <c r="AL27" s="399" t="s">
        <v>685</v>
      </c>
      <c r="AM27" s="399" t="s">
        <v>682</v>
      </c>
      <c r="AN27" s="399" t="s">
        <v>664</v>
      </c>
      <c r="AO27" s="399" t="s">
        <v>644</v>
      </c>
      <c r="AP27" s="401" t="s">
        <v>365</v>
      </c>
      <c r="AQ27" s="401" t="s">
        <v>371</v>
      </c>
      <c r="AR27" s="235"/>
      <c r="AS27" s="235"/>
      <c r="AT27" s="235"/>
      <c r="AU27" s="235"/>
    </row>
    <row r="28" spans="2:55" s="258" customFormat="1" ht="15" customHeight="1">
      <c r="B28" s="237"/>
      <c r="C28" s="237"/>
      <c r="D28" s="522" t="s">
        <v>425</v>
      </c>
      <c r="E28" s="358">
        <f>Model!O61</f>
        <v>12.1</v>
      </c>
      <c r="F28" s="358">
        <f>Model!P61</f>
        <v>14.399999999999999</v>
      </c>
      <c r="G28" s="358">
        <f>Model!Q61</f>
        <v>13.2</v>
      </c>
      <c r="H28" s="358">
        <f>Model!R61</f>
        <v>13.500000000000005</v>
      </c>
      <c r="I28" s="358">
        <f>Model!S61</f>
        <v>17.500000000000004</v>
      </c>
      <c r="J28" s="358">
        <f>Model!T61</f>
        <v>14.799999999999997</v>
      </c>
      <c r="K28" s="358">
        <f>Model!U61</f>
        <v>19.299999999999997</v>
      </c>
      <c r="L28" s="358">
        <f>Model!V61</f>
        <v>20.799999999999997</v>
      </c>
      <c r="M28" s="358">
        <f>Model!W61</f>
        <v>27.5</v>
      </c>
      <c r="N28" s="358">
        <f>Model!X61</f>
        <v>25.300000000000004</v>
      </c>
      <c r="O28" s="358">
        <f>Model!Y61</f>
        <v>29.099999999999994</v>
      </c>
      <c r="P28" s="358">
        <f>Model!Z61</f>
        <v>29.800000000000015</v>
      </c>
      <c r="Q28" s="358">
        <f>Model!AA61</f>
        <v>35.000000000000007</v>
      </c>
      <c r="R28" s="358">
        <f>Model!AB61</f>
        <v>36.500000000000021</v>
      </c>
      <c r="S28" s="358">
        <f>Model!AC61</f>
        <v>42.799999999999983</v>
      </c>
      <c r="T28" s="358">
        <f>Model!AD61</f>
        <v>46.29999999999999</v>
      </c>
      <c r="U28" s="358">
        <f>Model!AE61</f>
        <v>46.500000000000007</v>
      </c>
      <c r="V28" s="358">
        <f>Model!AF61</f>
        <v>49.499999999999993</v>
      </c>
      <c r="W28" s="358">
        <f>Model!AG61</f>
        <v>44.300000000000011</v>
      </c>
      <c r="X28" s="358">
        <f>Model!AH61</f>
        <v>54.000000000000028</v>
      </c>
      <c r="Y28" s="358">
        <f>Model!AI61</f>
        <v>52.900000000000034</v>
      </c>
      <c r="Z28" s="358">
        <f>Model!AJ61</f>
        <v>67.600000000000009</v>
      </c>
      <c r="AA28" s="359">
        <f>Model!AK61</f>
        <v>78.100000000000009</v>
      </c>
      <c r="AB28" s="359">
        <f>Model!AL61</f>
        <v>75.3</v>
      </c>
      <c r="AC28" s="418">
        <f>+AC26+0.9+3.1+1.6-3.6-3.5-1.6</f>
        <v>75.300000000000011</v>
      </c>
      <c r="AD28" s="316">
        <f>AC28-AB28</f>
        <v>0</v>
      </c>
      <c r="AE28" s="318"/>
      <c r="AF28" s="316"/>
      <c r="AG28" s="550" t="s">
        <v>357</v>
      </c>
      <c r="AH28" s="421"/>
      <c r="AI28" s="235"/>
      <c r="AJ28" s="235">
        <v>673.5</v>
      </c>
      <c r="AK28" s="398" t="s">
        <v>542</v>
      </c>
      <c r="AL28" s="325" t="s">
        <v>686</v>
      </c>
      <c r="AM28" s="325" t="s">
        <v>668</v>
      </c>
      <c r="AN28" s="325" t="s">
        <v>668</v>
      </c>
      <c r="AO28" s="325" t="s">
        <v>646</v>
      </c>
      <c r="AP28" s="324">
        <f>+Model!BS9</f>
        <v>672</v>
      </c>
      <c r="AQ28" s="325">
        <v>674.66</v>
      </c>
      <c r="AR28" s="235"/>
      <c r="AS28" s="235"/>
      <c r="AT28" s="401"/>
    </row>
    <row r="29" spans="2:55" s="258" customFormat="1" ht="15" customHeight="1">
      <c r="B29" s="237" t="s">
        <v>409</v>
      </c>
      <c r="C29" s="237"/>
      <c r="D29" s="520" t="s">
        <v>428</v>
      </c>
      <c r="E29" s="365">
        <f ca="1">Model!O68</f>
        <v>0.18766963939511438</v>
      </c>
      <c r="F29" s="365">
        <f ca="1">Model!P68</f>
        <v>0.22334238076773943</v>
      </c>
      <c r="G29" s="365">
        <f ca="1">Model!Q68</f>
        <v>0.20473051570376116</v>
      </c>
      <c r="H29" s="365">
        <f ca="1">Model!R68</f>
        <v>0.20938348196975581</v>
      </c>
      <c r="I29" s="365">
        <f ca="1">Model!S68</f>
        <v>0.27142303218301678</v>
      </c>
      <c r="J29" s="365">
        <f ca="1">Model!T68</f>
        <v>0.2295463357890655</v>
      </c>
      <c r="K29" s="365">
        <f>Model!U68</f>
        <v>0.29828598228827291</v>
      </c>
      <c r="L29" s="365">
        <f>Model!V68</f>
        <v>0.32208860087561014</v>
      </c>
      <c r="M29" s="365">
        <f>Model!W68</f>
        <v>0.42135712480116921</v>
      </c>
      <c r="N29" s="365">
        <f>Model!X68</f>
        <v>0.38764855481707572</v>
      </c>
      <c r="O29" s="365">
        <f>Model!Y68</f>
        <v>0.44591819813006722</v>
      </c>
      <c r="P29" s="365">
        <f>Model!Z68</f>
        <v>0.45668152036082393</v>
      </c>
      <c r="Q29" s="365">
        <f>Model!AA68</f>
        <v>0.53304399908127598</v>
      </c>
      <c r="R29" s="365">
        <f>Model!AB68</f>
        <v>0.5529235301455806</v>
      </c>
      <c r="S29" s="365">
        <f>Model!AC68</f>
        <v>0.5895316804407712</v>
      </c>
      <c r="T29" s="365">
        <f>Model!AD68</f>
        <v>0.63774104683195587</v>
      </c>
      <c r="U29" s="365">
        <f>Model!AE68</f>
        <v>0.63873626373626391</v>
      </c>
      <c r="V29" s="365">
        <f>Model!AF68</f>
        <v>0.62658227848101256</v>
      </c>
      <c r="W29" s="365">
        <f>Model!AG68</f>
        <v>0.54489544895448971</v>
      </c>
      <c r="X29" s="365">
        <f>Model!AH68</f>
        <v>0.65152972483112659</v>
      </c>
      <c r="Y29" s="365">
        <f>Model!AI68</f>
        <v>0.62603550295858024</v>
      </c>
      <c r="Z29" s="365">
        <f>Model!AJ68</f>
        <v>0.76384180790960465</v>
      </c>
      <c r="AA29" s="366">
        <f>Model!AK68</f>
        <v>0.85918591859185922</v>
      </c>
      <c r="AB29" s="366">
        <f>Model!AL68</f>
        <v>0.80534759358288766</v>
      </c>
      <c r="AC29" s="420">
        <f>+AC28/93.5</f>
        <v>0.80534759358288788</v>
      </c>
      <c r="AD29" s="323">
        <f>+AC29-AB29</f>
        <v>0</v>
      </c>
      <c r="AE29" s="322">
        <v>0.8</v>
      </c>
      <c r="AF29" s="323">
        <f>+AE29-AB29</f>
        <v>-5.3475935828876109E-3</v>
      </c>
      <c r="AG29" s="546"/>
      <c r="AH29" s="422"/>
      <c r="AI29" s="235"/>
      <c r="AJ29" s="235"/>
      <c r="AK29" s="400" t="s">
        <v>390</v>
      </c>
      <c r="AL29" s="326"/>
      <c r="AM29" s="326"/>
      <c r="AN29" s="326"/>
      <c r="AO29" s="326"/>
      <c r="AP29" s="446">
        <f>+Model!BS10</f>
        <v>0.27008127008127003</v>
      </c>
      <c r="AQ29" s="329">
        <f>+AQ28/AR44-1</f>
        <v>0.28111351638752802</v>
      </c>
      <c r="AR29" s="235"/>
      <c r="AS29" s="235"/>
      <c r="AT29" s="324"/>
    </row>
    <row r="30" spans="2:55" ht="15" customHeight="1">
      <c r="B30" s="247"/>
      <c r="C30" s="247"/>
      <c r="D30" s="522" t="s">
        <v>380</v>
      </c>
      <c r="E30" s="358">
        <f>-SUM(Model!O380:O382)</f>
        <v>52.8</v>
      </c>
      <c r="F30" s="358">
        <f>-SUM(Model!P380:P382)</f>
        <v>51.699999999999996</v>
      </c>
      <c r="G30" s="358">
        <f>-SUM(Model!Q380:Q382)</f>
        <v>41</v>
      </c>
      <c r="H30" s="358">
        <f>-SUM(Model!R380:R382)</f>
        <v>82.800000000000011</v>
      </c>
      <c r="I30" s="358">
        <f>-SUM(Model!S380:S382)</f>
        <v>52.599999999999994</v>
      </c>
      <c r="J30" s="358">
        <f>-SUM(Model!T380:T382)</f>
        <v>48.70000000000001</v>
      </c>
      <c r="K30" s="358">
        <f>-SUM(Model!U380:U382)</f>
        <v>64.299999999999969</v>
      </c>
      <c r="L30" s="358">
        <f>-SUM(Model!V380:V382)</f>
        <v>63.000000000000021</v>
      </c>
      <c r="M30" s="358">
        <f>-SUM(Model!W380:W382)</f>
        <v>64.3</v>
      </c>
      <c r="N30" s="358">
        <f>-SUM(Model!X380:X382)</f>
        <v>67.099999999999994</v>
      </c>
      <c r="O30" s="358">
        <f>-SUM(Model!Y380:Y382)</f>
        <v>78.099999999999994</v>
      </c>
      <c r="P30" s="358">
        <f>-SUM(Model!Z380:Z382)</f>
        <v>89.3</v>
      </c>
      <c r="Q30" s="358">
        <f>-SUM(Model!AA380:AA382)</f>
        <v>49.2</v>
      </c>
      <c r="R30" s="358">
        <f>-SUM(Model!AB380:AB382)</f>
        <v>42.3</v>
      </c>
      <c r="S30" s="358">
        <f>-SUM(Model!AC380:AC382)</f>
        <v>465.09999999999997</v>
      </c>
      <c r="T30" s="358">
        <f>-SUM(Model!AD380:AD382)</f>
        <v>76.3</v>
      </c>
      <c r="U30" s="358">
        <f>-SUM(Model!AE380:AE382)</f>
        <v>209.6</v>
      </c>
      <c r="V30" s="358">
        <f>-SUM(Model!AF380:AF382)</f>
        <v>168.6</v>
      </c>
      <c r="W30" s="358">
        <f>-SUM(Model!AG380:AG382)</f>
        <v>178.3</v>
      </c>
      <c r="X30" s="358">
        <f>-SUM(Model!AH380:AH382)</f>
        <v>174.6</v>
      </c>
      <c r="Y30" s="358">
        <f>-SUM(Model!AI380:AI382)</f>
        <v>674.80000000000007</v>
      </c>
      <c r="Z30" s="358">
        <f>-SUM(Model!AJ380:AJ382)</f>
        <v>302.5</v>
      </c>
      <c r="AA30" s="359">
        <f>-SUM(Model!AK380:AK382)</f>
        <v>224.1</v>
      </c>
      <c r="AB30" s="359">
        <f>-SUM(Model!AL380:AL382)</f>
        <v>205.4</v>
      </c>
      <c r="AC30" s="418">
        <v>205.4</v>
      </c>
      <c r="AD30" s="316">
        <f>AB30-AC30</f>
        <v>0</v>
      </c>
      <c r="AE30" s="364"/>
      <c r="AF30" s="313"/>
      <c r="AG30" s="550" t="s">
        <v>357</v>
      </c>
      <c r="AH30" s="553" t="s">
        <v>500</v>
      </c>
      <c r="AK30" s="400" t="s">
        <v>543</v>
      </c>
      <c r="AL30" s="325" t="s">
        <v>687</v>
      </c>
      <c r="AM30" s="325" t="s">
        <v>669</v>
      </c>
      <c r="AN30" s="325" t="s">
        <v>669</v>
      </c>
      <c r="AO30" s="325" t="s">
        <v>647</v>
      </c>
      <c r="AP30" s="446"/>
      <c r="AQ30" s="329"/>
      <c r="AT30" s="446"/>
      <c r="AV30" s="258"/>
    </row>
    <row r="31" spans="2:55" s="258" customFormat="1" ht="15" customHeight="1">
      <c r="B31" s="237"/>
      <c r="C31" s="237"/>
      <c r="D31" s="520" t="s">
        <v>381</v>
      </c>
      <c r="E31" s="251">
        <f t="shared" ref="E31:J31" si="59">+E30/E11</f>
        <v>1.0134357005758157</v>
      </c>
      <c r="F31" s="251">
        <f t="shared" si="59"/>
        <v>0.95740740740740737</v>
      </c>
      <c r="G31" s="251">
        <f t="shared" si="59"/>
        <v>0.72310405643738973</v>
      </c>
      <c r="H31" s="251">
        <f t="shared" si="59"/>
        <v>1.4275862068965519</v>
      </c>
      <c r="I31" s="251">
        <f t="shared" si="59"/>
        <v>0.8752079866888518</v>
      </c>
      <c r="J31" s="251">
        <f t="shared" si="59"/>
        <v>0.76572327044025168</v>
      </c>
      <c r="K31" s="251">
        <f t="shared" ref="K31:P31" si="60">+K30/K11</f>
        <v>0.9525925925925921</v>
      </c>
      <c r="L31" s="251">
        <f t="shared" si="60"/>
        <v>0.87136929460580947</v>
      </c>
      <c r="M31" s="251">
        <f t="shared" si="60"/>
        <v>0.82967741935483863</v>
      </c>
      <c r="N31" s="251">
        <f t="shared" si="60"/>
        <v>0.82129742962056296</v>
      </c>
      <c r="O31" s="251">
        <f t="shared" si="60"/>
        <v>0.92099056603773577</v>
      </c>
      <c r="P31" s="251">
        <f t="shared" si="60"/>
        <v>1.0276179516685844</v>
      </c>
      <c r="Q31" s="251">
        <f>+Q30/Q11</f>
        <v>0.57409568261376898</v>
      </c>
      <c r="R31" s="251">
        <f t="shared" ref="R31" si="61">+R30/R11</f>
        <v>0.47474747474747475</v>
      </c>
      <c r="S31" s="251">
        <f t="shared" ref="S31" si="62">+S30/S11</f>
        <v>4.182553956834532</v>
      </c>
      <c r="T31" s="251">
        <f t="shared" ref="T31" si="63">+T30/T11</f>
        <v>0.6734333627537511</v>
      </c>
      <c r="U31" s="251">
        <f t="shared" ref="U31" si="64">+U30/U11</f>
        <v>1.7792869269949065</v>
      </c>
      <c r="V31" s="251">
        <f t="shared" ref="V31:AB31" si="65">+V30/V11</f>
        <v>1.2959262106072251</v>
      </c>
      <c r="W31" s="251">
        <f t="shared" si="65"/>
        <v>1.2399165507649512</v>
      </c>
      <c r="X31" s="251">
        <f t="shared" si="65"/>
        <v>1.2707423580786026</v>
      </c>
      <c r="Y31" s="251">
        <f t="shared" si="65"/>
        <v>4.5197588747488275</v>
      </c>
      <c r="Z31" s="251">
        <f t="shared" si="65"/>
        <v>1.8124625524266027</v>
      </c>
      <c r="AA31" s="252">
        <f t="shared" si="65"/>
        <v>1.2783799201369079</v>
      </c>
      <c r="AB31" s="252">
        <f t="shared" si="65"/>
        <v>1.1379501385041551</v>
      </c>
      <c r="AC31" s="251">
        <f>+AC30/AC11</f>
        <v>1.1379501385041551</v>
      </c>
      <c r="AD31" s="249">
        <f>(AB31-AC31)*10000</f>
        <v>0</v>
      </c>
      <c r="AE31" s="253"/>
      <c r="AF31" s="249"/>
      <c r="AG31" s="546"/>
      <c r="AH31" s="547"/>
      <c r="AI31" s="235"/>
      <c r="AJ31" s="235"/>
      <c r="AK31" s="400" t="s">
        <v>544</v>
      </c>
      <c r="AL31" s="325" t="s">
        <v>688</v>
      </c>
      <c r="AM31" s="325" t="s">
        <v>648</v>
      </c>
      <c r="AN31" s="325" t="s">
        <v>648</v>
      </c>
      <c r="AO31" s="325" t="s">
        <v>648</v>
      </c>
      <c r="AP31" s="446"/>
      <c r="AQ31" s="329"/>
      <c r="AR31" s="235"/>
      <c r="AS31" s="235"/>
      <c r="AT31" s="446"/>
      <c r="AV31" s="235"/>
    </row>
    <row r="32" spans="2:55" ht="15" hidden="1" customHeight="1" outlineLevel="1">
      <c r="B32" s="236"/>
      <c r="C32" s="237"/>
      <c r="D32" s="523" t="s">
        <v>382</v>
      </c>
      <c r="E32" s="367"/>
      <c r="F32" s="367"/>
      <c r="G32" s="367"/>
      <c r="H32" s="367"/>
      <c r="I32" s="367"/>
      <c r="J32" s="367"/>
      <c r="K32" s="367"/>
      <c r="L32" s="367"/>
      <c r="M32" s="367"/>
      <c r="N32" s="367"/>
      <c r="O32" s="367"/>
      <c r="P32" s="367"/>
      <c r="Q32" s="367"/>
      <c r="R32" s="367"/>
      <c r="S32" s="367"/>
      <c r="T32" s="367"/>
      <c r="U32" s="367"/>
      <c r="V32" s="367"/>
      <c r="W32" s="367"/>
      <c r="X32" s="367"/>
      <c r="Y32" s="367"/>
      <c r="Z32" s="367"/>
      <c r="AA32" s="368"/>
      <c r="AB32" s="368"/>
      <c r="AC32" s="369"/>
      <c r="AD32" s="254">
        <f>AC32-AB32</f>
        <v>0</v>
      </c>
      <c r="AE32" s="253"/>
      <c r="AF32" s="254"/>
      <c r="AG32" s="272"/>
      <c r="AH32" s="271"/>
      <c r="AI32" s="258"/>
      <c r="AJ32" s="258">
        <v>370.5</v>
      </c>
      <c r="AK32" s="398" t="s">
        <v>652</v>
      </c>
      <c r="AL32" s="325" t="s">
        <v>689</v>
      </c>
      <c r="AM32" s="325" t="s">
        <v>670</v>
      </c>
      <c r="AN32" s="325" t="s">
        <v>670</v>
      </c>
      <c r="AO32" s="325" t="s">
        <v>649</v>
      </c>
      <c r="AP32" s="324">
        <f>+Model!BS32</f>
        <v>371.59999999999997</v>
      </c>
      <c r="AQ32" s="325">
        <v>365.18</v>
      </c>
      <c r="AT32" s="446"/>
      <c r="AU32" s="258"/>
      <c r="AV32" s="258"/>
    </row>
    <row r="33" spans="2:47" ht="15" customHeight="1" collapsed="1">
      <c r="B33" s="247"/>
      <c r="C33" s="247"/>
      <c r="D33" s="270" t="s">
        <v>383</v>
      </c>
      <c r="E33" s="370"/>
      <c r="F33" s="370"/>
      <c r="G33" s="370"/>
      <c r="H33" s="370"/>
      <c r="I33" s="370"/>
      <c r="J33" s="370"/>
      <c r="K33" s="370"/>
      <c r="L33" s="370"/>
      <c r="M33" s="370"/>
      <c r="N33" s="370"/>
      <c r="O33" s="370"/>
      <c r="P33" s="370"/>
      <c r="Q33" s="370"/>
      <c r="R33" s="370"/>
      <c r="S33" s="370"/>
      <c r="T33" s="370"/>
      <c r="U33" s="370"/>
      <c r="V33" s="370"/>
      <c r="W33" s="370"/>
      <c r="X33" s="370"/>
      <c r="Y33" s="370"/>
      <c r="Z33" s="370"/>
      <c r="AA33" s="371"/>
      <c r="AB33" s="371"/>
      <c r="AC33" s="370"/>
      <c r="AD33" s="372"/>
      <c r="AE33" s="373"/>
      <c r="AF33" s="267"/>
      <c r="AG33" s="269"/>
      <c r="AH33" s="270"/>
      <c r="AI33" s="467"/>
      <c r="AJ33" s="258"/>
      <c r="AK33" s="400" t="s">
        <v>416</v>
      </c>
      <c r="AL33" s="329">
        <f>+AJ32/AJ28</f>
        <v>0.55011135857461024</v>
      </c>
      <c r="AM33" s="329">
        <v>0.54788418708240538</v>
      </c>
      <c r="AN33" s="329">
        <v>0.54788418708240538</v>
      </c>
      <c r="AO33" s="329">
        <v>0.54287844891871739</v>
      </c>
      <c r="AP33" s="329">
        <f>+AP32/AP28</f>
        <v>0.5529761904761904</v>
      </c>
      <c r="AQ33" s="329">
        <f>+AQ32/AQ28</f>
        <v>0.54128005217442865</v>
      </c>
      <c r="AT33" s="324"/>
      <c r="AU33" s="258"/>
    </row>
    <row r="34" spans="2:47" ht="15" customHeight="1">
      <c r="B34" s="247"/>
      <c r="C34" s="247"/>
      <c r="D34" s="523" t="s">
        <v>385</v>
      </c>
      <c r="E34" s="255">
        <f>Model!O126</f>
        <v>808383</v>
      </c>
      <c r="F34" s="255">
        <f>Model!P126</f>
        <v>800054</v>
      </c>
      <c r="G34" s="255">
        <f>Model!Q126</f>
        <v>895753</v>
      </c>
      <c r="H34" s="255">
        <f>Model!R126</f>
        <v>931975</v>
      </c>
      <c r="I34" s="255">
        <f>Model!S126</f>
        <v>921060</v>
      </c>
      <c r="J34" s="255">
        <f>Model!T126</f>
        <v>970005</v>
      </c>
      <c r="K34" s="255">
        <f>Model!U126</f>
        <v>992083</v>
      </c>
      <c r="L34" s="255">
        <f>Model!V126</f>
        <v>1052189</v>
      </c>
      <c r="M34" s="255">
        <f>Model!W126</f>
        <v>1130821</v>
      </c>
      <c r="N34" s="255">
        <f>Model!X126</f>
        <v>1194140</v>
      </c>
      <c r="O34" s="255">
        <f>Model!Y126</f>
        <v>1200132</v>
      </c>
      <c r="P34" s="255">
        <f>Model!Z126</f>
        <v>1224648</v>
      </c>
      <c r="Q34" s="255">
        <f>Model!AA126</f>
        <v>1262109</v>
      </c>
      <c r="R34" s="255">
        <f>Model!AB126</f>
        <v>1353704</v>
      </c>
      <c r="S34" s="255">
        <f>Model!AC126</f>
        <v>1511672</v>
      </c>
      <c r="T34" s="255">
        <f>Model!AD126</f>
        <v>1573510</v>
      </c>
      <c r="U34" s="255">
        <f>Model!AE126</f>
        <v>1607470</v>
      </c>
      <c r="V34" s="255">
        <f>Model!AF126</f>
        <v>2005702</v>
      </c>
      <c r="W34" s="255">
        <f>Model!AG126</f>
        <v>2054911</v>
      </c>
      <c r="X34" s="255">
        <f>Model!AH126</f>
        <v>2079502</v>
      </c>
      <c r="Y34" s="255">
        <f>Model!AI126</f>
        <v>2476562</v>
      </c>
      <c r="Z34" s="255">
        <f>Model!AJ126</f>
        <v>2575381</v>
      </c>
      <c r="AA34" s="256">
        <f>Model!AK126</f>
        <v>3130404</v>
      </c>
      <c r="AB34" s="256">
        <f>Model!AL126</f>
        <v>3266647</v>
      </c>
      <c r="AC34" s="415">
        <v>3266647</v>
      </c>
      <c r="AD34" s="254">
        <f>+AC34-AB34</f>
        <v>0</v>
      </c>
      <c r="AE34" s="253"/>
      <c r="AF34" s="254"/>
      <c r="AG34" s="555" t="s">
        <v>602</v>
      </c>
      <c r="AH34" s="554"/>
      <c r="AJ34" s="235">
        <v>800</v>
      </c>
      <c r="AK34" s="398" t="s">
        <v>380</v>
      </c>
      <c r="AL34" s="325" t="s">
        <v>690</v>
      </c>
      <c r="AM34" s="325" t="s">
        <v>678</v>
      </c>
      <c r="AN34" s="325" t="s">
        <v>671</v>
      </c>
      <c r="AO34" s="325" t="s">
        <v>650</v>
      </c>
      <c r="AP34" s="425">
        <f>+Model!BS180+Model!BS380</f>
        <v>914.5</v>
      </c>
      <c r="AQ34" s="325"/>
      <c r="AT34" s="329"/>
      <c r="AU34" s="258"/>
    </row>
    <row r="35" spans="2:47" ht="15" customHeight="1">
      <c r="B35" s="247"/>
      <c r="C35" s="247"/>
      <c r="D35" s="523" t="s">
        <v>299</v>
      </c>
      <c r="E35" s="273">
        <f>Model!O128</f>
        <v>0.85</v>
      </c>
      <c r="F35" s="273">
        <f>Model!P128</f>
        <v>0.85</v>
      </c>
      <c r="G35" s="273">
        <f>Model!Q128</f>
        <v>0.78</v>
      </c>
      <c r="H35" s="273">
        <f>Model!R128</f>
        <v>0.78</v>
      </c>
      <c r="I35" s="273">
        <f>Model!S128</f>
        <v>0.81</v>
      </c>
      <c r="J35" s="273">
        <f>Model!T128</f>
        <v>0.81</v>
      </c>
      <c r="K35" s="273">
        <f>Model!U128</f>
        <v>0.85</v>
      </c>
      <c r="L35" s="273">
        <f>Model!V128</f>
        <v>0.85</v>
      </c>
      <c r="M35" s="273">
        <f>Model!W128</f>
        <v>0.89</v>
      </c>
      <c r="N35" s="273">
        <f>Model!X128</f>
        <v>0.86</v>
      </c>
      <c r="O35" s="273">
        <f>Model!Y128</f>
        <v>0.88</v>
      </c>
      <c r="P35" s="273">
        <f>Model!Z128</f>
        <v>0.88</v>
      </c>
      <c r="Q35" s="273">
        <f>Model!AA128</f>
        <v>0.89</v>
      </c>
      <c r="R35" s="273">
        <f>Model!AB128</f>
        <v>0.84</v>
      </c>
      <c r="S35" s="273">
        <f>Model!AC128</f>
        <v>0.89</v>
      </c>
      <c r="T35" s="273">
        <f>Model!AD128</f>
        <v>0.86</v>
      </c>
      <c r="U35" s="273">
        <f>Model!AE128</f>
        <v>0.89</v>
      </c>
      <c r="V35" s="273">
        <f>Model!AF128</f>
        <v>0.84</v>
      </c>
      <c r="W35" s="273">
        <f>Model!AG128</f>
        <v>0.85</v>
      </c>
      <c r="X35" s="273">
        <f>Model!AH128</f>
        <v>0.85</v>
      </c>
      <c r="Y35" s="273">
        <f>Model!AI128</f>
        <v>0.88</v>
      </c>
      <c r="Z35" s="273">
        <f>Model!AJ128</f>
        <v>0.89</v>
      </c>
      <c r="AA35" s="274">
        <f>Model!AK128</f>
        <v>0.82</v>
      </c>
      <c r="AB35" s="274">
        <f>Model!AL128</f>
        <v>0.83</v>
      </c>
      <c r="AC35" s="416">
        <v>0.83</v>
      </c>
      <c r="AD35" s="249">
        <f>+(AC35-AB35)*10000</f>
        <v>0</v>
      </c>
      <c r="AE35" s="253"/>
      <c r="AF35" s="254"/>
      <c r="AG35" s="555"/>
      <c r="AH35" s="554"/>
      <c r="AI35" s="258"/>
      <c r="AJ35" s="258"/>
      <c r="AK35" s="400" t="s">
        <v>430</v>
      </c>
      <c r="AL35" s="329">
        <f>+AJ34/AJ28</f>
        <v>1.1878247958426131</v>
      </c>
      <c r="AM35" s="329">
        <v>1.0764662212323681</v>
      </c>
      <c r="AN35" s="329">
        <v>0.92798812175204159</v>
      </c>
      <c r="AO35" s="329">
        <v>0.85756897837434753</v>
      </c>
      <c r="AP35" s="329">
        <f>+AP34/AP28</f>
        <v>1.3608630952380953</v>
      </c>
      <c r="AQ35" s="329"/>
      <c r="AT35" s="425"/>
      <c r="AU35" s="258"/>
    </row>
    <row r="36" spans="2:47" ht="15" customHeight="1">
      <c r="B36" s="247"/>
      <c r="C36" s="247"/>
      <c r="D36" s="520" t="s">
        <v>680</v>
      </c>
      <c r="E36" s="527"/>
      <c r="F36" s="527"/>
      <c r="G36" s="527"/>
      <c r="H36" s="527"/>
      <c r="I36" s="527"/>
      <c r="J36" s="527"/>
      <c r="K36" s="527"/>
      <c r="L36" s="527"/>
      <c r="M36" s="527">
        <f>Model!W165</f>
        <v>1506</v>
      </c>
      <c r="N36" s="527">
        <f>Model!X165</f>
        <v>1435</v>
      </c>
      <c r="O36" s="527">
        <f>Model!Y165</f>
        <v>694</v>
      </c>
      <c r="P36" s="527">
        <f>Model!Z165</f>
        <v>950</v>
      </c>
      <c r="Q36" s="527">
        <f>Model!AA165</f>
        <v>1521</v>
      </c>
      <c r="R36" s="527">
        <f>Model!AB165</f>
        <v>1119</v>
      </c>
      <c r="S36" s="527">
        <f>Model!AC165</f>
        <v>1112</v>
      </c>
      <c r="T36" s="527">
        <f>Model!AD165</f>
        <v>3630</v>
      </c>
      <c r="U36" s="527">
        <f>Model!AE165</f>
        <v>3610</v>
      </c>
      <c r="V36" s="527">
        <f>Model!AF165</f>
        <v>4866</v>
      </c>
      <c r="W36" s="527">
        <f>Model!AG165</f>
        <v>2250</v>
      </c>
      <c r="X36" s="527">
        <f>Model!AH165</f>
        <v>1590</v>
      </c>
      <c r="Y36" s="527">
        <f>Model!AI165</f>
        <v>2632</v>
      </c>
      <c r="Z36" s="527">
        <f>Model!AJ165</f>
        <v>2467</v>
      </c>
      <c r="AA36" s="528">
        <f>Model!AK165</f>
        <v>2228</v>
      </c>
      <c r="AB36" s="528">
        <f>Model!AL165</f>
        <v>1463</v>
      </c>
      <c r="AC36" s="517">
        <v>1463</v>
      </c>
      <c r="AD36" s="254">
        <f>AC36-AB36</f>
        <v>0</v>
      </c>
      <c r="AE36" s="322"/>
      <c r="AF36" s="526"/>
      <c r="AG36" s="556"/>
      <c r="AH36" s="443" t="s">
        <v>530</v>
      </c>
      <c r="AI36" s="258"/>
      <c r="AJ36" s="258"/>
      <c r="AK36" s="400" t="s">
        <v>431</v>
      </c>
      <c r="AL36" s="325" t="s">
        <v>691</v>
      </c>
      <c r="AM36" s="325" t="s">
        <v>679</v>
      </c>
      <c r="AN36" s="325" t="s">
        <v>672</v>
      </c>
      <c r="AO36" s="325" t="s">
        <v>651</v>
      </c>
      <c r="AP36" s="324">
        <f>-Model!BS381</f>
        <v>908.94352392065343</v>
      </c>
      <c r="AQ36" s="329"/>
      <c r="AT36" s="329"/>
    </row>
    <row r="37" spans="2:47" ht="15" customHeight="1">
      <c r="D37" s="524" t="s">
        <v>426</v>
      </c>
      <c r="E37" s="437">
        <f>Model!O147</f>
        <v>2.0150500624999346E-2</v>
      </c>
      <c r="F37" s="437">
        <f>Model!P147</f>
        <v>7.3967432976000058E-2</v>
      </c>
      <c r="G37" s="437">
        <f>Model!Q147</f>
        <v>6.136355062499943E-2</v>
      </c>
      <c r="H37" s="437">
        <f>Model!R147</f>
        <v>2.4216865295999979E-2</v>
      </c>
      <c r="I37" s="437">
        <f>Model!S147</f>
        <v>1.6096256256000085E-2</v>
      </c>
      <c r="J37" s="437">
        <f>Model!T147</f>
        <v>4.8870932735999961E-2</v>
      </c>
      <c r="K37" s="437">
        <f>Model!U147</f>
        <v>4.0604010000000024E-2</v>
      </c>
      <c r="L37" s="437">
        <f>Model!V147</f>
        <v>4.4731338640999763E-2</v>
      </c>
      <c r="M37" s="437">
        <f>Model!W147</f>
        <v>5.302281656099983E-2</v>
      </c>
      <c r="N37" s="437">
        <f>Model!X147</f>
        <v>5.718701441600027E-2</v>
      </c>
      <c r="O37" s="437">
        <f>Model!Y147</f>
        <v>0.12114426328099981</v>
      </c>
      <c r="P37" s="437">
        <f>Model!Z147</f>
        <v>6.9753735520999616E-2</v>
      </c>
      <c r="Q37" s="437">
        <f>Model!AA147</f>
        <v>0.12988608752099973</v>
      </c>
      <c r="R37" s="437">
        <f>Model!AB147</f>
        <v>2.4216865295999979E-2</v>
      </c>
      <c r="S37" s="437">
        <f>Model!AC147</f>
        <v>2.8295374400999496E-2</v>
      </c>
      <c r="T37" s="437">
        <f>Model!AD147</f>
        <v>1.6096256256000085E-2</v>
      </c>
      <c r="U37" s="437">
        <f>Model!AE147</f>
        <v>5.302281656099983E-2</v>
      </c>
      <c r="V37" s="437">
        <f>Model!AF147</f>
        <v>0.1124532634409996</v>
      </c>
      <c r="W37" s="437">
        <f>Model!AG147</f>
        <v>0.16088557313600016</v>
      </c>
      <c r="X37" s="437">
        <f>Model!AH147</f>
        <v>9.0946826256000035E-2</v>
      </c>
      <c r="Y37" s="437">
        <f>Model!AI147</f>
        <v>5.718701441600027E-2</v>
      </c>
      <c r="Z37" s="437">
        <f>Model!AJ147</f>
        <v>3.2386052096000206E-2</v>
      </c>
      <c r="AA37" s="438">
        <f>Model!AK147</f>
        <v>2.4216865295999979E-2</v>
      </c>
      <c r="AB37" s="438">
        <f>Model!AL147</f>
        <v>4.4731338640999763E-2</v>
      </c>
      <c r="AC37" s="439">
        <f>+(1.011)^4-1</f>
        <v>4.4731338640999763E-2</v>
      </c>
      <c r="AD37" s="440">
        <f>+(AB37-AC37)*10000</f>
        <v>0</v>
      </c>
      <c r="AE37" s="441"/>
      <c r="AF37" s="440"/>
      <c r="AG37" s="442" t="s">
        <v>410</v>
      </c>
      <c r="AH37" s="263"/>
      <c r="AI37" s="258"/>
      <c r="AJ37" s="258"/>
      <c r="AK37" s="400" t="s">
        <v>433</v>
      </c>
      <c r="AL37" s="325" t="s">
        <v>692</v>
      </c>
      <c r="AM37" s="325" t="s">
        <v>434</v>
      </c>
      <c r="AN37" s="325" t="s">
        <v>434</v>
      </c>
      <c r="AO37" s="325" t="s">
        <v>434</v>
      </c>
      <c r="AP37" s="324">
        <f>-Model!BS382</f>
        <v>5.5564760793465595</v>
      </c>
      <c r="AQ37" s="329"/>
      <c r="AT37" s="324"/>
      <c r="AU37" s="258"/>
    </row>
    <row r="38" spans="2:47" ht="15" customHeight="1">
      <c r="D38" s="259"/>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1"/>
      <c r="AE38" s="260"/>
      <c r="AF38" s="260"/>
      <c r="AG38" s="262"/>
      <c r="AH38" s="258"/>
      <c r="AI38" s="516">
        <f>+AC22/AE22-1</f>
        <v>2.7512079676560663E-2</v>
      </c>
      <c r="AJ38" s="258">
        <v>3</v>
      </c>
      <c r="AK38" s="257" t="s">
        <v>427</v>
      </c>
      <c r="AL38" s="328" t="s">
        <v>693</v>
      </c>
      <c r="AM38" s="328" t="s">
        <v>677</v>
      </c>
      <c r="AN38" s="328" t="s">
        <v>667</v>
      </c>
      <c r="AO38" s="328" t="s">
        <v>653</v>
      </c>
      <c r="AP38" s="327">
        <f>+Model!BS66</f>
        <v>3.1154732150992421</v>
      </c>
      <c r="AQ38" s="328">
        <v>3.03</v>
      </c>
      <c r="AT38" s="324"/>
      <c r="AU38" s="258"/>
    </row>
    <row r="39" spans="2:47" ht="15" customHeight="1">
      <c r="D39" s="319"/>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7" t="s">
        <v>428</v>
      </c>
      <c r="AL39" s="257"/>
      <c r="AM39" s="257"/>
      <c r="AN39" s="257"/>
      <c r="AO39" s="257"/>
      <c r="AP39" s="515"/>
      <c r="AQ39" s="257"/>
      <c r="AR39" s="257"/>
      <c r="AS39" s="257"/>
      <c r="AT39" s="327"/>
      <c r="AU39" s="258"/>
    </row>
    <row r="40" spans="2:47" ht="15" customHeight="1">
      <c r="D40" s="319"/>
      <c r="E40" s="258"/>
      <c r="F40" s="258"/>
      <c r="G40" s="258"/>
      <c r="H40" s="258"/>
      <c r="I40" s="258"/>
      <c r="J40" s="258"/>
      <c r="K40" s="258"/>
      <c r="L40" s="258"/>
      <c r="M40" s="258"/>
      <c r="N40" s="258"/>
      <c r="O40" s="258"/>
      <c r="P40" s="258"/>
      <c r="Q40" s="258"/>
      <c r="R40" s="258"/>
      <c r="S40" s="258"/>
      <c r="T40" s="258"/>
      <c r="U40" s="258"/>
      <c r="V40" s="258"/>
      <c r="W40" s="258"/>
      <c r="X40" s="258"/>
      <c r="Y40" s="258"/>
      <c r="Z40" s="258"/>
      <c r="AA40" s="258"/>
      <c r="AB40" s="258"/>
      <c r="AC40" s="258"/>
      <c r="AD40" s="258"/>
      <c r="AE40" s="258"/>
      <c r="AF40" s="258"/>
      <c r="AG40" s="258"/>
      <c r="AH40" s="258"/>
      <c r="AI40" s="258"/>
      <c r="AJ40" s="258"/>
      <c r="AK40" s="512"/>
      <c r="AL40" s="257"/>
      <c r="AM40" s="257"/>
      <c r="AN40" s="257"/>
      <c r="AO40" s="257"/>
      <c r="AP40" s="257"/>
      <c r="AQ40" s="257"/>
      <c r="AR40" s="327"/>
      <c r="AS40" s="328"/>
      <c r="AT40" s="327"/>
      <c r="AU40" s="258"/>
    </row>
    <row r="41" spans="2:47">
      <c r="D41" s="319"/>
      <c r="E41" s="258"/>
      <c r="F41" s="258"/>
      <c r="G41" s="258"/>
      <c r="H41" s="258"/>
      <c r="I41" s="258"/>
      <c r="J41" s="258"/>
      <c r="K41" s="258"/>
      <c r="L41" s="258"/>
      <c r="M41" s="258"/>
      <c r="N41" s="258"/>
      <c r="O41" s="258"/>
      <c r="P41" s="258"/>
      <c r="Q41" s="258"/>
      <c r="R41" s="258"/>
      <c r="S41" s="258"/>
      <c r="T41" s="258"/>
      <c r="U41" s="258"/>
      <c r="V41" s="258"/>
      <c r="W41" s="258"/>
      <c r="X41" s="258"/>
      <c r="Y41" s="258"/>
      <c r="Z41" s="258"/>
      <c r="AA41" s="258"/>
      <c r="AB41" s="258"/>
      <c r="AC41" s="258"/>
      <c r="AD41" s="258"/>
      <c r="AE41" s="258"/>
      <c r="AF41" s="258"/>
      <c r="AG41" s="258"/>
      <c r="AH41" s="258"/>
      <c r="AM41" s="235"/>
      <c r="AN41" s="258"/>
      <c r="AO41" s="455"/>
    </row>
    <row r="42" spans="2:47">
      <c r="D42" s="309" t="s">
        <v>408</v>
      </c>
      <c r="AJ42" s="258"/>
      <c r="AK42" s="397" t="s">
        <v>597</v>
      </c>
      <c r="AL42" s="397"/>
      <c r="AM42" s="397"/>
      <c r="AN42" s="397"/>
      <c r="AO42" s="397"/>
      <c r="AP42" s="397"/>
      <c r="AQ42" s="396"/>
      <c r="AR42" s="396"/>
      <c r="AS42" s="396"/>
      <c r="AU42" s="258"/>
    </row>
    <row r="43" spans="2:47">
      <c r="AI43" s="516">
        <f>+AC27/AE27-1</f>
        <v>4.9999999999999822E-2</v>
      </c>
      <c r="AJ43" s="426" t="s">
        <v>484</v>
      </c>
      <c r="AK43" s="398"/>
      <c r="AL43" s="399" t="s">
        <v>638</v>
      </c>
      <c r="AM43" s="399" t="s">
        <v>631</v>
      </c>
      <c r="AN43" s="399" t="s">
        <v>630</v>
      </c>
      <c r="AO43" s="399" t="s">
        <v>604</v>
      </c>
      <c r="AP43" s="399" t="s">
        <v>603</v>
      </c>
      <c r="AQ43" s="401" t="s">
        <v>365</v>
      </c>
      <c r="AR43" s="401" t="s">
        <v>371</v>
      </c>
      <c r="AS43" s="399"/>
      <c r="AU43" s="258"/>
    </row>
    <row r="44" spans="2:47">
      <c r="AJ44" s="235">
        <v>526</v>
      </c>
      <c r="AK44" s="398" t="s">
        <v>542</v>
      </c>
      <c r="AL44" s="325" t="s">
        <v>639</v>
      </c>
      <c r="AM44" s="325" t="s">
        <v>625</v>
      </c>
      <c r="AN44" s="325" t="s">
        <v>625</v>
      </c>
      <c r="AO44" s="325" t="s">
        <v>605</v>
      </c>
      <c r="AP44" s="325" t="s">
        <v>606</v>
      </c>
      <c r="AQ44" s="324">
        <f>+Model!BR9</f>
        <v>529.1</v>
      </c>
      <c r="AR44" s="325">
        <v>526.62</v>
      </c>
      <c r="AS44" s="325"/>
      <c r="AT44" s="399"/>
    </row>
    <row r="45" spans="2:47">
      <c r="AK45" s="400" t="s">
        <v>390</v>
      </c>
      <c r="AL45" s="326" t="e">
        <f>+AJ44/Q!AI44-1</f>
        <v>#DIV/0!</v>
      </c>
      <c r="AM45" s="326">
        <v>0.31480090157776108</v>
      </c>
      <c r="AN45" s="326">
        <v>0.31480090157776108</v>
      </c>
      <c r="AO45" s="326">
        <v>0.27097420485850243</v>
      </c>
      <c r="AP45" s="326"/>
      <c r="AQ45" s="446">
        <f>+Model!BR10</f>
        <v>0.32506887052341593</v>
      </c>
      <c r="AR45" s="329">
        <f>+AR44/AR59-1</f>
        <v>0.311990831859289</v>
      </c>
      <c r="AS45" s="326"/>
      <c r="AT45" s="325"/>
      <c r="AU45" s="258"/>
    </row>
    <row r="46" spans="2:47">
      <c r="AK46" s="400" t="s">
        <v>543</v>
      </c>
      <c r="AL46" s="325" t="s">
        <v>640</v>
      </c>
      <c r="AM46" s="325" t="s">
        <v>626</v>
      </c>
      <c r="AN46" s="325" t="s">
        <v>626</v>
      </c>
      <c r="AO46" s="325" t="s">
        <v>610</v>
      </c>
      <c r="AP46" s="325" t="s">
        <v>607</v>
      </c>
      <c r="AQ46" s="446"/>
      <c r="AR46" s="329"/>
      <c r="AS46" s="325"/>
      <c r="AT46" s="326"/>
      <c r="AU46" s="258"/>
    </row>
    <row r="47" spans="2:47">
      <c r="AK47" s="400" t="s">
        <v>544</v>
      </c>
      <c r="AL47" s="325" t="s">
        <v>641</v>
      </c>
      <c r="AM47" s="325" t="s">
        <v>609</v>
      </c>
      <c r="AN47" s="325" t="s">
        <v>609</v>
      </c>
      <c r="AO47" s="325" t="s">
        <v>609</v>
      </c>
      <c r="AP47" s="325" t="s">
        <v>608</v>
      </c>
      <c r="AQ47" s="446"/>
      <c r="AR47" s="329"/>
      <c r="AS47" s="325"/>
      <c r="AT47" s="325"/>
      <c r="AU47" s="258"/>
    </row>
    <row r="48" spans="2:47">
      <c r="AI48" s="258"/>
      <c r="AJ48" s="258">
        <v>276.5</v>
      </c>
      <c r="AK48" s="398" t="s">
        <v>175</v>
      </c>
      <c r="AL48" s="325" t="s">
        <v>642</v>
      </c>
      <c r="AM48" s="325" t="s">
        <v>627</v>
      </c>
      <c r="AN48" s="325" t="s">
        <v>627</v>
      </c>
      <c r="AO48" s="325" t="s">
        <v>611</v>
      </c>
      <c r="AP48" s="325" t="s">
        <v>599</v>
      </c>
      <c r="AQ48" s="324">
        <f>+Model!BR32</f>
        <v>278.50000000000006</v>
      </c>
      <c r="AR48" s="325">
        <v>275.02</v>
      </c>
      <c r="AS48" s="325"/>
      <c r="AT48" s="325"/>
      <c r="AU48" s="258"/>
    </row>
    <row r="49" spans="35:47">
      <c r="AI49" s="467"/>
      <c r="AJ49" s="258"/>
      <c r="AK49" s="400" t="s">
        <v>416</v>
      </c>
      <c r="AL49" s="329">
        <f>+AJ48/AJ44</f>
        <v>0.5256653992395437</v>
      </c>
      <c r="AM49" s="329">
        <v>0.52380952380952384</v>
      </c>
      <c r="AN49" s="329">
        <v>0.52380952380952384</v>
      </c>
      <c r="AO49" s="329">
        <v>0.53399014778325127</v>
      </c>
      <c r="AP49" s="329">
        <v>0.53401015228426396</v>
      </c>
      <c r="AQ49" s="329">
        <f>+AQ48/AQ44</f>
        <v>0.52636552636552647</v>
      </c>
      <c r="AR49" s="329">
        <f>+AR48/AR44</f>
        <v>0.52223614750674108</v>
      </c>
      <c r="AS49" s="329"/>
      <c r="AT49" s="325"/>
      <c r="AU49" s="258"/>
    </row>
    <row r="50" spans="35:47">
      <c r="AJ50" s="235">
        <v>645</v>
      </c>
      <c r="AK50" s="398" t="s">
        <v>380</v>
      </c>
      <c r="AL50" s="325" t="s">
        <v>632</v>
      </c>
      <c r="AM50" s="325" t="s">
        <v>632</v>
      </c>
      <c r="AN50" s="325" t="s">
        <v>612</v>
      </c>
      <c r="AO50" s="325" t="s">
        <v>612</v>
      </c>
      <c r="AP50" s="325" t="s">
        <v>600</v>
      </c>
      <c r="AQ50" s="425">
        <f>+SUM(AQ52:AQ53)</f>
        <v>600</v>
      </c>
      <c r="AR50" s="325">
        <v>626.78</v>
      </c>
      <c r="AS50" s="325"/>
      <c r="AT50" s="329"/>
    </row>
    <row r="51" spans="35:47">
      <c r="AI51" s="258"/>
      <c r="AJ51" s="258"/>
      <c r="AK51" s="400" t="s">
        <v>430</v>
      </c>
      <c r="AL51" s="329">
        <f>+AJ50/AJ44</f>
        <v>1.226235741444867</v>
      </c>
      <c r="AM51" s="329">
        <v>1.2285714285714286</v>
      </c>
      <c r="AN51" s="329">
        <v>0.74761904761904763</v>
      </c>
      <c r="AO51" s="329">
        <v>0.77339901477832518</v>
      </c>
      <c r="AP51" s="329">
        <v>0.67512690355329952</v>
      </c>
      <c r="AQ51" s="329">
        <f>+AQ50/AQ44</f>
        <v>1.134001134001134</v>
      </c>
      <c r="AR51" s="329">
        <f>+AR50/AR44</f>
        <v>1.190194067828795</v>
      </c>
      <c r="AS51" s="329"/>
      <c r="AT51" s="325"/>
      <c r="AU51" s="258"/>
    </row>
    <row r="52" spans="35:47">
      <c r="AI52" s="258"/>
      <c r="AJ52" s="258"/>
      <c r="AK52" s="400" t="s">
        <v>431</v>
      </c>
      <c r="AL52" s="325" t="s">
        <v>633</v>
      </c>
      <c r="AM52" s="325" t="s">
        <v>633</v>
      </c>
      <c r="AN52" s="325" t="s">
        <v>613</v>
      </c>
      <c r="AO52" s="325" t="s">
        <v>613</v>
      </c>
      <c r="AP52" s="325" t="s">
        <v>601</v>
      </c>
      <c r="AQ52" s="324">
        <f>-Model!BR381</f>
        <v>595.80665110851805</v>
      </c>
      <c r="AR52" s="329"/>
      <c r="AS52" s="325"/>
      <c r="AT52" s="329"/>
      <c r="AU52" s="258"/>
    </row>
    <row r="53" spans="35:47">
      <c r="AI53" s="258"/>
      <c r="AJ53" s="258"/>
      <c r="AK53" s="400" t="s">
        <v>433</v>
      </c>
      <c r="AL53" s="325" t="s">
        <v>614</v>
      </c>
      <c r="AM53" s="325" t="s">
        <v>614</v>
      </c>
      <c r="AN53" s="325" t="s">
        <v>614</v>
      </c>
      <c r="AO53" s="325" t="s">
        <v>614</v>
      </c>
      <c r="AP53" s="325" t="s">
        <v>565</v>
      </c>
      <c r="AQ53" s="324">
        <f>-Model!BR382</f>
        <v>4.1933488914819135</v>
      </c>
      <c r="AR53" s="329"/>
      <c r="AS53" s="325"/>
      <c r="AT53" s="325"/>
      <c r="AU53" s="258"/>
    </row>
    <row r="54" spans="35:47">
      <c r="AI54" s="258"/>
      <c r="AJ54" s="258"/>
      <c r="AK54" s="257" t="s">
        <v>427</v>
      </c>
      <c r="AL54" s="328" t="s">
        <v>643</v>
      </c>
      <c r="AM54" s="328" t="s">
        <v>634</v>
      </c>
      <c r="AN54" s="328" t="s">
        <v>628</v>
      </c>
      <c r="AO54" s="328" t="s">
        <v>598</v>
      </c>
      <c r="AP54" s="328" t="s">
        <v>598</v>
      </c>
      <c r="AQ54" s="327">
        <f>+Model!BR66</f>
        <v>2.6571797461863751</v>
      </c>
      <c r="AR54" s="328">
        <v>2.56</v>
      </c>
      <c r="AS54" s="328"/>
      <c r="AT54" s="325"/>
      <c r="AU54" s="258"/>
    </row>
    <row r="55" spans="35:47">
      <c r="AI55" s="258"/>
      <c r="AJ55" s="258"/>
      <c r="AK55" s="257" t="s">
        <v>428</v>
      </c>
      <c r="AL55" s="257"/>
      <c r="AM55" s="257"/>
      <c r="AN55" s="257"/>
      <c r="AO55" s="257"/>
      <c r="AP55" s="257"/>
      <c r="AQ55" s="327"/>
      <c r="AR55" s="328"/>
      <c r="AS55" s="258"/>
      <c r="AT55" s="328"/>
      <c r="AU55" s="258"/>
    </row>
    <row r="56" spans="35:47">
      <c r="AM56" s="235"/>
      <c r="AQ56" s="258"/>
      <c r="AR56" s="455"/>
      <c r="AT56" s="258"/>
    </row>
    <row r="57" spans="35:47">
      <c r="AJ57" s="258"/>
      <c r="AK57" s="397" t="s">
        <v>523</v>
      </c>
      <c r="AL57" s="397"/>
      <c r="AM57" s="397"/>
      <c r="AN57" s="397"/>
      <c r="AO57" s="397"/>
      <c r="AP57" s="397"/>
      <c r="AQ57" s="396"/>
      <c r="AR57" s="396"/>
      <c r="AS57" s="396"/>
    </row>
    <row r="58" spans="35:47">
      <c r="AI58" s="466"/>
      <c r="AJ58" s="426" t="s">
        <v>484</v>
      </c>
      <c r="AK58" s="398"/>
      <c r="AL58" s="399" t="s">
        <v>588</v>
      </c>
      <c r="AM58" s="399" t="s">
        <v>585</v>
      </c>
      <c r="AN58" s="399" t="s">
        <v>586</v>
      </c>
      <c r="AO58" s="399" t="s">
        <v>587</v>
      </c>
      <c r="AP58" s="399" t="s">
        <v>540</v>
      </c>
      <c r="AQ58" s="401" t="s">
        <v>365</v>
      </c>
      <c r="AR58" s="401" t="s">
        <v>371</v>
      </c>
      <c r="AS58" s="401"/>
    </row>
    <row r="59" spans="35:47">
      <c r="AJ59" s="235">
        <v>377.5</v>
      </c>
      <c r="AK59" s="398" t="s">
        <v>542</v>
      </c>
      <c r="AL59" s="325" t="s">
        <v>562</v>
      </c>
      <c r="AM59" s="325" t="s">
        <v>562</v>
      </c>
      <c r="AN59" s="325" t="s">
        <v>549</v>
      </c>
      <c r="AO59" s="325" t="s">
        <v>541</v>
      </c>
      <c r="AP59" s="325" t="s">
        <v>524</v>
      </c>
      <c r="AQ59" s="324">
        <f>+Model!BQ9</f>
        <v>399.3</v>
      </c>
      <c r="AR59" s="325">
        <v>401.39</v>
      </c>
      <c r="AS59" s="324"/>
    </row>
    <row r="60" spans="35:47">
      <c r="AK60" s="400" t="s">
        <v>529</v>
      </c>
      <c r="AL60" s="326"/>
      <c r="AM60" s="326"/>
      <c r="AN60" s="326"/>
      <c r="AO60" s="326" t="e">
        <f>363/AI59-1</f>
        <v>#DIV/0!</v>
      </c>
      <c r="AP60" s="326">
        <v>0.1404833836858006</v>
      </c>
      <c r="AQ60" s="446">
        <f>Model!$BQ$10</f>
        <v>0.20670897552130563</v>
      </c>
      <c r="AR60" s="329">
        <f>+AR59/Model!BP9-1</f>
        <v>0.21302508310667889</v>
      </c>
      <c r="AS60" s="446"/>
    </row>
    <row r="61" spans="35:47">
      <c r="AK61" s="400" t="s">
        <v>543</v>
      </c>
      <c r="AL61" s="325" t="s">
        <v>552</v>
      </c>
      <c r="AM61" s="325" t="s">
        <v>552</v>
      </c>
      <c r="AN61" s="325" t="s">
        <v>550</v>
      </c>
      <c r="AO61" s="325" t="s">
        <v>547</v>
      </c>
      <c r="AP61" s="325" t="s">
        <v>545</v>
      </c>
      <c r="AQ61" s="446"/>
      <c r="AR61" s="329"/>
      <c r="AS61" s="324"/>
    </row>
    <row r="62" spans="35:47">
      <c r="AK62" s="400" t="s">
        <v>544</v>
      </c>
      <c r="AL62" s="325" t="s">
        <v>553</v>
      </c>
      <c r="AM62" s="325" t="s">
        <v>553</v>
      </c>
      <c r="AN62" s="325" t="s">
        <v>551</v>
      </c>
      <c r="AO62" s="325" t="s">
        <v>548</v>
      </c>
      <c r="AP62" s="325" t="s">
        <v>546</v>
      </c>
      <c r="AQ62" s="446"/>
      <c r="AR62" s="329"/>
      <c r="AS62" s="329"/>
      <c r="AT62" s="258"/>
    </row>
    <row r="63" spans="35:47">
      <c r="AI63" s="258"/>
      <c r="AJ63" s="258">
        <v>190</v>
      </c>
      <c r="AK63" s="398" t="s">
        <v>175</v>
      </c>
      <c r="AL63" s="325" t="s">
        <v>590</v>
      </c>
      <c r="AM63" s="325" t="s">
        <v>554</v>
      </c>
      <c r="AN63" s="325" t="s">
        <v>561</v>
      </c>
      <c r="AO63" s="325" t="s">
        <v>566</v>
      </c>
      <c r="AP63" s="325" t="s">
        <v>525</v>
      </c>
      <c r="AQ63" s="324">
        <f>+Model!BQ32</f>
        <v>211.70000000000005</v>
      </c>
      <c r="AR63" s="325">
        <v>207.26</v>
      </c>
      <c r="AS63" s="425"/>
      <c r="AT63" s="258"/>
    </row>
    <row r="64" spans="35:47">
      <c r="AI64" s="467"/>
      <c r="AJ64" s="258"/>
      <c r="AK64" s="400" t="s">
        <v>416</v>
      </c>
      <c r="AL64" s="329">
        <f>211/401</f>
        <v>0.52618453865336656</v>
      </c>
      <c r="AM64" s="329">
        <f>211/401</f>
        <v>0.52618453865336656</v>
      </c>
      <c r="AN64" s="329">
        <v>0.5</v>
      </c>
      <c r="AO64" s="329">
        <v>0.52892561983471076</v>
      </c>
      <c r="AP64" s="329">
        <v>0.50331125827814571</v>
      </c>
      <c r="AQ64" s="329">
        <f>+AQ63/AQ59</f>
        <v>0.53017781116954676</v>
      </c>
      <c r="AR64" s="329">
        <f>+AR63/AR59</f>
        <v>0.51635566406736588</v>
      </c>
      <c r="AS64" s="329"/>
    </row>
    <row r="65" spans="35:46">
      <c r="AJ65" s="235">
        <v>227.5</v>
      </c>
      <c r="AK65" s="398" t="s">
        <v>380</v>
      </c>
      <c r="AL65" s="325" t="s">
        <v>555</v>
      </c>
      <c r="AM65" s="325" t="s">
        <v>555</v>
      </c>
      <c r="AN65" s="325" t="s">
        <v>560</v>
      </c>
      <c r="AO65" s="325" t="s">
        <v>563</v>
      </c>
      <c r="AP65" s="325" t="s">
        <v>526</v>
      </c>
      <c r="AQ65" s="425">
        <f>+SUM(AQ67:AQ68)</f>
        <v>217.2</v>
      </c>
      <c r="AR65" s="325">
        <v>264.44</v>
      </c>
      <c r="AS65" s="324"/>
      <c r="AT65" s="258"/>
    </row>
    <row r="66" spans="35:46">
      <c r="AI66" s="258"/>
      <c r="AJ66" s="258"/>
      <c r="AK66" s="400" t="s">
        <v>430</v>
      </c>
      <c r="AL66" s="329">
        <f>267.5/401</f>
        <v>0.66708229426433918</v>
      </c>
      <c r="AM66" s="329">
        <f>267.5/401</f>
        <v>0.66708229426433918</v>
      </c>
      <c r="AN66" s="329">
        <f>37.5/38</f>
        <v>0.98684210526315785</v>
      </c>
      <c r="AO66" s="329">
        <f>227.5/363</f>
        <v>0.6267217630853994</v>
      </c>
      <c r="AP66" s="329">
        <v>0.60264900662251653</v>
      </c>
      <c r="AQ66" s="329">
        <f>+AQ65/AQ59</f>
        <v>0.54395191585274227</v>
      </c>
      <c r="AR66" s="329">
        <f>+AR65/AR59</f>
        <v>0.65881063305015075</v>
      </c>
      <c r="AS66" s="324"/>
      <c r="AT66" s="258"/>
    </row>
    <row r="67" spans="35:46">
      <c r="AI67" s="258"/>
      <c r="AJ67" s="258"/>
      <c r="AK67" s="400" t="s">
        <v>431</v>
      </c>
      <c r="AL67" s="325" t="s">
        <v>556</v>
      </c>
      <c r="AM67" s="325" t="s">
        <v>556</v>
      </c>
      <c r="AN67" s="325" t="s">
        <v>559</v>
      </c>
      <c r="AO67" s="325" t="s">
        <v>564</v>
      </c>
      <c r="AP67" s="325" t="s">
        <v>527</v>
      </c>
      <c r="AQ67" s="324">
        <f>-Model!BQ381</f>
        <v>214.79999999999998</v>
      </c>
      <c r="AR67" s="329"/>
      <c r="AS67" s="327"/>
      <c r="AT67" s="258"/>
    </row>
    <row r="68" spans="35:46">
      <c r="AI68" s="258"/>
      <c r="AJ68" s="258"/>
      <c r="AK68" s="400" t="s">
        <v>433</v>
      </c>
      <c r="AL68" s="325" t="s">
        <v>434</v>
      </c>
      <c r="AM68" s="325" t="s">
        <v>434</v>
      </c>
      <c r="AN68" s="325" t="s">
        <v>558</v>
      </c>
      <c r="AO68" s="325" t="s">
        <v>565</v>
      </c>
      <c r="AP68" s="325" t="s">
        <v>434</v>
      </c>
      <c r="AQ68" s="324">
        <f>-Model!BQ382</f>
        <v>2.4</v>
      </c>
      <c r="AR68" s="329"/>
      <c r="AS68" s="327"/>
      <c r="AT68" s="258"/>
    </row>
    <row r="69" spans="35:46">
      <c r="AI69" s="258"/>
      <c r="AJ69" s="258"/>
      <c r="AK69" s="257" t="s">
        <v>427</v>
      </c>
      <c r="AL69" s="328" t="s">
        <v>589</v>
      </c>
      <c r="AM69" s="328" t="s">
        <v>557</v>
      </c>
      <c r="AN69" s="328"/>
      <c r="AO69" s="328"/>
      <c r="AP69" s="328" t="s">
        <v>528</v>
      </c>
      <c r="AQ69" s="327">
        <f>+Model!BQ66</f>
        <v>2.1771686049426653</v>
      </c>
      <c r="AR69" s="328">
        <v>2.12</v>
      </c>
      <c r="AS69" s="258"/>
      <c r="AT69" s="258"/>
    </row>
    <row r="70" spans="35:46">
      <c r="AI70" s="258"/>
      <c r="AJ70" s="258"/>
      <c r="AK70" s="257" t="s">
        <v>428</v>
      </c>
      <c r="AL70" s="257"/>
      <c r="AN70" s="258"/>
      <c r="AO70" s="258"/>
      <c r="AP70" s="258"/>
      <c r="AQ70" s="327">
        <f>+Model!BQ68</f>
        <v>2.3201942797199209</v>
      </c>
      <c r="AR70" s="328">
        <v>2.13</v>
      </c>
      <c r="AS70" s="258"/>
    </row>
    <row r="71" spans="35:46">
      <c r="AM71" s="235"/>
      <c r="AQ71" s="258"/>
    </row>
    <row r="72" spans="35:46">
      <c r="AI72" s="258"/>
      <c r="AJ72" s="258"/>
      <c r="AK72" s="397" t="s">
        <v>483</v>
      </c>
      <c r="AL72" s="397"/>
      <c r="AM72" s="397"/>
      <c r="AN72" s="396"/>
      <c r="AO72" s="396"/>
      <c r="AP72" s="396"/>
    </row>
    <row r="73" spans="35:46">
      <c r="AI73" s="258"/>
      <c r="AJ73" s="426" t="s">
        <v>484</v>
      </c>
      <c r="AK73" s="398"/>
      <c r="AL73" s="399" t="s">
        <v>507</v>
      </c>
      <c r="AM73" s="399" t="s">
        <v>518</v>
      </c>
      <c r="AN73" s="399" t="s">
        <v>506</v>
      </c>
      <c r="AO73" s="401" t="s">
        <v>365</v>
      </c>
      <c r="AP73" s="401" t="s">
        <v>371</v>
      </c>
    </row>
    <row r="74" spans="35:46">
      <c r="AI74" s="258"/>
      <c r="AJ74" s="235">
        <v>327.5</v>
      </c>
      <c r="AK74" s="398" t="s">
        <v>0</v>
      </c>
      <c r="AL74" s="325" t="s">
        <v>508</v>
      </c>
      <c r="AM74" s="325" t="s">
        <v>508</v>
      </c>
      <c r="AN74" s="325" t="s">
        <v>485</v>
      </c>
      <c r="AO74" s="324">
        <f>+Model!BP9</f>
        <v>330.9</v>
      </c>
      <c r="AP74" s="325">
        <v>329.65</v>
      </c>
    </row>
    <row r="75" spans="35:46">
      <c r="AI75" s="444"/>
      <c r="AK75" s="400" t="s">
        <v>390</v>
      </c>
      <c r="AL75" s="326">
        <f>+AJ74/Model!BO9-1</f>
        <v>0.24288425047438333</v>
      </c>
      <c r="AM75" s="326">
        <v>0.24288425047438333</v>
      </c>
      <c r="AN75" s="326">
        <v>0.17647058823529416</v>
      </c>
      <c r="AO75" s="446">
        <f>+Model!BP10</f>
        <v>0.25578747628083476</v>
      </c>
      <c r="AP75" s="329">
        <f>+AP74/Model!BO9-1</f>
        <v>0.25104364326375705</v>
      </c>
    </row>
    <row r="76" spans="35:46">
      <c r="AI76" s="258"/>
      <c r="AJ76" s="258">
        <v>167.5</v>
      </c>
      <c r="AK76" s="398" t="s">
        <v>175</v>
      </c>
      <c r="AL76" s="325" t="s">
        <v>509</v>
      </c>
      <c r="AM76" s="325" t="s">
        <v>509</v>
      </c>
      <c r="AN76" s="325" t="s">
        <v>486</v>
      </c>
      <c r="AO76" s="324">
        <f>+Model!BP32</f>
        <v>169.29999999999998</v>
      </c>
      <c r="AP76" s="325">
        <v>163.63999999999999</v>
      </c>
    </row>
    <row r="77" spans="35:46">
      <c r="AI77" s="258"/>
      <c r="AJ77" s="258"/>
      <c r="AK77" s="400" t="s">
        <v>416</v>
      </c>
      <c r="AL77" s="329">
        <f>+AJ76/AJ74</f>
        <v>0.51145038167938928</v>
      </c>
      <c r="AM77" s="329">
        <v>0.51145038167938928</v>
      </c>
      <c r="AN77" s="329">
        <v>0.52419354838709675</v>
      </c>
      <c r="AO77" s="329">
        <f>+AO76/AO74</f>
        <v>0.51163493502568747</v>
      </c>
      <c r="AP77" s="329">
        <f>+AP76/AP74</f>
        <v>0.49640527832549675</v>
      </c>
    </row>
    <row r="78" spans="35:46">
      <c r="AI78" s="258"/>
      <c r="AJ78" s="235">
        <v>295</v>
      </c>
      <c r="AK78" s="398" t="s">
        <v>380</v>
      </c>
      <c r="AL78" s="325" t="s">
        <v>488</v>
      </c>
      <c r="AM78" s="325" t="s">
        <v>488</v>
      </c>
      <c r="AN78" s="325" t="s">
        <v>488</v>
      </c>
      <c r="AO78" s="425">
        <f>+SUM(AO80:AO81)</f>
        <v>298.8</v>
      </c>
      <c r="AP78" s="325">
        <v>344.23</v>
      </c>
    </row>
    <row r="79" spans="35:46">
      <c r="AJ79" s="258"/>
      <c r="AK79" s="400" t="s">
        <v>430</v>
      </c>
      <c r="AL79" s="329">
        <f>+AJ78/AJ74</f>
        <v>0.9007633587786259</v>
      </c>
      <c r="AM79" s="329">
        <v>0.9007633587786259</v>
      </c>
      <c r="AN79" s="329">
        <v>0.95161290322580649</v>
      </c>
      <c r="AO79" s="329">
        <f>+AO78/AO74</f>
        <v>0.90299184043517688</v>
      </c>
      <c r="AP79" s="329">
        <f>+AP78/AP74</f>
        <v>1.0442287274381921</v>
      </c>
    </row>
    <row r="80" spans="35:46">
      <c r="AI80" s="258"/>
      <c r="AJ80" s="258"/>
      <c r="AK80" s="400" t="s">
        <v>431</v>
      </c>
      <c r="AL80" s="325" t="s">
        <v>487</v>
      </c>
      <c r="AM80" s="325" t="s">
        <v>487</v>
      </c>
      <c r="AN80" s="325" t="s">
        <v>487</v>
      </c>
      <c r="AO80" s="324">
        <f>-Model!BP381-Model!BP380</f>
        <v>295</v>
      </c>
      <c r="AP80" s="329"/>
    </row>
    <row r="81" spans="35:46">
      <c r="AJ81" s="258"/>
      <c r="AK81" s="400" t="s">
        <v>433</v>
      </c>
      <c r="AL81" s="325" t="s">
        <v>434</v>
      </c>
      <c r="AM81" s="325" t="s">
        <v>434</v>
      </c>
      <c r="AN81" s="325" t="s">
        <v>434</v>
      </c>
      <c r="AO81" s="324">
        <f>-Model!BP382</f>
        <v>3.8</v>
      </c>
      <c r="AP81" s="329"/>
    </row>
    <row r="82" spans="35:46">
      <c r="AJ82" s="258"/>
      <c r="AK82" s="257" t="s">
        <v>427</v>
      </c>
      <c r="AL82" s="328" t="s">
        <v>519</v>
      </c>
      <c r="AM82" s="328" t="s">
        <v>510</v>
      </c>
      <c r="AN82" s="328" t="s">
        <v>493</v>
      </c>
      <c r="AO82" s="327">
        <f>+Model!BP66</f>
        <v>1.7299955047520994</v>
      </c>
      <c r="AP82" s="328">
        <v>1.67</v>
      </c>
    </row>
    <row r="83" spans="35:46">
      <c r="AJ83" s="258"/>
      <c r="AK83" s="257" t="s">
        <v>428</v>
      </c>
      <c r="AL83" s="258"/>
      <c r="AN83" s="328"/>
      <c r="AO83" s="327">
        <f>+Model!BP68</f>
        <v>1.7116053981091361</v>
      </c>
      <c r="AP83" s="328"/>
    </row>
    <row r="84" spans="35:46">
      <c r="AM84" s="235"/>
      <c r="AO84" s="234"/>
    </row>
    <row r="85" spans="35:46">
      <c r="AI85" s="258"/>
      <c r="AJ85" s="258"/>
      <c r="AM85" s="235"/>
    </row>
    <row r="86" spans="35:46">
      <c r="AI86" s="258"/>
      <c r="AJ86" s="258"/>
      <c r="AM86" s="235"/>
      <c r="AT86" s="258"/>
    </row>
    <row r="87" spans="35:46">
      <c r="AI87" s="258"/>
      <c r="AJ87" s="258"/>
      <c r="AK87" s="397" t="s">
        <v>429</v>
      </c>
      <c r="AL87" s="397"/>
      <c r="AM87" s="396"/>
      <c r="AN87" s="396"/>
      <c r="AO87" s="396"/>
      <c r="AP87" s="396"/>
      <c r="AS87" s="325">
        <f>AVERAGE(260,270)</f>
        <v>265</v>
      </c>
    </row>
    <row r="88" spans="35:46">
      <c r="AI88" s="258"/>
      <c r="AJ88" s="258"/>
      <c r="AK88" s="398"/>
      <c r="AL88" s="399" t="s">
        <v>481</v>
      </c>
      <c r="AM88" s="399" t="s">
        <v>476</v>
      </c>
      <c r="AN88" s="399" t="s">
        <v>366</v>
      </c>
      <c r="AO88" s="401" t="s">
        <v>365</v>
      </c>
      <c r="AP88" s="401" t="s">
        <v>371</v>
      </c>
      <c r="AQ88" s="330">
        <v>2012</v>
      </c>
      <c r="AR88" s="330"/>
      <c r="AS88" s="326">
        <f>AS87/AQ89-1</f>
        <v>0.2001811594202898</v>
      </c>
      <c r="AT88" s="234"/>
    </row>
    <row r="89" spans="35:46">
      <c r="AI89" s="258"/>
      <c r="AJ89" s="258"/>
      <c r="AK89" s="398" t="s">
        <v>0</v>
      </c>
      <c r="AL89" s="325" t="s">
        <v>477</v>
      </c>
      <c r="AM89" s="325" t="s">
        <v>437</v>
      </c>
      <c r="AN89" s="325">
        <f>+SUM(Y11:AA11,AC11)</f>
        <v>672</v>
      </c>
      <c r="AO89" s="324">
        <f>+Model!BO9</f>
        <v>263.5</v>
      </c>
      <c r="AP89" s="325">
        <v>262.07</v>
      </c>
      <c r="AQ89" s="324">
        <f>+Model!BN9</f>
        <v>220.8</v>
      </c>
      <c r="AR89" s="325">
        <v>262.5</v>
      </c>
      <c r="AS89" s="325">
        <f>AVERAGE(133,137)</f>
        <v>135</v>
      </c>
      <c r="AT89" s="258"/>
    </row>
    <row r="90" spans="35:46">
      <c r="AJ90" s="258"/>
      <c r="AK90" s="400" t="s">
        <v>390</v>
      </c>
      <c r="AL90" s="326">
        <f>AR89/AQ89-1</f>
        <v>0.18885869565217384</v>
      </c>
      <c r="AM90" s="326">
        <f>AS87/AQ89-1</f>
        <v>0.2001811594202898</v>
      </c>
      <c r="AN90" s="326">
        <f>+AN89/Model!BN9-1</f>
        <v>2.043478260869565</v>
      </c>
      <c r="AO90" s="329">
        <f>+AO89/AQ89-1</f>
        <v>0.19338768115942018</v>
      </c>
      <c r="AP90" s="329">
        <f>+AP89/AQ89-1</f>
        <v>0.18691123188405778</v>
      </c>
      <c r="AQ90" s="331">
        <f>+Model!BN10</f>
        <v>0.21518987341772156</v>
      </c>
      <c r="AR90" s="326">
        <f>AR89/AP89-1</f>
        <v>1.6407829969091736E-3</v>
      </c>
      <c r="AS90" s="329">
        <f>AS89/AS87</f>
        <v>0.50943396226415094</v>
      </c>
      <c r="AT90" s="258"/>
    </row>
    <row r="91" spans="35:46">
      <c r="AJ91" s="258"/>
      <c r="AK91" s="398" t="s">
        <v>175</v>
      </c>
      <c r="AL91" s="325" t="s">
        <v>438</v>
      </c>
      <c r="AM91" s="325" t="s">
        <v>438</v>
      </c>
      <c r="AN91" s="325">
        <f>+SUM(Y22:AA22,AC22)</f>
        <v>371.6</v>
      </c>
      <c r="AO91" s="324">
        <f>+Model!BO32</f>
        <v>138.70000000000002</v>
      </c>
      <c r="AP91" s="325">
        <v>135.15</v>
      </c>
      <c r="AQ91" s="324">
        <f>+Model!BN32</f>
        <v>115.30000000000003</v>
      </c>
      <c r="AR91" s="325">
        <f>AVERAGE(133,137)</f>
        <v>135</v>
      </c>
      <c r="AS91" s="325">
        <f>AVERAGE(215,250)</f>
        <v>232.5</v>
      </c>
    </row>
    <row r="92" spans="35:46">
      <c r="AK92" s="400" t="s">
        <v>416</v>
      </c>
      <c r="AL92" s="329">
        <f>AR91/AR89</f>
        <v>0.51428571428571423</v>
      </c>
      <c r="AM92" s="329">
        <f>AS89/AS87</f>
        <v>0.50943396226415094</v>
      </c>
      <c r="AN92" s="329">
        <f>+AN91/AN89</f>
        <v>0.55297619047619051</v>
      </c>
      <c r="AO92" s="329">
        <f>+AO91/AO89</f>
        <v>0.52637571157495266</v>
      </c>
      <c r="AP92" s="329">
        <f>+AP91/AP89</f>
        <v>0.51570191170298019</v>
      </c>
      <c r="AQ92" s="329">
        <f>+AQ91/AQ89</f>
        <v>0.52219202898550732</v>
      </c>
      <c r="AR92" s="329">
        <f>AR91/AR89</f>
        <v>0.51428571428571423</v>
      </c>
      <c r="AS92" s="329">
        <f>AS91/AS87</f>
        <v>0.87735849056603776</v>
      </c>
      <c r="AT92" s="258"/>
    </row>
    <row r="93" spans="35:46">
      <c r="AJ93" s="258"/>
      <c r="AK93" s="398" t="s">
        <v>380</v>
      </c>
      <c r="AL93" s="325" t="s">
        <v>480</v>
      </c>
      <c r="AM93" s="325" t="s">
        <v>439</v>
      </c>
      <c r="AN93" s="325">
        <f>+SUM(Y30:AA30,AC30)</f>
        <v>1406.8000000000002</v>
      </c>
      <c r="AO93" s="402">
        <f>+SUM(AO95:AO98)</f>
        <v>228.59999999999997</v>
      </c>
      <c r="AP93" s="325">
        <v>211.78</v>
      </c>
      <c r="AQ93" s="324">
        <f>+SUM(Model!O180:R180)</f>
        <v>228.3</v>
      </c>
      <c r="AR93" s="325">
        <v>246</v>
      </c>
      <c r="AS93" s="325"/>
      <c r="AT93" s="258"/>
    </row>
    <row r="94" spans="35:46">
      <c r="AK94" s="400" t="s">
        <v>430</v>
      </c>
      <c r="AL94" s="329">
        <f>AR93/AR89</f>
        <v>0.93714285714285717</v>
      </c>
      <c r="AM94" s="329">
        <f>AS91/AS87</f>
        <v>0.87735849056603776</v>
      </c>
      <c r="AN94" s="329"/>
      <c r="AO94" s="329">
        <f>+AO93/AO89</f>
        <v>0.86755218216318775</v>
      </c>
      <c r="AP94" s="329">
        <f>+AP93/AP89</f>
        <v>0.80810470484984931</v>
      </c>
      <c r="AQ94" s="329">
        <f>+AQ93/AQ89</f>
        <v>1.0339673913043479</v>
      </c>
      <c r="AR94" s="329">
        <f>AR93/AR89</f>
        <v>0.93714285714285717</v>
      </c>
      <c r="AS94" s="325"/>
      <c r="AT94" s="258"/>
    </row>
    <row r="95" spans="35:46">
      <c r="AK95" s="400" t="s">
        <v>431</v>
      </c>
      <c r="AL95" s="325" t="s">
        <v>479</v>
      </c>
      <c r="AM95" s="325" t="s">
        <v>432</v>
      </c>
      <c r="AN95" s="325"/>
      <c r="AO95" s="324">
        <f>-Model!BO381</f>
        <v>176.39999999999998</v>
      </c>
      <c r="AP95" s="329"/>
      <c r="AR95" s="325"/>
      <c r="AS95" s="325"/>
      <c r="AT95" s="258"/>
    </row>
    <row r="96" spans="35:46">
      <c r="AK96" s="400" t="s">
        <v>433</v>
      </c>
      <c r="AL96" s="325" t="s">
        <v>478</v>
      </c>
      <c r="AM96" s="325" t="s">
        <v>434</v>
      </c>
      <c r="AN96" s="325"/>
      <c r="AO96" s="324">
        <f>-Model!BO382</f>
        <v>4.1999999999999993</v>
      </c>
      <c r="AP96" s="329"/>
      <c r="AR96" s="325"/>
      <c r="AS96" s="325"/>
      <c r="AT96" s="258"/>
    </row>
    <row r="97" spans="37:46">
      <c r="AK97" s="400" t="s">
        <v>468</v>
      </c>
      <c r="AL97" s="325">
        <v>28</v>
      </c>
      <c r="AM97" s="325" t="s">
        <v>435</v>
      </c>
      <c r="AN97" s="325"/>
      <c r="AO97" s="551">
        <f>-Model!BO380</f>
        <v>48</v>
      </c>
      <c r="AP97" s="329"/>
      <c r="AQ97" s="329"/>
      <c r="AR97" s="325"/>
      <c r="AS97" s="328">
        <f>AVERAGE(1.15,1.25)</f>
        <v>1.2</v>
      </c>
    </row>
    <row r="98" spans="37:46">
      <c r="AK98" s="400" t="s">
        <v>469</v>
      </c>
      <c r="AL98" s="325"/>
      <c r="AM98" s="325" t="s">
        <v>436</v>
      </c>
      <c r="AN98" s="325"/>
      <c r="AO98" s="551"/>
      <c r="AP98" s="329"/>
      <c r="AQ98" s="329"/>
      <c r="AR98" s="325"/>
      <c r="AS98" s="258"/>
      <c r="AT98" s="258"/>
    </row>
    <row r="99" spans="37:46">
      <c r="AK99" s="257" t="s">
        <v>427</v>
      </c>
      <c r="AL99" s="328" t="s">
        <v>440</v>
      </c>
      <c r="AM99" s="328" t="s">
        <v>440</v>
      </c>
      <c r="AN99" s="328">
        <f>+SUM(Y27:AA27,AC27)</f>
        <v>3.1169705413024507</v>
      </c>
      <c r="AO99" s="327">
        <f ca="1">+Model!BO66</f>
        <v>1.2188445346526313</v>
      </c>
      <c r="AP99" s="328">
        <v>1.19</v>
      </c>
      <c r="AQ99" s="329"/>
      <c r="AR99" s="328">
        <f>AVERAGE(1.15,1.25)</f>
        <v>1.2</v>
      </c>
      <c r="AS99" s="258"/>
      <c r="AT99" s="258"/>
    </row>
    <row r="100" spans="37:46">
      <c r="AK100" s="257" t="s">
        <v>428</v>
      </c>
      <c r="AL100" s="328"/>
      <c r="AM100" s="328"/>
      <c r="AN100" s="328"/>
      <c r="AO100" s="327">
        <f ca="1">+Model!BO68</f>
        <v>1.1213439511359653</v>
      </c>
      <c r="AP100" s="328">
        <v>1.19</v>
      </c>
      <c r="AQ100" s="329"/>
      <c r="AR100" s="327"/>
      <c r="AS100" s="258"/>
      <c r="AT100" s="258"/>
    </row>
    <row r="101" spans="37:46">
      <c r="AN101" s="258"/>
      <c r="AQ101" s="327"/>
      <c r="AR101" s="258"/>
      <c r="AS101" s="258"/>
      <c r="AT101" s="258"/>
    </row>
    <row r="102" spans="37:46">
      <c r="AK102" s="258"/>
      <c r="AL102" s="258"/>
      <c r="AN102" s="258"/>
      <c r="AO102" s="258"/>
      <c r="AP102" s="258"/>
      <c r="AQ102" s="327"/>
      <c r="AR102" s="258"/>
      <c r="AT102" s="258"/>
    </row>
    <row r="103" spans="37:46">
      <c r="AK103" s="258"/>
      <c r="AL103" s="258"/>
      <c r="AN103" s="258"/>
      <c r="AO103" s="258"/>
      <c r="AP103" s="258"/>
      <c r="AQ103" s="258"/>
      <c r="AR103" s="258"/>
      <c r="AS103" s="258"/>
      <c r="AT103" s="258"/>
    </row>
    <row r="104" spans="37:46">
      <c r="AK104" s="258"/>
      <c r="AL104" s="258"/>
      <c r="AN104" s="258"/>
      <c r="AO104" s="258"/>
      <c r="AP104" s="258"/>
      <c r="AQ104" s="258"/>
      <c r="AR104" s="258"/>
      <c r="AT104" s="258"/>
    </row>
    <row r="105" spans="37:46">
      <c r="AK105" s="258"/>
      <c r="AL105" s="258"/>
      <c r="AN105" s="258"/>
      <c r="AO105" s="258"/>
      <c r="AR105" s="258"/>
    </row>
    <row r="106" spans="37:46">
      <c r="AK106" s="258"/>
      <c r="AL106" s="258"/>
      <c r="AN106" s="258"/>
      <c r="AO106" s="258"/>
      <c r="AP106" s="258"/>
      <c r="AQ106" s="258"/>
      <c r="AR106" s="258"/>
      <c r="AT106" s="258"/>
    </row>
    <row r="107" spans="37:46">
      <c r="AK107" s="258"/>
      <c r="AL107" s="258"/>
      <c r="AN107" s="258"/>
      <c r="AO107" s="258"/>
      <c r="AP107" s="258"/>
      <c r="AQ107" s="258"/>
    </row>
    <row r="108" spans="37:46">
      <c r="AK108" s="258"/>
      <c r="AL108" s="258"/>
      <c r="AN108" s="258"/>
      <c r="AO108" s="258"/>
      <c r="AP108" s="258"/>
      <c r="AQ108" s="258"/>
      <c r="AR108" s="258"/>
    </row>
    <row r="109" spans="37:46">
      <c r="AP109" s="258"/>
      <c r="AQ109" s="258"/>
    </row>
    <row r="110" spans="37:46">
      <c r="AK110" s="258"/>
      <c r="AL110" s="258"/>
      <c r="AN110" s="258"/>
      <c r="AO110" s="258"/>
      <c r="AP110" s="258"/>
      <c r="AQ110" s="258"/>
    </row>
    <row r="111" spans="37:46">
      <c r="AP111" s="258"/>
      <c r="AQ111" s="258"/>
    </row>
    <row r="112" spans="37:46">
      <c r="AP112" s="258"/>
      <c r="AQ112" s="258"/>
    </row>
    <row r="114" spans="42:43">
      <c r="AP114" s="258"/>
      <c r="AQ114" s="258"/>
    </row>
  </sheetData>
  <mergeCells count="16">
    <mergeCell ref="AO97:AO98"/>
    <mergeCell ref="AG30:AG31"/>
    <mergeCell ref="AG15:AG16"/>
    <mergeCell ref="AH15:AH16"/>
    <mergeCell ref="AG22:AG23"/>
    <mergeCell ref="AH22:AH23"/>
    <mergeCell ref="AH34:AH35"/>
    <mergeCell ref="AG26:AG27"/>
    <mergeCell ref="AH26:AH27"/>
    <mergeCell ref="AH30:AH31"/>
    <mergeCell ref="AG34:AG36"/>
    <mergeCell ref="AG8:AG9"/>
    <mergeCell ref="AH8:AH9"/>
    <mergeCell ref="AG11:AG13"/>
    <mergeCell ref="AH11:AH13"/>
    <mergeCell ref="AG28:AG29"/>
  </mergeCells>
  <phoneticPr fontId="10" type="noConversion"/>
  <pageMargins left="0" right="0" top="0" bottom="0" header="0" footer="0"/>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3:B17"/>
  <sheetViews>
    <sheetView workbookViewId="0"/>
  </sheetViews>
  <sheetFormatPr defaultRowHeight="11.25"/>
  <cols>
    <col min="2" max="2" width="30.5" bestFit="1" customWidth="1"/>
  </cols>
  <sheetData>
    <row r="3" spans="2:2">
      <c r="B3" t="s">
        <v>0</v>
      </c>
    </row>
    <row r="5" spans="2:2">
      <c r="B5" t="s">
        <v>420</v>
      </c>
    </row>
    <row r="7" spans="2:2">
      <c r="B7" t="s">
        <v>421</v>
      </c>
    </row>
    <row r="8" spans="2:2">
      <c r="B8" t="s">
        <v>418</v>
      </c>
    </row>
    <row r="10" spans="2:2">
      <c r="B10" t="s">
        <v>380</v>
      </c>
    </row>
    <row r="11" spans="2:2">
      <c r="B11" t="s">
        <v>419</v>
      </c>
    </row>
    <row r="13" spans="2:2">
      <c r="B13" t="s">
        <v>17</v>
      </c>
    </row>
    <row r="14" spans="2:2">
      <c r="B14" t="s">
        <v>24</v>
      </c>
    </row>
    <row r="15" spans="2:2">
      <c r="B15" t="s">
        <v>422</v>
      </c>
    </row>
    <row r="17" spans="2:2">
      <c r="B17" t="s">
        <v>423</v>
      </c>
    </row>
  </sheetData>
  <phoneticPr fontId="0"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381"/>
  <sheetViews>
    <sheetView showGridLines="0" tabSelected="1" workbookViewId="0">
      <selection activeCell="Z1" sqref="Z1"/>
    </sheetView>
  </sheetViews>
  <sheetFormatPr defaultRowHeight="12.75"/>
  <cols>
    <col min="1" max="1" width="25.83203125" style="559" customWidth="1"/>
    <col min="2" max="5" width="9.33203125" style="559"/>
    <col min="6" max="6" width="18.83203125" style="559" customWidth="1"/>
    <col min="7" max="256" width="9.33203125" style="559"/>
    <col min="257" max="257" width="117.5" style="559" customWidth="1"/>
    <col min="258" max="512" width="9.33203125" style="559"/>
    <col min="513" max="513" width="117.5" style="559" customWidth="1"/>
    <col min="514" max="768" width="9.33203125" style="559"/>
    <col min="769" max="769" width="117.5" style="559" customWidth="1"/>
    <col min="770" max="1024" width="9.33203125" style="559"/>
    <col min="1025" max="1025" width="117.5" style="559" customWidth="1"/>
    <col min="1026" max="1280" width="9.33203125" style="559"/>
    <col min="1281" max="1281" width="117.5" style="559" customWidth="1"/>
    <col min="1282" max="1536" width="9.33203125" style="559"/>
    <col min="1537" max="1537" width="117.5" style="559" customWidth="1"/>
    <col min="1538" max="1792" width="9.33203125" style="559"/>
    <col min="1793" max="1793" width="117.5" style="559" customWidth="1"/>
    <col min="1794" max="2048" width="9.33203125" style="559"/>
    <col min="2049" max="2049" width="117.5" style="559" customWidth="1"/>
    <col min="2050" max="2304" width="9.33203125" style="559"/>
    <col min="2305" max="2305" width="117.5" style="559" customWidth="1"/>
    <col min="2306" max="2560" width="9.33203125" style="559"/>
    <col min="2561" max="2561" width="117.5" style="559" customWidth="1"/>
    <col min="2562" max="2816" width="9.33203125" style="559"/>
    <col min="2817" max="2817" width="117.5" style="559" customWidth="1"/>
    <col min="2818" max="3072" width="9.33203125" style="559"/>
    <col min="3073" max="3073" width="117.5" style="559" customWidth="1"/>
    <col min="3074" max="3328" width="9.33203125" style="559"/>
    <col min="3329" max="3329" width="117.5" style="559" customWidth="1"/>
    <col min="3330" max="3584" width="9.33203125" style="559"/>
    <col min="3585" max="3585" width="117.5" style="559" customWidth="1"/>
    <col min="3586" max="3840" width="9.33203125" style="559"/>
    <col min="3841" max="3841" width="117.5" style="559" customWidth="1"/>
    <col min="3842" max="4096" width="9.33203125" style="559"/>
    <col min="4097" max="4097" width="117.5" style="559" customWidth="1"/>
    <col min="4098" max="4352" width="9.33203125" style="559"/>
    <col min="4353" max="4353" width="117.5" style="559" customWidth="1"/>
    <col min="4354" max="4608" width="9.33203125" style="559"/>
    <col min="4609" max="4609" width="117.5" style="559" customWidth="1"/>
    <col min="4610" max="4864" width="9.33203125" style="559"/>
    <col min="4865" max="4865" width="117.5" style="559" customWidth="1"/>
    <col min="4866" max="5120" width="9.33203125" style="559"/>
    <col min="5121" max="5121" width="117.5" style="559" customWidth="1"/>
    <col min="5122" max="5376" width="9.33203125" style="559"/>
    <col min="5377" max="5377" width="117.5" style="559" customWidth="1"/>
    <col min="5378" max="5632" width="9.33203125" style="559"/>
    <col min="5633" max="5633" width="117.5" style="559" customWidth="1"/>
    <col min="5634" max="5888" width="9.33203125" style="559"/>
    <col min="5889" max="5889" width="117.5" style="559" customWidth="1"/>
    <col min="5890" max="6144" width="9.33203125" style="559"/>
    <col min="6145" max="6145" width="117.5" style="559" customWidth="1"/>
    <col min="6146" max="6400" width="9.33203125" style="559"/>
    <col min="6401" max="6401" width="117.5" style="559" customWidth="1"/>
    <col min="6402" max="6656" width="9.33203125" style="559"/>
    <col min="6657" max="6657" width="117.5" style="559" customWidth="1"/>
    <col min="6658" max="6912" width="9.33203125" style="559"/>
    <col min="6913" max="6913" width="117.5" style="559" customWidth="1"/>
    <col min="6914" max="7168" width="9.33203125" style="559"/>
    <col min="7169" max="7169" width="117.5" style="559" customWidth="1"/>
    <col min="7170" max="7424" width="9.33203125" style="559"/>
    <col min="7425" max="7425" width="117.5" style="559" customWidth="1"/>
    <col min="7426" max="7680" width="9.33203125" style="559"/>
    <col min="7681" max="7681" width="117.5" style="559" customWidth="1"/>
    <col min="7682" max="7936" width="9.33203125" style="559"/>
    <col min="7937" max="7937" width="117.5" style="559" customWidth="1"/>
    <col min="7938" max="8192" width="9.33203125" style="559"/>
    <col min="8193" max="8193" width="117.5" style="559" customWidth="1"/>
    <col min="8194" max="8448" width="9.33203125" style="559"/>
    <col min="8449" max="8449" width="117.5" style="559" customWidth="1"/>
    <col min="8450" max="8704" width="9.33203125" style="559"/>
    <col min="8705" max="8705" width="117.5" style="559" customWidth="1"/>
    <col min="8706" max="8960" width="9.33203125" style="559"/>
    <col min="8961" max="8961" width="117.5" style="559" customWidth="1"/>
    <col min="8962" max="9216" width="9.33203125" style="559"/>
    <col min="9217" max="9217" width="117.5" style="559" customWidth="1"/>
    <col min="9218" max="9472" width="9.33203125" style="559"/>
    <col min="9473" max="9473" width="117.5" style="559" customWidth="1"/>
    <col min="9474" max="9728" width="9.33203125" style="559"/>
    <col min="9729" max="9729" width="117.5" style="559" customWidth="1"/>
    <col min="9730" max="9984" width="9.33203125" style="559"/>
    <col min="9985" max="9985" width="117.5" style="559" customWidth="1"/>
    <col min="9986" max="10240" width="9.33203125" style="559"/>
    <col min="10241" max="10241" width="117.5" style="559" customWidth="1"/>
    <col min="10242" max="10496" width="9.33203125" style="559"/>
    <col min="10497" max="10497" width="117.5" style="559" customWidth="1"/>
    <col min="10498" max="10752" width="9.33203125" style="559"/>
    <col min="10753" max="10753" width="117.5" style="559" customWidth="1"/>
    <col min="10754" max="11008" width="9.33203125" style="559"/>
    <col min="11009" max="11009" width="117.5" style="559" customWidth="1"/>
    <col min="11010" max="11264" width="9.33203125" style="559"/>
    <col min="11265" max="11265" width="117.5" style="559" customWidth="1"/>
    <col min="11266" max="11520" width="9.33203125" style="559"/>
    <col min="11521" max="11521" width="117.5" style="559" customWidth="1"/>
    <col min="11522" max="11776" width="9.33203125" style="559"/>
    <col min="11777" max="11777" width="117.5" style="559" customWidth="1"/>
    <col min="11778" max="12032" width="9.33203125" style="559"/>
    <col min="12033" max="12033" width="117.5" style="559" customWidth="1"/>
    <col min="12034" max="12288" width="9.33203125" style="559"/>
    <col min="12289" max="12289" width="117.5" style="559" customWidth="1"/>
    <col min="12290" max="12544" width="9.33203125" style="559"/>
    <col min="12545" max="12545" width="117.5" style="559" customWidth="1"/>
    <col min="12546" max="12800" width="9.33203125" style="559"/>
    <col min="12801" max="12801" width="117.5" style="559" customWidth="1"/>
    <col min="12802" max="13056" width="9.33203125" style="559"/>
    <col min="13057" max="13057" width="117.5" style="559" customWidth="1"/>
    <col min="13058" max="13312" width="9.33203125" style="559"/>
    <col min="13313" max="13313" width="117.5" style="559" customWidth="1"/>
    <col min="13314" max="13568" width="9.33203125" style="559"/>
    <col min="13569" max="13569" width="117.5" style="559" customWidth="1"/>
    <col min="13570" max="13824" width="9.33203125" style="559"/>
    <col min="13825" max="13825" width="117.5" style="559" customWidth="1"/>
    <col min="13826" max="14080" width="9.33203125" style="559"/>
    <col min="14081" max="14081" width="117.5" style="559" customWidth="1"/>
    <col min="14082" max="14336" width="9.33203125" style="559"/>
    <col min="14337" max="14337" width="117.5" style="559" customWidth="1"/>
    <col min="14338" max="14592" width="9.33203125" style="559"/>
    <col min="14593" max="14593" width="117.5" style="559" customWidth="1"/>
    <col min="14594" max="14848" width="9.33203125" style="559"/>
    <col min="14849" max="14849" width="117.5" style="559" customWidth="1"/>
    <col min="14850" max="15104" width="9.33203125" style="559"/>
    <col min="15105" max="15105" width="117.5" style="559" customWidth="1"/>
    <col min="15106" max="15360" width="9.33203125" style="559"/>
    <col min="15361" max="15361" width="117.5" style="559" customWidth="1"/>
    <col min="15362" max="15616" width="9.33203125" style="559"/>
    <col min="15617" max="15617" width="117.5" style="559" customWidth="1"/>
    <col min="15618" max="15872" width="9.33203125" style="559"/>
    <col min="15873" max="15873" width="117.5" style="559" customWidth="1"/>
    <col min="15874" max="16128" width="9.33203125" style="559"/>
    <col min="16129" max="16129" width="117.5" style="559" customWidth="1"/>
    <col min="16130" max="16384" width="9.33203125" style="559"/>
  </cols>
  <sheetData>
    <row r="1" spans="1:8" ht="30" customHeight="1">
      <c r="A1" s="557"/>
      <c r="B1" s="558"/>
      <c r="C1" s="558"/>
      <c r="D1" s="558"/>
      <c r="E1" s="558"/>
      <c r="F1" s="558"/>
      <c r="G1" s="558"/>
      <c r="H1" s="558"/>
    </row>
    <row r="2" spans="1:8" ht="14.25">
      <c r="A2" s="560" t="s">
        <v>728</v>
      </c>
      <c r="B2" s="558"/>
      <c r="C2" s="558"/>
      <c r="D2" s="558"/>
      <c r="E2" s="558"/>
      <c r="F2" s="558"/>
      <c r="G2" s="558"/>
      <c r="H2" s="558"/>
    </row>
    <row r="3" spans="1:8" ht="14.25">
      <c r="A3" s="560" t="s">
        <v>729</v>
      </c>
      <c r="B3" s="558"/>
      <c r="C3" s="558"/>
      <c r="D3" s="558"/>
      <c r="E3" s="558"/>
      <c r="F3" s="558"/>
      <c r="G3" s="558"/>
      <c r="H3" s="558"/>
    </row>
    <row r="4" spans="1:8" ht="14.25">
      <c r="A4" s="560" t="s">
        <v>730</v>
      </c>
      <c r="B4" s="558"/>
      <c r="C4" s="558"/>
      <c r="D4" s="558"/>
      <c r="E4" s="558"/>
      <c r="F4" s="558"/>
      <c r="G4" s="558"/>
      <c r="H4" s="558"/>
    </row>
    <row r="5" spans="1:8" ht="14.25">
      <c r="A5" s="560" t="s">
        <v>731</v>
      </c>
      <c r="B5" s="558"/>
      <c r="C5" s="558"/>
      <c r="D5" s="558"/>
      <c r="E5" s="558"/>
      <c r="F5" s="558"/>
      <c r="G5" s="558"/>
      <c r="H5" s="558"/>
    </row>
    <row r="6" spans="1:8" ht="14.25">
      <c r="A6" s="560"/>
      <c r="B6" s="558"/>
      <c r="C6" s="558"/>
      <c r="D6" s="558"/>
      <c r="E6" s="558"/>
      <c r="F6" s="558"/>
      <c r="G6" s="558"/>
      <c r="H6" s="558"/>
    </row>
    <row r="7" spans="1:8">
      <c r="A7" s="557" t="s">
        <v>732</v>
      </c>
      <c r="B7" s="558"/>
      <c r="C7" s="558"/>
      <c r="D7" s="558"/>
      <c r="E7" s="558"/>
      <c r="F7" s="558"/>
      <c r="G7" s="558"/>
      <c r="H7" s="558"/>
    </row>
    <row r="8" spans="1:8">
      <c r="A8" s="557" t="s">
        <v>733</v>
      </c>
      <c r="B8" s="558"/>
      <c r="C8" s="558"/>
      <c r="D8" s="558"/>
      <c r="E8" s="558"/>
      <c r="F8" s="558"/>
      <c r="G8" s="558"/>
      <c r="H8" s="558"/>
    </row>
    <row r="9" spans="1:8">
      <c r="A9" s="557"/>
      <c r="B9" s="558"/>
      <c r="C9" s="558"/>
      <c r="D9" s="558"/>
      <c r="E9" s="558"/>
      <c r="F9" s="558"/>
      <c r="G9" s="558"/>
      <c r="H9" s="558"/>
    </row>
    <row r="10" spans="1:8">
      <c r="A10" s="561" t="s">
        <v>734</v>
      </c>
      <c r="B10" s="558"/>
      <c r="C10" s="558"/>
      <c r="D10" s="558"/>
      <c r="E10" s="558"/>
      <c r="F10" s="558"/>
      <c r="G10" s="558"/>
      <c r="H10" s="558"/>
    </row>
    <row r="11" spans="1:8">
      <c r="A11" s="561" t="s">
        <v>735</v>
      </c>
      <c r="B11" s="558"/>
      <c r="C11" s="558"/>
      <c r="D11" s="558"/>
      <c r="E11" s="558"/>
      <c r="F11" s="558"/>
      <c r="G11" s="558"/>
      <c r="H11" s="558"/>
    </row>
    <row r="12" spans="1:8">
      <c r="A12" s="561" t="s">
        <v>736</v>
      </c>
      <c r="B12" s="558"/>
      <c r="C12" s="558"/>
      <c r="D12" s="558"/>
      <c r="E12" s="558"/>
      <c r="F12" s="558"/>
      <c r="G12" s="558"/>
      <c r="H12" s="558"/>
    </row>
    <row r="13" spans="1:8">
      <c r="A13" s="561" t="s">
        <v>737</v>
      </c>
      <c r="B13" s="558"/>
      <c r="C13" s="558"/>
      <c r="D13" s="558"/>
      <c r="E13" s="558"/>
      <c r="F13" s="558"/>
      <c r="G13" s="558"/>
      <c r="H13" s="558"/>
    </row>
    <row r="14" spans="1:8">
      <c r="A14" s="561" t="s">
        <v>738</v>
      </c>
      <c r="B14" s="558"/>
      <c r="C14" s="558"/>
      <c r="D14" s="558"/>
      <c r="E14" s="558"/>
      <c r="F14" s="558"/>
      <c r="G14" s="558"/>
      <c r="H14" s="558"/>
    </row>
    <row r="15" spans="1:8">
      <c r="A15" s="561" t="s">
        <v>739</v>
      </c>
      <c r="B15" s="558"/>
      <c r="C15" s="558"/>
      <c r="D15" s="558"/>
      <c r="E15" s="558"/>
      <c r="F15" s="558"/>
      <c r="G15" s="558"/>
      <c r="H15" s="558"/>
    </row>
    <row r="16" spans="1:8">
      <c r="A16" s="561"/>
      <c r="B16" s="558"/>
      <c r="C16" s="558"/>
      <c r="D16" s="558"/>
      <c r="E16" s="558"/>
      <c r="F16" s="558"/>
      <c r="G16" s="558"/>
      <c r="H16" s="558"/>
    </row>
    <row r="17" spans="1:8">
      <c r="A17" s="561" t="s">
        <v>725</v>
      </c>
      <c r="B17" s="558"/>
      <c r="C17" s="558"/>
      <c r="D17" s="558"/>
      <c r="E17" s="558"/>
      <c r="F17" s="558"/>
      <c r="G17" s="558"/>
      <c r="H17" s="558"/>
    </row>
    <row r="18" spans="1:8">
      <c r="A18" s="561"/>
      <c r="B18" s="558"/>
      <c r="C18" s="558"/>
      <c r="D18" s="558"/>
      <c r="E18" s="558"/>
      <c r="F18" s="558"/>
      <c r="G18" s="558"/>
      <c r="H18" s="558"/>
    </row>
    <row r="19" spans="1:8">
      <c r="A19" s="561" t="s">
        <v>726</v>
      </c>
      <c r="B19" s="558"/>
      <c r="C19" s="558"/>
      <c r="D19" s="558"/>
      <c r="E19" s="558"/>
      <c r="F19" s="558"/>
      <c r="G19" s="558"/>
      <c r="H19" s="558"/>
    </row>
    <row r="20" spans="1:8">
      <c r="A20" s="557"/>
      <c r="B20" s="558"/>
      <c r="C20" s="558"/>
      <c r="D20" s="558"/>
      <c r="E20" s="558"/>
      <c r="F20" s="558"/>
      <c r="G20" s="558"/>
      <c r="H20" s="558"/>
    </row>
    <row r="21" spans="1:8">
      <c r="A21" s="562" t="s">
        <v>727</v>
      </c>
      <c r="B21" s="558"/>
      <c r="C21" s="558"/>
      <c r="D21" s="558"/>
      <c r="E21" s="558"/>
      <c r="F21" s="558"/>
      <c r="G21" s="558"/>
      <c r="H21" s="558"/>
    </row>
    <row r="22" spans="1:8">
      <c r="A22" s="563"/>
      <c r="B22" s="563"/>
      <c r="C22" s="563"/>
      <c r="D22" s="563"/>
      <c r="E22" s="563"/>
      <c r="F22" s="563"/>
      <c r="G22" s="563"/>
      <c r="H22" s="563"/>
    </row>
    <row r="23" spans="1:8">
      <c r="A23" s="564" t="s">
        <v>1011</v>
      </c>
      <c r="B23" s="563"/>
      <c r="C23" s="563"/>
      <c r="D23" s="563"/>
      <c r="E23" s="563"/>
      <c r="F23" s="563"/>
      <c r="G23" s="563"/>
      <c r="H23" s="563"/>
    </row>
    <row r="24" spans="1:8">
      <c r="A24" s="564" t="s">
        <v>1012</v>
      </c>
      <c r="B24" s="563"/>
      <c r="C24" s="563"/>
      <c r="D24" s="563"/>
      <c r="E24" s="563"/>
      <c r="F24" s="563"/>
      <c r="G24" s="563"/>
      <c r="H24" s="563"/>
    </row>
    <row r="25" spans="1:8">
      <c r="A25" s="564" t="s">
        <v>1013</v>
      </c>
      <c r="B25" s="563"/>
      <c r="C25" s="563"/>
      <c r="D25" s="563"/>
      <c r="E25" s="563"/>
      <c r="F25" s="563"/>
      <c r="G25" s="563"/>
      <c r="H25" s="563"/>
    </row>
    <row r="26" spans="1:8">
      <c r="A26" s="564" t="s">
        <v>1014</v>
      </c>
      <c r="B26" s="563"/>
      <c r="C26" s="563"/>
      <c r="D26" s="563"/>
      <c r="E26" s="563"/>
      <c r="F26" s="563"/>
      <c r="G26" s="563"/>
      <c r="H26" s="563"/>
    </row>
    <row r="27" spans="1:8">
      <c r="A27" s="563"/>
      <c r="B27" s="563"/>
      <c r="C27" s="563"/>
      <c r="D27" s="563"/>
      <c r="E27" s="563"/>
      <c r="F27" s="563"/>
      <c r="G27" s="563"/>
      <c r="H27" s="563"/>
    </row>
    <row r="28" spans="1:8">
      <c r="A28" s="563"/>
      <c r="B28" s="563"/>
      <c r="C28" s="563"/>
      <c r="D28" s="563"/>
      <c r="E28" s="563"/>
      <c r="F28" s="563"/>
      <c r="G28" s="563"/>
      <c r="H28" s="563"/>
    </row>
    <row r="29" spans="1:8">
      <c r="A29" s="564" t="s">
        <v>1006</v>
      </c>
      <c r="B29" s="563"/>
      <c r="C29" s="563"/>
      <c r="D29" s="563"/>
      <c r="E29" s="563"/>
      <c r="F29" s="563"/>
      <c r="G29" s="563"/>
      <c r="H29" s="563"/>
    </row>
    <row r="30" spans="1:8">
      <c r="A30" s="564" t="s">
        <v>1007</v>
      </c>
      <c r="B30" s="563"/>
      <c r="C30" s="563"/>
      <c r="D30" s="563"/>
      <c r="E30" s="563"/>
      <c r="F30" s="563"/>
      <c r="G30" s="563"/>
      <c r="H30" s="563"/>
    </row>
    <row r="31" spans="1:8">
      <c r="A31" s="564" t="s">
        <v>1008</v>
      </c>
      <c r="B31" s="563"/>
      <c r="C31" s="563"/>
      <c r="D31" s="563"/>
      <c r="E31" s="563"/>
      <c r="F31" s="563"/>
      <c r="G31" s="563"/>
      <c r="H31" s="563"/>
    </row>
    <row r="32" spans="1:8">
      <c r="A32" s="564" t="s">
        <v>1009</v>
      </c>
      <c r="B32" s="563"/>
      <c r="C32" s="563"/>
      <c r="D32" s="563"/>
      <c r="E32" s="563"/>
      <c r="F32" s="563"/>
      <c r="G32" s="563"/>
      <c r="H32" s="563"/>
    </row>
    <row r="33" spans="1:8">
      <c r="A33" s="564" t="s">
        <v>1010</v>
      </c>
      <c r="B33" s="563"/>
      <c r="C33" s="563"/>
      <c r="D33" s="563"/>
      <c r="E33" s="563"/>
      <c r="F33" s="563"/>
      <c r="G33" s="563"/>
      <c r="H33" s="563"/>
    </row>
    <row r="34" spans="1:8">
      <c r="A34" s="563"/>
      <c r="B34" s="563"/>
      <c r="C34" s="563"/>
      <c r="D34" s="563"/>
      <c r="E34" s="563"/>
      <c r="F34" s="563"/>
      <c r="G34" s="563"/>
      <c r="H34" s="563"/>
    </row>
    <row r="35" spans="1:8">
      <c r="A35" s="564" t="s">
        <v>1002</v>
      </c>
      <c r="B35" s="563"/>
      <c r="C35" s="563"/>
      <c r="D35" s="563"/>
      <c r="E35" s="563"/>
      <c r="F35" s="563"/>
      <c r="G35" s="563"/>
      <c r="H35" s="563"/>
    </row>
    <row r="36" spans="1:8">
      <c r="A36" s="564" t="s">
        <v>1003</v>
      </c>
      <c r="B36" s="563"/>
      <c r="C36" s="563"/>
      <c r="D36" s="563"/>
      <c r="E36" s="563"/>
      <c r="F36" s="563"/>
      <c r="G36" s="563"/>
      <c r="H36" s="563"/>
    </row>
    <row r="37" spans="1:8">
      <c r="A37" s="564" t="s">
        <v>1004</v>
      </c>
      <c r="B37" s="563"/>
      <c r="C37" s="563"/>
      <c r="D37" s="563"/>
      <c r="E37" s="563"/>
      <c r="F37" s="563"/>
      <c r="G37" s="563"/>
      <c r="H37" s="563"/>
    </row>
    <row r="38" spans="1:8">
      <c r="A38" s="564" t="s">
        <v>1005</v>
      </c>
      <c r="B38" s="563"/>
      <c r="C38" s="563"/>
      <c r="D38" s="563"/>
      <c r="E38" s="563"/>
      <c r="F38" s="563"/>
      <c r="G38" s="563"/>
      <c r="H38" s="563"/>
    </row>
    <row r="39" spans="1:8">
      <c r="A39" s="563"/>
      <c r="B39" s="563"/>
      <c r="C39" s="563"/>
      <c r="D39" s="563"/>
      <c r="E39" s="563"/>
      <c r="F39" s="563"/>
      <c r="G39" s="563"/>
      <c r="H39" s="563"/>
    </row>
    <row r="40" spans="1:8">
      <c r="A40" s="564" t="s">
        <v>996</v>
      </c>
      <c r="B40" s="563"/>
      <c r="C40" s="563"/>
      <c r="D40" s="563"/>
      <c r="E40" s="563"/>
      <c r="F40" s="563"/>
      <c r="G40" s="563"/>
      <c r="H40" s="563"/>
    </row>
    <row r="41" spans="1:8">
      <c r="A41" s="564" t="s">
        <v>997</v>
      </c>
      <c r="B41" s="563"/>
      <c r="C41" s="563"/>
      <c r="D41" s="563"/>
      <c r="E41" s="563"/>
      <c r="F41" s="563"/>
      <c r="G41" s="563"/>
      <c r="H41" s="563"/>
    </row>
    <row r="42" spans="1:8">
      <c r="A42" s="564" t="s">
        <v>998</v>
      </c>
      <c r="B42" s="563"/>
      <c r="C42" s="563"/>
      <c r="D42" s="563"/>
      <c r="E42" s="563"/>
      <c r="F42" s="563"/>
      <c r="G42" s="563"/>
      <c r="H42" s="563"/>
    </row>
    <row r="43" spans="1:8">
      <c r="A43" s="564" t="s">
        <v>999</v>
      </c>
      <c r="B43" s="563"/>
      <c r="C43" s="563"/>
      <c r="D43" s="563"/>
      <c r="E43" s="563"/>
      <c r="F43" s="563"/>
      <c r="G43" s="563"/>
      <c r="H43" s="563"/>
    </row>
    <row r="44" spans="1:8">
      <c r="A44" s="564" t="s">
        <v>1000</v>
      </c>
      <c r="B44" s="563"/>
      <c r="C44" s="563"/>
      <c r="D44" s="563"/>
      <c r="E44" s="563"/>
      <c r="F44" s="563"/>
      <c r="G44" s="563"/>
      <c r="H44" s="563"/>
    </row>
    <row r="45" spans="1:8">
      <c r="A45" s="564" t="s">
        <v>1001</v>
      </c>
      <c r="B45" s="563"/>
      <c r="C45" s="563"/>
      <c r="D45" s="563"/>
      <c r="E45" s="563"/>
      <c r="F45" s="563"/>
      <c r="G45" s="563"/>
      <c r="H45" s="563"/>
    </row>
    <row r="46" spans="1:8">
      <c r="A46" s="563"/>
      <c r="B46" s="563"/>
      <c r="C46" s="563"/>
      <c r="D46" s="563"/>
      <c r="E46" s="563"/>
      <c r="F46" s="563"/>
      <c r="G46" s="563"/>
      <c r="H46" s="563"/>
    </row>
    <row r="47" spans="1:8" ht="15.75">
      <c r="A47" s="565" t="s">
        <v>740</v>
      </c>
      <c r="B47" s="563"/>
      <c r="C47" s="563"/>
      <c r="D47" s="563"/>
      <c r="E47" s="563"/>
      <c r="F47" s="563"/>
      <c r="G47" s="563"/>
      <c r="H47" s="563"/>
    </row>
    <row r="48" spans="1:8">
      <c r="A48" s="563"/>
      <c r="B48" s="563"/>
      <c r="C48" s="563"/>
      <c r="D48" s="563"/>
      <c r="E48" s="563"/>
      <c r="F48" s="563"/>
      <c r="G48" s="563"/>
      <c r="H48" s="563"/>
    </row>
    <row r="49" spans="1:8">
      <c r="A49" s="564" t="s">
        <v>992</v>
      </c>
      <c r="B49" s="563"/>
      <c r="C49" s="563"/>
      <c r="D49" s="563"/>
      <c r="E49" s="563"/>
      <c r="F49" s="563"/>
      <c r="G49" s="563"/>
      <c r="H49" s="563"/>
    </row>
    <row r="50" spans="1:8">
      <c r="A50" s="564" t="s">
        <v>993</v>
      </c>
      <c r="B50" s="563"/>
      <c r="C50" s="563"/>
      <c r="D50" s="563"/>
      <c r="E50" s="563"/>
      <c r="F50" s="563"/>
      <c r="G50" s="563"/>
      <c r="H50" s="563"/>
    </row>
    <row r="51" spans="1:8">
      <c r="A51" s="564" t="s">
        <v>994</v>
      </c>
      <c r="B51" s="563"/>
      <c r="C51" s="563"/>
      <c r="D51" s="563"/>
      <c r="E51" s="563"/>
      <c r="F51" s="563"/>
      <c r="G51" s="563"/>
      <c r="H51" s="563"/>
    </row>
    <row r="52" spans="1:8">
      <c r="A52" s="564" t="s">
        <v>995</v>
      </c>
      <c r="B52" s="563"/>
      <c r="C52" s="563"/>
      <c r="D52" s="563"/>
      <c r="E52" s="563"/>
      <c r="F52" s="563"/>
      <c r="G52" s="563"/>
      <c r="H52" s="563"/>
    </row>
    <row r="53" spans="1:8">
      <c r="A53" s="563"/>
      <c r="B53" s="563"/>
      <c r="C53" s="563"/>
      <c r="D53" s="563"/>
      <c r="E53" s="563"/>
      <c r="F53" s="563"/>
      <c r="G53" s="563"/>
      <c r="H53" s="563"/>
    </row>
    <row r="54" spans="1:8">
      <c r="A54" s="564" t="s">
        <v>741</v>
      </c>
      <c r="B54" s="563"/>
      <c r="C54" s="563"/>
      <c r="D54" s="563"/>
      <c r="E54" s="563"/>
      <c r="F54" s="563"/>
      <c r="G54" s="563"/>
      <c r="H54" s="563"/>
    </row>
    <row r="55" spans="1:8">
      <c r="A55" s="563"/>
      <c r="B55" s="563"/>
      <c r="C55" s="563"/>
      <c r="D55" s="563"/>
      <c r="E55" s="563"/>
      <c r="F55" s="563"/>
      <c r="G55" s="563"/>
      <c r="H55" s="563"/>
    </row>
    <row r="56" spans="1:8" ht="15.75">
      <c r="A56" s="565" t="s">
        <v>742</v>
      </c>
      <c r="B56" s="563"/>
      <c r="C56" s="563"/>
      <c r="D56" s="563"/>
      <c r="E56" s="563"/>
      <c r="F56" s="563"/>
      <c r="G56" s="563"/>
      <c r="H56" s="563"/>
    </row>
    <row r="57" spans="1:8">
      <c r="A57" s="563"/>
      <c r="B57" s="563"/>
      <c r="C57" s="563"/>
      <c r="D57" s="563"/>
      <c r="E57" s="563"/>
      <c r="F57" s="563"/>
      <c r="G57" s="563"/>
      <c r="H57" s="563"/>
    </row>
    <row r="58" spans="1:8">
      <c r="A58" s="564" t="s">
        <v>990</v>
      </c>
      <c r="B58" s="563"/>
      <c r="C58" s="563"/>
      <c r="D58" s="563"/>
      <c r="E58" s="563"/>
      <c r="F58" s="563"/>
      <c r="G58" s="563"/>
      <c r="H58" s="563"/>
    </row>
    <row r="59" spans="1:8">
      <c r="A59" s="564" t="s">
        <v>991</v>
      </c>
      <c r="B59" s="563"/>
      <c r="C59" s="563"/>
      <c r="D59" s="563"/>
      <c r="E59" s="563"/>
      <c r="F59" s="563"/>
      <c r="G59" s="563"/>
      <c r="H59" s="563"/>
    </row>
    <row r="60" spans="1:8">
      <c r="A60" s="563"/>
      <c r="B60" s="563"/>
      <c r="C60" s="563"/>
      <c r="D60" s="563"/>
      <c r="E60" s="563"/>
      <c r="F60" s="563"/>
      <c r="G60" s="563"/>
      <c r="H60" s="563"/>
    </row>
    <row r="61" spans="1:8" ht="15.75">
      <c r="A61" s="565" t="s">
        <v>743</v>
      </c>
      <c r="B61" s="563"/>
      <c r="C61" s="563"/>
      <c r="D61" s="563"/>
      <c r="E61" s="563"/>
      <c r="F61" s="563"/>
      <c r="G61" s="563"/>
      <c r="H61" s="563"/>
    </row>
    <row r="62" spans="1:8">
      <c r="A62" s="563"/>
      <c r="B62" s="563"/>
      <c r="C62" s="563"/>
      <c r="D62" s="563"/>
      <c r="E62" s="563"/>
      <c r="F62" s="563"/>
      <c r="G62" s="563"/>
      <c r="H62" s="563"/>
    </row>
    <row r="63" spans="1:8">
      <c r="A63" s="564" t="s">
        <v>988</v>
      </c>
      <c r="B63" s="563"/>
      <c r="C63" s="563"/>
      <c r="D63" s="563"/>
      <c r="E63" s="563"/>
      <c r="F63" s="563"/>
      <c r="G63" s="563"/>
      <c r="H63" s="563"/>
    </row>
    <row r="64" spans="1:8">
      <c r="A64" s="564" t="s">
        <v>989</v>
      </c>
      <c r="B64" s="563"/>
      <c r="C64" s="563"/>
      <c r="D64" s="563"/>
      <c r="E64" s="563"/>
      <c r="F64" s="563"/>
      <c r="G64" s="563"/>
      <c r="H64" s="563"/>
    </row>
    <row r="65" spans="1:8">
      <c r="A65" s="563"/>
      <c r="B65" s="563"/>
      <c r="C65" s="563"/>
      <c r="D65" s="563"/>
      <c r="E65" s="563"/>
      <c r="F65" s="563"/>
      <c r="G65" s="563"/>
      <c r="H65" s="563"/>
    </row>
    <row r="66" spans="1:8">
      <c r="A66" s="564" t="s">
        <v>986</v>
      </c>
      <c r="B66" s="563"/>
      <c r="C66" s="563"/>
      <c r="D66" s="563"/>
      <c r="E66" s="563"/>
      <c r="F66" s="563"/>
      <c r="G66" s="563"/>
      <c r="H66" s="563"/>
    </row>
    <row r="67" spans="1:8">
      <c r="A67" s="564" t="s">
        <v>987</v>
      </c>
      <c r="B67" s="563"/>
      <c r="C67" s="563"/>
      <c r="D67" s="563"/>
      <c r="E67" s="563"/>
      <c r="F67" s="563"/>
      <c r="G67" s="563"/>
      <c r="H67" s="563"/>
    </row>
    <row r="68" spans="1:8">
      <c r="A68" s="563"/>
      <c r="B68" s="563"/>
      <c r="C68" s="563"/>
      <c r="D68" s="563"/>
      <c r="E68" s="563"/>
      <c r="F68" s="563"/>
      <c r="G68" s="563"/>
      <c r="H68" s="563"/>
    </row>
    <row r="69" spans="1:8">
      <c r="A69" s="564" t="s">
        <v>744</v>
      </c>
      <c r="B69" s="563"/>
      <c r="C69" s="563"/>
      <c r="D69" s="563"/>
      <c r="E69" s="563"/>
      <c r="F69" s="563"/>
      <c r="G69" s="563"/>
      <c r="H69" s="563"/>
    </row>
    <row r="70" spans="1:8">
      <c r="A70" s="563"/>
      <c r="B70" s="563"/>
      <c r="C70" s="563"/>
      <c r="D70" s="563"/>
      <c r="E70" s="563"/>
      <c r="F70" s="563"/>
      <c r="G70" s="563"/>
      <c r="H70" s="563"/>
    </row>
    <row r="71" spans="1:8">
      <c r="A71" s="564" t="s">
        <v>981</v>
      </c>
      <c r="B71" s="563"/>
      <c r="C71" s="563"/>
      <c r="D71" s="563"/>
      <c r="E71" s="563"/>
      <c r="F71" s="563"/>
      <c r="G71" s="563"/>
      <c r="H71" s="563"/>
    </row>
    <row r="72" spans="1:8">
      <c r="A72" s="564" t="s">
        <v>982</v>
      </c>
      <c r="B72" s="563"/>
      <c r="C72" s="563"/>
      <c r="D72" s="563"/>
      <c r="E72" s="563"/>
      <c r="F72" s="563"/>
      <c r="G72" s="563"/>
      <c r="H72" s="563"/>
    </row>
    <row r="73" spans="1:8">
      <c r="A73" s="564" t="s">
        <v>983</v>
      </c>
      <c r="B73" s="563"/>
      <c r="C73" s="563"/>
      <c r="D73" s="563"/>
      <c r="E73" s="563"/>
      <c r="F73" s="563"/>
      <c r="G73" s="563"/>
      <c r="H73" s="563"/>
    </row>
    <row r="74" spans="1:8">
      <c r="A74" s="564" t="s">
        <v>984</v>
      </c>
      <c r="B74" s="563"/>
      <c r="C74" s="563"/>
      <c r="D74" s="563"/>
      <c r="E74" s="563"/>
      <c r="F74" s="563"/>
      <c r="G74" s="563"/>
      <c r="H74" s="563"/>
    </row>
    <row r="75" spans="1:8">
      <c r="A75" s="564" t="s">
        <v>985</v>
      </c>
      <c r="B75" s="563"/>
      <c r="C75" s="563"/>
      <c r="D75" s="563"/>
      <c r="E75" s="563"/>
      <c r="F75" s="563"/>
      <c r="G75" s="563"/>
      <c r="H75" s="563"/>
    </row>
    <row r="76" spans="1:8">
      <c r="A76" s="564" t="s">
        <v>870</v>
      </c>
      <c r="B76" s="563"/>
      <c r="C76" s="563"/>
      <c r="D76" s="563"/>
      <c r="E76" s="563"/>
      <c r="F76" s="563"/>
      <c r="G76" s="563"/>
      <c r="H76" s="563"/>
    </row>
    <row r="77" spans="1:8">
      <c r="A77" s="563"/>
      <c r="B77" s="563"/>
      <c r="C77" s="563"/>
      <c r="D77" s="563"/>
      <c r="E77" s="563"/>
      <c r="F77" s="563"/>
      <c r="G77" s="563"/>
      <c r="H77" s="563"/>
    </row>
    <row r="78" spans="1:8">
      <c r="A78" s="564" t="s">
        <v>974</v>
      </c>
      <c r="B78" s="563"/>
      <c r="C78" s="563"/>
      <c r="D78" s="563"/>
      <c r="E78" s="563"/>
      <c r="F78" s="563"/>
      <c r="G78" s="563"/>
      <c r="H78" s="563"/>
    </row>
    <row r="79" spans="1:8">
      <c r="A79" s="564" t="s">
        <v>975</v>
      </c>
      <c r="B79" s="563"/>
      <c r="C79" s="563"/>
      <c r="D79" s="563"/>
      <c r="E79" s="563"/>
      <c r="F79" s="563"/>
      <c r="G79" s="563"/>
      <c r="H79" s="563"/>
    </row>
    <row r="80" spans="1:8">
      <c r="A80" s="564" t="s">
        <v>976</v>
      </c>
      <c r="B80" s="563"/>
      <c r="C80" s="563"/>
      <c r="D80" s="563"/>
      <c r="E80" s="563"/>
      <c r="F80" s="563"/>
      <c r="G80" s="563"/>
      <c r="H80" s="563"/>
    </row>
    <row r="81" spans="1:8">
      <c r="A81" s="564" t="s">
        <v>977</v>
      </c>
      <c r="B81" s="563"/>
      <c r="C81" s="563"/>
      <c r="D81" s="563"/>
      <c r="E81" s="563"/>
      <c r="F81" s="563"/>
      <c r="G81" s="563"/>
      <c r="H81" s="563"/>
    </row>
    <row r="82" spans="1:8">
      <c r="A82" s="564" t="s">
        <v>978</v>
      </c>
      <c r="B82" s="563"/>
      <c r="C82" s="563"/>
      <c r="D82" s="563"/>
      <c r="E82" s="563"/>
      <c r="F82" s="563"/>
      <c r="G82" s="563"/>
      <c r="H82" s="563"/>
    </row>
    <row r="83" spans="1:8">
      <c r="A83" s="564" t="s">
        <v>979</v>
      </c>
      <c r="B83" s="563"/>
      <c r="C83" s="563"/>
      <c r="D83" s="563"/>
      <c r="E83" s="563"/>
      <c r="F83" s="563"/>
      <c r="G83" s="563"/>
      <c r="H83" s="563"/>
    </row>
    <row r="84" spans="1:8">
      <c r="A84" s="564" t="s">
        <v>980</v>
      </c>
      <c r="B84" s="563"/>
      <c r="C84" s="563"/>
      <c r="D84" s="563"/>
      <c r="E84" s="563"/>
      <c r="F84" s="563"/>
      <c r="G84" s="563"/>
      <c r="H84" s="563"/>
    </row>
    <row r="85" spans="1:8">
      <c r="A85" s="563"/>
      <c r="B85" s="563"/>
      <c r="C85" s="563"/>
      <c r="D85" s="563"/>
      <c r="E85" s="563"/>
      <c r="F85" s="563"/>
      <c r="G85" s="563"/>
      <c r="H85" s="563"/>
    </row>
    <row r="86" spans="1:8">
      <c r="A86" s="564" t="s">
        <v>972</v>
      </c>
      <c r="B86" s="563"/>
      <c r="C86" s="563"/>
      <c r="D86" s="563"/>
      <c r="E86" s="563"/>
      <c r="F86" s="563"/>
      <c r="G86" s="563"/>
      <c r="H86" s="563"/>
    </row>
    <row r="87" spans="1:8">
      <c r="A87" s="564" t="s">
        <v>973</v>
      </c>
      <c r="B87" s="563"/>
      <c r="C87" s="563"/>
      <c r="D87" s="563"/>
      <c r="E87" s="563"/>
      <c r="F87" s="563"/>
      <c r="G87" s="563"/>
      <c r="H87" s="563"/>
    </row>
    <row r="88" spans="1:8">
      <c r="A88" s="563"/>
      <c r="B88" s="563"/>
      <c r="C88" s="563"/>
      <c r="D88" s="563"/>
      <c r="E88" s="563"/>
      <c r="F88" s="563"/>
      <c r="G88" s="563"/>
      <c r="H88" s="563"/>
    </row>
    <row r="89" spans="1:8" ht="15.75">
      <c r="A89" s="565" t="s">
        <v>745</v>
      </c>
      <c r="B89" s="563"/>
      <c r="C89" s="563"/>
      <c r="D89" s="563"/>
      <c r="E89" s="563"/>
      <c r="F89" s="563"/>
      <c r="G89" s="563"/>
      <c r="H89" s="563"/>
    </row>
    <row r="90" spans="1:8">
      <c r="A90" s="563"/>
      <c r="B90" s="563"/>
      <c r="C90" s="563"/>
      <c r="D90" s="563"/>
      <c r="E90" s="563"/>
      <c r="F90" s="563"/>
      <c r="G90" s="563"/>
      <c r="H90" s="563"/>
    </row>
    <row r="91" spans="1:8">
      <c r="A91" s="564" t="s">
        <v>963</v>
      </c>
      <c r="B91" s="563"/>
      <c r="C91" s="563"/>
      <c r="D91" s="563"/>
      <c r="E91" s="563"/>
      <c r="F91" s="563"/>
      <c r="G91" s="563"/>
      <c r="H91" s="563"/>
    </row>
    <row r="92" spans="1:8">
      <c r="A92" s="564" t="s">
        <v>964</v>
      </c>
      <c r="B92" s="563"/>
      <c r="C92" s="563"/>
      <c r="D92" s="563"/>
      <c r="E92" s="563"/>
      <c r="F92" s="563"/>
      <c r="G92" s="563"/>
      <c r="H92" s="563"/>
    </row>
    <row r="93" spans="1:8">
      <c r="A93" s="564" t="s">
        <v>965</v>
      </c>
      <c r="B93" s="563"/>
      <c r="C93" s="563"/>
      <c r="D93" s="563"/>
      <c r="E93" s="563"/>
      <c r="F93" s="563"/>
      <c r="G93" s="563"/>
      <c r="H93" s="563"/>
    </row>
    <row r="94" spans="1:8">
      <c r="A94" s="564" t="s">
        <v>966</v>
      </c>
      <c r="B94" s="563"/>
      <c r="C94" s="563"/>
      <c r="D94" s="563"/>
      <c r="E94" s="563"/>
      <c r="F94" s="563"/>
      <c r="G94" s="563"/>
      <c r="H94" s="563"/>
    </row>
    <row r="95" spans="1:8">
      <c r="A95" s="564" t="s">
        <v>967</v>
      </c>
      <c r="B95" s="563"/>
      <c r="C95" s="563"/>
      <c r="D95" s="563"/>
      <c r="E95" s="563"/>
      <c r="F95" s="563"/>
      <c r="G95" s="563"/>
      <c r="H95" s="563"/>
    </row>
    <row r="96" spans="1:8">
      <c r="A96" s="564" t="s">
        <v>968</v>
      </c>
      <c r="B96" s="563"/>
      <c r="C96" s="563"/>
      <c r="D96" s="563"/>
      <c r="E96" s="563"/>
      <c r="F96" s="563"/>
      <c r="G96" s="563"/>
      <c r="H96" s="563"/>
    </row>
    <row r="97" spans="1:8">
      <c r="A97" s="564" t="s">
        <v>969</v>
      </c>
      <c r="B97" s="563"/>
      <c r="C97" s="563"/>
      <c r="D97" s="563"/>
      <c r="E97" s="563"/>
      <c r="F97" s="563"/>
      <c r="G97" s="563"/>
      <c r="H97" s="563"/>
    </row>
    <row r="98" spans="1:8">
      <c r="A98" s="564" t="s">
        <v>970</v>
      </c>
      <c r="B98" s="563"/>
      <c r="C98" s="563"/>
      <c r="D98" s="563"/>
      <c r="E98" s="563"/>
      <c r="F98" s="563"/>
      <c r="G98" s="563"/>
      <c r="H98" s="563"/>
    </row>
    <row r="99" spans="1:8">
      <c r="A99" s="564" t="s">
        <v>971</v>
      </c>
      <c r="B99" s="563"/>
      <c r="C99" s="563"/>
      <c r="D99" s="563"/>
      <c r="E99" s="563"/>
      <c r="F99" s="563"/>
      <c r="G99" s="563"/>
      <c r="H99" s="563"/>
    </row>
    <row r="100" spans="1:8">
      <c r="A100" s="563"/>
      <c r="B100" s="563"/>
      <c r="C100" s="563"/>
      <c r="D100" s="563"/>
      <c r="E100" s="563"/>
      <c r="F100" s="563"/>
      <c r="G100" s="563"/>
      <c r="H100" s="563"/>
    </row>
    <row r="101" spans="1:8" ht="15.75">
      <c r="A101" s="566" t="s">
        <v>746</v>
      </c>
      <c r="B101" s="566"/>
      <c r="C101" s="566"/>
      <c r="D101" s="566"/>
      <c r="E101" s="566"/>
      <c r="F101" s="566"/>
      <c r="G101" s="566"/>
      <c r="H101" s="566"/>
    </row>
    <row r="102" spans="1:8">
      <c r="A102" s="567" t="s">
        <v>747</v>
      </c>
      <c r="B102" s="567"/>
      <c r="C102" s="567"/>
      <c r="D102" s="567"/>
      <c r="E102" s="567"/>
      <c r="F102" s="567"/>
      <c r="G102" s="567"/>
      <c r="H102" s="567"/>
    </row>
    <row r="103" spans="1:8">
      <c r="A103" s="568"/>
      <c r="B103" s="568"/>
      <c r="C103" s="568"/>
      <c r="D103" s="568"/>
      <c r="E103" s="568"/>
      <c r="F103" s="568"/>
      <c r="G103" s="568"/>
      <c r="H103" s="568"/>
    </row>
    <row r="104" spans="1:8">
      <c r="A104" s="567" t="s">
        <v>961</v>
      </c>
      <c r="B104" s="567"/>
      <c r="C104" s="567"/>
      <c r="D104" s="567"/>
      <c r="E104" s="567"/>
      <c r="F104" s="567"/>
      <c r="G104" s="567"/>
      <c r="H104" s="567"/>
    </row>
    <row r="105" spans="1:8">
      <c r="A105" s="564" t="s">
        <v>962</v>
      </c>
      <c r="B105" s="564"/>
      <c r="C105" s="564"/>
      <c r="D105" s="564"/>
      <c r="E105" s="564"/>
      <c r="F105" s="564"/>
      <c r="G105" s="564"/>
      <c r="H105" s="564"/>
    </row>
    <row r="106" spans="1:8">
      <c r="A106" s="568"/>
      <c r="B106" s="568"/>
      <c r="C106" s="568"/>
      <c r="D106" s="568"/>
      <c r="E106" s="568"/>
      <c r="F106" s="568"/>
      <c r="G106" s="568"/>
      <c r="H106" s="568"/>
    </row>
    <row r="107" spans="1:8">
      <c r="A107" s="567" t="s">
        <v>954</v>
      </c>
      <c r="B107" s="567"/>
      <c r="C107" s="567"/>
      <c r="D107" s="567"/>
      <c r="E107" s="567"/>
      <c r="F107" s="567"/>
      <c r="G107" s="567"/>
      <c r="H107" s="567"/>
    </row>
    <row r="108" spans="1:8">
      <c r="A108" s="564" t="s">
        <v>955</v>
      </c>
      <c r="B108" s="564"/>
      <c r="C108" s="564"/>
      <c r="D108" s="564"/>
      <c r="E108" s="564"/>
      <c r="F108" s="564"/>
      <c r="G108" s="564"/>
      <c r="H108" s="564"/>
    </row>
    <row r="109" spans="1:8">
      <c r="A109" s="564" t="s">
        <v>956</v>
      </c>
      <c r="B109" s="564"/>
      <c r="C109" s="564"/>
      <c r="D109" s="564"/>
      <c r="E109" s="564"/>
      <c r="F109" s="564"/>
      <c r="G109" s="564"/>
      <c r="H109" s="564"/>
    </row>
    <row r="110" spans="1:8">
      <c r="A110" s="564" t="s">
        <v>957</v>
      </c>
      <c r="B110" s="564"/>
      <c r="C110" s="564"/>
      <c r="D110" s="564"/>
      <c r="E110" s="564"/>
      <c r="F110" s="564"/>
      <c r="G110" s="564"/>
      <c r="H110" s="564"/>
    </row>
    <row r="111" spans="1:8">
      <c r="A111" s="564" t="s">
        <v>958</v>
      </c>
      <c r="B111" s="564"/>
      <c r="C111" s="564"/>
      <c r="D111" s="564"/>
      <c r="E111" s="564"/>
      <c r="F111" s="564"/>
      <c r="G111" s="564"/>
      <c r="H111" s="564"/>
    </row>
    <row r="112" spans="1:8">
      <c r="A112" s="564" t="s">
        <v>959</v>
      </c>
      <c r="B112" s="564"/>
      <c r="C112" s="564"/>
      <c r="D112" s="564"/>
      <c r="E112" s="564"/>
      <c r="F112" s="564"/>
      <c r="G112" s="564"/>
      <c r="H112" s="564"/>
    </row>
    <row r="113" spans="1:8">
      <c r="A113" s="564" t="s">
        <v>960</v>
      </c>
      <c r="B113" s="564"/>
      <c r="C113" s="564"/>
      <c r="D113" s="564"/>
      <c r="E113" s="564"/>
      <c r="F113" s="564"/>
      <c r="G113" s="564"/>
      <c r="H113" s="564"/>
    </row>
    <row r="114" spans="1:8">
      <c r="A114" s="569"/>
      <c r="B114" s="569"/>
      <c r="C114" s="569"/>
      <c r="D114" s="569"/>
      <c r="E114" s="569"/>
      <c r="F114" s="569"/>
      <c r="G114" s="569"/>
      <c r="H114" s="569"/>
    </row>
    <row r="115" spans="1:8">
      <c r="A115" s="570"/>
      <c r="B115" s="571" t="s">
        <v>748</v>
      </c>
      <c r="C115" s="572"/>
      <c r="D115" s="571" t="s">
        <v>749</v>
      </c>
      <c r="E115" s="573"/>
      <c r="F115" s="572"/>
      <c r="G115" s="571" t="s">
        <v>750</v>
      </c>
      <c r="H115" s="572"/>
    </row>
    <row r="116" spans="1:8">
      <c r="A116" s="570" t="s">
        <v>751</v>
      </c>
      <c r="B116" s="570" t="s">
        <v>360</v>
      </c>
      <c r="C116" s="570" t="s">
        <v>752</v>
      </c>
      <c r="D116" s="570" t="s">
        <v>360</v>
      </c>
      <c r="E116" s="570" t="s">
        <v>753</v>
      </c>
      <c r="F116" s="570" t="s">
        <v>754</v>
      </c>
      <c r="G116" s="570" t="s">
        <v>360</v>
      </c>
      <c r="H116" s="570" t="s">
        <v>755</v>
      </c>
    </row>
    <row r="117" spans="1:8">
      <c r="A117" s="570" t="s">
        <v>756</v>
      </c>
      <c r="B117" s="570">
        <v>1189</v>
      </c>
      <c r="C117" s="574">
        <v>0.38</v>
      </c>
      <c r="D117" s="570">
        <v>315</v>
      </c>
      <c r="E117" s="574">
        <v>0.41</v>
      </c>
      <c r="F117" s="574">
        <v>0.26</v>
      </c>
      <c r="G117" s="570">
        <v>555</v>
      </c>
      <c r="H117" s="574">
        <v>0.39</v>
      </c>
    </row>
    <row r="118" spans="1:8">
      <c r="A118" s="570" t="s">
        <v>757</v>
      </c>
      <c r="B118" s="570">
        <v>1355</v>
      </c>
      <c r="C118" s="574">
        <v>0.43</v>
      </c>
      <c r="D118" s="570">
        <v>364</v>
      </c>
      <c r="E118" s="574">
        <v>0.47</v>
      </c>
      <c r="F118" s="574">
        <v>0.27</v>
      </c>
      <c r="G118" s="570">
        <v>644</v>
      </c>
      <c r="H118" s="574">
        <v>0.45</v>
      </c>
    </row>
    <row r="119" spans="1:8">
      <c r="A119" s="570" t="s">
        <v>758</v>
      </c>
      <c r="B119" s="570">
        <v>53</v>
      </c>
      <c r="C119" s="574">
        <v>0.02</v>
      </c>
      <c r="D119" s="570">
        <v>4</v>
      </c>
      <c r="E119" s="574">
        <v>0.01</v>
      </c>
      <c r="F119" s="574">
        <v>0.08</v>
      </c>
      <c r="G119" s="570">
        <v>7</v>
      </c>
      <c r="H119" s="574">
        <v>0</v>
      </c>
    </row>
    <row r="120" spans="1:8">
      <c r="A120" s="570" t="s">
        <v>759</v>
      </c>
      <c r="B120" s="570">
        <v>545</v>
      </c>
      <c r="C120" s="574">
        <v>0.17</v>
      </c>
      <c r="D120" s="570">
        <v>84</v>
      </c>
      <c r="E120" s="574">
        <v>0.11</v>
      </c>
      <c r="F120" s="574">
        <v>0.15</v>
      </c>
      <c r="G120" s="570">
        <v>214</v>
      </c>
      <c r="H120" s="574">
        <v>0.15</v>
      </c>
    </row>
    <row r="121" spans="1:8">
      <c r="A121" s="570" t="s">
        <v>187</v>
      </c>
      <c r="B121" s="575">
        <v>3142</v>
      </c>
      <c r="C121" s="570"/>
      <c r="D121" s="570">
        <v>767</v>
      </c>
      <c r="E121" s="570"/>
      <c r="F121" s="570"/>
      <c r="G121" s="570">
        <v>1420</v>
      </c>
      <c r="H121" s="570"/>
    </row>
    <row r="122" spans="1:8">
      <c r="A122" s="576"/>
      <c r="B122" s="576"/>
      <c r="C122" s="576"/>
      <c r="D122" s="576"/>
      <c r="E122" s="576"/>
      <c r="F122" s="576"/>
      <c r="G122" s="576"/>
      <c r="H122" s="576"/>
    </row>
    <row r="123" spans="1:8">
      <c r="A123" s="567" t="s">
        <v>950</v>
      </c>
      <c r="B123" s="567"/>
      <c r="C123" s="567"/>
      <c r="D123" s="567"/>
      <c r="E123" s="567"/>
      <c r="F123" s="567"/>
      <c r="G123" s="567"/>
      <c r="H123" s="567"/>
    </row>
    <row r="124" spans="1:8">
      <c r="A124" s="564" t="s">
        <v>951</v>
      </c>
      <c r="B124" s="564"/>
      <c r="C124" s="564"/>
      <c r="D124" s="564"/>
      <c r="E124" s="564"/>
      <c r="F124" s="564"/>
      <c r="G124" s="564"/>
      <c r="H124" s="564"/>
    </row>
    <row r="125" spans="1:8">
      <c r="A125" s="564" t="s">
        <v>952</v>
      </c>
      <c r="B125" s="564"/>
      <c r="C125" s="564"/>
      <c r="D125" s="564"/>
      <c r="E125" s="564"/>
      <c r="F125" s="564"/>
      <c r="G125" s="564"/>
      <c r="H125" s="564"/>
    </row>
    <row r="126" spans="1:8">
      <c r="A126" s="564" t="s">
        <v>953</v>
      </c>
      <c r="B126" s="564"/>
      <c r="C126" s="564"/>
      <c r="D126" s="564"/>
      <c r="E126" s="564"/>
      <c r="F126" s="564"/>
      <c r="G126" s="564"/>
      <c r="H126" s="564"/>
    </row>
    <row r="127" spans="1:8">
      <c r="A127" s="563"/>
      <c r="B127" s="563"/>
      <c r="C127" s="563"/>
      <c r="D127" s="563"/>
      <c r="E127" s="563"/>
      <c r="F127" s="563"/>
      <c r="G127" s="563"/>
      <c r="H127" s="563"/>
    </row>
    <row r="128" spans="1:8" ht="15.75">
      <c r="A128" s="565" t="s">
        <v>760</v>
      </c>
      <c r="B128" s="563"/>
      <c r="C128" s="563"/>
      <c r="D128" s="563"/>
      <c r="E128" s="563"/>
      <c r="F128" s="563"/>
      <c r="G128" s="563"/>
      <c r="H128" s="563"/>
    </row>
    <row r="129" spans="1:8">
      <c r="A129" s="563"/>
      <c r="B129" s="563"/>
      <c r="C129" s="563"/>
      <c r="D129" s="563"/>
      <c r="E129" s="563"/>
      <c r="F129" s="563"/>
      <c r="G129" s="563"/>
      <c r="H129" s="563"/>
    </row>
    <row r="130" spans="1:8">
      <c r="A130" s="564" t="s">
        <v>948</v>
      </c>
      <c r="B130" s="563"/>
      <c r="C130" s="563"/>
      <c r="D130" s="563"/>
      <c r="E130" s="563"/>
      <c r="F130" s="563"/>
      <c r="G130" s="563"/>
      <c r="H130" s="563"/>
    </row>
    <row r="131" spans="1:8">
      <c r="A131" s="564" t="s">
        <v>949</v>
      </c>
      <c r="B131" s="563"/>
      <c r="C131" s="563"/>
      <c r="D131" s="563"/>
      <c r="E131" s="563"/>
      <c r="F131" s="563"/>
      <c r="G131" s="563"/>
      <c r="H131" s="563"/>
    </row>
    <row r="132" spans="1:8">
      <c r="A132" s="563"/>
      <c r="B132" s="563"/>
      <c r="C132" s="563"/>
      <c r="D132" s="563"/>
      <c r="E132" s="563"/>
      <c r="F132" s="563"/>
      <c r="G132" s="563"/>
      <c r="H132" s="563"/>
    </row>
    <row r="133" spans="1:8">
      <c r="A133" s="564" t="s">
        <v>945</v>
      </c>
      <c r="B133" s="563"/>
      <c r="C133" s="563"/>
      <c r="D133" s="563"/>
      <c r="E133" s="563"/>
      <c r="F133" s="563"/>
      <c r="G133" s="563"/>
      <c r="H133" s="563"/>
    </row>
    <row r="134" spans="1:8">
      <c r="A134" s="564" t="s">
        <v>946</v>
      </c>
      <c r="B134" s="563"/>
      <c r="C134" s="563"/>
      <c r="D134" s="563"/>
      <c r="E134" s="563"/>
      <c r="F134" s="563"/>
      <c r="G134" s="563"/>
      <c r="H134" s="563"/>
    </row>
    <row r="135" spans="1:8">
      <c r="A135" s="564" t="s">
        <v>947</v>
      </c>
      <c r="B135" s="563"/>
      <c r="C135" s="563"/>
      <c r="D135" s="563"/>
      <c r="E135" s="563"/>
      <c r="F135" s="563"/>
      <c r="G135" s="563"/>
      <c r="H135" s="563"/>
    </row>
    <row r="136" spans="1:8">
      <c r="A136" s="563"/>
      <c r="B136" s="563"/>
      <c r="C136" s="563"/>
      <c r="D136" s="563"/>
      <c r="E136" s="563"/>
      <c r="F136" s="563"/>
      <c r="G136" s="563"/>
      <c r="H136" s="563"/>
    </row>
    <row r="137" spans="1:8">
      <c r="A137" s="564" t="s">
        <v>942</v>
      </c>
      <c r="B137" s="563"/>
      <c r="C137" s="563"/>
      <c r="D137" s="563"/>
      <c r="E137" s="563"/>
      <c r="F137" s="563"/>
      <c r="G137" s="563"/>
      <c r="H137" s="563"/>
    </row>
    <row r="138" spans="1:8">
      <c r="A138" s="564" t="s">
        <v>943</v>
      </c>
      <c r="B138" s="563"/>
      <c r="C138" s="563"/>
      <c r="D138" s="563"/>
      <c r="E138" s="563"/>
      <c r="F138" s="563"/>
      <c r="G138" s="563"/>
      <c r="H138" s="563"/>
    </row>
    <row r="139" spans="1:8">
      <c r="A139" s="564" t="s">
        <v>944</v>
      </c>
      <c r="B139" s="563"/>
      <c r="C139" s="563"/>
      <c r="D139" s="563"/>
      <c r="E139" s="563"/>
      <c r="F139" s="563"/>
      <c r="G139" s="563"/>
      <c r="H139" s="563"/>
    </row>
    <row r="140" spans="1:8">
      <c r="A140" s="563"/>
      <c r="B140" s="563"/>
      <c r="C140" s="563"/>
      <c r="D140" s="563"/>
      <c r="E140" s="563"/>
      <c r="F140" s="563"/>
      <c r="G140" s="563"/>
      <c r="H140" s="563"/>
    </row>
    <row r="141" spans="1:8">
      <c r="A141" s="564" t="s">
        <v>939</v>
      </c>
      <c r="B141" s="563"/>
      <c r="C141" s="563"/>
      <c r="D141" s="563"/>
      <c r="E141" s="563"/>
      <c r="F141" s="563"/>
      <c r="G141" s="563"/>
      <c r="H141" s="563"/>
    </row>
    <row r="142" spans="1:8">
      <c r="A142" s="564" t="s">
        <v>940</v>
      </c>
      <c r="B142" s="563"/>
      <c r="C142" s="563"/>
      <c r="D142" s="563"/>
      <c r="E142" s="563"/>
      <c r="F142" s="563"/>
      <c r="G142" s="563"/>
      <c r="H142" s="563"/>
    </row>
    <row r="143" spans="1:8">
      <c r="A143" s="564" t="s">
        <v>941</v>
      </c>
      <c r="B143" s="563"/>
      <c r="C143" s="563"/>
      <c r="D143" s="563"/>
      <c r="E143" s="563"/>
      <c r="F143" s="563"/>
      <c r="G143" s="563"/>
      <c r="H143" s="563"/>
    </row>
    <row r="144" spans="1:8">
      <c r="A144" s="563"/>
      <c r="B144" s="563"/>
      <c r="C144" s="563"/>
      <c r="D144" s="563"/>
      <c r="E144" s="563"/>
      <c r="F144" s="563"/>
      <c r="G144" s="563"/>
      <c r="H144" s="563"/>
    </row>
    <row r="145" spans="1:8">
      <c r="A145" s="564" t="s">
        <v>937</v>
      </c>
      <c r="B145" s="563"/>
      <c r="C145" s="563"/>
      <c r="D145" s="563"/>
      <c r="E145" s="563"/>
      <c r="F145" s="563"/>
      <c r="G145" s="563"/>
      <c r="H145" s="563"/>
    </row>
    <row r="146" spans="1:8">
      <c r="A146" s="564" t="s">
        <v>938</v>
      </c>
      <c r="B146" s="563"/>
      <c r="C146" s="563"/>
      <c r="D146" s="563"/>
      <c r="E146" s="563"/>
      <c r="F146" s="563"/>
      <c r="G146" s="563"/>
      <c r="H146" s="563"/>
    </row>
    <row r="147" spans="1:8">
      <c r="A147" s="563"/>
      <c r="B147" s="563"/>
      <c r="C147" s="563"/>
      <c r="D147" s="563"/>
      <c r="E147" s="563"/>
      <c r="F147" s="563"/>
      <c r="G147" s="563"/>
      <c r="H147" s="563"/>
    </row>
    <row r="148" spans="1:8" ht="15.75">
      <c r="A148" s="565" t="s">
        <v>761</v>
      </c>
      <c r="B148" s="563"/>
      <c r="C148" s="563"/>
      <c r="D148" s="563"/>
      <c r="E148" s="563"/>
      <c r="F148" s="563"/>
      <c r="G148" s="563"/>
      <c r="H148" s="563"/>
    </row>
    <row r="149" spans="1:8">
      <c r="A149" s="563"/>
      <c r="B149" s="563"/>
      <c r="C149" s="563"/>
      <c r="D149" s="563"/>
      <c r="E149" s="563"/>
      <c r="F149" s="563"/>
      <c r="G149" s="563"/>
      <c r="H149" s="563"/>
    </row>
    <row r="150" spans="1:8">
      <c r="A150" s="564" t="s">
        <v>935</v>
      </c>
      <c r="B150" s="563"/>
      <c r="C150" s="563"/>
      <c r="D150" s="563"/>
      <c r="E150" s="563"/>
      <c r="F150" s="563"/>
      <c r="G150" s="563"/>
      <c r="H150" s="563"/>
    </row>
    <row r="151" spans="1:8">
      <c r="A151" s="564" t="s">
        <v>936</v>
      </c>
      <c r="B151" s="563"/>
      <c r="C151" s="563"/>
      <c r="D151" s="563"/>
      <c r="E151" s="563"/>
      <c r="F151" s="563"/>
      <c r="G151" s="563"/>
      <c r="H151" s="563"/>
    </row>
    <row r="152" spans="1:8">
      <c r="A152" s="563"/>
      <c r="B152" s="563"/>
      <c r="C152" s="563"/>
      <c r="D152" s="563"/>
      <c r="E152" s="563"/>
      <c r="F152" s="563"/>
      <c r="G152" s="563"/>
      <c r="H152" s="563"/>
    </row>
    <row r="153" spans="1:8">
      <c r="A153" s="564" t="s">
        <v>933</v>
      </c>
      <c r="B153" s="563"/>
      <c r="C153" s="563"/>
      <c r="D153" s="563"/>
      <c r="E153" s="563"/>
      <c r="F153" s="563"/>
      <c r="G153" s="563"/>
      <c r="H153" s="563"/>
    </row>
    <row r="154" spans="1:8">
      <c r="A154" s="564" t="s">
        <v>934</v>
      </c>
      <c r="B154" s="563"/>
      <c r="C154" s="563"/>
      <c r="D154" s="563"/>
      <c r="E154" s="563"/>
      <c r="F154" s="563"/>
      <c r="G154" s="563"/>
      <c r="H154" s="563"/>
    </row>
    <row r="155" spans="1:8">
      <c r="A155" s="563"/>
      <c r="B155" s="563"/>
      <c r="C155" s="563"/>
      <c r="D155" s="563"/>
      <c r="E155" s="563"/>
      <c r="F155" s="563"/>
      <c r="G155" s="563"/>
      <c r="H155" s="563"/>
    </row>
    <row r="156" spans="1:8">
      <c r="A156" s="564" t="s">
        <v>931</v>
      </c>
      <c r="B156" s="563"/>
      <c r="C156" s="563"/>
      <c r="D156" s="563"/>
      <c r="E156" s="563"/>
      <c r="F156" s="563"/>
      <c r="G156" s="563"/>
      <c r="H156" s="563"/>
    </row>
    <row r="157" spans="1:8">
      <c r="A157" s="564" t="s">
        <v>932</v>
      </c>
      <c r="B157" s="563"/>
      <c r="C157" s="563"/>
      <c r="D157" s="563"/>
      <c r="E157" s="563"/>
      <c r="F157" s="563"/>
      <c r="G157" s="563"/>
      <c r="H157" s="563"/>
    </row>
    <row r="158" spans="1:8">
      <c r="A158" s="563"/>
      <c r="B158" s="563"/>
      <c r="C158" s="563"/>
      <c r="D158" s="563"/>
      <c r="E158" s="563"/>
      <c r="F158" s="563"/>
      <c r="G158" s="563"/>
      <c r="H158" s="563"/>
    </row>
    <row r="159" spans="1:8">
      <c r="A159" s="564" t="s">
        <v>928</v>
      </c>
      <c r="B159" s="563"/>
      <c r="C159" s="563"/>
      <c r="D159" s="563"/>
      <c r="E159" s="563"/>
      <c r="F159" s="563"/>
      <c r="G159" s="563"/>
      <c r="H159" s="563"/>
    </row>
    <row r="160" spans="1:8">
      <c r="A160" s="564" t="s">
        <v>929</v>
      </c>
      <c r="B160" s="563"/>
      <c r="C160" s="563"/>
      <c r="D160" s="563"/>
      <c r="E160" s="563"/>
      <c r="F160" s="563"/>
      <c r="G160" s="563"/>
      <c r="H160" s="563"/>
    </row>
    <row r="161" spans="1:8">
      <c r="A161" s="564" t="s">
        <v>930</v>
      </c>
      <c r="B161" s="563"/>
      <c r="C161" s="563"/>
      <c r="D161" s="563"/>
      <c r="E161" s="563"/>
      <c r="F161" s="563"/>
      <c r="G161" s="563"/>
      <c r="H161" s="563"/>
    </row>
    <row r="162" spans="1:8">
      <c r="A162" s="563"/>
      <c r="B162" s="563"/>
      <c r="C162" s="563"/>
      <c r="D162" s="563"/>
      <c r="E162" s="563"/>
      <c r="F162" s="563"/>
      <c r="G162" s="563"/>
      <c r="H162" s="563"/>
    </row>
    <row r="163" spans="1:8">
      <c r="A163" s="563"/>
      <c r="B163" s="563"/>
      <c r="C163" s="563"/>
      <c r="D163" s="563"/>
      <c r="E163" s="563"/>
      <c r="F163" s="563"/>
      <c r="G163" s="563"/>
      <c r="H163" s="563"/>
    </row>
    <row r="164" spans="1:8">
      <c r="A164" s="564" t="s">
        <v>762</v>
      </c>
      <c r="B164" s="563"/>
      <c r="C164" s="563"/>
      <c r="D164" s="563"/>
      <c r="E164" s="563"/>
      <c r="F164" s="563"/>
      <c r="G164" s="563"/>
      <c r="H164" s="563"/>
    </row>
    <row r="165" spans="1:8">
      <c r="A165" s="563"/>
      <c r="B165" s="563"/>
      <c r="C165" s="563"/>
      <c r="D165" s="563"/>
      <c r="E165" s="563"/>
      <c r="F165" s="563"/>
      <c r="G165" s="563"/>
      <c r="H165" s="563"/>
    </row>
    <row r="166" spans="1:8" ht="15.75">
      <c r="A166" s="565" t="s">
        <v>763</v>
      </c>
      <c r="B166" s="563"/>
      <c r="C166" s="563"/>
      <c r="D166" s="563"/>
      <c r="E166" s="563"/>
      <c r="F166" s="563"/>
      <c r="G166" s="563"/>
      <c r="H166" s="563"/>
    </row>
    <row r="167" spans="1:8">
      <c r="A167" s="563"/>
      <c r="B167" s="563"/>
      <c r="C167" s="563"/>
      <c r="D167" s="563"/>
      <c r="E167" s="563"/>
      <c r="F167" s="563"/>
      <c r="G167" s="563"/>
      <c r="H167" s="563"/>
    </row>
    <row r="168" spans="1:8">
      <c r="A168" s="563"/>
      <c r="B168" s="563"/>
      <c r="C168" s="563"/>
      <c r="D168" s="563"/>
      <c r="E168" s="563"/>
      <c r="F168" s="563"/>
      <c r="G168" s="563"/>
      <c r="H168" s="563"/>
    </row>
    <row r="169" spans="1:8">
      <c r="A169" s="563"/>
      <c r="B169" s="563"/>
      <c r="C169" s="563"/>
      <c r="D169" s="563"/>
      <c r="E169" s="563"/>
      <c r="F169" s="563"/>
      <c r="G169" s="563"/>
      <c r="H169" s="563"/>
    </row>
    <row r="170" spans="1:8">
      <c r="A170" s="563"/>
      <c r="B170" s="563"/>
      <c r="C170" s="563"/>
      <c r="D170" s="563"/>
      <c r="E170" s="563"/>
      <c r="F170" s="563"/>
      <c r="G170" s="563"/>
      <c r="H170" s="563"/>
    </row>
    <row r="171" spans="1:8">
      <c r="A171" s="563"/>
      <c r="B171" s="563"/>
      <c r="C171" s="563"/>
      <c r="D171" s="563"/>
      <c r="E171" s="563"/>
      <c r="F171" s="563"/>
      <c r="G171" s="563"/>
      <c r="H171" s="563"/>
    </row>
    <row r="172" spans="1:8">
      <c r="A172" s="563"/>
      <c r="B172" s="563"/>
      <c r="C172" s="563"/>
      <c r="D172" s="563"/>
      <c r="E172" s="563"/>
      <c r="F172" s="563"/>
      <c r="G172" s="563"/>
      <c r="H172" s="563"/>
    </row>
    <row r="173" spans="1:8">
      <c r="A173" s="563"/>
      <c r="B173" s="563"/>
      <c r="C173" s="563"/>
      <c r="D173" s="563"/>
      <c r="E173" s="563"/>
      <c r="F173" s="563"/>
      <c r="G173" s="563"/>
      <c r="H173" s="563"/>
    </row>
    <row r="174" spans="1:8">
      <c r="A174" s="563"/>
      <c r="B174" s="563"/>
      <c r="C174" s="563"/>
      <c r="D174" s="563"/>
      <c r="E174" s="563"/>
      <c r="F174" s="563"/>
      <c r="G174" s="563"/>
      <c r="H174" s="563"/>
    </row>
    <row r="175" spans="1:8">
      <c r="A175" s="563"/>
      <c r="B175" s="563"/>
      <c r="C175" s="563"/>
      <c r="D175" s="563"/>
      <c r="E175" s="563"/>
      <c r="F175" s="563"/>
      <c r="G175" s="563"/>
      <c r="H175" s="563"/>
    </row>
    <row r="176" spans="1:8">
      <c r="A176" s="563"/>
      <c r="B176" s="563"/>
      <c r="C176" s="563"/>
      <c r="D176" s="563"/>
      <c r="E176" s="563"/>
      <c r="F176" s="563"/>
      <c r="G176" s="563"/>
      <c r="H176" s="563"/>
    </row>
    <row r="177" spans="1:8">
      <c r="A177" s="563"/>
      <c r="B177" s="563"/>
      <c r="C177" s="563"/>
      <c r="D177" s="563"/>
      <c r="E177" s="563"/>
      <c r="F177" s="563"/>
      <c r="G177" s="563"/>
      <c r="H177" s="563"/>
    </row>
    <row r="178" spans="1:8">
      <c r="A178" s="563"/>
      <c r="B178" s="563"/>
      <c r="C178" s="563"/>
      <c r="D178" s="563"/>
      <c r="E178" s="563"/>
      <c r="F178" s="563"/>
      <c r="G178" s="563"/>
      <c r="H178" s="563"/>
    </row>
    <row r="179" spans="1:8">
      <c r="A179" s="563"/>
      <c r="B179" s="563"/>
      <c r="C179" s="563"/>
      <c r="D179" s="563"/>
      <c r="E179" s="563"/>
      <c r="F179" s="563"/>
      <c r="G179" s="563"/>
      <c r="H179" s="563"/>
    </row>
    <row r="180" spans="1:8">
      <c r="A180" s="563"/>
      <c r="B180" s="563"/>
      <c r="C180" s="563"/>
      <c r="D180" s="563"/>
      <c r="E180" s="563"/>
      <c r="F180" s="563"/>
      <c r="G180" s="563"/>
      <c r="H180" s="563"/>
    </row>
    <row r="181" spans="1:8">
      <c r="A181" s="563"/>
      <c r="B181" s="563"/>
      <c r="C181" s="563"/>
      <c r="D181" s="563"/>
      <c r="E181" s="563"/>
      <c r="F181" s="563"/>
      <c r="G181" s="563"/>
      <c r="H181" s="563"/>
    </row>
    <row r="182" spans="1:8">
      <c r="A182" s="563"/>
      <c r="B182" s="563"/>
      <c r="C182" s="563"/>
      <c r="D182" s="563"/>
      <c r="E182" s="563"/>
      <c r="F182" s="563"/>
      <c r="G182" s="563"/>
      <c r="H182" s="563"/>
    </row>
    <row r="183" spans="1:8">
      <c r="A183" s="563"/>
      <c r="B183" s="563"/>
      <c r="C183" s="563"/>
      <c r="D183" s="563"/>
      <c r="E183" s="563"/>
      <c r="F183" s="563"/>
      <c r="G183" s="563"/>
      <c r="H183" s="563"/>
    </row>
    <row r="184" spans="1:8">
      <c r="A184" s="563"/>
      <c r="B184" s="563"/>
      <c r="C184" s="563"/>
      <c r="D184" s="563"/>
      <c r="E184" s="563"/>
      <c r="F184" s="563"/>
      <c r="G184" s="563"/>
      <c r="H184" s="563"/>
    </row>
    <row r="185" spans="1:8">
      <c r="A185" s="563"/>
      <c r="B185" s="563"/>
      <c r="C185" s="563"/>
      <c r="D185" s="563"/>
      <c r="E185" s="563"/>
      <c r="F185" s="563"/>
      <c r="G185" s="563"/>
      <c r="H185" s="563"/>
    </row>
    <row r="186" spans="1:8">
      <c r="A186" s="563"/>
      <c r="B186" s="563"/>
      <c r="C186" s="563"/>
      <c r="D186" s="563"/>
      <c r="E186" s="563"/>
      <c r="F186" s="563"/>
      <c r="G186" s="563"/>
      <c r="H186" s="563"/>
    </row>
    <row r="187" spans="1:8">
      <c r="A187" s="563"/>
      <c r="B187" s="563"/>
      <c r="C187" s="563"/>
      <c r="D187" s="563"/>
      <c r="E187" s="563"/>
      <c r="F187" s="563"/>
      <c r="G187" s="563"/>
      <c r="H187" s="563"/>
    </row>
    <row r="188" spans="1:8">
      <c r="A188" s="563"/>
      <c r="B188" s="563"/>
      <c r="C188" s="563"/>
      <c r="D188" s="563"/>
      <c r="E188" s="563"/>
      <c r="F188" s="563"/>
      <c r="G188" s="563"/>
      <c r="H188" s="563"/>
    </row>
    <row r="189" spans="1:8">
      <c r="A189" s="563"/>
      <c r="B189" s="563"/>
      <c r="C189" s="563"/>
      <c r="D189" s="563"/>
      <c r="E189" s="563"/>
      <c r="F189" s="563"/>
      <c r="G189" s="563"/>
      <c r="H189" s="563"/>
    </row>
    <row r="190" spans="1:8">
      <c r="A190" s="563"/>
      <c r="B190" s="563"/>
      <c r="C190" s="563"/>
      <c r="D190" s="563"/>
      <c r="E190" s="563"/>
      <c r="F190" s="563"/>
      <c r="G190" s="563"/>
      <c r="H190" s="563"/>
    </row>
    <row r="191" spans="1:8">
      <c r="A191" s="563"/>
      <c r="B191" s="563"/>
      <c r="C191" s="563"/>
      <c r="D191" s="563"/>
      <c r="E191" s="563"/>
      <c r="F191" s="563"/>
      <c r="G191" s="563"/>
      <c r="H191" s="563"/>
    </row>
    <row r="192" spans="1:8">
      <c r="A192" s="563"/>
      <c r="B192" s="563"/>
      <c r="C192" s="563"/>
      <c r="D192" s="563"/>
      <c r="E192" s="563"/>
      <c r="F192" s="563"/>
      <c r="G192" s="563"/>
      <c r="H192" s="563"/>
    </row>
    <row r="193" spans="1:8" ht="15.75">
      <c r="A193" s="565" t="s">
        <v>764</v>
      </c>
      <c r="B193" s="563"/>
      <c r="C193" s="563"/>
      <c r="D193" s="563"/>
      <c r="E193" s="563"/>
      <c r="F193" s="563"/>
      <c r="G193" s="563"/>
      <c r="H193" s="563"/>
    </row>
    <row r="194" spans="1:8">
      <c r="A194" s="563"/>
      <c r="B194" s="563"/>
      <c r="C194" s="563"/>
      <c r="D194" s="563"/>
      <c r="E194" s="563"/>
      <c r="F194" s="563"/>
      <c r="G194" s="563"/>
      <c r="H194" s="563"/>
    </row>
    <row r="195" spans="1:8">
      <c r="A195" s="564" t="s">
        <v>923</v>
      </c>
      <c r="B195" s="563"/>
      <c r="C195" s="563"/>
      <c r="D195" s="563"/>
      <c r="E195" s="563"/>
      <c r="F195" s="563"/>
      <c r="G195" s="563"/>
      <c r="H195" s="563"/>
    </row>
    <row r="196" spans="1:8">
      <c r="A196" s="564" t="s">
        <v>924</v>
      </c>
      <c r="B196" s="563"/>
      <c r="C196" s="563"/>
      <c r="D196" s="563"/>
      <c r="E196" s="563"/>
      <c r="F196" s="563"/>
      <c r="G196" s="563"/>
      <c r="H196" s="563"/>
    </row>
    <row r="197" spans="1:8">
      <c r="A197" s="564" t="s">
        <v>925</v>
      </c>
      <c r="B197" s="563"/>
      <c r="C197" s="563"/>
      <c r="D197" s="563"/>
      <c r="E197" s="563"/>
      <c r="F197" s="563"/>
      <c r="G197" s="563"/>
      <c r="H197" s="563"/>
    </row>
    <row r="198" spans="1:8">
      <c r="A198" s="564" t="s">
        <v>926</v>
      </c>
      <c r="B198" s="563"/>
      <c r="C198" s="563"/>
      <c r="D198" s="563"/>
      <c r="E198" s="563"/>
      <c r="F198" s="563"/>
      <c r="G198" s="563"/>
      <c r="H198" s="563"/>
    </row>
    <row r="199" spans="1:8">
      <c r="A199" s="564" t="s">
        <v>927</v>
      </c>
      <c r="B199" s="563"/>
      <c r="C199" s="563"/>
      <c r="D199" s="563"/>
      <c r="E199" s="563"/>
      <c r="F199" s="563"/>
      <c r="G199" s="563"/>
      <c r="H199" s="563"/>
    </row>
    <row r="200" spans="1:8">
      <c r="A200" s="563"/>
      <c r="B200" s="563"/>
      <c r="C200" s="563"/>
      <c r="D200" s="563"/>
      <c r="E200" s="563"/>
      <c r="F200" s="563"/>
      <c r="G200" s="563"/>
      <c r="H200" s="563"/>
    </row>
    <row r="201" spans="1:8">
      <c r="A201" s="564" t="s">
        <v>920</v>
      </c>
      <c r="B201" s="563"/>
      <c r="C201" s="563"/>
      <c r="D201" s="563"/>
      <c r="E201" s="563"/>
      <c r="F201" s="563"/>
      <c r="G201" s="563"/>
      <c r="H201" s="563"/>
    </row>
    <row r="202" spans="1:8">
      <c r="A202" s="564" t="s">
        <v>921</v>
      </c>
      <c r="B202" s="563"/>
      <c r="C202" s="563"/>
      <c r="D202" s="563"/>
      <c r="E202" s="563"/>
      <c r="F202" s="563"/>
      <c r="G202" s="563"/>
      <c r="H202" s="563"/>
    </row>
    <row r="203" spans="1:8">
      <c r="A203" s="564" t="s">
        <v>922</v>
      </c>
      <c r="B203" s="563"/>
      <c r="C203" s="563"/>
      <c r="D203" s="563"/>
      <c r="E203" s="563"/>
      <c r="F203" s="563"/>
      <c r="G203" s="563"/>
      <c r="H203" s="563"/>
    </row>
    <row r="204" spans="1:8" ht="15.75">
      <c r="A204" s="565" t="s">
        <v>765</v>
      </c>
      <c r="B204" s="563"/>
      <c r="C204" s="563"/>
      <c r="D204" s="563"/>
      <c r="E204" s="563"/>
      <c r="F204" s="563"/>
      <c r="G204" s="563"/>
      <c r="H204" s="563"/>
    </row>
    <row r="205" spans="1:8">
      <c r="A205" s="563"/>
      <c r="B205" s="563"/>
      <c r="C205" s="563"/>
      <c r="D205" s="563"/>
      <c r="E205" s="563"/>
      <c r="F205" s="563"/>
      <c r="G205" s="563"/>
      <c r="H205" s="563"/>
    </row>
    <row r="206" spans="1:8">
      <c r="A206" s="564" t="s">
        <v>913</v>
      </c>
      <c r="B206" s="563"/>
      <c r="C206" s="563"/>
      <c r="D206" s="563"/>
      <c r="E206" s="563"/>
      <c r="F206" s="563"/>
      <c r="G206" s="563"/>
      <c r="H206" s="563"/>
    </row>
    <row r="207" spans="1:8">
      <c r="A207" s="564" t="s">
        <v>914</v>
      </c>
      <c r="B207" s="563"/>
      <c r="C207" s="563"/>
      <c r="D207" s="563"/>
      <c r="E207" s="563"/>
      <c r="F207" s="563"/>
      <c r="G207" s="563"/>
      <c r="H207" s="563"/>
    </row>
    <row r="208" spans="1:8">
      <c r="A208" s="564" t="s">
        <v>915</v>
      </c>
      <c r="B208" s="563"/>
      <c r="C208" s="563"/>
      <c r="D208" s="563"/>
      <c r="E208" s="563"/>
      <c r="F208" s="563"/>
      <c r="G208" s="563"/>
      <c r="H208" s="563"/>
    </row>
    <row r="209" spans="1:8">
      <c r="A209" s="564" t="s">
        <v>916</v>
      </c>
      <c r="B209" s="563"/>
      <c r="C209" s="563"/>
      <c r="D209" s="563"/>
      <c r="E209" s="563"/>
      <c r="F209" s="563"/>
      <c r="G209" s="563"/>
      <c r="H209" s="563"/>
    </row>
    <row r="210" spans="1:8">
      <c r="A210" s="564" t="s">
        <v>917</v>
      </c>
      <c r="B210" s="563"/>
      <c r="C210" s="563"/>
      <c r="D210" s="563"/>
      <c r="E210" s="563"/>
      <c r="F210" s="563"/>
      <c r="G210" s="563"/>
      <c r="H210" s="563"/>
    </row>
    <row r="211" spans="1:8">
      <c r="A211" s="564" t="s">
        <v>918</v>
      </c>
      <c r="B211" s="563"/>
      <c r="C211" s="563"/>
      <c r="D211" s="563"/>
      <c r="E211" s="563"/>
      <c r="F211" s="563"/>
      <c r="G211" s="563"/>
      <c r="H211" s="563"/>
    </row>
    <row r="212" spans="1:8">
      <c r="A212" s="564" t="s">
        <v>919</v>
      </c>
      <c r="B212" s="563"/>
      <c r="C212" s="563"/>
      <c r="D212" s="563"/>
      <c r="E212" s="563"/>
      <c r="F212" s="563"/>
      <c r="G212" s="563"/>
      <c r="H212" s="563"/>
    </row>
    <row r="213" spans="1:8">
      <c r="A213" s="563"/>
      <c r="B213" s="563"/>
      <c r="C213" s="563"/>
      <c r="D213" s="563"/>
      <c r="E213" s="563"/>
      <c r="F213" s="563"/>
      <c r="G213" s="563"/>
      <c r="H213" s="563"/>
    </row>
    <row r="214" spans="1:8">
      <c r="A214" s="564" t="s">
        <v>910</v>
      </c>
      <c r="B214" s="563"/>
      <c r="C214" s="563"/>
      <c r="D214" s="563"/>
      <c r="E214" s="563"/>
      <c r="F214" s="563"/>
      <c r="G214" s="563"/>
      <c r="H214" s="563"/>
    </row>
    <row r="215" spans="1:8">
      <c r="A215" s="564" t="s">
        <v>911</v>
      </c>
      <c r="B215" s="563"/>
      <c r="C215" s="563"/>
      <c r="D215" s="563"/>
      <c r="E215" s="563"/>
      <c r="F215" s="563"/>
      <c r="G215" s="563"/>
      <c r="H215" s="563"/>
    </row>
    <row r="216" spans="1:8">
      <c r="A216" s="564" t="s">
        <v>912</v>
      </c>
      <c r="B216" s="563"/>
      <c r="C216" s="563"/>
      <c r="D216" s="563"/>
      <c r="E216" s="563"/>
      <c r="F216" s="563"/>
      <c r="G216" s="563"/>
      <c r="H216" s="563"/>
    </row>
    <row r="217" spans="1:8">
      <c r="A217" s="563"/>
      <c r="B217" s="563"/>
      <c r="C217" s="563"/>
      <c r="D217" s="563"/>
      <c r="E217" s="563"/>
      <c r="F217" s="563"/>
      <c r="G217" s="563"/>
      <c r="H217" s="563"/>
    </row>
    <row r="218" spans="1:8">
      <c r="A218" s="564" t="s">
        <v>905</v>
      </c>
      <c r="B218" s="563"/>
      <c r="C218" s="563"/>
      <c r="D218" s="563"/>
      <c r="E218" s="563"/>
      <c r="F218" s="563"/>
      <c r="G218" s="563"/>
      <c r="H218" s="563"/>
    </row>
    <row r="219" spans="1:8">
      <c r="A219" s="564" t="s">
        <v>906</v>
      </c>
      <c r="B219" s="563"/>
      <c r="C219" s="563"/>
      <c r="D219" s="563"/>
      <c r="E219" s="563"/>
      <c r="F219" s="563"/>
      <c r="G219" s="563"/>
      <c r="H219" s="563"/>
    </row>
    <row r="220" spans="1:8">
      <c r="A220" s="564" t="s">
        <v>907</v>
      </c>
      <c r="B220" s="563"/>
      <c r="C220" s="563"/>
      <c r="D220" s="563"/>
      <c r="E220" s="563"/>
      <c r="F220" s="563"/>
      <c r="G220" s="563"/>
      <c r="H220" s="563"/>
    </row>
    <row r="221" spans="1:8">
      <c r="A221" s="564" t="s">
        <v>908</v>
      </c>
      <c r="B221" s="563"/>
      <c r="C221" s="563"/>
      <c r="D221" s="563"/>
      <c r="E221" s="563"/>
      <c r="F221" s="563"/>
      <c r="G221" s="563"/>
      <c r="H221" s="563"/>
    </row>
    <row r="222" spans="1:8">
      <c r="A222" s="564" t="s">
        <v>909</v>
      </c>
      <c r="B222" s="563"/>
      <c r="C222" s="563"/>
      <c r="D222" s="563"/>
      <c r="E222" s="563"/>
      <c r="F222" s="563"/>
      <c r="G222" s="563"/>
      <c r="H222" s="563"/>
    </row>
    <row r="223" spans="1:8">
      <c r="A223" s="563"/>
      <c r="B223" s="563"/>
      <c r="C223" s="563"/>
      <c r="D223" s="563"/>
      <c r="E223" s="563"/>
      <c r="F223" s="563"/>
      <c r="G223" s="563"/>
      <c r="H223" s="563"/>
    </row>
    <row r="224" spans="1:8">
      <c r="A224" s="564" t="s">
        <v>899</v>
      </c>
      <c r="B224" s="563"/>
      <c r="C224" s="563"/>
      <c r="D224" s="563"/>
      <c r="E224" s="563"/>
      <c r="F224" s="563"/>
      <c r="G224" s="563"/>
      <c r="H224" s="563"/>
    </row>
    <row r="225" spans="1:8">
      <c r="A225" s="564" t="s">
        <v>900</v>
      </c>
      <c r="B225" s="563"/>
      <c r="C225" s="563"/>
      <c r="D225" s="563"/>
      <c r="E225" s="563"/>
      <c r="F225" s="563"/>
      <c r="G225" s="563"/>
      <c r="H225" s="563"/>
    </row>
    <row r="226" spans="1:8">
      <c r="A226" s="564" t="s">
        <v>901</v>
      </c>
      <c r="B226" s="563"/>
      <c r="C226" s="563"/>
      <c r="D226" s="563"/>
      <c r="E226" s="563"/>
      <c r="F226" s="563"/>
      <c r="G226" s="563"/>
      <c r="H226" s="563"/>
    </row>
    <row r="227" spans="1:8">
      <c r="A227" s="564" t="s">
        <v>902</v>
      </c>
      <c r="B227" s="563"/>
      <c r="C227" s="563"/>
      <c r="D227" s="563"/>
      <c r="E227" s="563"/>
      <c r="F227" s="563"/>
      <c r="G227" s="563"/>
      <c r="H227" s="563"/>
    </row>
    <row r="228" spans="1:8">
      <c r="A228" s="564" t="s">
        <v>903</v>
      </c>
      <c r="B228" s="563"/>
      <c r="C228" s="563"/>
      <c r="D228" s="563"/>
      <c r="E228" s="563"/>
      <c r="F228" s="563"/>
      <c r="G228" s="563"/>
      <c r="H228" s="563"/>
    </row>
    <row r="229" spans="1:8">
      <c r="A229" s="564" t="s">
        <v>904</v>
      </c>
      <c r="B229" s="563"/>
      <c r="C229" s="563"/>
      <c r="D229" s="563"/>
      <c r="E229" s="563"/>
      <c r="F229" s="563"/>
      <c r="G229" s="563"/>
      <c r="H229" s="563"/>
    </row>
    <row r="230" spans="1:8">
      <c r="A230" s="563"/>
      <c r="B230" s="563"/>
      <c r="C230" s="563"/>
      <c r="D230" s="563"/>
      <c r="E230" s="563"/>
      <c r="F230" s="563"/>
      <c r="G230" s="563"/>
      <c r="H230" s="563"/>
    </row>
    <row r="231" spans="1:8">
      <c r="A231" s="564" t="s">
        <v>889</v>
      </c>
      <c r="B231" s="563"/>
      <c r="C231" s="563"/>
      <c r="D231" s="563"/>
      <c r="E231" s="563"/>
      <c r="F231" s="563"/>
      <c r="G231" s="563"/>
      <c r="H231" s="563"/>
    </row>
    <row r="232" spans="1:8">
      <c r="A232" s="564" t="s">
        <v>890</v>
      </c>
      <c r="B232" s="563"/>
      <c r="C232" s="563"/>
      <c r="D232" s="563"/>
      <c r="E232" s="563"/>
      <c r="F232" s="563"/>
      <c r="G232" s="563"/>
      <c r="H232" s="563"/>
    </row>
    <row r="233" spans="1:8">
      <c r="A233" s="564" t="s">
        <v>891</v>
      </c>
      <c r="B233" s="563"/>
      <c r="C233" s="563"/>
      <c r="D233" s="563"/>
      <c r="E233" s="563"/>
      <c r="F233" s="563"/>
      <c r="G233" s="563"/>
      <c r="H233" s="563"/>
    </row>
    <row r="234" spans="1:8">
      <c r="A234" s="564" t="s">
        <v>892</v>
      </c>
      <c r="B234" s="563"/>
      <c r="C234" s="563"/>
      <c r="D234" s="563"/>
      <c r="E234" s="563"/>
      <c r="F234" s="563"/>
      <c r="G234" s="563"/>
      <c r="H234" s="563"/>
    </row>
    <row r="235" spans="1:8">
      <c r="A235" s="564" t="s">
        <v>893</v>
      </c>
      <c r="B235" s="563"/>
      <c r="C235" s="563"/>
      <c r="D235" s="563"/>
      <c r="E235" s="563"/>
      <c r="F235" s="563"/>
      <c r="G235" s="563"/>
      <c r="H235" s="563"/>
    </row>
    <row r="236" spans="1:8">
      <c r="A236" s="564" t="s">
        <v>894</v>
      </c>
      <c r="B236" s="563"/>
      <c r="C236" s="563"/>
      <c r="D236" s="563"/>
      <c r="E236" s="563"/>
      <c r="F236" s="563"/>
      <c r="G236" s="563"/>
      <c r="H236" s="563"/>
    </row>
    <row r="237" spans="1:8">
      <c r="A237" s="564" t="s">
        <v>895</v>
      </c>
      <c r="B237" s="563"/>
      <c r="C237" s="563"/>
      <c r="D237" s="563"/>
      <c r="E237" s="563"/>
      <c r="F237" s="563"/>
      <c r="G237" s="563"/>
      <c r="H237" s="563"/>
    </row>
    <row r="238" spans="1:8">
      <c r="A238" s="564" t="s">
        <v>896</v>
      </c>
      <c r="B238" s="563"/>
      <c r="C238" s="563"/>
      <c r="D238" s="563"/>
      <c r="E238" s="563"/>
      <c r="F238" s="563"/>
      <c r="G238" s="563"/>
      <c r="H238" s="563"/>
    </row>
    <row r="239" spans="1:8">
      <c r="A239" s="564" t="s">
        <v>897</v>
      </c>
      <c r="B239" s="563"/>
      <c r="C239" s="563"/>
      <c r="D239" s="563"/>
      <c r="E239" s="563"/>
      <c r="F239" s="563"/>
      <c r="G239" s="563"/>
      <c r="H239" s="563"/>
    </row>
    <row r="240" spans="1:8">
      <c r="A240" s="564" t="s">
        <v>898</v>
      </c>
      <c r="B240" s="563"/>
      <c r="C240" s="563"/>
      <c r="D240" s="563"/>
      <c r="E240" s="563"/>
      <c r="F240" s="563"/>
      <c r="G240" s="563"/>
      <c r="H240" s="563"/>
    </row>
    <row r="241" spans="1:8">
      <c r="A241" s="563"/>
      <c r="B241" s="563"/>
      <c r="C241" s="563"/>
      <c r="D241" s="563"/>
      <c r="E241" s="563"/>
      <c r="F241" s="563"/>
      <c r="G241" s="563"/>
      <c r="H241" s="563"/>
    </row>
    <row r="242" spans="1:8">
      <c r="A242" s="564" t="s">
        <v>887</v>
      </c>
      <c r="B242" s="563"/>
      <c r="C242" s="563"/>
      <c r="D242" s="563"/>
      <c r="E242" s="563"/>
      <c r="F242" s="563"/>
      <c r="G242" s="563"/>
      <c r="H242" s="563"/>
    </row>
    <row r="243" spans="1:8">
      <c r="A243" s="564" t="s">
        <v>888</v>
      </c>
      <c r="B243" s="563"/>
      <c r="C243" s="563"/>
      <c r="D243" s="563"/>
      <c r="E243" s="563"/>
      <c r="F243" s="563"/>
      <c r="G243" s="563"/>
      <c r="H243" s="563"/>
    </row>
    <row r="244" spans="1:8">
      <c r="A244" s="563"/>
      <c r="B244" s="563"/>
      <c r="C244" s="563"/>
      <c r="D244" s="563"/>
      <c r="E244" s="563"/>
      <c r="F244" s="563"/>
      <c r="G244" s="563"/>
      <c r="H244" s="563"/>
    </row>
    <row r="245" spans="1:8">
      <c r="A245" s="564" t="s">
        <v>871</v>
      </c>
      <c r="B245" s="563"/>
      <c r="C245" s="563"/>
      <c r="D245" s="563"/>
      <c r="E245" s="563"/>
      <c r="F245" s="563"/>
      <c r="G245" s="563"/>
      <c r="H245" s="563"/>
    </row>
    <row r="246" spans="1:8">
      <c r="A246" s="564" t="s">
        <v>872</v>
      </c>
      <c r="B246" s="563"/>
      <c r="C246" s="563"/>
      <c r="D246" s="563"/>
      <c r="E246" s="563"/>
      <c r="F246" s="563"/>
      <c r="G246" s="563"/>
      <c r="H246" s="563"/>
    </row>
    <row r="247" spans="1:8">
      <c r="A247" s="564" t="s">
        <v>873</v>
      </c>
      <c r="B247" s="563"/>
      <c r="C247" s="563"/>
      <c r="D247" s="563"/>
      <c r="E247" s="563"/>
      <c r="F247" s="563"/>
      <c r="G247" s="563"/>
      <c r="H247" s="563"/>
    </row>
    <row r="248" spans="1:8">
      <c r="A248" s="564" t="s">
        <v>874</v>
      </c>
      <c r="B248" s="563"/>
      <c r="C248" s="563"/>
      <c r="D248" s="563"/>
      <c r="E248" s="563"/>
      <c r="F248" s="563"/>
      <c r="G248" s="563"/>
      <c r="H248" s="563"/>
    </row>
    <row r="249" spans="1:8">
      <c r="A249" s="564" t="s">
        <v>875</v>
      </c>
      <c r="B249" s="563"/>
      <c r="C249" s="563"/>
      <c r="D249" s="563"/>
      <c r="E249" s="563"/>
      <c r="F249" s="563"/>
      <c r="G249" s="563"/>
      <c r="H249" s="563"/>
    </row>
    <row r="250" spans="1:8">
      <c r="A250" s="564" t="s">
        <v>876</v>
      </c>
      <c r="B250" s="563"/>
      <c r="C250" s="563"/>
      <c r="D250" s="563"/>
      <c r="E250" s="563"/>
      <c r="F250" s="563"/>
      <c r="G250" s="563"/>
      <c r="H250" s="563"/>
    </row>
    <row r="251" spans="1:8">
      <c r="A251" s="564" t="s">
        <v>877</v>
      </c>
      <c r="B251" s="563"/>
      <c r="C251" s="563"/>
      <c r="D251" s="563"/>
      <c r="E251" s="563"/>
      <c r="F251" s="563"/>
      <c r="G251" s="563"/>
      <c r="H251" s="563"/>
    </row>
    <row r="252" spans="1:8">
      <c r="A252" s="564" t="s">
        <v>878</v>
      </c>
      <c r="B252" s="563"/>
      <c r="C252" s="563"/>
      <c r="D252" s="563"/>
      <c r="E252" s="563"/>
      <c r="F252" s="563"/>
      <c r="G252" s="563"/>
      <c r="H252" s="563"/>
    </row>
    <row r="253" spans="1:8">
      <c r="A253" s="564" t="s">
        <v>879</v>
      </c>
      <c r="B253" s="563"/>
      <c r="C253" s="563"/>
      <c r="D253" s="563"/>
      <c r="E253" s="563"/>
      <c r="F253" s="563"/>
      <c r="G253" s="563"/>
      <c r="H253" s="563"/>
    </row>
    <row r="254" spans="1:8">
      <c r="A254" s="564" t="s">
        <v>880</v>
      </c>
      <c r="B254" s="563"/>
      <c r="C254" s="563"/>
      <c r="D254" s="563"/>
      <c r="E254" s="563"/>
      <c r="F254" s="563"/>
      <c r="G254" s="563"/>
      <c r="H254" s="563"/>
    </row>
    <row r="255" spans="1:8">
      <c r="A255" s="564" t="s">
        <v>881</v>
      </c>
      <c r="B255" s="563"/>
      <c r="C255" s="563"/>
      <c r="D255" s="563"/>
      <c r="E255" s="563"/>
      <c r="F255" s="563"/>
      <c r="G255" s="563"/>
      <c r="H255" s="563"/>
    </row>
    <row r="256" spans="1:8">
      <c r="A256" s="564" t="s">
        <v>882</v>
      </c>
      <c r="B256" s="563"/>
      <c r="C256" s="563"/>
      <c r="D256" s="563"/>
      <c r="E256" s="563"/>
      <c r="F256" s="563"/>
      <c r="G256" s="563"/>
      <c r="H256" s="563"/>
    </row>
    <row r="257" spans="1:8">
      <c r="A257" s="564" t="s">
        <v>883</v>
      </c>
      <c r="B257" s="563"/>
      <c r="C257" s="563"/>
      <c r="D257" s="563"/>
      <c r="E257" s="563"/>
      <c r="F257" s="563"/>
      <c r="G257" s="563"/>
      <c r="H257" s="563"/>
    </row>
    <row r="258" spans="1:8">
      <c r="A258" s="564" t="s">
        <v>884</v>
      </c>
      <c r="B258" s="563"/>
      <c r="C258" s="563"/>
      <c r="D258" s="563"/>
      <c r="E258" s="563"/>
      <c r="F258" s="563"/>
      <c r="G258" s="563"/>
      <c r="H258" s="563"/>
    </row>
    <row r="259" spans="1:8">
      <c r="A259" s="564" t="s">
        <v>885</v>
      </c>
      <c r="B259" s="563"/>
      <c r="C259" s="563"/>
      <c r="D259" s="563"/>
      <c r="E259" s="563"/>
      <c r="F259" s="563"/>
      <c r="G259" s="563"/>
      <c r="H259" s="563"/>
    </row>
    <row r="260" spans="1:8">
      <c r="A260" s="564" t="s">
        <v>886</v>
      </c>
      <c r="B260" s="563"/>
      <c r="C260" s="563"/>
      <c r="D260" s="563"/>
      <c r="E260" s="563"/>
      <c r="F260" s="563"/>
      <c r="G260" s="563"/>
      <c r="H260" s="563"/>
    </row>
    <row r="261" spans="1:8">
      <c r="A261" s="563"/>
      <c r="B261" s="563"/>
      <c r="C261" s="563"/>
      <c r="D261" s="563"/>
      <c r="E261" s="563"/>
      <c r="F261" s="563"/>
      <c r="G261" s="563"/>
      <c r="H261" s="563"/>
    </row>
    <row r="262" spans="1:8">
      <c r="A262" s="564" t="s">
        <v>864</v>
      </c>
      <c r="B262" s="563"/>
      <c r="C262" s="563"/>
      <c r="D262" s="563"/>
      <c r="E262" s="563"/>
      <c r="F262" s="563"/>
      <c r="G262" s="563"/>
      <c r="H262" s="563"/>
    </row>
    <row r="263" spans="1:8">
      <c r="A263" s="564" t="s">
        <v>865</v>
      </c>
      <c r="B263" s="563"/>
      <c r="C263" s="563"/>
      <c r="D263" s="563"/>
      <c r="E263" s="563"/>
      <c r="F263" s="563"/>
      <c r="G263" s="563"/>
      <c r="H263" s="563"/>
    </row>
    <row r="264" spans="1:8">
      <c r="A264" s="564" t="s">
        <v>866</v>
      </c>
      <c r="B264" s="563"/>
      <c r="C264" s="563"/>
      <c r="D264" s="563"/>
      <c r="E264" s="563"/>
      <c r="F264" s="563"/>
      <c r="G264" s="563"/>
      <c r="H264" s="563"/>
    </row>
    <row r="265" spans="1:8">
      <c r="A265" s="564" t="s">
        <v>867</v>
      </c>
      <c r="B265" s="563"/>
      <c r="C265" s="563"/>
      <c r="D265" s="563"/>
      <c r="E265" s="563"/>
      <c r="F265" s="563"/>
      <c r="G265" s="563"/>
      <c r="H265" s="563"/>
    </row>
    <row r="266" spans="1:8">
      <c r="A266" s="564" t="s">
        <v>868</v>
      </c>
      <c r="B266" s="563"/>
      <c r="C266" s="563"/>
      <c r="D266" s="563"/>
      <c r="E266" s="563"/>
      <c r="F266" s="563"/>
      <c r="G266" s="563"/>
      <c r="H266" s="563"/>
    </row>
    <row r="267" spans="1:8">
      <c r="A267" s="564" t="s">
        <v>869</v>
      </c>
      <c r="B267" s="563"/>
      <c r="C267" s="563"/>
      <c r="D267" s="563"/>
      <c r="E267" s="563"/>
      <c r="F267" s="563"/>
      <c r="G267" s="563"/>
      <c r="H267" s="563"/>
    </row>
    <row r="268" spans="1:8">
      <c r="A268" s="564" t="s">
        <v>870</v>
      </c>
      <c r="B268" s="563"/>
      <c r="C268" s="563"/>
      <c r="D268" s="563"/>
      <c r="E268" s="563"/>
      <c r="F268" s="563"/>
      <c r="G268" s="563"/>
      <c r="H268" s="563"/>
    </row>
    <row r="269" spans="1:8">
      <c r="A269" s="563"/>
      <c r="B269" s="563"/>
      <c r="C269" s="563"/>
      <c r="D269" s="563"/>
      <c r="E269" s="563"/>
      <c r="F269" s="563"/>
      <c r="G269" s="563"/>
      <c r="H269" s="563"/>
    </row>
    <row r="270" spans="1:8">
      <c r="A270" s="564" t="s">
        <v>855</v>
      </c>
      <c r="B270" s="563"/>
      <c r="C270" s="563"/>
      <c r="D270" s="563"/>
      <c r="E270" s="563"/>
      <c r="F270" s="563"/>
      <c r="G270" s="563"/>
      <c r="H270" s="563"/>
    </row>
    <row r="271" spans="1:8">
      <c r="A271" s="564" t="s">
        <v>856</v>
      </c>
      <c r="B271" s="563"/>
      <c r="C271" s="563"/>
      <c r="D271" s="563"/>
      <c r="E271" s="563"/>
      <c r="F271" s="563"/>
      <c r="G271" s="563"/>
      <c r="H271" s="563"/>
    </row>
    <row r="272" spans="1:8">
      <c r="A272" s="564" t="s">
        <v>857</v>
      </c>
      <c r="B272" s="563"/>
      <c r="C272" s="563"/>
      <c r="D272" s="563"/>
      <c r="E272" s="563"/>
      <c r="F272" s="563"/>
      <c r="G272" s="563"/>
      <c r="H272" s="563"/>
    </row>
    <row r="273" spans="1:8">
      <c r="A273" s="564" t="s">
        <v>858</v>
      </c>
      <c r="B273" s="563"/>
      <c r="C273" s="563"/>
      <c r="D273" s="563"/>
      <c r="E273" s="563"/>
      <c r="F273" s="563"/>
      <c r="G273" s="563"/>
      <c r="H273" s="563"/>
    </row>
    <row r="274" spans="1:8">
      <c r="A274" s="564" t="s">
        <v>859</v>
      </c>
      <c r="B274" s="563"/>
      <c r="C274" s="563"/>
      <c r="D274" s="563"/>
      <c r="E274" s="563"/>
      <c r="F274" s="563"/>
      <c r="G274" s="563"/>
      <c r="H274" s="563"/>
    </row>
    <row r="275" spans="1:8">
      <c r="A275" s="564" t="s">
        <v>860</v>
      </c>
      <c r="B275" s="563"/>
      <c r="C275" s="563"/>
      <c r="D275" s="563"/>
      <c r="E275" s="563"/>
      <c r="F275" s="563"/>
      <c r="G275" s="563"/>
      <c r="H275" s="563"/>
    </row>
    <row r="276" spans="1:8">
      <c r="A276" s="564" t="s">
        <v>861</v>
      </c>
      <c r="B276" s="563"/>
      <c r="C276" s="563"/>
      <c r="D276" s="563"/>
      <c r="E276" s="563"/>
      <c r="F276" s="563"/>
      <c r="G276" s="563"/>
      <c r="H276" s="563"/>
    </row>
    <row r="277" spans="1:8">
      <c r="A277" s="564" t="s">
        <v>862</v>
      </c>
      <c r="B277" s="563"/>
      <c r="C277" s="563"/>
      <c r="D277" s="563"/>
      <c r="E277" s="563"/>
      <c r="F277" s="563"/>
      <c r="G277" s="563"/>
      <c r="H277" s="563"/>
    </row>
    <row r="278" spans="1:8">
      <c r="A278" s="564" t="s">
        <v>863</v>
      </c>
      <c r="B278" s="563"/>
      <c r="C278" s="563"/>
      <c r="D278" s="563"/>
      <c r="E278" s="563"/>
      <c r="F278" s="563"/>
      <c r="G278" s="563"/>
      <c r="H278" s="563"/>
    </row>
    <row r="279" spans="1:8">
      <c r="A279" s="563"/>
      <c r="B279" s="563"/>
      <c r="C279" s="563"/>
      <c r="D279" s="563"/>
      <c r="E279" s="563"/>
      <c r="F279" s="563"/>
      <c r="G279" s="563"/>
      <c r="H279" s="563"/>
    </row>
    <row r="280" spans="1:8">
      <c r="A280" s="564" t="s">
        <v>848</v>
      </c>
      <c r="B280" s="563"/>
      <c r="C280" s="563"/>
      <c r="D280" s="563"/>
      <c r="E280" s="563"/>
      <c r="F280" s="563"/>
      <c r="G280" s="563"/>
      <c r="H280" s="563"/>
    </row>
    <row r="281" spans="1:8">
      <c r="A281" s="564" t="s">
        <v>849</v>
      </c>
      <c r="B281" s="563"/>
      <c r="C281" s="563"/>
      <c r="D281" s="563"/>
      <c r="E281" s="563"/>
      <c r="F281" s="563"/>
      <c r="G281" s="563"/>
      <c r="H281" s="563"/>
    </row>
    <row r="282" spans="1:8">
      <c r="A282" s="564" t="s">
        <v>850</v>
      </c>
      <c r="B282" s="563"/>
      <c r="C282" s="563"/>
      <c r="D282" s="563"/>
      <c r="E282" s="563"/>
      <c r="F282" s="563"/>
      <c r="G282" s="563"/>
      <c r="H282" s="563"/>
    </row>
    <row r="283" spans="1:8">
      <c r="A283" s="564" t="s">
        <v>851</v>
      </c>
      <c r="B283" s="563"/>
      <c r="C283" s="563"/>
      <c r="D283" s="563"/>
      <c r="E283" s="563"/>
      <c r="F283" s="563"/>
      <c r="G283" s="563"/>
      <c r="H283" s="563"/>
    </row>
    <row r="284" spans="1:8">
      <c r="A284" s="564" t="s">
        <v>852</v>
      </c>
      <c r="B284" s="563"/>
      <c r="C284" s="563"/>
      <c r="D284" s="563"/>
      <c r="E284" s="563"/>
      <c r="F284" s="563"/>
      <c r="G284" s="563"/>
      <c r="H284" s="563"/>
    </row>
    <row r="285" spans="1:8">
      <c r="A285" s="564" t="s">
        <v>853</v>
      </c>
      <c r="B285" s="563"/>
      <c r="C285" s="563"/>
      <c r="D285" s="563"/>
      <c r="E285" s="563"/>
      <c r="F285" s="563"/>
      <c r="G285" s="563"/>
      <c r="H285" s="563"/>
    </row>
    <row r="286" spans="1:8">
      <c r="A286" s="564" t="s">
        <v>854</v>
      </c>
      <c r="B286" s="563"/>
      <c r="C286" s="563"/>
      <c r="D286" s="563"/>
      <c r="E286" s="563"/>
      <c r="F286" s="563"/>
      <c r="G286" s="563"/>
      <c r="H286" s="563"/>
    </row>
    <row r="287" spans="1:8">
      <c r="A287" s="563"/>
      <c r="B287" s="563"/>
      <c r="C287" s="563"/>
      <c r="D287" s="563"/>
      <c r="E287" s="563"/>
      <c r="F287" s="563"/>
      <c r="G287" s="563"/>
      <c r="H287" s="563"/>
    </row>
    <row r="288" spans="1:8">
      <c r="A288" s="564" t="s">
        <v>845</v>
      </c>
      <c r="B288" s="563"/>
      <c r="C288" s="563"/>
      <c r="D288" s="563"/>
      <c r="E288" s="563"/>
      <c r="F288" s="563"/>
      <c r="G288" s="563"/>
      <c r="H288" s="563"/>
    </row>
    <row r="289" spans="1:8">
      <c r="A289" s="564" t="s">
        <v>846</v>
      </c>
      <c r="B289" s="563"/>
      <c r="C289" s="563"/>
      <c r="D289" s="563"/>
      <c r="E289" s="563"/>
      <c r="F289" s="563"/>
      <c r="G289" s="563"/>
      <c r="H289" s="563"/>
    </row>
    <row r="290" spans="1:8">
      <c r="A290" s="564" t="s">
        <v>847</v>
      </c>
      <c r="B290" s="563"/>
      <c r="C290" s="563"/>
      <c r="D290" s="563"/>
      <c r="E290" s="563"/>
      <c r="F290" s="563"/>
      <c r="G290" s="563"/>
      <c r="H290" s="563"/>
    </row>
    <row r="291" spans="1:8">
      <c r="A291" s="563"/>
      <c r="B291" s="563"/>
      <c r="C291" s="563"/>
      <c r="D291" s="563"/>
      <c r="E291" s="563"/>
      <c r="F291" s="563"/>
      <c r="G291" s="563"/>
      <c r="H291" s="563"/>
    </row>
    <row r="292" spans="1:8">
      <c r="A292" s="564" t="s">
        <v>843</v>
      </c>
      <c r="B292" s="563"/>
      <c r="C292" s="563"/>
      <c r="D292" s="563"/>
      <c r="E292" s="563"/>
      <c r="F292" s="563"/>
      <c r="G292" s="563"/>
      <c r="H292" s="563"/>
    </row>
    <row r="293" spans="1:8">
      <c r="A293" s="564" t="s">
        <v>844</v>
      </c>
      <c r="B293" s="563"/>
      <c r="C293" s="563"/>
      <c r="D293" s="563"/>
      <c r="E293" s="563"/>
      <c r="F293" s="563"/>
      <c r="G293" s="563"/>
      <c r="H293" s="563"/>
    </row>
    <row r="294" spans="1:8">
      <c r="A294" s="563"/>
      <c r="B294" s="563"/>
      <c r="C294" s="563"/>
      <c r="D294" s="563"/>
      <c r="E294" s="563"/>
      <c r="F294" s="563"/>
      <c r="G294" s="563"/>
      <c r="H294" s="563"/>
    </row>
    <row r="295" spans="1:8">
      <c r="A295" s="564" t="s">
        <v>830</v>
      </c>
      <c r="B295" s="563"/>
      <c r="C295" s="563"/>
      <c r="D295" s="563"/>
      <c r="E295" s="563"/>
      <c r="F295" s="563"/>
      <c r="G295" s="563"/>
      <c r="H295" s="563"/>
    </row>
    <row r="296" spans="1:8">
      <c r="A296" s="564" t="s">
        <v>831</v>
      </c>
      <c r="B296" s="563"/>
      <c r="C296" s="563"/>
      <c r="D296" s="563"/>
      <c r="E296" s="563"/>
      <c r="F296" s="563"/>
      <c r="G296" s="563"/>
      <c r="H296" s="563"/>
    </row>
    <row r="297" spans="1:8">
      <c r="A297" s="564" t="s">
        <v>832</v>
      </c>
      <c r="B297" s="563"/>
      <c r="C297" s="563"/>
      <c r="D297" s="563"/>
      <c r="E297" s="563"/>
      <c r="F297" s="563"/>
      <c r="G297" s="563"/>
      <c r="H297" s="563"/>
    </row>
    <row r="298" spans="1:8">
      <c r="A298" s="564" t="s">
        <v>833</v>
      </c>
      <c r="B298" s="563"/>
      <c r="C298" s="563"/>
      <c r="D298" s="563"/>
      <c r="E298" s="563"/>
      <c r="F298" s="563"/>
      <c r="G298" s="563"/>
      <c r="H298" s="563"/>
    </row>
    <row r="299" spans="1:8">
      <c r="A299" s="564" t="s">
        <v>834</v>
      </c>
      <c r="B299" s="563"/>
      <c r="C299" s="563"/>
      <c r="D299" s="563"/>
      <c r="E299" s="563"/>
      <c r="F299" s="563"/>
      <c r="G299" s="563"/>
      <c r="H299" s="563"/>
    </row>
    <row r="300" spans="1:8">
      <c r="A300" s="564" t="s">
        <v>835</v>
      </c>
      <c r="B300" s="563"/>
      <c r="C300" s="563"/>
      <c r="D300" s="563"/>
      <c r="E300" s="563"/>
      <c r="F300" s="563"/>
      <c r="G300" s="563"/>
      <c r="H300" s="563"/>
    </row>
    <row r="301" spans="1:8">
      <c r="A301" s="564" t="s">
        <v>836</v>
      </c>
      <c r="B301" s="563"/>
      <c r="C301" s="563"/>
      <c r="D301" s="563"/>
      <c r="E301" s="563"/>
      <c r="F301" s="563"/>
      <c r="G301" s="563"/>
      <c r="H301" s="563"/>
    </row>
    <row r="302" spans="1:8">
      <c r="A302" s="564" t="s">
        <v>837</v>
      </c>
      <c r="B302" s="563"/>
      <c r="C302" s="563"/>
      <c r="D302" s="563"/>
      <c r="E302" s="563"/>
      <c r="F302" s="563"/>
      <c r="G302" s="563"/>
      <c r="H302" s="563"/>
    </row>
    <row r="303" spans="1:8">
      <c r="A303" s="564" t="s">
        <v>838</v>
      </c>
      <c r="B303" s="563"/>
      <c r="C303" s="563"/>
      <c r="D303" s="563"/>
      <c r="E303" s="563"/>
      <c r="F303" s="563"/>
      <c r="G303" s="563"/>
      <c r="H303" s="563"/>
    </row>
    <row r="304" spans="1:8">
      <c r="A304" s="564" t="s">
        <v>839</v>
      </c>
      <c r="B304" s="563"/>
      <c r="C304" s="563"/>
      <c r="D304" s="563"/>
      <c r="E304" s="563"/>
      <c r="F304" s="563"/>
      <c r="G304" s="563"/>
      <c r="H304" s="563"/>
    </row>
    <row r="305" spans="1:8">
      <c r="A305" s="564" t="s">
        <v>840</v>
      </c>
      <c r="B305" s="563"/>
      <c r="C305" s="563"/>
      <c r="D305" s="563"/>
      <c r="E305" s="563"/>
      <c r="F305" s="563"/>
      <c r="G305" s="563"/>
      <c r="H305" s="563"/>
    </row>
    <row r="306" spans="1:8">
      <c r="A306" s="564" t="s">
        <v>841</v>
      </c>
      <c r="B306" s="563"/>
      <c r="C306" s="563"/>
      <c r="D306" s="563"/>
      <c r="E306" s="563"/>
      <c r="F306" s="563"/>
      <c r="G306" s="563"/>
      <c r="H306" s="563"/>
    </row>
    <row r="307" spans="1:8">
      <c r="A307" s="564" t="s">
        <v>842</v>
      </c>
      <c r="B307" s="563"/>
      <c r="C307" s="563"/>
      <c r="D307" s="563"/>
      <c r="E307" s="563"/>
      <c r="F307" s="563"/>
      <c r="G307" s="563"/>
      <c r="H307" s="563"/>
    </row>
    <row r="308" spans="1:8">
      <c r="A308" s="563"/>
      <c r="B308" s="563"/>
      <c r="C308" s="563"/>
      <c r="D308" s="563"/>
      <c r="E308" s="563"/>
      <c r="F308" s="563"/>
      <c r="G308" s="563"/>
      <c r="H308" s="563"/>
    </row>
    <row r="309" spans="1:8">
      <c r="A309" s="564" t="s">
        <v>822</v>
      </c>
      <c r="B309" s="563"/>
      <c r="C309" s="563"/>
      <c r="D309" s="563"/>
      <c r="E309" s="563"/>
      <c r="F309" s="563"/>
      <c r="G309" s="563"/>
      <c r="H309" s="563"/>
    </row>
    <row r="310" spans="1:8">
      <c r="A310" s="564" t="s">
        <v>823</v>
      </c>
      <c r="B310" s="563"/>
      <c r="C310" s="563"/>
      <c r="D310" s="563"/>
      <c r="E310" s="563"/>
      <c r="F310" s="563"/>
      <c r="G310" s="563"/>
      <c r="H310" s="563"/>
    </row>
    <row r="311" spans="1:8">
      <c r="A311" s="564" t="s">
        <v>824</v>
      </c>
      <c r="B311" s="563"/>
      <c r="C311" s="563"/>
      <c r="D311" s="563"/>
      <c r="E311" s="563"/>
      <c r="F311" s="563"/>
      <c r="G311" s="563"/>
      <c r="H311" s="563"/>
    </row>
    <row r="312" spans="1:8">
      <c r="A312" s="564" t="s">
        <v>825</v>
      </c>
      <c r="B312" s="563"/>
      <c r="C312" s="563"/>
      <c r="D312" s="563"/>
      <c r="E312" s="563"/>
      <c r="F312" s="563"/>
      <c r="G312" s="563"/>
      <c r="H312" s="563"/>
    </row>
    <row r="313" spans="1:8">
      <c r="A313" s="564" t="s">
        <v>826</v>
      </c>
      <c r="B313" s="563"/>
      <c r="C313" s="563"/>
      <c r="D313" s="563"/>
      <c r="E313" s="563"/>
      <c r="F313" s="563"/>
      <c r="G313" s="563"/>
      <c r="H313" s="563"/>
    </row>
    <row r="314" spans="1:8">
      <c r="A314" s="564" t="s">
        <v>827</v>
      </c>
      <c r="B314" s="563"/>
      <c r="C314" s="563"/>
      <c r="D314" s="563"/>
      <c r="E314" s="563"/>
      <c r="F314" s="563"/>
      <c r="G314" s="563"/>
      <c r="H314" s="563"/>
    </row>
    <row r="315" spans="1:8">
      <c r="A315" s="564" t="s">
        <v>828</v>
      </c>
      <c r="B315" s="563"/>
      <c r="C315" s="563"/>
      <c r="D315" s="563"/>
      <c r="E315" s="563"/>
      <c r="F315" s="563"/>
      <c r="G315" s="563"/>
      <c r="H315" s="563"/>
    </row>
    <row r="316" spans="1:8">
      <c r="A316" s="564" t="s">
        <v>829</v>
      </c>
      <c r="B316" s="563"/>
      <c r="C316" s="563"/>
      <c r="D316" s="563"/>
      <c r="E316" s="563"/>
      <c r="F316" s="563"/>
      <c r="G316" s="563"/>
      <c r="H316" s="563"/>
    </row>
    <row r="317" spans="1:8">
      <c r="A317" s="563"/>
      <c r="B317" s="563"/>
      <c r="C317" s="563"/>
      <c r="D317" s="563"/>
      <c r="E317" s="563"/>
      <c r="F317" s="563"/>
      <c r="G317" s="563"/>
      <c r="H317" s="563"/>
    </row>
    <row r="318" spans="1:8">
      <c r="A318" s="564" t="s">
        <v>787</v>
      </c>
      <c r="B318" s="563"/>
      <c r="C318" s="563"/>
      <c r="D318" s="563"/>
      <c r="E318" s="563"/>
      <c r="F318" s="563"/>
      <c r="G318" s="563"/>
      <c r="H318" s="563"/>
    </row>
    <row r="319" spans="1:8">
      <c r="A319" s="564" t="s">
        <v>788</v>
      </c>
      <c r="B319" s="563"/>
      <c r="C319" s="563"/>
      <c r="D319" s="563"/>
      <c r="E319" s="563"/>
      <c r="F319" s="563"/>
      <c r="G319" s="563"/>
      <c r="H319" s="563"/>
    </row>
    <row r="320" spans="1:8">
      <c r="A320" s="564" t="s">
        <v>789</v>
      </c>
      <c r="B320" s="563"/>
      <c r="C320" s="563"/>
      <c r="D320" s="563"/>
      <c r="E320" s="563"/>
      <c r="F320" s="563"/>
      <c r="G320" s="563"/>
      <c r="H320" s="563"/>
    </row>
    <row r="321" spans="1:8">
      <c r="A321" s="564" t="s">
        <v>790</v>
      </c>
      <c r="B321" s="563"/>
      <c r="C321" s="563"/>
      <c r="D321" s="563"/>
      <c r="E321" s="563"/>
      <c r="F321" s="563"/>
      <c r="G321" s="563"/>
      <c r="H321" s="563"/>
    </row>
    <row r="322" spans="1:8">
      <c r="A322" s="564" t="s">
        <v>791</v>
      </c>
      <c r="B322" s="563"/>
      <c r="C322" s="563"/>
      <c r="D322" s="563"/>
      <c r="E322" s="563"/>
      <c r="F322" s="563"/>
      <c r="G322" s="563"/>
      <c r="H322" s="563"/>
    </row>
    <row r="323" spans="1:8">
      <c r="A323" s="564" t="s">
        <v>792</v>
      </c>
      <c r="B323" s="563"/>
      <c r="C323" s="563"/>
      <c r="D323" s="563"/>
      <c r="E323" s="563"/>
      <c r="F323" s="563"/>
      <c r="G323" s="563"/>
      <c r="H323" s="563"/>
    </row>
    <row r="324" spans="1:8">
      <c r="A324" s="564" t="s">
        <v>793</v>
      </c>
      <c r="B324" s="563"/>
      <c r="C324" s="563"/>
      <c r="D324" s="563"/>
      <c r="E324" s="563"/>
      <c r="F324" s="563"/>
      <c r="G324" s="563"/>
      <c r="H324" s="563"/>
    </row>
    <row r="325" spans="1:8">
      <c r="A325" s="564" t="s">
        <v>794</v>
      </c>
      <c r="B325" s="563"/>
      <c r="C325" s="563"/>
      <c r="D325" s="563"/>
      <c r="E325" s="563"/>
      <c r="F325" s="563"/>
      <c r="G325" s="563"/>
      <c r="H325" s="563"/>
    </row>
    <row r="326" spans="1:8">
      <c r="A326" s="564" t="s">
        <v>795</v>
      </c>
      <c r="B326" s="563"/>
      <c r="C326" s="563"/>
      <c r="D326" s="563"/>
      <c r="E326" s="563"/>
      <c r="F326" s="563"/>
      <c r="G326" s="563"/>
      <c r="H326" s="563"/>
    </row>
    <row r="327" spans="1:8">
      <c r="A327" s="564" t="s">
        <v>796</v>
      </c>
      <c r="B327" s="563"/>
      <c r="C327" s="563"/>
      <c r="D327" s="563"/>
      <c r="E327" s="563"/>
      <c r="F327" s="563"/>
      <c r="G327" s="563"/>
      <c r="H327" s="563"/>
    </row>
    <row r="328" spans="1:8">
      <c r="A328" s="564" t="s">
        <v>797</v>
      </c>
      <c r="B328" s="563"/>
      <c r="C328" s="563"/>
      <c r="D328" s="563"/>
      <c r="E328" s="563"/>
      <c r="F328" s="563"/>
      <c r="G328" s="563"/>
      <c r="H328" s="563"/>
    </row>
    <row r="329" spans="1:8">
      <c r="A329" s="564" t="s">
        <v>798</v>
      </c>
      <c r="B329" s="563"/>
      <c r="C329" s="563"/>
      <c r="D329" s="563"/>
      <c r="E329" s="563"/>
      <c r="F329" s="563"/>
      <c r="G329" s="563"/>
      <c r="H329" s="563"/>
    </row>
    <row r="330" spans="1:8">
      <c r="A330" s="564" t="s">
        <v>799</v>
      </c>
      <c r="B330" s="563"/>
      <c r="C330" s="563"/>
      <c r="D330" s="563"/>
      <c r="E330" s="563"/>
      <c r="F330" s="563"/>
      <c r="G330" s="563"/>
      <c r="H330" s="563"/>
    </row>
    <row r="331" spans="1:8">
      <c r="A331" s="564" t="s">
        <v>800</v>
      </c>
      <c r="B331" s="563"/>
      <c r="C331" s="563"/>
      <c r="D331" s="563"/>
      <c r="E331" s="563"/>
      <c r="F331" s="563"/>
      <c r="G331" s="563"/>
      <c r="H331" s="563"/>
    </row>
    <row r="332" spans="1:8">
      <c r="A332" s="564" t="s">
        <v>801</v>
      </c>
      <c r="B332" s="563"/>
      <c r="C332" s="563"/>
      <c r="D332" s="563"/>
      <c r="E332" s="563"/>
      <c r="F332" s="563"/>
      <c r="G332" s="563"/>
      <c r="H332" s="563"/>
    </row>
    <row r="333" spans="1:8">
      <c r="A333" s="564" t="s">
        <v>802</v>
      </c>
      <c r="B333" s="563"/>
      <c r="C333" s="563"/>
      <c r="D333" s="563"/>
      <c r="E333" s="563"/>
      <c r="F333" s="563"/>
      <c r="G333" s="563"/>
      <c r="H333" s="563"/>
    </row>
    <row r="334" spans="1:8">
      <c r="A334" s="564" t="s">
        <v>803</v>
      </c>
      <c r="B334" s="563"/>
      <c r="C334" s="563"/>
      <c r="D334" s="563"/>
      <c r="E334" s="563"/>
      <c r="F334" s="563"/>
      <c r="G334" s="563"/>
      <c r="H334" s="563"/>
    </row>
    <row r="335" spans="1:8">
      <c r="A335" s="564" t="s">
        <v>804</v>
      </c>
      <c r="B335" s="563"/>
      <c r="C335" s="563"/>
      <c r="D335" s="563"/>
      <c r="E335" s="563"/>
      <c r="F335" s="563"/>
      <c r="G335" s="563"/>
      <c r="H335" s="563"/>
    </row>
    <row r="336" spans="1:8">
      <c r="A336" s="564" t="s">
        <v>805</v>
      </c>
      <c r="B336" s="563"/>
      <c r="C336" s="563"/>
      <c r="D336" s="563"/>
      <c r="E336" s="563"/>
      <c r="F336" s="563"/>
      <c r="G336" s="563"/>
      <c r="H336" s="563"/>
    </row>
    <row r="337" spans="1:8">
      <c r="A337" s="564" t="s">
        <v>806</v>
      </c>
      <c r="B337" s="563"/>
      <c r="C337" s="563"/>
      <c r="D337" s="563"/>
      <c r="E337" s="563"/>
      <c r="F337" s="563"/>
      <c r="G337" s="563"/>
      <c r="H337" s="563"/>
    </row>
    <row r="338" spans="1:8">
      <c r="A338" s="564" t="s">
        <v>807</v>
      </c>
      <c r="B338" s="563"/>
      <c r="C338" s="563"/>
      <c r="D338" s="563"/>
      <c r="E338" s="563"/>
      <c r="F338" s="563"/>
      <c r="G338" s="563"/>
      <c r="H338" s="563"/>
    </row>
    <row r="339" spans="1:8">
      <c r="A339" s="564" t="s">
        <v>808</v>
      </c>
      <c r="B339" s="563"/>
      <c r="C339" s="563"/>
      <c r="D339" s="563"/>
      <c r="E339" s="563"/>
      <c r="F339" s="563"/>
      <c r="G339" s="563"/>
      <c r="H339" s="563"/>
    </row>
    <row r="340" spans="1:8">
      <c r="A340" s="564" t="s">
        <v>809</v>
      </c>
      <c r="B340" s="563"/>
      <c r="C340" s="563"/>
      <c r="D340" s="563"/>
      <c r="E340" s="563"/>
      <c r="F340" s="563"/>
      <c r="G340" s="563"/>
      <c r="H340" s="563"/>
    </row>
    <row r="341" spans="1:8">
      <c r="A341" s="564" t="s">
        <v>810</v>
      </c>
      <c r="B341" s="563"/>
      <c r="C341" s="563"/>
      <c r="D341" s="563"/>
      <c r="E341" s="563"/>
      <c r="F341" s="563"/>
      <c r="G341" s="563"/>
      <c r="H341" s="563"/>
    </row>
    <row r="342" spans="1:8">
      <c r="A342" s="564" t="s">
        <v>811</v>
      </c>
      <c r="B342" s="563"/>
      <c r="C342" s="563"/>
      <c r="D342" s="563"/>
      <c r="E342" s="563"/>
      <c r="F342" s="563"/>
      <c r="G342" s="563"/>
      <c r="H342" s="563"/>
    </row>
    <row r="343" spans="1:8">
      <c r="A343" s="564" t="s">
        <v>812</v>
      </c>
      <c r="B343" s="563"/>
      <c r="C343" s="563"/>
      <c r="D343" s="563"/>
      <c r="E343" s="563"/>
      <c r="F343" s="563"/>
      <c r="G343" s="563"/>
      <c r="H343" s="563"/>
    </row>
    <row r="344" spans="1:8">
      <c r="A344" s="564" t="s">
        <v>813</v>
      </c>
      <c r="B344" s="563"/>
      <c r="C344" s="563"/>
      <c r="D344" s="563"/>
      <c r="E344" s="563"/>
      <c r="F344" s="563"/>
      <c r="G344" s="563"/>
      <c r="H344" s="563"/>
    </row>
    <row r="345" spans="1:8">
      <c r="A345" s="564" t="s">
        <v>814</v>
      </c>
      <c r="B345" s="563"/>
      <c r="C345" s="563"/>
      <c r="D345" s="563"/>
      <c r="E345" s="563"/>
      <c r="F345" s="563"/>
      <c r="G345" s="563"/>
      <c r="H345" s="563"/>
    </row>
    <row r="346" spans="1:8">
      <c r="A346" s="564" t="s">
        <v>815</v>
      </c>
      <c r="B346" s="563"/>
      <c r="C346" s="563"/>
      <c r="D346" s="563"/>
      <c r="E346" s="563"/>
      <c r="F346" s="563"/>
      <c r="G346" s="563"/>
      <c r="H346" s="563"/>
    </row>
    <row r="347" spans="1:8">
      <c r="A347" s="564" t="s">
        <v>816</v>
      </c>
      <c r="B347" s="563"/>
      <c r="C347" s="563"/>
      <c r="D347" s="563"/>
      <c r="E347" s="563"/>
      <c r="F347" s="563"/>
      <c r="G347" s="563"/>
      <c r="H347" s="563"/>
    </row>
    <row r="348" spans="1:8">
      <c r="A348" s="564" t="s">
        <v>817</v>
      </c>
      <c r="B348" s="563"/>
      <c r="C348" s="563"/>
      <c r="D348" s="563"/>
      <c r="E348" s="563"/>
      <c r="F348" s="563"/>
      <c r="G348" s="563"/>
      <c r="H348" s="563"/>
    </row>
    <row r="349" spans="1:8">
      <c r="A349" s="564" t="s">
        <v>818</v>
      </c>
      <c r="B349" s="563"/>
      <c r="C349" s="563"/>
      <c r="D349" s="563"/>
      <c r="E349" s="563"/>
      <c r="F349" s="563"/>
      <c r="G349" s="563"/>
      <c r="H349" s="563"/>
    </row>
    <row r="350" spans="1:8">
      <c r="A350" s="564" t="s">
        <v>819</v>
      </c>
      <c r="B350" s="563"/>
      <c r="C350" s="563"/>
      <c r="D350" s="563"/>
      <c r="E350" s="563"/>
      <c r="F350" s="563"/>
      <c r="G350" s="563"/>
      <c r="H350" s="563"/>
    </row>
    <row r="351" spans="1:8">
      <c r="A351" s="564" t="s">
        <v>820</v>
      </c>
      <c r="B351" s="563"/>
      <c r="C351" s="563"/>
      <c r="D351" s="563"/>
      <c r="E351" s="563"/>
      <c r="F351" s="563"/>
      <c r="G351" s="563"/>
      <c r="H351" s="563"/>
    </row>
    <row r="352" spans="1:8">
      <c r="A352" s="564" t="s">
        <v>821</v>
      </c>
      <c r="B352" s="563"/>
      <c r="C352" s="563"/>
      <c r="D352" s="563"/>
      <c r="E352" s="563"/>
      <c r="F352" s="563"/>
      <c r="G352" s="563"/>
      <c r="H352" s="563"/>
    </row>
    <row r="353" spans="1:8">
      <c r="A353" s="563"/>
      <c r="B353" s="563"/>
      <c r="C353" s="563"/>
      <c r="D353" s="563"/>
      <c r="E353" s="563"/>
      <c r="F353" s="563"/>
      <c r="G353" s="563"/>
      <c r="H353" s="563"/>
    </row>
    <row r="354" spans="1:8">
      <c r="A354" s="564" t="s">
        <v>779</v>
      </c>
      <c r="B354" s="563"/>
      <c r="C354" s="563"/>
      <c r="D354" s="563"/>
      <c r="E354" s="563"/>
      <c r="F354" s="563"/>
      <c r="G354" s="563"/>
      <c r="H354" s="563"/>
    </row>
    <row r="355" spans="1:8">
      <c r="A355" s="564" t="s">
        <v>783</v>
      </c>
      <c r="B355" s="563"/>
      <c r="C355" s="563"/>
      <c r="D355" s="563"/>
      <c r="E355" s="563"/>
      <c r="F355" s="563"/>
      <c r="G355" s="563"/>
      <c r="H355" s="563"/>
    </row>
    <row r="356" spans="1:8">
      <c r="A356" s="564" t="s">
        <v>784</v>
      </c>
      <c r="B356" s="563"/>
      <c r="C356" s="563"/>
      <c r="D356" s="563"/>
      <c r="E356" s="563"/>
      <c r="F356" s="563"/>
      <c r="G356" s="563"/>
      <c r="H356" s="563"/>
    </row>
    <row r="357" spans="1:8">
      <c r="A357" s="564" t="s">
        <v>785</v>
      </c>
      <c r="B357" s="563"/>
      <c r="C357" s="563"/>
      <c r="D357" s="563"/>
      <c r="E357" s="563"/>
      <c r="F357" s="563"/>
      <c r="G357" s="563"/>
      <c r="H357" s="563"/>
    </row>
    <row r="358" spans="1:8">
      <c r="A358" s="564" t="s">
        <v>786</v>
      </c>
      <c r="B358" s="563"/>
      <c r="C358" s="563"/>
      <c r="D358" s="563"/>
      <c r="E358" s="563"/>
      <c r="F358" s="563"/>
      <c r="G358" s="563"/>
      <c r="H358" s="563"/>
    </row>
    <row r="359" spans="1:8">
      <c r="A359" s="563"/>
      <c r="B359" s="563"/>
      <c r="C359" s="563"/>
      <c r="D359" s="563"/>
      <c r="E359" s="563"/>
      <c r="F359" s="563"/>
      <c r="G359" s="563"/>
      <c r="H359" s="563"/>
    </row>
    <row r="360" spans="1:8">
      <c r="A360" s="564" t="s">
        <v>779</v>
      </c>
      <c r="B360" s="563"/>
      <c r="C360" s="563"/>
      <c r="D360" s="563"/>
      <c r="E360" s="563"/>
      <c r="F360" s="563"/>
      <c r="G360" s="563"/>
      <c r="H360" s="563"/>
    </row>
    <row r="361" spans="1:8">
      <c r="A361" s="564" t="s">
        <v>780</v>
      </c>
      <c r="B361" s="563"/>
      <c r="C361" s="563"/>
      <c r="D361" s="563"/>
      <c r="E361" s="563"/>
      <c r="F361" s="563"/>
      <c r="G361" s="563"/>
      <c r="H361" s="563"/>
    </row>
    <row r="362" spans="1:8">
      <c r="A362" s="564" t="s">
        <v>781</v>
      </c>
      <c r="B362" s="563"/>
      <c r="C362" s="563"/>
      <c r="D362" s="563"/>
      <c r="E362" s="563"/>
      <c r="F362" s="563"/>
      <c r="G362" s="563"/>
      <c r="H362" s="563"/>
    </row>
    <row r="363" spans="1:8">
      <c r="A363" s="564" t="s">
        <v>782</v>
      </c>
      <c r="B363" s="563"/>
      <c r="C363" s="563"/>
      <c r="D363" s="563"/>
      <c r="E363" s="563"/>
      <c r="F363" s="563"/>
      <c r="G363" s="563"/>
      <c r="H363" s="563"/>
    </row>
    <row r="364" spans="1:8">
      <c r="A364" s="563"/>
      <c r="B364" s="563"/>
      <c r="C364" s="563"/>
      <c r="D364" s="563"/>
      <c r="E364" s="563"/>
      <c r="F364" s="563"/>
      <c r="G364" s="563"/>
      <c r="H364" s="563"/>
    </row>
    <row r="365" spans="1:8">
      <c r="A365" s="564" t="s">
        <v>773</v>
      </c>
      <c r="B365" s="563"/>
      <c r="C365" s="563"/>
      <c r="D365" s="563"/>
      <c r="E365" s="563"/>
      <c r="F365" s="563"/>
      <c r="G365" s="563"/>
      <c r="H365" s="563"/>
    </row>
    <row r="366" spans="1:8">
      <c r="A366" s="564" t="s">
        <v>774</v>
      </c>
      <c r="B366" s="563"/>
      <c r="C366" s="563"/>
      <c r="D366" s="563"/>
      <c r="E366" s="563"/>
      <c r="F366" s="563"/>
      <c r="G366" s="563"/>
      <c r="H366" s="563"/>
    </row>
    <row r="367" spans="1:8">
      <c r="A367" s="564" t="s">
        <v>775</v>
      </c>
      <c r="B367" s="563"/>
      <c r="C367" s="563"/>
      <c r="D367" s="563"/>
      <c r="E367" s="563"/>
      <c r="F367" s="563"/>
      <c r="G367" s="563"/>
      <c r="H367" s="563"/>
    </row>
    <row r="368" spans="1:8">
      <c r="A368" s="564" t="s">
        <v>776</v>
      </c>
      <c r="B368" s="563"/>
      <c r="C368" s="563"/>
      <c r="D368" s="563"/>
      <c r="E368" s="563"/>
      <c r="F368" s="563"/>
      <c r="G368" s="563"/>
      <c r="H368" s="563"/>
    </row>
    <row r="369" spans="1:8">
      <c r="A369" s="564" t="s">
        <v>777</v>
      </c>
      <c r="B369" s="563"/>
      <c r="C369" s="563"/>
      <c r="D369" s="563"/>
      <c r="E369" s="563"/>
      <c r="F369" s="563"/>
      <c r="G369" s="563"/>
      <c r="H369" s="563"/>
    </row>
    <row r="370" spans="1:8">
      <c r="A370" s="564" t="s">
        <v>778</v>
      </c>
      <c r="B370" s="563"/>
      <c r="C370" s="563"/>
      <c r="D370" s="563"/>
      <c r="E370" s="563"/>
      <c r="F370" s="563"/>
      <c r="G370" s="563"/>
      <c r="H370" s="563"/>
    </row>
    <row r="371" spans="1:8">
      <c r="A371" s="563"/>
      <c r="B371" s="563"/>
      <c r="C371" s="563"/>
      <c r="D371" s="563"/>
      <c r="E371" s="563"/>
      <c r="F371" s="563"/>
      <c r="G371" s="563"/>
      <c r="H371" s="563"/>
    </row>
    <row r="372" spans="1:8">
      <c r="A372" s="564" t="s">
        <v>768</v>
      </c>
      <c r="B372" s="563"/>
      <c r="C372" s="563"/>
      <c r="D372" s="563"/>
      <c r="E372" s="563"/>
      <c r="F372" s="563"/>
      <c r="G372" s="563"/>
      <c r="H372" s="563"/>
    </row>
    <row r="373" spans="1:8">
      <c r="A373" s="564" t="s">
        <v>769</v>
      </c>
      <c r="B373" s="563"/>
      <c r="C373" s="563"/>
      <c r="D373" s="563"/>
      <c r="E373" s="563"/>
      <c r="F373" s="563"/>
      <c r="G373" s="563"/>
      <c r="H373" s="563"/>
    </row>
    <row r="374" spans="1:8">
      <c r="A374" s="564" t="s">
        <v>770</v>
      </c>
      <c r="B374" s="563"/>
      <c r="C374" s="563"/>
      <c r="D374" s="563"/>
      <c r="E374" s="563"/>
      <c r="F374" s="563"/>
      <c r="G374" s="563"/>
      <c r="H374" s="563"/>
    </row>
    <row r="375" spans="1:8">
      <c r="A375" s="564" t="s">
        <v>771</v>
      </c>
      <c r="B375" s="563"/>
      <c r="C375" s="563"/>
      <c r="D375" s="563"/>
      <c r="E375" s="563"/>
      <c r="F375" s="563"/>
      <c r="G375" s="563"/>
      <c r="H375" s="563"/>
    </row>
    <row r="376" spans="1:8">
      <c r="A376" s="564" t="s">
        <v>772</v>
      </c>
      <c r="B376" s="563"/>
      <c r="C376" s="563"/>
      <c r="D376" s="563"/>
      <c r="E376" s="563"/>
      <c r="F376" s="563"/>
      <c r="G376" s="563"/>
      <c r="H376" s="563"/>
    </row>
    <row r="377" spans="1:8">
      <c r="A377" s="563"/>
      <c r="B377" s="563"/>
      <c r="C377" s="563"/>
      <c r="D377" s="563"/>
      <c r="E377" s="563"/>
      <c r="F377" s="563"/>
      <c r="G377" s="563"/>
      <c r="H377" s="563"/>
    </row>
    <row r="378" spans="1:8">
      <c r="A378" s="564" t="s">
        <v>766</v>
      </c>
      <c r="B378" s="563"/>
      <c r="C378" s="563"/>
      <c r="D378" s="563"/>
      <c r="E378" s="563"/>
      <c r="F378" s="563"/>
      <c r="G378" s="563"/>
      <c r="H378" s="563"/>
    </row>
    <row r="379" spans="1:8">
      <c r="A379" s="564" t="s">
        <v>767</v>
      </c>
      <c r="B379" s="563"/>
      <c r="C379" s="563"/>
      <c r="D379" s="563"/>
      <c r="E379" s="563"/>
      <c r="F379" s="563"/>
      <c r="G379" s="563"/>
      <c r="H379" s="563"/>
    </row>
    <row r="381" spans="1:8">
      <c r="A381" s="559" t="s">
        <v>1015</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verticalDpi="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7"/>
  <sheetViews>
    <sheetView workbookViewId="0"/>
  </sheetViews>
  <sheetFormatPr defaultRowHeight="11.25"/>
  <sheetData>
    <row r="1" spans="1:2">
      <c r="A1" t="s">
        <v>1090</v>
      </c>
      <c r="B1" t="s">
        <v>1091</v>
      </c>
    </row>
    <row r="2" spans="1:2">
      <c r="A2" s="233" t="s">
        <v>1092</v>
      </c>
      <c r="B2">
        <v>0</v>
      </c>
    </row>
    <row r="3" spans="1:2">
      <c r="A3" s="233" t="s">
        <v>1093</v>
      </c>
      <c r="B3">
        <v>0</v>
      </c>
    </row>
    <row r="4" spans="1:2">
      <c r="A4" s="233" t="s">
        <v>1094</v>
      </c>
      <c r="B4">
        <v>0</v>
      </c>
    </row>
    <row r="5" spans="1:2">
      <c r="A5" s="233" t="s">
        <v>1095</v>
      </c>
      <c r="B5">
        <v>0</v>
      </c>
    </row>
    <row r="6" spans="1:2">
      <c r="A6" s="233" t="s">
        <v>1096</v>
      </c>
      <c r="B6">
        <v>0</v>
      </c>
    </row>
    <row r="7" spans="1:2">
      <c r="A7" s="233" t="s">
        <v>1097</v>
      </c>
      <c r="B7">
        <v>-1</v>
      </c>
    </row>
    <row r="8" spans="1:2">
      <c r="A8" s="233" t="s">
        <v>1098</v>
      </c>
      <c r="B8">
        <v>2</v>
      </c>
    </row>
    <row r="9" spans="1:2">
      <c r="A9" s="233" t="s">
        <v>1099</v>
      </c>
      <c r="B9">
        <v>-1</v>
      </c>
    </row>
    <row r="10" spans="1:2">
      <c r="A10" s="233" t="s">
        <v>1022</v>
      </c>
      <c r="B10">
        <v>-1</v>
      </c>
    </row>
    <row r="11" spans="1:2">
      <c r="A11" s="233" t="s">
        <v>1100</v>
      </c>
      <c r="B11">
        <v>0</v>
      </c>
    </row>
    <row r="12" spans="1:2">
      <c r="A12" s="233" t="s">
        <v>1101</v>
      </c>
      <c r="B12">
        <v>-1</v>
      </c>
    </row>
    <row r="13" spans="1:2">
      <c r="A13" s="233" t="s">
        <v>1102</v>
      </c>
      <c r="B13">
        <v>-1</v>
      </c>
    </row>
    <row r="14" spans="1:2">
      <c r="A14" s="233" t="s">
        <v>1103</v>
      </c>
      <c r="B14">
        <v>-1</v>
      </c>
    </row>
    <row r="15" spans="1:2">
      <c r="A15" s="233" t="s">
        <v>1104</v>
      </c>
      <c r="B15">
        <v>0</v>
      </c>
    </row>
    <row r="16" spans="1:2">
      <c r="A16" s="233" t="s">
        <v>1105</v>
      </c>
      <c r="B16">
        <v>0</v>
      </c>
    </row>
    <row r="17" spans="1:2">
      <c r="A17" s="233" t="s">
        <v>1106</v>
      </c>
      <c r="B17">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B1:B11"/>
  <sheetViews>
    <sheetView showGridLines="0" showRowColHeaders="0" workbookViewId="0">
      <selection activeCell="N1" sqref="N1"/>
    </sheetView>
  </sheetViews>
  <sheetFormatPr defaultRowHeight="12.75"/>
  <cols>
    <col min="1" max="1" width="9.33203125" style="529"/>
    <col min="2" max="2" width="103" style="529" customWidth="1"/>
    <col min="3" max="257" width="9.33203125" style="529"/>
    <col min="258" max="258" width="103" style="529" customWidth="1"/>
    <col min="259" max="513" width="9.33203125" style="529"/>
    <col min="514" max="514" width="103" style="529" customWidth="1"/>
    <col min="515" max="769" width="9.33203125" style="529"/>
    <col min="770" max="770" width="103" style="529" customWidth="1"/>
    <col min="771" max="1025" width="9.33203125" style="529"/>
    <col min="1026" max="1026" width="103" style="529" customWidth="1"/>
    <col min="1027" max="1281" width="9.33203125" style="529"/>
    <col min="1282" max="1282" width="103" style="529" customWidth="1"/>
    <col min="1283" max="1537" width="9.33203125" style="529"/>
    <col min="1538" max="1538" width="103" style="529" customWidth="1"/>
    <col min="1539" max="1793" width="9.33203125" style="529"/>
    <col min="1794" max="1794" width="103" style="529" customWidth="1"/>
    <col min="1795" max="2049" width="9.33203125" style="529"/>
    <col min="2050" max="2050" width="103" style="529" customWidth="1"/>
    <col min="2051" max="2305" width="9.33203125" style="529"/>
    <col min="2306" max="2306" width="103" style="529" customWidth="1"/>
    <col min="2307" max="2561" width="9.33203125" style="529"/>
    <col min="2562" max="2562" width="103" style="529" customWidth="1"/>
    <col min="2563" max="2817" width="9.33203125" style="529"/>
    <col min="2818" max="2818" width="103" style="529" customWidth="1"/>
    <col min="2819" max="3073" width="9.33203125" style="529"/>
    <col min="3074" max="3074" width="103" style="529" customWidth="1"/>
    <col min="3075" max="3329" width="9.33203125" style="529"/>
    <col min="3330" max="3330" width="103" style="529" customWidth="1"/>
    <col min="3331" max="3585" width="9.33203125" style="529"/>
    <col min="3586" max="3586" width="103" style="529" customWidth="1"/>
    <col min="3587" max="3841" width="9.33203125" style="529"/>
    <col min="3842" max="3842" width="103" style="529" customWidth="1"/>
    <col min="3843" max="4097" width="9.33203125" style="529"/>
    <col min="4098" max="4098" width="103" style="529" customWidth="1"/>
    <col min="4099" max="4353" width="9.33203125" style="529"/>
    <col min="4354" max="4354" width="103" style="529" customWidth="1"/>
    <col min="4355" max="4609" width="9.33203125" style="529"/>
    <col min="4610" max="4610" width="103" style="529" customWidth="1"/>
    <col min="4611" max="4865" width="9.33203125" style="529"/>
    <col min="4866" max="4866" width="103" style="529" customWidth="1"/>
    <col min="4867" max="5121" width="9.33203125" style="529"/>
    <col min="5122" max="5122" width="103" style="529" customWidth="1"/>
    <col min="5123" max="5377" width="9.33203125" style="529"/>
    <col min="5378" max="5378" width="103" style="529" customWidth="1"/>
    <col min="5379" max="5633" width="9.33203125" style="529"/>
    <col min="5634" max="5634" width="103" style="529" customWidth="1"/>
    <col min="5635" max="5889" width="9.33203125" style="529"/>
    <col min="5890" max="5890" width="103" style="529" customWidth="1"/>
    <col min="5891" max="6145" width="9.33203125" style="529"/>
    <col min="6146" max="6146" width="103" style="529" customWidth="1"/>
    <col min="6147" max="6401" width="9.33203125" style="529"/>
    <col min="6402" max="6402" width="103" style="529" customWidth="1"/>
    <col min="6403" max="6657" width="9.33203125" style="529"/>
    <col min="6658" max="6658" width="103" style="529" customWidth="1"/>
    <col min="6659" max="6913" width="9.33203125" style="529"/>
    <col min="6914" max="6914" width="103" style="529" customWidth="1"/>
    <col min="6915" max="7169" width="9.33203125" style="529"/>
    <col min="7170" max="7170" width="103" style="529" customWidth="1"/>
    <col min="7171" max="7425" width="9.33203125" style="529"/>
    <col min="7426" max="7426" width="103" style="529" customWidth="1"/>
    <col min="7427" max="7681" width="9.33203125" style="529"/>
    <col min="7682" max="7682" width="103" style="529" customWidth="1"/>
    <col min="7683" max="7937" width="9.33203125" style="529"/>
    <col min="7938" max="7938" width="103" style="529" customWidth="1"/>
    <col min="7939" max="8193" width="9.33203125" style="529"/>
    <col min="8194" max="8194" width="103" style="529" customWidth="1"/>
    <col min="8195" max="8449" width="9.33203125" style="529"/>
    <col min="8450" max="8450" width="103" style="529" customWidth="1"/>
    <col min="8451" max="8705" width="9.33203125" style="529"/>
    <col min="8706" max="8706" width="103" style="529" customWidth="1"/>
    <col min="8707" max="8961" width="9.33203125" style="529"/>
    <col min="8962" max="8962" width="103" style="529" customWidth="1"/>
    <col min="8963" max="9217" width="9.33203125" style="529"/>
    <col min="9218" max="9218" width="103" style="529" customWidth="1"/>
    <col min="9219" max="9473" width="9.33203125" style="529"/>
    <col min="9474" max="9474" width="103" style="529" customWidth="1"/>
    <col min="9475" max="9729" width="9.33203125" style="529"/>
    <col min="9730" max="9730" width="103" style="529" customWidth="1"/>
    <col min="9731" max="9985" width="9.33203125" style="529"/>
    <col min="9986" max="9986" width="103" style="529" customWidth="1"/>
    <col min="9987" max="10241" width="9.33203125" style="529"/>
    <col min="10242" max="10242" width="103" style="529" customWidth="1"/>
    <col min="10243" max="10497" width="9.33203125" style="529"/>
    <col min="10498" max="10498" width="103" style="529" customWidth="1"/>
    <col min="10499" max="10753" width="9.33203125" style="529"/>
    <col min="10754" max="10754" width="103" style="529" customWidth="1"/>
    <col min="10755" max="11009" width="9.33203125" style="529"/>
    <col min="11010" max="11010" width="103" style="529" customWidth="1"/>
    <col min="11011" max="11265" width="9.33203125" style="529"/>
    <col min="11266" max="11266" width="103" style="529" customWidth="1"/>
    <col min="11267" max="11521" width="9.33203125" style="529"/>
    <col min="11522" max="11522" width="103" style="529" customWidth="1"/>
    <col min="11523" max="11777" width="9.33203125" style="529"/>
    <col min="11778" max="11778" width="103" style="529" customWidth="1"/>
    <col min="11779" max="12033" width="9.33203125" style="529"/>
    <col min="12034" max="12034" width="103" style="529" customWidth="1"/>
    <col min="12035" max="12289" width="9.33203125" style="529"/>
    <col min="12290" max="12290" width="103" style="529" customWidth="1"/>
    <col min="12291" max="12545" width="9.33203125" style="529"/>
    <col min="12546" max="12546" width="103" style="529" customWidth="1"/>
    <col min="12547" max="12801" width="9.33203125" style="529"/>
    <col min="12802" max="12802" width="103" style="529" customWidth="1"/>
    <col min="12803" max="13057" width="9.33203125" style="529"/>
    <col min="13058" max="13058" width="103" style="529" customWidth="1"/>
    <col min="13059" max="13313" width="9.33203125" style="529"/>
    <col min="13314" max="13314" width="103" style="529" customWidth="1"/>
    <col min="13315" max="13569" width="9.33203125" style="529"/>
    <col min="13570" max="13570" width="103" style="529" customWidth="1"/>
    <col min="13571" max="13825" width="9.33203125" style="529"/>
    <col min="13826" max="13826" width="103" style="529" customWidth="1"/>
    <col min="13827" max="14081" width="9.33203125" style="529"/>
    <col min="14082" max="14082" width="103" style="529" customWidth="1"/>
    <col min="14083" max="14337" width="9.33203125" style="529"/>
    <col min="14338" max="14338" width="103" style="529" customWidth="1"/>
    <col min="14339" max="14593" width="9.33203125" style="529"/>
    <col min="14594" max="14594" width="103" style="529" customWidth="1"/>
    <col min="14595" max="14849" width="9.33203125" style="529"/>
    <col min="14850" max="14850" width="103" style="529" customWidth="1"/>
    <col min="14851" max="15105" width="9.33203125" style="529"/>
    <col min="15106" max="15106" width="103" style="529" customWidth="1"/>
    <col min="15107" max="15361" width="9.33203125" style="529"/>
    <col min="15362" max="15362" width="103" style="529" customWidth="1"/>
    <col min="15363" max="15617" width="9.33203125" style="529"/>
    <col min="15618" max="15618" width="103" style="529" customWidth="1"/>
    <col min="15619" max="15873" width="9.33203125" style="529"/>
    <col min="15874" max="15874" width="103" style="529" customWidth="1"/>
    <col min="15875" max="16129" width="9.33203125" style="529"/>
    <col min="16130" max="16130" width="103" style="529" customWidth="1"/>
    <col min="16131" max="16384" width="9.33203125" style="529"/>
  </cols>
  <sheetData>
    <row r="1" spans="2:2" ht="32.25" customHeight="1"/>
    <row r="2" spans="2:2" ht="72">
      <c r="B2" s="583" t="s">
        <v>1083</v>
      </c>
    </row>
    <row r="3" spans="2:2" ht="72" hidden="1">
      <c r="B3" s="583" t="s">
        <v>1084</v>
      </c>
    </row>
    <row r="4" spans="2:2" ht="18">
      <c r="B4" s="583"/>
    </row>
    <row r="5" spans="2:2" ht="54">
      <c r="B5" s="583" t="s">
        <v>1085</v>
      </c>
    </row>
    <row r="6" spans="2:2" ht="7.5" customHeight="1">
      <c r="B6" s="583"/>
    </row>
    <row r="7" spans="2:2" ht="18">
      <c r="B7" s="584" t="s">
        <v>1086</v>
      </c>
    </row>
    <row r="8" spans="2:2" ht="18">
      <c r="B8" s="584" t="s">
        <v>1088</v>
      </c>
    </row>
    <row r="9" spans="2:2" ht="18">
      <c r="B9" s="584" t="s">
        <v>1089</v>
      </c>
    </row>
    <row r="10" spans="2:2" ht="18">
      <c r="B10" s="585"/>
    </row>
    <row r="11" spans="2:2" ht="54">
      <c r="B11" s="586" t="s">
        <v>1087</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30722"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CG406"/>
  <sheetViews>
    <sheetView showGridLines="0" zoomScale="85" zoomScaleNormal="85" zoomScaleSheetLayoutView="70" workbookViewId="0">
      <pane xSplit="2" ySplit="6" topLeftCell="C7" activePane="bottomRight" state="frozen"/>
      <selection activeCell="D52" sqref="D52:F52"/>
      <selection pane="topRight" activeCell="D52" sqref="D52:F52"/>
      <selection pane="bottomLeft" activeCell="D52" sqref="D52:F52"/>
      <selection pane="bottomRight" activeCell="C7" sqref="C7"/>
    </sheetView>
  </sheetViews>
  <sheetFormatPr defaultRowHeight="12" customHeight="1" outlineLevelRow="1" outlineLevelCol="1"/>
  <cols>
    <col min="1" max="1" width="2.6640625" bestFit="1" customWidth="1"/>
    <col min="2" max="2" width="40.5" customWidth="1"/>
    <col min="3" max="3" width="10.1640625" bestFit="1" customWidth="1"/>
    <col min="4" max="14" width="12" hidden="1" customWidth="1" outlineLevel="1"/>
    <col min="15" max="15" width="12" hidden="1" customWidth="1" outlineLevel="1" collapsed="1"/>
    <col min="16" max="16" width="12" style="1" hidden="1" customWidth="1" outlineLevel="1"/>
    <col min="17" max="18" width="12" hidden="1" customWidth="1" outlineLevel="1"/>
    <col min="19" max="19" width="12.5" hidden="1" customWidth="1" outlineLevel="1" collapsed="1"/>
    <col min="20" max="22" width="12.5" hidden="1" customWidth="1" outlineLevel="1"/>
    <col min="23" max="23" width="12.5" hidden="1" customWidth="1" outlineLevel="1" collapsed="1"/>
    <col min="24" max="26" width="12.5" hidden="1" customWidth="1" outlineLevel="1"/>
    <col min="27" max="27" width="12.5" hidden="1" customWidth="1" outlineLevel="1" collapsed="1"/>
    <col min="28" max="30" width="12.5" hidden="1" customWidth="1" outlineLevel="1"/>
    <col min="31" max="31" width="12.5" hidden="1" customWidth="1" outlineLevel="1" collapsed="1"/>
    <col min="32" max="34" width="12.5" hidden="1" customWidth="1" outlineLevel="1"/>
    <col min="35" max="35" width="12.5" customWidth="1" collapsed="1"/>
    <col min="36" max="42" width="12.5" customWidth="1"/>
    <col min="43" max="62" width="12.5" hidden="1" customWidth="1" outlineLevel="1"/>
    <col min="63" max="63" width="2.1640625" customWidth="1" collapsed="1"/>
    <col min="64" max="65" width="11" hidden="1" customWidth="1" outlineLevel="1"/>
    <col min="66" max="66" width="12.5" hidden="1" customWidth="1" outlineLevel="1"/>
    <col min="67" max="69" width="12.5" hidden="1" customWidth="1" outlineLevel="1" collapsed="1"/>
    <col min="70" max="70" width="12.5" hidden="1" customWidth="1" outlineLevel="1"/>
    <col min="71" max="71" width="12.5" customWidth="1" collapsed="1"/>
    <col min="72" max="78" width="12.5" customWidth="1"/>
    <col min="79" max="79" width="12.5" style="291" customWidth="1"/>
    <col min="80" max="80" width="44.83203125" customWidth="1"/>
    <col min="81" max="81" width="12.5" customWidth="1"/>
    <col min="82" max="82" width="14.1640625" customWidth="1"/>
    <col min="83" max="85" width="12.5" customWidth="1"/>
    <col min="86" max="110" width="12.5" style="207" customWidth="1"/>
    <col min="111" max="16384" width="9.33203125" style="207"/>
  </cols>
  <sheetData>
    <row r="1" spans="1:85" ht="12" customHeight="1">
      <c r="B1" s="3" t="s">
        <v>86</v>
      </c>
      <c r="C1" s="5"/>
      <c r="D1" s="5" t="str">
        <f>MONTH(D2)/3&amp;"Q '"&amp;MID(YEAR(D2),3,2)&amp;"A"</f>
        <v>2Q '09A</v>
      </c>
      <c r="E1" s="5" t="str">
        <f t="shared" ref="E1:N1" si="0">MONTH(E2)/3&amp;"Q '"&amp;MID(YEAR(E2),3,2)&amp;"A"</f>
        <v>3Q '09A</v>
      </c>
      <c r="F1" s="5" t="str">
        <f t="shared" si="0"/>
        <v>4Q '09A</v>
      </c>
      <c r="G1" s="5" t="str">
        <f t="shared" si="0"/>
        <v>1Q '10A</v>
      </c>
      <c r="H1" s="5" t="str">
        <f t="shared" si="0"/>
        <v>2Q '10A</v>
      </c>
      <c r="I1" s="5" t="str">
        <f t="shared" si="0"/>
        <v>3Q '10A</v>
      </c>
      <c r="J1" s="5" t="str">
        <f t="shared" si="0"/>
        <v>4Q '10A</v>
      </c>
      <c r="K1" s="5" t="str">
        <f t="shared" si="0"/>
        <v>1Q '11A</v>
      </c>
      <c r="L1" s="5" t="str">
        <f t="shared" si="0"/>
        <v>2Q '11A</v>
      </c>
      <c r="M1" s="5" t="str">
        <f t="shared" si="0"/>
        <v>3Q '11A</v>
      </c>
      <c r="N1" s="5" t="str">
        <f t="shared" si="0"/>
        <v>4Q '11A</v>
      </c>
      <c r="O1" s="5" t="str">
        <f t="shared" ref="O1:T1" si="1">MONTH(O2)/3&amp;"Q '"&amp;MID(YEAR(O2),3,2)&amp;"A"</f>
        <v>1Q '12A</v>
      </c>
      <c r="P1" s="5" t="str">
        <f t="shared" si="1"/>
        <v>2Q '12A</v>
      </c>
      <c r="Q1" s="5" t="str">
        <f t="shared" si="1"/>
        <v>3Q '12A</v>
      </c>
      <c r="R1" s="5" t="str">
        <f t="shared" si="1"/>
        <v>4Q '12A</v>
      </c>
      <c r="S1" s="5" t="str">
        <f t="shared" si="1"/>
        <v>1Q '13A</v>
      </c>
      <c r="T1" s="5" t="str">
        <f t="shared" si="1"/>
        <v>2Q '13A</v>
      </c>
      <c r="U1" s="5" t="str">
        <f t="shared" ref="U1:Z1" si="2">MONTH(U2)/3&amp;"Q '"&amp;MID(YEAR(U2),3,2)&amp;"A"</f>
        <v>3Q '13A</v>
      </c>
      <c r="V1" s="5" t="str">
        <f t="shared" si="2"/>
        <v>4Q '13A</v>
      </c>
      <c r="W1" s="5" t="str">
        <f t="shared" si="2"/>
        <v>1Q '14A</v>
      </c>
      <c r="X1" s="5" t="str">
        <f t="shared" si="2"/>
        <v>2Q '14A</v>
      </c>
      <c r="Y1" s="5" t="str">
        <f t="shared" si="2"/>
        <v>3Q '14A</v>
      </c>
      <c r="Z1" s="5" t="str">
        <f t="shared" si="2"/>
        <v>4Q '14A</v>
      </c>
      <c r="AA1" s="5" t="str">
        <f t="shared" ref="AA1:AF1" si="3">MONTH(AA2)/3&amp;"Q '"&amp;MID(YEAR(AA2),3,2)&amp;"A"</f>
        <v>1Q '15A</v>
      </c>
      <c r="AB1" s="5" t="str">
        <f t="shared" si="3"/>
        <v>2Q '15A</v>
      </c>
      <c r="AC1" s="5" t="str">
        <f t="shared" si="3"/>
        <v>3Q '15A</v>
      </c>
      <c r="AD1" s="5" t="str">
        <f t="shared" si="3"/>
        <v>4Q '15A</v>
      </c>
      <c r="AE1" s="5" t="str">
        <f t="shared" si="3"/>
        <v>1Q '16A</v>
      </c>
      <c r="AF1" s="5" t="str">
        <f t="shared" si="3"/>
        <v>2Q '16A</v>
      </c>
      <c r="AG1" s="5" t="str">
        <f t="shared" ref="AG1:AL1" si="4">MONTH(AG2)/3&amp;"Q '"&amp;MID(YEAR(AG2),3,2)&amp;"A"</f>
        <v>3Q '16A</v>
      </c>
      <c r="AH1" s="5" t="str">
        <f t="shared" si="4"/>
        <v>4Q '16A</v>
      </c>
      <c r="AI1" s="5" t="str">
        <f t="shared" si="4"/>
        <v>1Q '17A</v>
      </c>
      <c r="AJ1" s="5" t="str">
        <f t="shared" si="4"/>
        <v>2Q '17A</v>
      </c>
      <c r="AK1" s="5" t="str">
        <f t="shared" si="4"/>
        <v>3Q '17A</v>
      </c>
      <c r="AL1" s="5" t="str">
        <f t="shared" si="4"/>
        <v>4Q '17A</v>
      </c>
      <c r="AM1" s="5" t="str">
        <f t="shared" ref="AM1:BJ1" si="5">MONTH(AM2)/3&amp;"Q '"&amp;MID(YEAR(AM2),3,2)&amp;"E"</f>
        <v>1Q '18E</v>
      </c>
      <c r="AN1" s="5" t="str">
        <f t="shared" si="5"/>
        <v>2Q '18E</v>
      </c>
      <c r="AO1" s="5" t="str">
        <f t="shared" si="5"/>
        <v>3Q '18E</v>
      </c>
      <c r="AP1" s="5" t="str">
        <f t="shared" si="5"/>
        <v>4Q '18E</v>
      </c>
      <c r="AQ1" s="5" t="str">
        <f t="shared" si="5"/>
        <v>1Q '19E</v>
      </c>
      <c r="AR1" s="5" t="str">
        <f t="shared" si="5"/>
        <v>2Q '19E</v>
      </c>
      <c r="AS1" s="5" t="str">
        <f t="shared" si="5"/>
        <v>3Q '19E</v>
      </c>
      <c r="AT1" s="5" t="str">
        <f t="shared" si="5"/>
        <v>4Q '19E</v>
      </c>
      <c r="AU1" s="5" t="str">
        <f t="shared" si="5"/>
        <v>1Q '20E</v>
      </c>
      <c r="AV1" s="5" t="str">
        <f t="shared" si="5"/>
        <v>2Q '20E</v>
      </c>
      <c r="AW1" s="5" t="str">
        <f t="shared" si="5"/>
        <v>3Q '20E</v>
      </c>
      <c r="AX1" s="5" t="str">
        <f t="shared" si="5"/>
        <v>4Q '20E</v>
      </c>
      <c r="AY1" s="5" t="str">
        <f t="shared" si="5"/>
        <v>1Q '21E</v>
      </c>
      <c r="AZ1" s="5" t="str">
        <f t="shared" si="5"/>
        <v>2Q '21E</v>
      </c>
      <c r="BA1" s="5" t="str">
        <f t="shared" si="5"/>
        <v>3Q '21E</v>
      </c>
      <c r="BB1" s="5" t="str">
        <f t="shared" si="5"/>
        <v>4Q '21E</v>
      </c>
      <c r="BC1" s="5" t="str">
        <f t="shared" si="5"/>
        <v>1Q '22E</v>
      </c>
      <c r="BD1" s="5" t="str">
        <f t="shared" si="5"/>
        <v>2Q '22E</v>
      </c>
      <c r="BE1" s="5" t="str">
        <f t="shared" si="5"/>
        <v>3Q '22E</v>
      </c>
      <c r="BF1" s="5" t="str">
        <f t="shared" si="5"/>
        <v>4Q '22E</v>
      </c>
      <c r="BG1" s="5" t="str">
        <f t="shared" si="5"/>
        <v>1Q '23E</v>
      </c>
      <c r="BH1" s="5" t="str">
        <f t="shared" si="5"/>
        <v>2Q '23E</v>
      </c>
      <c r="BI1" s="5" t="str">
        <f t="shared" si="5"/>
        <v>3Q '23E</v>
      </c>
      <c r="BJ1" s="5" t="str">
        <f t="shared" si="5"/>
        <v>4Q '23E</v>
      </c>
      <c r="BL1" s="5">
        <f t="shared" ref="BL1:BY1" si="6">YEAR(BL2)</f>
        <v>2010</v>
      </c>
      <c r="BM1" s="5">
        <f t="shared" si="6"/>
        <v>2011</v>
      </c>
      <c r="BN1" s="5">
        <f t="shared" si="6"/>
        <v>2012</v>
      </c>
      <c r="BO1" s="5">
        <f t="shared" si="6"/>
        <v>2013</v>
      </c>
      <c r="BP1" s="5">
        <f t="shared" si="6"/>
        <v>2014</v>
      </c>
      <c r="BQ1" s="5">
        <f t="shared" si="6"/>
        <v>2015</v>
      </c>
      <c r="BR1" s="5">
        <f t="shared" si="6"/>
        <v>2016</v>
      </c>
      <c r="BS1" s="167">
        <f t="shared" si="6"/>
        <v>2017</v>
      </c>
      <c r="BT1" s="167">
        <f t="shared" si="6"/>
        <v>2018</v>
      </c>
      <c r="BU1" s="167">
        <f t="shared" si="6"/>
        <v>2019</v>
      </c>
      <c r="BV1" s="167">
        <f t="shared" si="6"/>
        <v>2020</v>
      </c>
      <c r="BW1" s="167">
        <f t="shared" si="6"/>
        <v>2021</v>
      </c>
      <c r="BX1" s="167">
        <f t="shared" si="6"/>
        <v>2022</v>
      </c>
      <c r="BY1" s="167">
        <f t="shared" si="6"/>
        <v>2023</v>
      </c>
    </row>
    <row r="2" spans="1:85" ht="12" customHeight="1">
      <c r="B2" s="43" t="s">
        <v>87</v>
      </c>
      <c r="C2" s="6"/>
      <c r="D2" s="6">
        <v>39994</v>
      </c>
      <c r="E2" s="6">
        <v>40086</v>
      </c>
      <c r="F2" s="6">
        <v>40178</v>
      </c>
      <c r="G2" s="6">
        <v>40268</v>
      </c>
      <c r="H2" s="6">
        <v>40359</v>
      </c>
      <c r="I2" s="6">
        <v>40451</v>
      </c>
      <c r="J2" s="6">
        <v>40543</v>
      </c>
      <c r="K2" s="6">
        <v>40633</v>
      </c>
      <c r="L2" s="6">
        <v>40724</v>
      </c>
      <c r="M2" s="6">
        <v>40816</v>
      </c>
      <c r="N2" s="6">
        <v>40908</v>
      </c>
      <c r="O2" s="6">
        <v>40999</v>
      </c>
      <c r="P2" s="6">
        <v>41090</v>
      </c>
      <c r="Q2" s="6">
        <v>41182</v>
      </c>
      <c r="R2" s="6">
        <v>41274</v>
      </c>
      <c r="S2" s="6">
        <v>41364</v>
      </c>
      <c r="T2" s="6">
        <v>41455</v>
      </c>
      <c r="U2" s="6">
        <v>41547</v>
      </c>
      <c r="V2" s="6">
        <v>41639</v>
      </c>
      <c r="W2" s="6">
        <v>41729</v>
      </c>
      <c r="X2" s="6">
        <v>41820</v>
      </c>
      <c r="Y2" s="6">
        <v>41912</v>
      </c>
      <c r="Z2" s="6">
        <v>42004</v>
      </c>
      <c r="AA2" s="6">
        <v>42094</v>
      </c>
      <c r="AB2" s="6">
        <v>42185</v>
      </c>
      <c r="AC2" s="6">
        <v>42277</v>
      </c>
      <c r="AD2" s="6">
        <v>42369</v>
      </c>
      <c r="AE2" s="6">
        <v>42460</v>
      </c>
      <c r="AF2" s="6">
        <v>42551</v>
      </c>
      <c r="AG2" s="6">
        <v>42643</v>
      </c>
      <c r="AH2" s="6">
        <v>42735</v>
      </c>
      <c r="AI2" s="6">
        <v>42825</v>
      </c>
      <c r="AJ2" s="6">
        <v>42916</v>
      </c>
      <c r="AK2" s="6">
        <v>43008</v>
      </c>
      <c r="AL2" s="6">
        <v>43100</v>
      </c>
      <c r="AM2" s="6">
        <v>43190</v>
      </c>
      <c r="AN2" s="6">
        <v>43281</v>
      </c>
      <c r="AO2" s="6">
        <v>43373</v>
      </c>
      <c r="AP2" s="6">
        <v>43465</v>
      </c>
      <c r="AQ2" s="6">
        <v>43555</v>
      </c>
      <c r="AR2" s="6">
        <v>43646</v>
      </c>
      <c r="AS2" s="6">
        <v>43738</v>
      </c>
      <c r="AT2" s="6">
        <v>43830</v>
      </c>
      <c r="AU2" s="6">
        <v>43921</v>
      </c>
      <c r="AV2" s="6">
        <v>44012</v>
      </c>
      <c r="AW2" s="6">
        <v>44104</v>
      </c>
      <c r="AX2" s="6">
        <v>44196</v>
      </c>
      <c r="AY2" s="6">
        <f>+EOMONTH(AX2,3)</f>
        <v>44286</v>
      </c>
      <c r="AZ2" s="6">
        <f t="shared" ref="AZ2:BJ2" si="7">+EOMONTH(AY2,3)</f>
        <v>44377</v>
      </c>
      <c r="BA2" s="6">
        <f t="shared" si="7"/>
        <v>44469</v>
      </c>
      <c r="BB2" s="6">
        <f t="shared" si="7"/>
        <v>44561</v>
      </c>
      <c r="BC2" s="6">
        <f t="shared" si="7"/>
        <v>44651</v>
      </c>
      <c r="BD2" s="6">
        <f t="shared" si="7"/>
        <v>44742</v>
      </c>
      <c r="BE2" s="6">
        <f t="shared" si="7"/>
        <v>44834</v>
      </c>
      <c r="BF2" s="6">
        <f t="shared" si="7"/>
        <v>44926</v>
      </c>
      <c r="BG2" s="6">
        <f t="shared" si="7"/>
        <v>45016</v>
      </c>
      <c r="BH2" s="6">
        <f t="shared" si="7"/>
        <v>45107</v>
      </c>
      <c r="BI2" s="6">
        <f t="shared" si="7"/>
        <v>45199</v>
      </c>
      <c r="BJ2" s="6">
        <f t="shared" si="7"/>
        <v>45291</v>
      </c>
      <c r="BK2" s="123"/>
      <c r="BL2" s="6">
        <v>40543</v>
      </c>
      <c r="BM2" s="6">
        <v>40908</v>
      </c>
      <c r="BN2" s="6">
        <f>R2</f>
        <v>41274</v>
      </c>
      <c r="BO2" s="6">
        <f>V2</f>
        <v>41639</v>
      </c>
      <c r="BP2" s="6">
        <f>Z2</f>
        <v>42004</v>
      </c>
      <c r="BQ2" s="6">
        <f>AD2</f>
        <v>42369</v>
      </c>
      <c r="BR2" s="6">
        <f>AH2</f>
        <v>42735</v>
      </c>
      <c r="BS2" s="6">
        <f>+AL2</f>
        <v>43100</v>
      </c>
      <c r="BT2" s="6">
        <f>+AP2</f>
        <v>43465</v>
      </c>
      <c r="BU2" s="6">
        <f>+AT2</f>
        <v>43830</v>
      </c>
      <c r="BV2" s="6">
        <f>+AX2</f>
        <v>44196</v>
      </c>
      <c r="BW2" s="6">
        <f>+BB2</f>
        <v>44561</v>
      </c>
      <c r="BX2" s="6">
        <f>+BF2</f>
        <v>44926</v>
      </c>
      <c r="BY2" s="6">
        <f>+BJ2</f>
        <v>45291</v>
      </c>
    </row>
    <row r="3" spans="1:85" ht="12" customHeight="1">
      <c r="B3" t="s">
        <v>88</v>
      </c>
      <c r="O3" s="44">
        <v>25</v>
      </c>
      <c r="P3" s="44">
        <v>25</v>
      </c>
      <c r="Q3" s="44">
        <v>25</v>
      </c>
      <c r="R3" s="44">
        <v>25</v>
      </c>
      <c r="S3" s="44">
        <f>+S283</f>
        <v>19</v>
      </c>
      <c r="T3" s="44">
        <v>22</v>
      </c>
      <c r="U3" s="44">
        <f t="shared" ref="U3:Z3" si="8">+T3</f>
        <v>22</v>
      </c>
      <c r="V3" s="44">
        <f t="shared" si="8"/>
        <v>22</v>
      </c>
      <c r="W3" s="44">
        <f t="shared" si="8"/>
        <v>22</v>
      </c>
      <c r="X3" s="44">
        <f t="shared" si="8"/>
        <v>22</v>
      </c>
      <c r="Y3" s="44">
        <f t="shared" si="8"/>
        <v>22</v>
      </c>
      <c r="Z3" s="44">
        <f t="shared" si="8"/>
        <v>22</v>
      </c>
      <c r="AA3" s="44">
        <v>31</v>
      </c>
      <c r="AB3" s="44">
        <f t="shared" ref="AB3:AH3" si="9">+AA3</f>
        <v>31</v>
      </c>
      <c r="AC3" s="44">
        <f t="shared" si="9"/>
        <v>31</v>
      </c>
      <c r="AD3" s="44">
        <f t="shared" si="9"/>
        <v>31</v>
      </c>
      <c r="AE3" s="44">
        <f t="shared" si="9"/>
        <v>31</v>
      </c>
      <c r="AF3" s="44">
        <f t="shared" si="9"/>
        <v>31</v>
      </c>
      <c r="AG3" s="44">
        <f t="shared" si="9"/>
        <v>31</v>
      </c>
      <c r="AH3" s="44">
        <f t="shared" si="9"/>
        <v>31</v>
      </c>
      <c r="AI3" s="44">
        <f t="shared" ref="AI3:AX3" si="10">+AH3</f>
        <v>31</v>
      </c>
      <c r="AJ3" s="44">
        <f t="shared" si="10"/>
        <v>31</v>
      </c>
      <c r="AK3" s="44">
        <f t="shared" si="10"/>
        <v>31</v>
      </c>
      <c r="AL3" s="44">
        <f t="shared" si="10"/>
        <v>31</v>
      </c>
      <c r="AM3" s="44">
        <f t="shared" si="10"/>
        <v>31</v>
      </c>
      <c r="AN3" s="44">
        <f t="shared" si="10"/>
        <v>31</v>
      </c>
      <c r="AO3" s="44">
        <f t="shared" si="10"/>
        <v>31</v>
      </c>
      <c r="AP3" s="44">
        <f t="shared" si="10"/>
        <v>31</v>
      </c>
      <c r="AQ3" s="44">
        <f t="shared" si="10"/>
        <v>31</v>
      </c>
      <c r="AR3" s="44">
        <f t="shared" si="10"/>
        <v>31</v>
      </c>
      <c r="AS3" s="44">
        <f t="shared" si="10"/>
        <v>31</v>
      </c>
      <c r="AT3" s="44">
        <f t="shared" si="10"/>
        <v>31</v>
      </c>
      <c r="AU3" s="44">
        <f t="shared" si="10"/>
        <v>31</v>
      </c>
      <c r="AV3" s="44">
        <f t="shared" si="10"/>
        <v>31</v>
      </c>
      <c r="AW3" s="44">
        <f t="shared" si="10"/>
        <v>31</v>
      </c>
      <c r="AX3" s="44">
        <f t="shared" si="10"/>
        <v>31</v>
      </c>
      <c r="AY3" s="44">
        <f t="shared" ref="AY3" si="11">+AX3</f>
        <v>31</v>
      </c>
      <c r="AZ3" s="44">
        <f t="shared" ref="AZ3" si="12">+AY3</f>
        <v>31</v>
      </c>
      <c r="BA3" s="44">
        <f t="shared" ref="BA3" si="13">+AZ3</f>
        <v>31</v>
      </c>
      <c r="BB3" s="44">
        <f t="shared" ref="BB3" si="14">+BA3</f>
        <v>31</v>
      </c>
      <c r="BC3" s="44">
        <f t="shared" ref="BC3" si="15">+BB3</f>
        <v>31</v>
      </c>
      <c r="BD3" s="44">
        <f t="shared" ref="BD3" si="16">+BC3</f>
        <v>31</v>
      </c>
      <c r="BE3" s="44">
        <f t="shared" ref="BE3" si="17">+BD3</f>
        <v>31</v>
      </c>
      <c r="BF3" s="44">
        <f t="shared" ref="BF3" si="18">+BE3</f>
        <v>31</v>
      </c>
      <c r="BG3" s="44">
        <f t="shared" ref="BG3" si="19">+BF3</f>
        <v>31</v>
      </c>
      <c r="BH3" s="44">
        <f t="shared" ref="BH3" si="20">+BG3</f>
        <v>31</v>
      </c>
      <c r="BI3" s="44">
        <f t="shared" ref="BI3" si="21">+BH3</f>
        <v>31</v>
      </c>
      <c r="BJ3" s="44">
        <f t="shared" ref="BJ3" si="22">+BI3</f>
        <v>31</v>
      </c>
      <c r="BK3" s="122"/>
      <c r="BL3" s="44"/>
      <c r="BM3" s="44"/>
      <c r="BN3" s="44"/>
      <c r="BO3" s="346"/>
      <c r="BP3" s="346"/>
      <c r="BQ3" s="346"/>
      <c r="BR3" s="346"/>
      <c r="BS3" s="346"/>
      <c r="BT3" s="346"/>
      <c r="BU3" s="346"/>
      <c r="BV3" s="346"/>
      <c r="BW3" s="346"/>
      <c r="BX3" s="346"/>
      <c r="BY3" s="346"/>
    </row>
    <row r="4" spans="1:85" ht="12" customHeight="1">
      <c r="B4" s="2" t="s">
        <v>176</v>
      </c>
      <c r="C4" s="2"/>
      <c r="D4" s="2"/>
      <c r="E4" s="2"/>
      <c r="F4" s="2"/>
      <c r="G4" s="2"/>
      <c r="H4" s="2"/>
      <c r="I4" s="2"/>
      <c r="J4" s="2"/>
      <c r="K4" s="2"/>
      <c r="L4" s="2"/>
      <c r="M4" s="2"/>
      <c r="N4" s="2"/>
      <c r="O4" s="29">
        <f>O32</f>
        <v>28.3</v>
      </c>
      <c r="P4" s="29">
        <f t="shared" ref="P4:Z4" si="23">P32</f>
        <v>28.5</v>
      </c>
      <c r="Q4" s="29">
        <f t="shared" si="23"/>
        <v>30.1</v>
      </c>
      <c r="R4" s="29">
        <f>R32</f>
        <v>28.400000000000002</v>
      </c>
      <c r="S4" s="29">
        <f>S32</f>
        <v>31.500000000000004</v>
      </c>
      <c r="T4" s="29">
        <f t="shared" si="23"/>
        <v>30.8</v>
      </c>
      <c r="U4" s="29">
        <f t="shared" si="23"/>
        <v>36.5</v>
      </c>
      <c r="V4" s="29">
        <f t="shared" si="23"/>
        <v>39.9</v>
      </c>
      <c r="W4" s="29">
        <f t="shared" si="23"/>
        <v>41.7</v>
      </c>
      <c r="X4" s="29">
        <f t="shared" si="23"/>
        <v>40.800000000000004</v>
      </c>
      <c r="Y4" s="29">
        <f t="shared" si="23"/>
        <v>42.199999999999996</v>
      </c>
      <c r="Z4" s="29">
        <f t="shared" si="23"/>
        <v>44.600000000000009</v>
      </c>
      <c r="AA4" s="29">
        <f t="shared" ref="AA4:AH4" si="24">AA32</f>
        <v>45.100000000000009</v>
      </c>
      <c r="AB4" s="29">
        <f t="shared" si="24"/>
        <v>47.1</v>
      </c>
      <c r="AC4" s="29">
        <f t="shared" si="24"/>
        <v>58.999999999999993</v>
      </c>
      <c r="AD4" s="29">
        <f t="shared" si="24"/>
        <v>60.5</v>
      </c>
      <c r="AE4" s="29">
        <f t="shared" si="24"/>
        <v>62.7</v>
      </c>
      <c r="AF4" s="29">
        <f t="shared" si="24"/>
        <v>69.699999999999989</v>
      </c>
      <c r="AG4" s="29">
        <f t="shared" si="24"/>
        <v>73.100000000000009</v>
      </c>
      <c r="AH4" s="29">
        <f t="shared" si="24"/>
        <v>73.000000000000014</v>
      </c>
      <c r="AI4" s="29">
        <f t="shared" ref="AI4:AX4" si="25">AI32</f>
        <v>80.700000000000017</v>
      </c>
      <c r="AJ4" s="29">
        <f t="shared" si="25"/>
        <v>90.800000000000011</v>
      </c>
      <c r="AK4" s="29">
        <f t="shared" si="25"/>
        <v>95.9</v>
      </c>
      <c r="AL4" s="29">
        <f t="shared" ref="AL4" si="26">AL32</f>
        <v>104.19999999999999</v>
      </c>
      <c r="AM4" s="29">
        <f t="shared" ca="1" si="25"/>
        <v>106.38575803998248</v>
      </c>
      <c r="AN4" s="29">
        <f t="shared" ca="1" si="25"/>
        <v>112.94462596814644</v>
      </c>
      <c r="AO4" s="29">
        <f t="shared" ca="1" si="25"/>
        <v>117.84913722811122</v>
      </c>
      <c r="AP4" s="29">
        <f t="shared" ca="1" si="25"/>
        <v>127.77969385611222</v>
      </c>
      <c r="AQ4" s="29">
        <f t="shared" ca="1" si="25"/>
        <v>131.21639980496909</v>
      </c>
      <c r="AR4" s="29">
        <f t="shared" ca="1" si="25"/>
        <v>132.38308899518393</v>
      </c>
      <c r="AS4" s="29">
        <f t="shared" ca="1" si="25"/>
        <v>136.32139162971509</v>
      </c>
      <c r="AT4" s="29">
        <f t="shared" ca="1" si="25"/>
        <v>146.25606833028036</v>
      </c>
      <c r="AU4" s="29">
        <f t="shared" ca="1" si="25"/>
        <v>149.2967298968382</v>
      </c>
      <c r="AV4" s="29">
        <f t="shared" ca="1" si="25"/>
        <v>149.90984025489553</v>
      </c>
      <c r="AW4" s="29">
        <f t="shared" ca="1" si="25"/>
        <v>153.68102976867138</v>
      </c>
      <c r="AX4" s="29">
        <f t="shared" ca="1" si="25"/>
        <v>164.17930414308825</v>
      </c>
      <c r="AY4" s="29">
        <f t="shared" ref="AY4:BJ4" ca="1" si="27">AY32</f>
        <v>168.2134635796898</v>
      </c>
      <c r="AZ4" s="29">
        <f t="shared" ca="1" si="27"/>
        <v>169.50529443032863</v>
      </c>
      <c r="BA4" s="29">
        <f t="shared" ca="1" si="27"/>
        <v>174.3373287931957</v>
      </c>
      <c r="BB4" s="29">
        <f t="shared" ca="1" si="27"/>
        <v>186.80715388692053</v>
      </c>
      <c r="BC4" s="29">
        <f t="shared" ca="1" si="27"/>
        <v>190.44125747251539</v>
      </c>
      <c r="BD4" s="29">
        <f t="shared" ca="1" si="27"/>
        <v>191.01541587364301</v>
      </c>
      <c r="BE4" s="29">
        <f t="shared" ca="1" si="27"/>
        <v>195.61043121373569</v>
      </c>
      <c r="BF4" s="29">
        <f t="shared" ca="1" si="27"/>
        <v>208.75288485762852</v>
      </c>
      <c r="BG4" s="29">
        <f t="shared" ca="1" si="27"/>
        <v>212.00643222360114</v>
      </c>
      <c r="BH4" s="29">
        <f t="shared" ca="1" si="27"/>
        <v>211.88866123244139</v>
      </c>
      <c r="BI4" s="29">
        <f t="shared" ca="1" si="27"/>
        <v>216.25890748131926</v>
      </c>
      <c r="BJ4" s="29">
        <f t="shared" ca="1" si="27"/>
        <v>230.06018414169395</v>
      </c>
      <c r="BL4" s="6"/>
      <c r="BM4" s="6"/>
      <c r="BN4" s="6"/>
      <c r="BO4" s="346"/>
      <c r="BP4" s="346"/>
      <c r="BQ4" s="346"/>
      <c r="BR4" s="346"/>
      <c r="BS4" s="346"/>
      <c r="BT4" s="346"/>
      <c r="BU4" s="346"/>
      <c r="BV4" s="346"/>
      <c r="BW4" s="346"/>
      <c r="BX4" s="346"/>
      <c r="BY4" s="346"/>
    </row>
    <row r="5" spans="1:85" ht="12" customHeight="1">
      <c r="B5" s="2" t="s">
        <v>90</v>
      </c>
      <c r="C5" s="2"/>
      <c r="D5" s="2"/>
      <c r="E5" s="2"/>
      <c r="F5" s="2"/>
      <c r="G5" s="2"/>
      <c r="H5" s="2"/>
      <c r="I5" s="2"/>
      <c r="J5" s="2"/>
      <c r="K5" s="2"/>
      <c r="L5" s="2"/>
      <c r="M5" s="2"/>
      <c r="N5" s="2"/>
      <c r="O5" s="29">
        <f>+O55</f>
        <v>14.899999999999999</v>
      </c>
      <c r="P5" s="29">
        <f t="shared" ref="P5:AD5" si="28">+P55</f>
        <v>20.5</v>
      </c>
      <c r="Q5" s="29">
        <f t="shared" si="28"/>
        <v>15.200000000000001</v>
      </c>
      <c r="R5" s="29">
        <f t="shared" si="28"/>
        <v>16.800000000000004</v>
      </c>
      <c r="S5" s="29">
        <f t="shared" si="28"/>
        <v>17.200000000000003</v>
      </c>
      <c r="T5" s="29">
        <f t="shared" si="28"/>
        <v>15.999999999999996</v>
      </c>
      <c r="U5" s="29">
        <f t="shared" si="28"/>
        <v>21.900000000000002</v>
      </c>
      <c r="V5" s="29">
        <f t="shared" si="28"/>
        <v>23.599999999999998</v>
      </c>
      <c r="W5" s="29">
        <f t="shared" si="28"/>
        <v>27.200000000000003</v>
      </c>
      <c r="X5" s="29">
        <f t="shared" si="28"/>
        <v>25.600000000000009</v>
      </c>
      <c r="Y5" s="29">
        <f t="shared" si="28"/>
        <v>28.899999999999995</v>
      </c>
      <c r="Z5" s="29">
        <f t="shared" si="28"/>
        <v>31.200000000000006</v>
      </c>
      <c r="AA5" s="29">
        <f t="shared" si="28"/>
        <v>31.900000000000006</v>
      </c>
      <c r="AB5" s="29">
        <f t="shared" si="28"/>
        <v>33.400000000000013</v>
      </c>
      <c r="AC5" s="29">
        <f t="shared" si="28"/>
        <v>41.199999999999989</v>
      </c>
      <c r="AD5" s="29">
        <f t="shared" si="28"/>
        <v>44.199999999999996</v>
      </c>
      <c r="AE5" s="29">
        <f>+AE55</f>
        <v>45.900000000000006</v>
      </c>
      <c r="AF5" s="29">
        <f>+AF55</f>
        <v>53.099999999999987</v>
      </c>
      <c r="AG5" s="29">
        <f>+AG55</f>
        <v>54.800000000000011</v>
      </c>
      <c r="AH5" s="29">
        <f>+AH55</f>
        <v>56.40000000000002</v>
      </c>
      <c r="AI5" s="29">
        <f t="shared" ref="AI5:AX5" si="29">+AI55</f>
        <v>61.200000000000031</v>
      </c>
      <c r="AJ5" s="29">
        <f t="shared" si="29"/>
        <v>67.900000000000006</v>
      </c>
      <c r="AK5" s="29">
        <f t="shared" si="29"/>
        <v>71.399999999999991</v>
      </c>
      <c r="AL5" s="29">
        <f t="shared" ref="AL5" si="30">+AL55</f>
        <v>78.399999999999991</v>
      </c>
      <c r="AM5" s="29">
        <f t="shared" ca="1" si="29"/>
        <v>75.161143442369806</v>
      </c>
      <c r="AN5" s="29">
        <f t="shared" ca="1" si="29"/>
        <v>76.448870593322283</v>
      </c>
      <c r="AO5" s="29">
        <f t="shared" ca="1" si="29"/>
        <v>77.573715338403147</v>
      </c>
      <c r="AP5" s="29">
        <f t="shared" ca="1" si="29"/>
        <v>85.711908082142145</v>
      </c>
      <c r="AQ5" s="29">
        <f t="shared" ca="1" si="29"/>
        <v>87.90726113304936</v>
      </c>
      <c r="AR5" s="29">
        <f t="shared" ca="1" si="29"/>
        <v>87.317269757663723</v>
      </c>
      <c r="AS5" s="29">
        <f t="shared" ca="1" si="29"/>
        <v>89.832319019619135</v>
      </c>
      <c r="AT5" s="29">
        <f t="shared" ca="1" si="29"/>
        <v>98.437540310667316</v>
      </c>
      <c r="AU5" s="29">
        <f t="shared" ca="1" si="29"/>
        <v>100.95017183984552</v>
      </c>
      <c r="AV5" s="29">
        <f t="shared" ca="1" si="29"/>
        <v>99.521122613195686</v>
      </c>
      <c r="AW5" s="29">
        <f t="shared" ca="1" si="29"/>
        <v>101.40639085271542</v>
      </c>
      <c r="AX5" s="29">
        <f t="shared" ca="1" si="29"/>
        <v>110.25569060284447</v>
      </c>
      <c r="AY5" s="29">
        <f t="shared" ref="AY5:BJ5" ca="1" si="31">+AY55</f>
        <v>112.25212494916586</v>
      </c>
      <c r="AZ5" s="29">
        <f t="shared" ca="1" si="31"/>
        <v>110.3853777661752</v>
      </c>
      <c r="BA5" s="29">
        <f t="shared" ca="1" si="31"/>
        <v>113.06524312633044</v>
      </c>
      <c r="BB5" s="29">
        <f t="shared" ca="1" si="31"/>
        <v>124.23651747903341</v>
      </c>
      <c r="BC5" s="29">
        <f t="shared" ca="1" si="31"/>
        <v>126.9824708238984</v>
      </c>
      <c r="BD5" s="29">
        <f t="shared" ca="1" si="31"/>
        <v>125.50469696916146</v>
      </c>
      <c r="BE5" s="29">
        <f t="shared" ca="1" si="31"/>
        <v>127.31421493821284</v>
      </c>
      <c r="BF5" s="29">
        <f t="shared" ca="1" si="31"/>
        <v>138.28804337802634</v>
      </c>
      <c r="BG5" s="29">
        <f t="shared" ca="1" si="31"/>
        <v>140.64900093497752</v>
      </c>
      <c r="BH5" s="29">
        <f t="shared" ca="1" si="31"/>
        <v>138.89891346329335</v>
      </c>
      <c r="BI5" s="29">
        <f t="shared" ca="1" si="31"/>
        <v>140.92661301724522</v>
      </c>
      <c r="BJ5" s="29">
        <f t="shared" ca="1" si="31"/>
        <v>152.15161538993743</v>
      </c>
      <c r="BL5" s="6"/>
      <c r="BM5" s="6"/>
      <c r="BN5" s="29">
        <f t="shared" ref="BN5:BV5" si="32">+BN55</f>
        <v>67.400000000000006</v>
      </c>
      <c r="BO5" s="29">
        <f t="shared" si="32"/>
        <v>78.699999999999989</v>
      </c>
      <c r="BP5" s="29">
        <f t="shared" si="32"/>
        <v>112.9</v>
      </c>
      <c r="BQ5" s="29">
        <f t="shared" si="32"/>
        <v>150.69999999999999</v>
      </c>
      <c r="BR5" s="29">
        <f t="shared" si="32"/>
        <v>210.20000000000007</v>
      </c>
      <c r="BS5" s="29">
        <f t="shared" si="32"/>
        <v>228.00000000000003</v>
      </c>
      <c r="BT5" s="29">
        <f t="shared" ca="1" si="32"/>
        <v>314.89563745623735</v>
      </c>
      <c r="BU5" s="29">
        <f t="shared" ca="1" si="32"/>
        <v>363.49439022099949</v>
      </c>
      <c r="BV5" s="29">
        <f t="shared" ca="1" si="32"/>
        <v>412.13337590860107</v>
      </c>
      <c r="BW5" s="29">
        <f t="shared" ref="BW5:BY5" ca="1" si="33">+BW55</f>
        <v>459.93926332070492</v>
      </c>
      <c r="BX5" s="29">
        <f t="shared" ca="1" si="33"/>
        <v>518.08942610929898</v>
      </c>
      <c r="BY5" s="29">
        <f t="shared" ca="1" si="33"/>
        <v>572.62614280545358</v>
      </c>
    </row>
    <row r="6" spans="1:85" ht="12" customHeight="1">
      <c r="B6" s="2" t="s">
        <v>73</v>
      </c>
      <c r="C6" s="2"/>
      <c r="D6" s="2"/>
      <c r="E6" s="2"/>
      <c r="F6" s="2"/>
      <c r="G6" s="2"/>
      <c r="H6" s="2"/>
      <c r="I6" s="2"/>
      <c r="J6" s="2"/>
      <c r="K6" s="2"/>
      <c r="L6" s="2"/>
      <c r="M6" s="2"/>
      <c r="N6" s="2"/>
      <c r="O6" s="29">
        <f>O61</f>
        <v>12.1</v>
      </c>
      <c r="P6" s="29">
        <f>P61</f>
        <v>14.399999999999999</v>
      </c>
      <c r="Q6" s="29">
        <f>Q61</f>
        <v>13.2</v>
      </c>
      <c r="R6" s="29">
        <f>R61</f>
        <v>13.500000000000005</v>
      </c>
      <c r="S6" s="29">
        <f>S61</f>
        <v>17.500000000000004</v>
      </c>
      <c r="T6" s="29">
        <f t="shared" ref="T6:Z6" si="34">T61</f>
        <v>14.799999999999997</v>
      </c>
      <c r="U6" s="29">
        <f t="shared" si="34"/>
        <v>19.299999999999997</v>
      </c>
      <c r="V6" s="29">
        <f t="shared" si="34"/>
        <v>20.799999999999997</v>
      </c>
      <c r="W6" s="29">
        <f t="shared" si="34"/>
        <v>27.5</v>
      </c>
      <c r="X6" s="29">
        <f t="shared" si="34"/>
        <v>25.300000000000004</v>
      </c>
      <c r="Y6" s="29">
        <f t="shared" si="34"/>
        <v>29.099999999999994</v>
      </c>
      <c r="Z6" s="29">
        <f t="shared" si="34"/>
        <v>29.800000000000015</v>
      </c>
      <c r="AA6" s="29">
        <f t="shared" ref="AA6:AH6" si="35">AA61</f>
        <v>35.000000000000007</v>
      </c>
      <c r="AB6" s="29">
        <f t="shared" si="35"/>
        <v>36.500000000000021</v>
      </c>
      <c r="AC6" s="29">
        <f t="shared" si="35"/>
        <v>42.799999999999983</v>
      </c>
      <c r="AD6" s="29">
        <f t="shared" si="35"/>
        <v>46.29999999999999</v>
      </c>
      <c r="AE6" s="29">
        <f t="shared" si="35"/>
        <v>46.500000000000007</v>
      </c>
      <c r="AF6" s="29">
        <f t="shared" si="35"/>
        <v>49.499999999999993</v>
      </c>
      <c r="AG6" s="29">
        <f t="shared" si="35"/>
        <v>44.300000000000011</v>
      </c>
      <c r="AH6" s="29">
        <f t="shared" si="35"/>
        <v>54.000000000000028</v>
      </c>
      <c r="AI6" s="29">
        <f t="shared" ref="AI6:AX6" si="36">AI61</f>
        <v>52.900000000000034</v>
      </c>
      <c r="AJ6" s="29">
        <f t="shared" si="36"/>
        <v>67.600000000000009</v>
      </c>
      <c r="AK6" s="29">
        <f t="shared" si="36"/>
        <v>78.100000000000009</v>
      </c>
      <c r="AL6" s="29">
        <f t="shared" ref="AL6" si="37">AL61</f>
        <v>75.3</v>
      </c>
      <c r="AM6" s="29">
        <f t="shared" ca="1" si="36"/>
        <v>72.457191201510085</v>
      </c>
      <c r="AN6" s="29">
        <f t="shared" ca="1" si="36"/>
        <v>73.416624220085282</v>
      </c>
      <c r="AO6" s="29">
        <f t="shared" ca="1" si="36"/>
        <v>74.230529670934587</v>
      </c>
      <c r="AP6" s="29">
        <f t="shared" ca="1" si="36"/>
        <v>82.320818246950736</v>
      </c>
      <c r="AQ6" s="29">
        <f t="shared" ca="1" si="36"/>
        <v>84.602341870241744</v>
      </c>
      <c r="AR6" s="29">
        <f t="shared" ca="1" si="36"/>
        <v>83.843024004310706</v>
      </c>
      <c r="AS6" s="29">
        <f t="shared" ca="1" si="36"/>
        <v>86.094905409627941</v>
      </c>
      <c r="AT6" s="29">
        <f t="shared" ca="1" si="36"/>
        <v>94.528374992280504</v>
      </c>
      <c r="AU6" s="29">
        <f t="shared" ca="1" si="36"/>
        <v>96.899133425853734</v>
      </c>
      <c r="AV6" s="29">
        <f t="shared" ca="1" si="36"/>
        <v>95.252180719340757</v>
      </c>
      <c r="AW6" s="29">
        <f t="shared" ca="1" si="36"/>
        <v>96.993499019923561</v>
      </c>
      <c r="AX6" s="29">
        <f t="shared" ca="1" si="36"/>
        <v>105.84675639541065</v>
      </c>
      <c r="AY6" s="29">
        <f t="shared" ref="AY6:BJ6" ca="1" si="38">AY61</f>
        <v>107.64233889817157</v>
      </c>
      <c r="AZ6" s="29">
        <f t="shared" ca="1" si="38"/>
        <v>105.49484564480183</v>
      </c>
      <c r="BA6" s="29">
        <f t="shared" ca="1" si="38"/>
        <v>107.95389136453154</v>
      </c>
      <c r="BB6" s="29">
        <f t="shared" ca="1" si="38"/>
        <v>119.06670687580315</v>
      </c>
      <c r="BC6" s="29">
        <f t="shared" ca="1" si="38"/>
        <v>121.60311048117002</v>
      </c>
      <c r="BD6" s="29">
        <f t="shared" ca="1" si="38"/>
        <v>119.85580081444085</v>
      </c>
      <c r="BE6" s="29">
        <f t="shared" ca="1" si="38"/>
        <v>121.47597635422507</v>
      </c>
      <c r="BF6" s="29">
        <f t="shared" ca="1" si="38"/>
        <v>132.42815549490896</v>
      </c>
      <c r="BG6" s="29">
        <f t="shared" ca="1" si="38"/>
        <v>134.57162243680551</v>
      </c>
      <c r="BH6" s="29">
        <f t="shared" ca="1" si="38"/>
        <v>132.53739951958821</v>
      </c>
      <c r="BI6" s="29">
        <f t="shared" ca="1" si="38"/>
        <v>134.37179693759475</v>
      </c>
      <c r="BJ6" s="29">
        <f t="shared" ca="1" si="38"/>
        <v>145.5930667279778</v>
      </c>
      <c r="BL6" s="6"/>
      <c r="BM6" s="6"/>
      <c r="BN6" s="29">
        <f t="shared" ref="BN6:BV6" si="39">BN61</f>
        <v>53.2</v>
      </c>
      <c r="BO6" s="29">
        <f t="shared" si="39"/>
        <v>72.399999999999977</v>
      </c>
      <c r="BP6" s="29">
        <f t="shared" si="39"/>
        <v>111.7</v>
      </c>
      <c r="BQ6" s="29">
        <f t="shared" si="39"/>
        <v>160.6</v>
      </c>
      <c r="BR6" s="29">
        <f t="shared" si="39"/>
        <v>194.30000000000007</v>
      </c>
      <c r="BS6" s="29">
        <f t="shared" si="39"/>
        <v>223.00000000000003</v>
      </c>
      <c r="BT6" s="29">
        <f t="shared" ca="1" si="39"/>
        <v>302.42516333948066</v>
      </c>
      <c r="BU6" s="29">
        <f t="shared" ca="1" si="39"/>
        <v>349.06864627646087</v>
      </c>
      <c r="BV6" s="29">
        <f t="shared" ca="1" si="39"/>
        <v>394.99156956052866</v>
      </c>
      <c r="BW6" s="29">
        <f t="shared" ref="BW6:BY6" ca="1" si="40">BW61</f>
        <v>440.15778278330811</v>
      </c>
      <c r="BX6" s="29">
        <f t="shared" ca="1" si="40"/>
        <v>495.36304314474484</v>
      </c>
      <c r="BY6" s="29">
        <f t="shared" ca="1" si="40"/>
        <v>547.07388562196638</v>
      </c>
    </row>
    <row r="7" spans="1:85" ht="12" customHeight="1">
      <c r="B7" s="3" t="s">
        <v>13</v>
      </c>
      <c r="C7" s="3"/>
      <c r="D7" s="3"/>
      <c r="E7" s="3"/>
      <c r="F7" s="3"/>
      <c r="G7" s="3"/>
      <c r="H7" s="3"/>
      <c r="I7" s="3"/>
      <c r="J7" s="3"/>
      <c r="K7" s="3"/>
      <c r="L7" s="3"/>
      <c r="M7" s="3"/>
      <c r="N7" s="3"/>
      <c r="O7" s="171"/>
      <c r="P7" s="171"/>
      <c r="Q7" s="171"/>
      <c r="R7" s="171"/>
      <c r="S7" s="171"/>
      <c r="T7" s="171"/>
      <c r="U7" s="171"/>
      <c r="V7" s="171"/>
      <c r="W7" s="171"/>
      <c r="X7" s="171"/>
      <c r="Y7" s="171"/>
      <c r="Z7" s="458"/>
      <c r="AA7" s="171"/>
      <c r="AB7" s="171"/>
      <c r="AC7" s="171"/>
      <c r="AD7" s="171"/>
      <c r="AE7" s="171"/>
      <c r="AF7" s="171"/>
      <c r="AG7" s="171"/>
      <c r="AH7" s="171"/>
      <c r="AI7" s="171"/>
      <c r="AJ7" s="171"/>
      <c r="AK7" s="171"/>
      <c r="AL7" s="171"/>
      <c r="AM7" s="171"/>
      <c r="AN7" s="171"/>
      <c r="AO7" s="171"/>
      <c r="AP7" s="171"/>
      <c r="AQ7" s="171"/>
      <c r="AR7" s="171"/>
      <c r="AS7" s="171"/>
      <c r="AT7" s="171"/>
      <c r="AU7" s="171"/>
      <c r="AV7" s="171"/>
      <c r="AW7" s="171"/>
      <c r="AX7" s="171"/>
      <c r="AY7" s="171"/>
      <c r="AZ7" s="171"/>
      <c r="BA7" s="171"/>
      <c r="BB7" s="171"/>
      <c r="BC7" s="171"/>
      <c r="BD7" s="171"/>
      <c r="BE7" s="171"/>
      <c r="BF7" s="171"/>
      <c r="BG7" s="171"/>
      <c r="BH7" s="171"/>
      <c r="BI7" s="171"/>
      <c r="BJ7" s="171"/>
      <c r="BL7" s="5"/>
      <c r="BM7" s="5"/>
      <c r="BN7" s="5"/>
      <c r="BO7" s="5"/>
      <c r="BP7" s="5"/>
      <c r="BQ7" s="171"/>
      <c r="BR7" s="458"/>
      <c r="BS7" s="5"/>
      <c r="BT7" s="5"/>
      <c r="BU7" s="5"/>
      <c r="BV7" s="5"/>
      <c r="BW7" s="5"/>
      <c r="BX7" s="5"/>
      <c r="BY7" s="5"/>
    </row>
    <row r="8" spans="1:85" ht="12" customHeight="1">
      <c r="A8" s="206" t="s">
        <v>293</v>
      </c>
      <c r="B8" s="4" t="s">
        <v>9</v>
      </c>
      <c r="C8" s="4"/>
      <c r="D8" s="4"/>
      <c r="E8" s="4"/>
      <c r="F8" s="4"/>
      <c r="G8" s="4"/>
      <c r="H8" s="4"/>
      <c r="I8" s="4"/>
      <c r="J8" s="4"/>
      <c r="K8" s="4"/>
      <c r="L8" s="4"/>
      <c r="M8" s="4"/>
      <c r="N8" s="4"/>
      <c r="O8" s="5" t="str">
        <f t="shared" ref="O8:BJ8" si="41">O$1</f>
        <v>1Q '12A</v>
      </c>
      <c r="P8" s="5" t="str">
        <f t="shared" si="41"/>
        <v>2Q '12A</v>
      </c>
      <c r="Q8" s="5" t="str">
        <f t="shared" si="41"/>
        <v>3Q '12A</v>
      </c>
      <c r="R8" s="5" t="str">
        <f t="shared" si="41"/>
        <v>4Q '12A</v>
      </c>
      <c r="S8" s="5" t="str">
        <f t="shared" si="41"/>
        <v>1Q '13A</v>
      </c>
      <c r="T8" s="5" t="str">
        <f t="shared" si="41"/>
        <v>2Q '13A</v>
      </c>
      <c r="U8" s="5" t="str">
        <f t="shared" si="41"/>
        <v>3Q '13A</v>
      </c>
      <c r="V8" s="5" t="str">
        <f t="shared" si="41"/>
        <v>4Q '13A</v>
      </c>
      <c r="W8" s="5" t="str">
        <f t="shared" si="41"/>
        <v>1Q '14A</v>
      </c>
      <c r="X8" s="5" t="str">
        <f t="shared" si="41"/>
        <v>2Q '14A</v>
      </c>
      <c r="Y8" s="5" t="str">
        <f t="shared" si="41"/>
        <v>3Q '14A</v>
      </c>
      <c r="Z8" s="5" t="str">
        <f t="shared" si="41"/>
        <v>4Q '14A</v>
      </c>
      <c r="AA8" s="5" t="str">
        <f t="shared" si="41"/>
        <v>1Q '15A</v>
      </c>
      <c r="AB8" s="5" t="str">
        <f t="shared" si="41"/>
        <v>2Q '15A</v>
      </c>
      <c r="AC8" s="5" t="str">
        <f t="shared" si="41"/>
        <v>3Q '15A</v>
      </c>
      <c r="AD8" s="5" t="str">
        <f t="shared" si="41"/>
        <v>4Q '15A</v>
      </c>
      <c r="AE8" s="5" t="str">
        <f t="shared" si="41"/>
        <v>1Q '16A</v>
      </c>
      <c r="AF8" s="5" t="str">
        <f t="shared" si="41"/>
        <v>2Q '16A</v>
      </c>
      <c r="AG8" s="5" t="str">
        <f t="shared" si="41"/>
        <v>3Q '16A</v>
      </c>
      <c r="AH8" s="5" t="str">
        <f t="shared" si="41"/>
        <v>4Q '16A</v>
      </c>
      <c r="AI8" s="5" t="str">
        <f t="shared" si="41"/>
        <v>1Q '17A</v>
      </c>
      <c r="AJ8" s="5" t="str">
        <f t="shared" si="41"/>
        <v>2Q '17A</v>
      </c>
      <c r="AK8" s="5" t="str">
        <f t="shared" si="41"/>
        <v>3Q '17A</v>
      </c>
      <c r="AL8" s="5" t="str">
        <f t="shared" si="41"/>
        <v>4Q '17A</v>
      </c>
      <c r="AM8" s="5" t="str">
        <f t="shared" si="41"/>
        <v>1Q '18E</v>
      </c>
      <c r="AN8" s="5" t="str">
        <f t="shared" si="41"/>
        <v>2Q '18E</v>
      </c>
      <c r="AO8" s="5" t="str">
        <f t="shared" si="41"/>
        <v>3Q '18E</v>
      </c>
      <c r="AP8" s="5" t="str">
        <f t="shared" si="41"/>
        <v>4Q '18E</v>
      </c>
      <c r="AQ8" s="5" t="str">
        <f t="shared" si="41"/>
        <v>1Q '19E</v>
      </c>
      <c r="AR8" s="5" t="str">
        <f t="shared" si="41"/>
        <v>2Q '19E</v>
      </c>
      <c r="AS8" s="5" t="str">
        <f t="shared" si="41"/>
        <v>3Q '19E</v>
      </c>
      <c r="AT8" s="5" t="str">
        <f t="shared" si="41"/>
        <v>4Q '19E</v>
      </c>
      <c r="AU8" s="5" t="str">
        <f t="shared" si="41"/>
        <v>1Q '20E</v>
      </c>
      <c r="AV8" s="5" t="str">
        <f t="shared" si="41"/>
        <v>2Q '20E</v>
      </c>
      <c r="AW8" s="5" t="str">
        <f t="shared" si="41"/>
        <v>3Q '20E</v>
      </c>
      <c r="AX8" s="5" t="str">
        <f t="shared" si="41"/>
        <v>4Q '20E</v>
      </c>
      <c r="AY8" s="5" t="str">
        <f t="shared" si="41"/>
        <v>1Q '21E</v>
      </c>
      <c r="AZ8" s="5" t="str">
        <f t="shared" si="41"/>
        <v>2Q '21E</v>
      </c>
      <c r="BA8" s="5" t="str">
        <f t="shared" si="41"/>
        <v>3Q '21E</v>
      </c>
      <c r="BB8" s="5" t="str">
        <f t="shared" si="41"/>
        <v>4Q '21E</v>
      </c>
      <c r="BC8" s="5" t="str">
        <f t="shared" si="41"/>
        <v>1Q '22E</v>
      </c>
      <c r="BD8" s="5" t="str">
        <f t="shared" si="41"/>
        <v>2Q '22E</v>
      </c>
      <c r="BE8" s="5" t="str">
        <f t="shared" si="41"/>
        <v>3Q '22E</v>
      </c>
      <c r="BF8" s="5" t="str">
        <f t="shared" si="41"/>
        <v>4Q '22E</v>
      </c>
      <c r="BG8" s="5" t="str">
        <f t="shared" si="41"/>
        <v>1Q '23E</v>
      </c>
      <c r="BH8" s="5" t="str">
        <f t="shared" si="41"/>
        <v>2Q '23E</v>
      </c>
      <c r="BI8" s="5" t="str">
        <f t="shared" si="41"/>
        <v>3Q '23E</v>
      </c>
      <c r="BJ8" s="5" t="str">
        <f t="shared" si="41"/>
        <v>4Q '23E</v>
      </c>
      <c r="BL8" s="5">
        <f t="shared" ref="BL8:BY8" si="42">BL$1</f>
        <v>2010</v>
      </c>
      <c r="BM8" s="5">
        <f t="shared" si="42"/>
        <v>2011</v>
      </c>
      <c r="BN8" s="5">
        <f t="shared" si="42"/>
        <v>2012</v>
      </c>
      <c r="BO8" s="5">
        <f t="shared" si="42"/>
        <v>2013</v>
      </c>
      <c r="BP8" s="5">
        <f t="shared" si="42"/>
        <v>2014</v>
      </c>
      <c r="BQ8" s="5">
        <f t="shared" si="42"/>
        <v>2015</v>
      </c>
      <c r="BR8" s="5">
        <f t="shared" si="42"/>
        <v>2016</v>
      </c>
      <c r="BS8" s="167">
        <f t="shared" si="42"/>
        <v>2017</v>
      </c>
      <c r="BT8" s="167">
        <f t="shared" si="42"/>
        <v>2018</v>
      </c>
      <c r="BU8" s="167">
        <f t="shared" si="42"/>
        <v>2019</v>
      </c>
      <c r="BV8" s="167">
        <f t="shared" si="42"/>
        <v>2020</v>
      </c>
      <c r="BW8" s="167">
        <f t="shared" si="42"/>
        <v>2021</v>
      </c>
      <c r="BX8" s="167">
        <f t="shared" si="42"/>
        <v>2022</v>
      </c>
      <c r="BY8" s="167">
        <f t="shared" si="42"/>
        <v>2023</v>
      </c>
    </row>
    <row r="9" spans="1:85" ht="12" customHeight="1">
      <c r="B9" s="2" t="s">
        <v>0</v>
      </c>
      <c r="C9" s="144">
        <v>16.899999999999999</v>
      </c>
      <c r="D9" s="144">
        <v>18.399999999999999</v>
      </c>
      <c r="E9" s="144">
        <v>17.899999999999999</v>
      </c>
      <c r="F9" s="144">
        <v>18.600000000000001</v>
      </c>
      <c r="G9" s="144">
        <v>20</v>
      </c>
      <c r="H9" s="144">
        <v>24.7</v>
      </c>
      <c r="I9" s="144">
        <v>40</v>
      </c>
      <c r="J9" s="144">
        <v>40.6</v>
      </c>
      <c r="K9" s="144">
        <v>43.4</v>
      </c>
      <c r="L9" s="144">
        <v>45.1</v>
      </c>
      <c r="M9" s="144">
        <v>47.1</v>
      </c>
      <c r="N9" s="144">
        <v>49.1</v>
      </c>
      <c r="O9" s="1">
        <f t="shared" ref="O9:T9" si="43">O11+O12+O14+O15+O13</f>
        <v>52.1</v>
      </c>
      <c r="P9" s="1">
        <f t="shared" si="43"/>
        <v>54</v>
      </c>
      <c r="Q9" s="1">
        <f t="shared" si="43"/>
        <v>56.7</v>
      </c>
      <c r="R9" s="1">
        <f t="shared" si="43"/>
        <v>58</v>
      </c>
      <c r="S9" s="1">
        <f t="shared" si="43"/>
        <v>60.1</v>
      </c>
      <c r="T9" s="1">
        <f t="shared" si="43"/>
        <v>63.6</v>
      </c>
      <c r="U9" s="1">
        <f t="shared" ref="U9:AA9" si="44">U11+U12+U14+U15+U13</f>
        <v>67.5</v>
      </c>
      <c r="V9" s="1">
        <f t="shared" si="44"/>
        <v>72.3</v>
      </c>
      <c r="W9" s="1">
        <f t="shared" si="44"/>
        <v>77.5</v>
      </c>
      <c r="X9" s="1">
        <f t="shared" si="44"/>
        <v>81.7</v>
      </c>
      <c r="Y9" s="1">
        <f t="shared" si="44"/>
        <v>84.8</v>
      </c>
      <c r="Z9" s="1">
        <f t="shared" si="44"/>
        <v>86.9</v>
      </c>
      <c r="AA9" s="1">
        <f t="shared" si="44"/>
        <v>85.7</v>
      </c>
      <c r="AB9" s="1">
        <f t="shared" ref="AB9:AG9" si="45">AB11+AB12+AB14+AB15+AB13</f>
        <v>89.1</v>
      </c>
      <c r="AC9" s="1">
        <f t="shared" si="45"/>
        <v>111.2</v>
      </c>
      <c r="AD9" s="1">
        <f t="shared" si="45"/>
        <v>113.3</v>
      </c>
      <c r="AE9" s="1">
        <f t="shared" si="45"/>
        <v>117.8</v>
      </c>
      <c r="AF9" s="1">
        <f t="shared" si="45"/>
        <v>130.1</v>
      </c>
      <c r="AG9" s="1">
        <f t="shared" si="45"/>
        <v>143.80000000000001</v>
      </c>
      <c r="AH9" s="1">
        <f>AH11+AH12+AH14+AH15+AH13</f>
        <v>137.4</v>
      </c>
      <c r="AI9" s="1">
        <f>AI11+AI12+AI14+AI15+AI13</f>
        <v>149.30000000000001</v>
      </c>
      <c r="AJ9" s="1">
        <f>AJ11+AJ12+AJ14+AJ15+AJ13</f>
        <v>166.9</v>
      </c>
      <c r="AK9" s="1">
        <f>AK11+AK12+AK14+AK15+AK13</f>
        <v>175.3</v>
      </c>
      <c r="AL9" s="1">
        <f>AL11+AL12+AL14+AL15+AL13</f>
        <v>180.5</v>
      </c>
      <c r="AM9" s="1">
        <f t="shared" ref="AM9:AX9" ca="1" si="46">AM11+AM12+AM14+AM15+AM13</f>
        <v>187.2652292468824</v>
      </c>
      <c r="AN9" s="1">
        <f t="shared" ca="1" si="46"/>
        <v>199.47129512435455</v>
      </c>
      <c r="AO9" s="1">
        <f t="shared" ca="1" si="46"/>
        <v>208.98736999094336</v>
      </c>
      <c r="AP9" s="1">
        <f t="shared" ca="1" si="46"/>
        <v>218.09349893760321</v>
      </c>
      <c r="AQ9" s="1">
        <f t="shared" ca="1" si="46"/>
        <v>226.03272799712724</v>
      </c>
      <c r="AR9" s="1">
        <f t="shared" ca="1" si="46"/>
        <v>233.91559553718091</v>
      </c>
      <c r="AS9" s="1">
        <f t="shared" ca="1" si="46"/>
        <v>241.74299471193902</v>
      </c>
      <c r="AT9" s="1">
        <f t="shared" ca="1" si="46"/>
        <v>249.51580506387006</v>
      </c>
      <c r="AU9" s="1">
        <f t="shared" ca="1" si="46"/>
        <v>257.23489273301641</v>
      </c>
      <c r="AV9" s="1">
        <f t="shared" ca="1" si="46"/>
        <v>264.901110663064</v>
      </c>
      <c r="AW9" s="1">
        <f t="shared" ca="1" si="46"/>
        <v>272.51529880424931</v>
      </c>
      <c r="AX9" s="1">
        <f t="shared" ca="1" si="46"/>
        <v>280.0782843131534</v>
      </c>
      <c r="AY9" s="1">
        <f t="shared" ref="AY9:BJ9" ca="1" si="47">AY11+AY12+AY14+AY15+AY13</f>
        <v>289.84150519082692</v>
      </c>
      <c r="AZ9" s="1">
        <f t="shared" ca="1" si="47"/>
        <v>299.52847066336676</v>
      </c>
      <c r="BA9" s="1">
        <f t="shared" ca="1" si="47"/>
        <v>309.14040761679644</v>
      </c>
      <c r="BB9" s="1">
        <f t="shared" ca="1" si="47"/>
        <v>318.6785243019832</v>
      </c>
      <c r="BC9" s="1">
        <f t="shared" ca="1" si="47"/>
        <v>328.14401062137512</v>
      </c>
      <c r="BD9" s="1">
        <f t="shared" ca="1" si="47"/>
        <v>337.53803841133879</v>
      </c>
      <c r="BE9" s="1">
        <f t="shared" ca="1" si="47"/>
        <v>346.86176172016627</v>
      </c>
      <c r="BF9" s="1">
        <f t="shared" ca="1" si="47"/>
        <v>356.1163170818167</v>
      </c>
      <c r="BG9" s="1">
        <f t="shared" ca="1" si="47"/>
        <v>365.30282378545854</v>
      </c>
      <c r="BH9" s="1">
        <f t="shared" ca="1" si="47"/>
        <v>374.42238414087694</v>
      </c>
      <c r="BI9" s="1">
        <f t="shared" ca="1" si="47"/>
        <v>383.47608373980955</v>
      </c>
      <c r="BJ9" s="1">
        <f t="shared" ca="1" si="47"/>
        <v>392.46499171327304</v>
      </c>
      <c r="BL9" s="7">
        <v>127.5</v>
      </c>
      <c r="BM9" s="7">
        <v>181.7</v>
      </c>
      <c r="BN9" s="212">
        <f>SUM(O9:R9)</f>
        <v>220.8</v>
      </c>
      <c r="BO9" s="29">
        <f>SUM(S9:V9)</f>
        <v>263.5</v>
      </c>
      <c r="BP9" s="29">
        <f>SUM(W9:Z9)</f>
        <v>330.9</v>
      </c>
      <c r="BQ9" s="29">
        <f>SUM(AA9:AD9)</f>
        <v>399.3</v>
      </c>
      <c r="BR9" s="29">
        <f>SUM(AE9:AH9)</f>
        <v>529.1</v>
      </c>
      <c r="BS9" s="29">
        <f>SUM(AI9:AL9)</f>
        <v>672</v>
      </c>
      <c r="BT9" s="29">
        <f ca="1">SUM(AM9:AP9)</f>
        <v>813.81739329978359</v>
      </c>
      <c r="BU9" s="29">
        <f ca="1">SUM(AQ9:AT9)</f>
        <v>951.20712331011725</v>
      </c>
      <c r="BV9" s="29">
        <f ca="1">SUM(AU9:AX9)</f>
        <v>1074.7295865134834</v>
      </c>
      <c r="BW9" s="29">
        <f ca="1">SUM(AY9:BB9)</f>
        <v>1217.1889077729734</v>
      </c>
      <c r="BX9" s="29">
        <f ca="1">SUM(BC9:BF9)</f>
        <v>1368.6601278346968</v>
      </c>
      <c r="BY9" s="29">
        <f ca="1">SUM(BG9:BJ9)</f>
        <v>1515.6662833794182</v>
      </c>
    </row>
    <row r="10" spans="1:85" s="461" customFormat="1" ht="12" customHeight="1">
      <c r="A10" s="451"/>
      <c r="B10" s="459" t="s">
        <v>209</v>
      </c>
      <c r="C10" s="459"/>
      <c r="D10" s="459"/>
      <c r="E10" s="459"/>
      <c r="F10" s="459"/>
      <c r="G10" s="459"/>
      <c r="H10" s="459"/>
      <c r="I10" s="459"/>
      <c r="J10" s="459"/>
      <c r="K10" s="459"/>
      <c r="L10" s="459"/>
      <c r="M10" s="459"/>
      <c r="N10" s="459"/>
      <c r="O10" s="29"/>
      <c r="P10" s="147">
        <f>+P9/O9-1</f>
        <v>3.6468330134356908E-2</v>
      </c>
      <c r="Q10" s="147">
        <f t="shared" ref="Q10:AL10" si="48">+Q9/P9-1</f>
        <v>5.0000000000000044E-2</v>
      </c>
      <c r="R10" s="147">
        <f t="shared" si="48"/>
        <v>2.2927689594356204E-2</v>
      </c>
      <c r="S10" s="147">
        <f t="shared" si="48"/>
        <v>3.6206896551724155E-2</v>
      </c>
      <c r="T10" s="147">
        <f t="shared" si="48"/>
        <v>5.8236272878535722E-2</v>
      </c>
      <c r="U10" s="147">
        <f t="shared" si="48"/>
        <v>6.1320754716981174E-2</v>
      </c>
      <c r="V10" s="147">
        <f t="shared" si="48"/>
        <v>7.1111111111111125E-2</v>
      </c>
      <c r="W10" s="147">
        <f t="shared" si="48"/>
        <v>7.1922544951590561E-2</v>
      </c>
      <c r="X10" s="147">
        <f t="shared" si="48"/>
        <v>5.4193548387096779E-2</v>
      </c>
      <c r="Y10" s="147">
        <f t="shared" si="48"/>
        <v>3.7943696450428277E-2</v>
      </c>
      <c r="Z10" s="147">
        <f t="shared" si="48"/>
        <v>2.4764150943396235E-2</v>
      </c>
      <c r="AA10" s="147">
        <f t="shared" si="48"/>
        <v>-1.3808975834292303E-2</v>
      </c>
      <c r="AB10" s="147">
        <f t="shared" si="48"/>
        <v>3.9673278879813312E-2</v>
      </c>
      <c r="AC10" s="147">
        <f t="shared" si="48"/>
        <v>0.24803591470258146</v>
      </c>
      <c r="AD10" s="147">
        <f t="shared" si="48"/>
        <v>1.8884892086330929E-2</v>
      </c>
      <c r="AE10" s="147">
        <f t="shared" si="48"/>
        <v>3.9717563989408733E-2</v>
      </c>
      <c r="AF10" s="147">
        <f t="shared" si="48"/>
        <v>0.1044142614601018</v>
      </c>
      <c r="AG10" s="147">
        <f t="shared" si="48"/>
        <v>0.1053036126056881</v>
      </c>
      <c r="AH10" s="147">
        <f t="shared" si="48"/>
        <v>-4.4506258692628697E-2</v>
      </c>
      <c r="AI10" s="147">
        <f t="shared" si="48"/>
        <v>8.6608442503639083E-2</v>
      </c>
      <c r="AJ10" s="147">
        <f t="shared" si="48"/>
        <v>0.11788345612860018</v>
      </c>
      <c r="AK10" s="147">
        <f t="shared" si="48"/>
        <v>5.0329538645895733E-2</v>
      </c>
      <c r="AL10" s="147">
        <f t="shared" si="48"/>
        <v>2.9663434112949139E-2</v>
      </c>
      <c r="AM10" s="147">
        <f t="shared" ref="AM10:AX10" ca="1" si="49">+AM9/AL9-1</f>
        <v>3.748049444256174E-2</v>
      </c>
      <c r="AN10" s="147">
        <f t="shared" ca="1" si="49"/>
        <v>6.518063137807717E-2</v>
      </c>
      <c r="AO10" s="147">
        <f t="shared" ca="1" si="49"/>
        <v>4.7706487595903457E-2</v>
      </c>
      <c r="AP10" s="147">
        <f t="shared" ca="1" si="49"/>
        <v>4.3572628083000664E-2</v>
      </c>
      <c r="AQ10" s="147">
        <f t="shared" ca="1" si="49"/>
        <v>3.6402868944733768E-2</v>
      </c>
      <c r="AR10" s="147">
        <f t="shared" ca="1" si="49"/>
        <v>3.4874894489411501E-2</v>
      </c>
      <c r="AS10" s="147">
        <f t="shared" ca="1" si="49"/>
        <v>3.3462493840065166E-2</v>
      </c>
      <c r="AT10" s="147">
        <f t="shared" ca="1" si="49"/>
        <v>3.2153197908353581E-2</v>
      </c>
      <c r="AU10" s="147">
        <f t="shared" ca="1" si="49"/>
        <v>3.0936267412681406E-2</v>
      </c>
      <c r="AV10" s="147">
        <f t="shared" ca="1" si="49"/>
        <v>2.9802402965620756E-2</v>
      </c>
      <c r="AW10" s="147">
        <f t="shared" ca="1" si="49"/>
        <v>2.8743511577307146E-2</v>
      </c>
      <c r="AX10" s="147">
        <f t="shared" ca="1" si="49"/>
        <v>2.7752517169087998E-2</v>
      </c>
      <c r="AY10" s="147">
        <f t="shared" ref="AY10" ca="1" si="50">+AY9/AX9-1</f>
        <v>3.4858899902276308E-2</v>
      </c>
      <c r="AZ10" s="147">
        <f t="shared" ref="AZ10" ca="1" si="51">+AZ9/AY9-1</f>
        <v>3.3421595247934199E-2</v>
      </c>
      <c r="BA10" s="147">
        <f t="shared" ref="BA10" ca="1" si="52">+BA9/AZ9-1</f>
        <v>3.2090228124699083E-2</v>
      </c>
      <c r="BB10" s="147">
        <f t="shared" ref="BB10" ca="1" si="53">+BB9/BA9-1</f>
        <v>3.085367182736598E-2</v>
      </c>
      <c r="BC10" s="147">
        <f t="shared" ref="BC10" ca="1" si="54">+BC9/BB9-1</f>
        <v>2.970230372481053E-2</v>
      </c>
      <c r="BD10" s="147">
        <f t="shared" ref="BD10" ca="1" si="55">+BD9/BC9-1</f>
        <v>2.8627759416285148E-2</v>
      </c>
      <c r="BE10" s="147">
        <f t="shared" ref="BE10" ca="1" si="56">+BE9/BD9-1</f>
        <v>2.7622733582000514E-2</v>
      </c>
      <c r="BF10" s="147">
        <f t="shared" ref="BF10" ca="1" si="57">+BF9/BE9-1</f>
        <v>2.6680817498460963E-2</v>
      </c>
      <c r="BG10" s="147">
        <f t="shared" ref="BG10" ca="1" si="58">+BG9/BF9-1</f>
        <v>2.5796365577742675E-2</v>
      </c>
      <c r="BH10" s="147">
        <f t="shared" ref="BH10" ca="1" si="59">+BH9/BG9-1</f>
        <v>2.4964385057078875E-2</v>
      </c>
      <c r="BI10" s="147">
        <f t="shared" ref="BI10" ca="1" si="60">+BI9/BH9-1</f>
        <v>2.41804442854201E-2</v>
      </c>
      <c r="BJ10" s="147">
        <f t="shared" ref="BJ10" ca="1" si="61">+BJ9/BI9-1</f>
        <v>2.3440596049172369E-2</v>
      </c>
      <c r="BK10" s="451"/>
      <c r="BL10" s="147"/>
      <c r="BM10" s="147">
        <f t="shared" ref="BM10:BR10" si="62">+BM9/BL9-1</f>
        <v>0.42509803921568623</v>
      </c>
      <c r="BN10" s="147">
        <f t="shared" si="62"/>
        <v>0.21518987341772156</v>
      </c>
      <c r="BO10" s="147">
        <f t="shared" si="62"/>
        <v>0.19338768115942018</v>
      </c>
      <c r="BP10" s="147">
        <f t="shared" si="62"/>
        <v>0.25578747628083476</v>
      </c>
      <c r="BQ10" s="147">
        <f t="shared" si="62"/>
        <v>0.20670897552130563</v>
      </c>
      <c r="BR10" s="147">
        <f t="shared" si="62"/>
        <v>0.32506887052341593</v>
      </c>
      <c r="BS10" s="147">
        <f>+BS9/BR9-1</f>
        <v>0.27008127008127003</v>
      </c>
      <c r="BT10" s="147">
        <f ca="1">+BT9/BS9-1</f>
        <v>0.21103778764848746</v>
      </c>
      <c r="BU10" s="147">
        <f ca="1">+BU9/BT9-1</f>
        <v>0.16882132422024032</v>
      </c>
      <c r="BV10" s="147">
        <f ca="1">+BV9/BU9-1</f>
        <v>0.12985863980235846</v>
      </c>
      <c r="BW10" s="147">
        <f t="shared" ref="BW10:BY10" ca="1" si="63">+BW9/BV9-1</f>
        <v>0.13255364237402323</v>
      </c>
      <c r="BX10" s="147">
        <f t="shared" ca="1" si="63"/>
        <v>0.12444347717468318</v>
      </c>
      <c r="BY10" s="147">
        <f t="shared" ca="1" si="63"/>
        <v>0.10740880994121893</v>
      </c>
      <c r="BZ10" s="451"/>
      <c r="CA10" s="460"/>
      <c r="CB10"/>
      <c r="CC10"/>
      <c r="CD10"/>
      <c r="CE10"/>
      <c r="CF10"/>
      <c r="CG10"/>
    </row>
    <row r="11" spans="1:85" ht="12" hidden="1" customHeight="1" outlineLevel="1">
      <c r="B11" s="42" t="s">
        <v>94</v>
      </c>
      <c r="C11" s="42"/>
      <c r="D11" s="42"/>
      <c r="E11" s="42"/>
      <c r="F11" s="42"/>
      <c r="G11" s="42"/>
      <c r="H11" s="42"/>
      <c r="I11" s="42"/>
      <c r="J11" s="42"/>
      <c r="K11" s="42"/>
      <c r="L11" s="42"/>
      <c r="M11" s="42"/>
      <c r="N11" s="42"/>
      <c r="O11" s="7">
        <v>52.1</v>
      </c>
      <c r="P11" s="7">
        <v>54</v>
      </c>
      <c r="Q11" s="7">
        <v>56.7</v>
      </c>
      <c r="R11" s="7">
        <v>58</v>
      </c>
      <c r="S11" s="7">
        <v>60.1</v>
      </c>
      <c r="T11" s="7">
        <v>63.6</v>
      </c>
      <c r="U11" s="7">
        <v>67.5</v>
      </c>
      <c r="V11" s="7">
        <v>72.3</v>
      </c>
      <c r="W11" s="7">
        <v>77.5</v>
      </c>
      <c r="X11" s="7">
        <v>81.7</v>
      </c>
      <c r="Y11" s="7">
        <v>84.8</v>
      </c>
      <c r="Z11" s="7">
        <v>86.9</v>
      </c>
      <c r="AA11" s="7">
        <v>85.7</v>
      </c>
      <c r="AB11" s="7">
        <v>89.1</v>
      </c>
      <c r="AC11" s="7">
        <v>111.2</v>
      </c>
      <c r="AD11" s="7">
        <v>113.3</v>
      </c>
      <c r="AE11" s="7">
        <v>117.8</v>
      </c>
      <c r="AF11" s="452">
        <v>130.1</v>
      </c>
      <c r="AG11" s="452">
        <v>143.80000000000001</v>
      </c>
      <c r="AH11" s="452">
        <v>137.4</v>
      </c>
      <c r="AI11" s="452">
        <v>149.30000000000001</v>
      </c>
      <c r="AJ11" s="452">
        <v>166.9</v>
      </c>
      <c r="AK11" s="452">
        <v>175.3</v>
      </c>
      <c r="AL11" s="452">
        <v>180.5</v>
      </c>
      <c r="AM11" s="1">
        <f t="shared" ref="AM11:AX11" si="64">AL11</f>
        <v>180.5</v>
      </c>
      <c r="AN11" s="1">
        <f t="shared" si="64"/>
        <v>180.5</v>
      </c>
      <c r="AO11" s="1">
        <f t="shared" si="64"/>
        <v>180.5</v>
      </c>
      <c r="AP11" s="1">
        <f t="shared" si="64"/>
        <v>180.5</v>
      </c>
      <c r="AQ11" s="1">
        <f t="shared" si="64"/>
        <v>180.5</v>
      </c>
      <c r="AR11" s="1">
        <f t="shared" si="64"/>
        <v>180.5</v>
      </c>
      <c r="AS11" s="1">
        <f t="shared" si="64"/>
        <v>180.5</v>
      </c>
      <c r="AT11" s="1">
        <f t="shared" si="64"/>
        <v>180.5</v>
      </c>
      <c r="AU11" s="1">
        <f t="shared" si="64"/>
        <v>180.5</v>
      </c>
      <c r="AV11" s="1">
        <f t="shared" si="64"/>
        <v>180.5</v>
      </c>
      <c r="AW11" s="1">
        <f t="shared" si="64"/>
        <v>180.5</v>
      </c>
      <c r="AX11" s="1">
        <f t="shared" si="64"/>
        <v>180.5</v>
      </c>
      <c r="AY11" s="1">
        <f t="shared" ref="AY11" si="65">AX11</f>
        <v>180.5</v>
      </c>
      <c r="AZ11" s="1">
        <f t="shared" ref="AZ11" si="66">AY11</f>
        <v>180.5</v>
      </c>
      <c r="BA11" s="1">
        <f t="shared" ref="BA11" si="67">AZ11</f>
        <v>180.5</v>
      </c>
      <c r="BB11" s="1">
        <f t="shared" ref="BB11" si="68">BA11</f>
        <v>180.5</v>
      </c>
      <c r="BC11" s="1">
        <f t="shared" ref="BC11" si="69">BB11</f>
        <v>180.5</v>
      </c>
      <c r="BD11" s="1">
        <f t="shared" ref="BD11" si="70">BC11</f>
        <v>180.5</v>
      </c>
      <c r="BE11" s="1">
        <f t="shared" ref="BE11" si="71">BD11</f>
        <v>180.5</v>
      </c>
      <c r="BF11" s="1">
        <f t="shared" ref="BF11" si="72">BE11</f>
        <v>180.5</v>
      </c>
      <c r="BG11" s="1">
        <f t="shared" ref="BG11" si="73">BF11</f>
        <v>180.5</v>
      </c>
      <c r="BH11" s="1">
        <f t="shared" ref="BH11" si="74">BG11</f>
        <v>180.5</v>
      </c>
      <c r="BI11" s="1">
        <f t="shared" ref="BI11" si="75">BH11</f>
        <v>180.5</v>
      </c>
      <c r="BJ11" s="1">
        <f t="shared" ref="BJ11" si="76">BI11</f>
        <v>180.5</v>
      </c>
      <c r="BK11" s="1"/>
      <c r="BL11" s="7">
        <v>127.5</v>
      </c>
      <c r="BM11" s="7">
        <v>181.7</v>
      </c>
      <c r="BN11" s="29">
        <f t="shared" ref="BN11:BN17" si="77">SUM(O11:R11)</f>
        <v>220.8</v>
      </c>
      <c r="BO11" s="29">
        <f t="shared" ref="BO11:BO17" si="78">SUM(S11:V11)</f>
        <v>263.5</v>
      </c>
      <c r="BP11" s="29">
        <f t="shared" ref="BP11:BP17" si="79">SUM(W11:Z11)</f>
        <v>330.9</v>
      </c>
      <c r="BQ11" s="29">
        <f t="shared" ref="BQ11:BQ17" si="80">SUM(AA11:AD11)</f>
        <v>399.3</v>
      </c>
      <c r="BR11" s="29">
        <f t="shared" ref="BR11:BR17" si="81">SUM(AE11:AH11)</f>
        <v>529.1</v>
      </c>
      <c r="BS11" s="29">
        <f t="shared" ref="BS11:BS17" si="82">SUM(AI11:AL11)</f>
        <v>672</v>
      </c>
      <c r="BT11" s="29">
        <f t="shared" ref="BT11:BT17" si="83">SUM(AM11:AP11)</f>
        <v>722</v>
      </c>
      <c r="BU11" s="29">
        <f t="shared" ref="BU11:BU17" si="84">SUM(AQ11:AT11)</f>
        <v>722</v>
      </c>
      <c r="BV11" s="29">
        <f t="shared" ref="BV11:BV17" si="85">SUM(AU11:AX11)</f>
        <v>722</v>
      </c>
      <c r="BW11" s="29">
        <f t="shared" ref="BW11:BW17" si="86">SUM(AY11:BB11)</f>
        <v>722</v>
      </c>
      <c r="BX11" s="29">
        <f t="shared" ref="BX11:BX17" si="87">SUM(BC11:BF11)</f>
        <v>722</v>
      </c>
      <c r="BY11" s="29">
        <f t="shared" ref="BY11:BY17" si="88">SUM(BG11:BJ11)</f>
        <v>722</v>
      </c>
    </row>
    <row r="12" spans="1:85" ht="12" hidden="1" customHeight="1" outlineLevel="1">
      <c r="B12" s="42" t="s">
        <v>154</v>
      </c>
      <c r="C12" s="42"/>
      <c r="D12" s="42"/>
      <c r="E12" s="42"/>
      <c r="F12" s="42"/>
      <c r="G12" s="42"/>
      <c r="H12" s="42"/>
      <c r="I12" s="42"/>
      <c r="J12" s="42"/>
      <c r="K12" s="42"/>
      <c r="L12" s="42"/>
      <c r="M12" s="42"/>
      <c r="N12" s="42"/>
      <c r="O12" s="1"/>
      <c r="P12" s="114"/>
      <c r="Q12" s="114"/>
      <c r="R12" s="114"/>
      <c r="S12" s="114"/>
      <c r="T12" s="114"/>
      <c r="U12" s="114"/>
      <c r="V12" s="114"/>
      <c r="W12" s="114"/>
      <c r="X12" s="114"/>
      <c r="Y12" s="114"/>
      <c r="Z12" s="114"/>
      <c r="AA12" s="114"/>
      <c r="AB12" s="114"/>
      <c r="AC12" s="114"/>
      <c r="AD12" s="114"/>
      <c r="AE12" s="114"/>
      <c r="AF12" s="114"/>
      <c r="AG12" s="114"/>
      <c r="AH12" s="114"/>
      <c r="AI12" s="114"/>
      <c r="AJ12" s="114"/>
      <c r="AK12" s="114"/>
      <c r="AL12" s="114"/>
      <c r="AM12" s="1">
        <f t="shared" ref="AM12:AX12" ca="1" si="89">((1-AM147)^0.25-1)*AL9+AL12</f>
        <v>-2.5347707531176051</v>
      </c>
      <c r="AN12" s="1">
        <f t="shared" ca="1" si="89"/>
        <v>-5.1645459673606027</v>
      </c>
      <c r="AO12" s="1">
        <f t="shared" ca="1" si="89"/>
        <v>-7.9657315904503774</v>
      </c>
      <c r="AP12" s="1">
        <f t="shared" ca="1" si="89"/>
        <v>-10.900551940721908</v>
      </c>
      <c r="AQ12" s="1">
        <f t="shared" ca="1" si="89"/>
        <v>-14.24824850066855</v>
      </c>
      <c r="AR12" s="1">
        <f t="shared" ca="1" si="89"/>
        <v>-17.717810819753666</v>
      </c>
      <c r="AS12" s="1">
        <f t="shared" ca="1" si="89"/>
        <v>-21.308373758641313</v>
      </c>
      <c r="AT12" s="1">
        <f t="shared" ca="1" si="89"/>
        <v>-25.019085887753857</v>
      </c>
      <c r="AU12" s="1">
        <f t="shared" ca="1" si="89"/>
        <v>-28.849109278334684</v>
      </c>
      <c r="AV12" s="1">
        <f t="shared" ca="1" si="89"/>
        <v>-32.79761929672334</v>
      </c>
      <c r="AW12" s="1">
        <f t="shared" ca="1" si="89"/>
        <v>-36.863804401793807</v>
      </c>
      <c r="AX12" s="1">
        <f t="shared" ca="1" si="89"/>
        <v>-41.046865945507342</v>
      </c>
      <c r="AY12" s="1">
        <f t="shared" ref="AY12" ca="1" si="90">((1-AY147)^0.25-1)*AX9+AX12</f>
        <v>-45.346017976532139</v>
      </c>
      <c r="AZ12" s="1">
        <f t="shared" ref="AZ12" ca="1" si="91">((1-AZ147)^0.25-1)*AY9+AY12</f>
        <v>-49.7950337178711</v>
      </c>
      <c r="BA12" s="1">
        <f t="shared" ref="BA12" ca="1" si="92">((1-BA147)^0.25-1)*AZ9+AZ12</f>
        <v>-54.392742662568779</v>
      </c>
      <c r="BB12" s="1">
        <f t="shared" ref="BB12" ca="1" si="93">((1-BB147)^0.25-1)*BA9+BA12</f>
        <v>-59.137993136152772</v>
      </c>
      <c r="BC12" s="1">
        <f t="shared" ref="BC12" ca="1" si="94">((1-BC147)^0.25-1)*BB9+BB12</f>
        <v>-64.029652010587384</v>
      </c>
      <c r="BD12" s="1">
        <f t="shared" ref="BD12" ca="1" si="95">((1-BD147)^0.25-1)*BC9+BC12</f>
        <v>-69.066604422628615</v>
      </c>
      <c r="BE12" s="1">
        <f t="shared" ref="BE12" ca="1" si="96">((1-BE147)^0.25-1)*BD9+BD12</f>
        <v>-74.247753496513042</v>
      </c>
      <c r="BF12" s="1">
        <f t="shared" ref="BF12" ca="1" si="97">((1-BF147)^0.25-1)*BE9+BE12</f>
        <v>-79.572020070914007</v>
      </c>
      <c r="BG12" s="1">
        <f t="shared" ref="BG12" ca="1" si="98">((1-BG147)^0.25-1)*BF9+BF12</f>
        <v>-85.038342430099718</v>
      </c>
      <c r="BH12" s="1">
        <f t="shared" ref="BH12" ca="1" si="99">((1-BH147)^0.25-1)*BG9+BG12</f>
        <v>-90.645676039228775</v>
      </c>
      <c r="BI12" s="1">
        <f t="shared" ref="BI12" ca="1" si="100">((1-BI147)^0.25-1)*BH9+BH12</f>
        <v>-96.392993283719619</v>
      </c>
      <c r="BJ12" s="1">
        <f t="shared" ref="BJ12" ca="1" si="101">((1-BJ147)^0.25-1)*BI9+BI12</f>
        <v>-102.27928321263151</v>
      </c>
      <c r="BK12" s="1"/>
      <c r="BL12" s="7"/>
      <c r="BM12" s="7"/>
      <c r="BN12" s="29">
        <f t="shared" si="77"/>
        <v>0</v>
      </c>
      <c r="BO12" s="29">
        <f t="shared" si="78"/>
        <v>0</v>
      </c>
      <c r="BP12" s="29">
        <f t="shared" si="79"/>
        <v>0</v>
      </c>
      <c r="BQ12" s="29">
        <f t="shared" si="80"/>
        <v>0</v>
      </c>
      <c r="BR12" s="29">
        <f t="shared" si="81"/>
        <v>0</v>
      </c>
      <c r="BS12" s="29">
        <f t="shared" si="82"/>
        <v>0</v>
      </c>
      <c r="BT12" s="29">
        <f t="shared" ca="1" si="83"/>
        <v>-26.565600251650494</v>
      </c>
      <c r="BU12" s="29">
        <f t="shared" ca="1" si="84"/>
        <v>-78.293518966817388</v>
      </c>
      <c r="BV12" s="29">
        <f t="shared" ca="1" si="85"/>
        <v>-139.55739892235917</v>
      </c>
      <c r="BW12" s="29">
        <f t="shared" ca="1" si="86"/>
        <v>-208.67178749312478</v>
      </c>
      <c r="BX12" s="29">
        <f t="shared" ca="1" si="87"/>
        <v>-286.91603000064305</v>
      </c>
      <c r="BY12" s="29">
        <f t="shared" ca="1" si="88"/>
        <v>-374.35629496567964</v>
      </c>
    </row>
    <row r="13" spans="1:85" ht="12" hidden="1" customHeight="1" outlineLevel="1">
      <c r="B13" s="42" t="s">
        <v>173</v>
      </c>
      <c r="C13" s="42"/>
      <c r="D13" s="42"/>
      <c r="E13" s="42"/>
      <c r="F13" s="42"/>
      <c r="G13" s="42"/>
      <c r="H13" s="42"/>
      <c r="I13" s="42"/>
      <c r="J13" s="42"/>
      <c r="K13" s="42"/>
      <c r="L13" s="42"/>
      <c r="M13" s="42"/>
      <c r="N13" s="42"/>
      <c r="O13" s="1"/>
      <c r="P13" s="114"/>
      <c r="Q13" s="114"/>
      <c r="R13" s="114"/>
      <c r="S13" s="114"/>
      <c r="T13" s="114"/>
      <c r="U13" s="114"/>
      <c r="V13" s="114"/>
      <c r="W13" s="114"/>
      <c r="X13" s="114"/>
      <c r="Y13" s="114"/>
      <c r="Z13" s="114"/>
      <c r="AA13" s="114"/>
      <c r="AB13" s="114"/>
      <c r="AC13" s="114"/>
      <c r="AD13" s="114"/>
      <c r="AE13" s="114"/>
      <c r="AF13" s="114"/>
      <c r="AG13" s="114"/>
      <c r="AH13" s="114"/>
      <c r="AI13" s="114"/>
      <c r="AJ13" s="114"/>
      <c r="AK13" s="114"/>
      <c r="AL13" s="114"/>
      <c r="AM13" s="1">
        <f t="shared" ref="AM13:AX13" ca="1" si="102">AM186/1000+AL13</f>
        <v>1.5</v>
      </c>
      <c r="AN13" s="1">
        <f t="shared" ca="1" si="102"/>
        <v>3</v>
      </c>
      <c r="AO13" s="1">
        <f t="shared" ca="1" si="102"/>
        <v>4.5</v>
      </c>
      <c r="AP13" s="1">
        <f t="shared" ca="1" si="102"/>
        <v>6</v>
      </c>
      <c r="AQ13" s="1">
        <f t="shared" ca="1" si="102"/>
        <v>7.5250000000000004</v>
      </c>
      <c r="AR13" s="1">
        <f t="shared" ca="1" si="102"/>
        <v>9.0750000000000011</v>
      </c>
      <c r="AS13" s="1">
        <f t="shared" ca="1" si="102"/>
        <v>10.65</v>
      </c>
      <c r="AT13" s="1">
        <f t="shared" ca="1" si="102"/>
        <v>12.25</v>
      </c>
      <c r="AU13" s="1">
        <f t="shared" ca="1" si="102"/>
        <v>13.875</v>
      </c>
      <c r="AV13" s="1">
        <f t="shared" ca="1" si="102"/>
        <v>15.525</v>
      </c>
      <c r="AW13" s="1">
        <f t="shared" ca="1" si="102"/>
        <v>17.2</v>
      </c>
      <c r="AX13" s="1">
        <f t="shared" ca="1" si="102"/>
        <v>18.899999999999999</v>
      </c>
      <c r="AY13" s="1">
        <f t="shared" ref="AY13" ca="1" si="103">AY186/1000+AX13</f>
        <v>20.625</v>
      </c>
      <c r="AZ13" s="1">
        <f t="shared" ref="AZ13" ca="1" si="104">AZ186/1000+AY13</f>
        <v>22.375</v>
      </c>
      <c r="BA13" s="1">
        <f t="shared" ref="BA13" ca="1" si="105">BA186/1000+AZ13</f>
        <v>24.15</v>
      </c>
      <c r="BB13" s="1">
        <f t="shared" ref="BB13" ca="1" si="106">BB186/1000+BA13</f>
        <v>25.95</v>
      </c>
      <c r="BC13" s="1">
        <f t="shared" ref="BC13" ca="1" si="107">BC186/1000+BB13</f>
        <v>27.774999999999999</v>
      </c>
      <c r="BD13" s="1">
        <f t="shared" ref="BD13" ca="1" si="108">BD186/1000+BC13</f>
        <v>29.625</v>
      </c>
      <c r="BE13" s="1">
        <f t="shared" ref="BE13" ca="1" si="109">BE186/1000+BD13</f>
        <v>31.5</v>
      </c>
      <c r="BF13" s="1">
        <f t="shared" ref="BF13" ca="1" si="110">BF186/1000+BE13</f>
        <v>33.4</v>
      </c>
      <c r="BG13" s="1">
        <f t="shared" ref="BG13" ca="1" si="111">BG186/1000+BF13</f>
        <v>35.324999999999996</v>
      </c>
      <c r="BH13" s="1">
        <f t="shared" ref="BH13" ca="1" si="112">BH186/1000+BG13</f>
        <v>37.274999999999999</v>
      </c>
      <c r="BI13" s="1">
        <f t="shared" ref="BI13" ca="1" si="113">BI186/1000+BH13</f>
        <v>39.25</v>
      </c>
      <c r="BJ13" s="1">
        <f t="shared" ref="BJ13" ca="1" si="114">BJ186/1000+BI13</f>
        <v>41.25</v>
      </c>
      <c r="BK13" s="1"/>
      <c r="BL13" s="7"/>
      <c r="BM13" s="7"/>
      <c r="BN13" s="29">
        <f t="shared" si="77"/>
        <v>0</v>
      </c>
      <c r="BO13" s="29">
        <f t="shared" si="78"/>
        <v>0</v>
      </c>
      <c r="BP13" s="29">
        <f t="shared" si="79"/>
        <v>0</v>
      </c>
      <c r="BQ13" s="29">
        <f t="shared" si="80"/>
        <v>0</v>
      </c>
      <c r="BR13" s="29">
        <f t="shared" si="81"/>
        <v>0</v>
      </c>
      <c r="BS13" s="29">
        <f t="shared" si="82"/>
        <v>0</v>
      </c>
      <c r="BT13" s="29">
        <f t="shared" ca="1" si="83"/>
        <v>15</v>
      </c>
      <c r="BU13" s="29">
        <f t="shared" ca="1" si="84"/>
        <v>39.5</v>
      </c>
      <c r="BV13" s="29">
        <f t="shared" ca="1" si="85"/>
        <v>65.5</v>
      </c>
      <c r="BW13" s="29">
        <f t="shared" ca="1" si="86"/>
        <v>93.100000000000009</v>
      </c>
      <c r="BX13" s="29">
        <f t="shared" ca="1" si="87"/>
        <v>122.30000000000001</v>
      </c>
      <c r="BY13" s="29">
        <f t="shared" ca="1" si="88"/>
        <v>153.1</v>
      </c>
    </row>
    <row r="14" spans="1:85" ht="12" hidden="1" customHeight="1" outlineLevel="1">
      <c r="B14" s="42" t="s">
        <v>155</v>
      </c>
      <c r="C14" s="42"/>
      <c r="D14" s="42"/>
      <c r="E14" s="42"/>
      <c r="F14" s="42"/>
      <c r="G14" s="42"/>
      <c r="H14" s="42"/>
      <c r="I14" s="42"/>
      <c r="J14" s="42"/>
      <c r="K14" s="42"/>
      <c r="L14" s="42"/>
      <c r="M14" s="42"/>
      <c r="N14" s="42"/>
      <c r="O14" s="1"/>
      <c r="P14" s="114"/>
      <c r="Q14" s="114"/>
      <c r="R14" s="114"/>
      <c r="S14" s="114"/>
      <c r="T14" s="114"/>
      <c r="U14" s="114"/>
      <c r="V14" s="114"/>
      <c r="W14" s="114"/>
      <c r="X14" s="114"/>
      <c r="Y14" s="114"/>
      <c r="Z14" s="114"/>
      <c r="AA14" s="114"/>
      <c r="AB14" s="114"/>
      <c r="AC14" s="114"/>
      <c r="AD14" s="114"/>
      <c r="AE14" s="114"/>
      <c r="AF14" s="114"/>
      <c r="AG14" s="114"/>
      <c r="AH14" s="114"/>
      <c r="AI14" s="114"/>
      <c r="AJ14" s="114"/>
      <c r="AK14" s="114"/>
      <c r="AL14" s="114"/>
      <c r="AM14" s="1">
        <f t="shared" ref="AM14:AX14" ca="1" si="115">+AL14+AM157*AM153/1000000</f>
        <v>7.8</v>
      </c>
      <c r="AN14" s="1">
        <f t="shared" ca="1" si="115"/>
        <v>15.753</v>
      </c>
      <c r="AO14" s="1">
        <f t="shared" ca="1" si="115"/>
        <v>23.86</v>
      </c>
      <c r="AP14" s="1">
        <f t="shared" ca="1" si="115"/>
        <v>32.122</v>
      </c>
      <c r="AQ14" s="1">
        <f ca="1">+AP14+AQ157*AQ153/1000000</f>
        <v>39.597000000000001</v>
      </c>
      <c r="AR14" s="1">
        <f t="shared" ca="1" si="115"/>
        <v>47.104500000000002</v>
      </c>
      <c r="AS14" s="1">
        <f t="shared" ca="1" si="115"/>
        <v>54.644500000000001</v>
      </c>
      <c r="AT14" s="1">
        <f t="shared" ca="1" si="115"/>
        <v>62.216999999999999</v>
      </c>
      <c r="AU14" s="1">
        <f t="shared" ca="1" si="115"/>
        <v>69.822000000000003</v>
      </c>
      <c r="AV14" s="1">
        <f t="shared" ca="1" si="115"/>
        <v>77.459500000000006</v>
      </c>
      <c r="AW14" s="1">
        <f t="shared" ca="1" si="115"/>
        <v>85.129500000000007</v>
      </c>
      <c r="AX14" s="1">
        <f t="shared" ca="1" si="115"/>
        <v>92.832000000000008</v>
      </c>
      <c r="AY14" s="1">
        <f t="shared" ref="AY14" ca="1" si="116">+AX14+AY157*AY153/1000000</f>
        <v>100.56700000000001</v>
      </c>
      <c r="AZ14" s="1">
        <f t="shared" ref="AZ14" ca="1" si="117">+AY14+AZ157*AZ153/1000000</f>
        <v>108.33450000000001</v>
      </c>
      <c r="BA14" s="1">
        <f t="shared" ref="BA14" ca="1" si="118">+AZ14+BA157*BA153/1000000</f>
        <v>116.1345</v>
      </c>
      <c r="BB14" s="1">
        <f t="shared" ref="BB14" ca="1" si="119">+BA14+BB157*BB153/1000000</f>
        <v>123.967</v>
      </c>
      <c r="BC14" s="1">
        <f t="shared" ref="BC14" ca="1" si="120">+BB14+BC157*BC153/1000000</f>
        <v>131.83199999999999</v>
      </c>
      <c r="BD14" s="1">
        <f t="shared" ref="BD14" ca="1" si="121">+BC14+BD157*BD153/1000000</f>
        <v>139.7295</v>
      </c>
      <c r="BE14" s="1">
        <f t="shared" ref="BE14" ca="1" si="122">+BD14+BE157*BE153/1000000</f>
        <v>147.65950000000001</v>
      </c>
      <c r="BF14" s="1">
        <f t="shared" ref="BF14" ca="1" si="123">+BE14+BF157*BF153/1000000</f>
        <v>155.62200000000001</v>
      </c>
      <c r="BG14" s="1">
        <f t="shared" ref="BG14" ca="1" si="124">+BF14+BG157*BG153/1000000</f>
        <v>163.61700000000002</v>
      </c>
      <c r="BH14" s="1">
        <f t="shared" ref="BH14" ca="1" si="125">+BG14+BH157*BH153/1000000</f>
        <v>171.64450000000002</v>
      </c>
      <c r="BI14" s="1">
        <f t="shared" ref="BI14" ca="1" si="126">+BH14+BI157*BI153/1000000</f>
        <v>179.70450000000002</v>
      </c>
      <c r="BJ14" s="1">
        <f t="shared" ref="BJ14" ca="1" si="127">+BI14+BJ157*BJ153/1000000</f>
        <v>187.79700000000003</v>
      </c>
      <c r="BK14" s="1"/>
      <c r="BL14" s="7"/>
      <c r="BM14" s="7"/>
      <c r="BN14" s="29">
        <f t="shared" si="77"/>
        <v>0</v>
      </c>
      <c r="BO14" s="29">
        <f t="shared" si="78"/>
        <v>0</v>
      </c>
      <c r="BP14" s="29">
        <f t="shared" si="79"/>
        <v>0</v>
      </c>
      <c r="BQ14" s="29">
        <f t="shared" si="80"/>
        <v>0</v>
      </c>
      <c r="BR14" s="29">
        <f t="shared" si="81"/>
        <v>0</v>
      </c>
      <c r="BS14" s="29">
        <f t="shared" si="82"/>
        <v>0</v>
      </c>
      <c r="BT14" s="29">
        <f t="shared" ca="1" si="83"/>
        <v>79.534999999999997</v>
      </c>
      <c r="BU14" s="29">
        <f t="shared" ca="1" si="84"/>
        <v>203.56299999999999</v>
      </c>
      <c r="BV14" s="29">
        <f t="shared" ca="1" si="85"/>
        <v>325.24299999999999</v>
      </c>
      <c r="BW14" s="29">
        <f t="shared" ca="1" si="86"/>
        <v>449.00299999999999</v>
      </c>
      <c r="BX14" s="29">
        <f t="shared" ca="1" si="87"/>
        <v>574.84300000000007</v>
      </c>
      <c r="BY14" s="29">
        <f t="shared" ca="1" si="88"/>
        <v>702.76300000000015</v>
      </c>
    </row>
    <row r="15" spans="1:85" ht="12" hidden="1" customHeight="1" outlineLevel="1">
      <c r="B15" s="42" t="s">
        <v>96</v>
      </c>
      <c r="C15" s="42"/>
      <c r="D15" s="42"/>
      <c r="E15" s="42"/>
      <c r="F15" s="42"/>
      <c r="G15" s="42"/>
      <c r="H15" s="42"/>
      <c r="I15" s="42"/>
      <c r="J15" s="42"/>
      <c r="K15" s="42"/>
      <c r="L15" s="42"/>
      <c r="M15" s="42"/>
      <c r="N15" s="42"/>
      <c r="O15" s="1"/>
      <c r="P15" s="114"/>
      <c r="Q15" s="114"/>
      <c r="R15" s="114"/>
      <c r="S15" s="114"/>
      <c r="T15" s="114"/>
      <c r="U15" s="114"/>
      <c r="V15" s="114"/>
      <c r="W15" s="114"/>
      <c r="X15" s="114"/>
      <c r="Y15" s="114"/>
      <c r="Z15" s="114"/>
      <c r="AA15" s="114"/>
      <c r="AB15" s="114"/>
      <c r="AC15" s="114"/>
      <c r="AD15" s="114"/>
      <c r="AE15" s="114"/>
      <c r="AF15" s="114"/>
      <c r="AG15" s="114"/>
      <c r="AH15" s="114"/>
      <c r="AI15" s="114"/>
      <c r="AJ15" s="114"/>
      <c r="AK15" s="114"/>
      <c r="AL15" s="114"/>
      <c r="AM15" s="1">
        <f t="shared" ref="AM15:AX15" si="128">AM233*AL11/(AL11+AL20)</f>
        <v>0</v>
      </c>
      <c r="AN15" s="1">
        <f>AN233*AM11/(AM11+AM20)</f>
        <v>5.3828410917151581</v>
      </c>
      <c r="AO15" s="1">
        <f t="shared" si="128"/>
        <v>8.0931015813937375</v>
      </c>
      <c r="AP15" s="1">
        <f t="shared" si="128"/>
        <v>10.372050878325126</v>
      </c>
      <c r="AQ15" s="1">
        <f t="shared" si="128"/>
        <v>12.65897649779577</v>
      </c>
      <c r="AR15" s="1">
        <f t="shared" si="128"/>
        <v>14.953906356934567</v>
      </c>
      <c r="AS15" s="1">
        <f t="shared" si="128"/>
        <v>17.256868470580347</v>
      </c>
      <c r="AT15" s="1">
        <f t="shared" si="128"/>
        <v>19.567890951623887</v>
      </c>
      <c r="AU15" s="1">
        <f t="shared" si="128"/>
        <v>21.887002011351079</v>
      </c>
      <c r="AV15" s="1">
        <f t="shared" si="128"/>
        <v>24.214229959787325</v>
      </c>
      <c r="AW15" s="1">
        <f t="shared" si="128"/>
        <v>26.549603206043091</v>
      </c>
      <c r="AX15" s="1">
        <f t="shared" si="128"/>
        <v>28.89315025866075</v>
      </c>
      <c r="AY15" s="1">
        <f t="shared" ref="AY15" si="129">AY233*AX11/(AX11+AX20)</f>
        <v>33.495523167359082</v>
      </c>
      <c r="AZ15" s="1">
        <f t="shared" ref="AZ15" si="130">AZ233*AY11/(AY11+AY20)</f>
        <v>38.114004381237862</v>
      </c>
      <c r="BA15" s="1">
        <f t="shared" ref="BA15" si="131">BA233*AZ11/(AZ11+AZ20)</f>
        <v>42.748650279365215</v>
      </c>
      <c r="BB15" s="1">
        <f t="shared" ref="BB15" si="132">BB233*BA11/(BA11+BA20)</f>
        <v>47.399517438136009</v>
      </c>
      <c r="BC15" s="1">
        <f t="shared" ref="BC15" si="133">BC233*BB11/(BB11+BB20)</f>
        <v>52.066662631962515</v>
      </c>
      <c r="BD15" s="1">
        <f t="shared" ref="BD15" si="134">BD233*BC11/(BC11+BC20)</f>
        <v>56.750142833967395</v>
      </c>
      <c r="BE15" s="1">
        <f t="shared" ref="BE15" si="135">BE233*BD11/(BD11+BD20)</f>
        <v>61.450015216679297</v>
      </c>
      <c r="BF15" s="1">
        <f t="shared" ref="BF15" si="136">BF233*BE11/(BE11+BE20)</f>
        <v>66.166337152730691</v>
      </c>
      <c r="BG15" s="1">
        <f t="shared" ref="BG15" si="137">BG233*BF11/(BF11+BF20)</f>
        <v>70.899166215558267</v>
      </c>
      <c r="BH15" s="1">
        <f t="shared" ref="BH15" si="138">BH233*BG11/(BG11+BG20)</f>
        <v>75.648560180105747</v>
      </c>
      <c r="BI15" s="1">
        <f t="shared" ref="BI15" si="139">BI233*BH11/(BH11+BH20)</f>
        <v>80.414577023529134</v>
      </c>
      <c r="BJ15" s="1">
        <f t="shared" ref="BJ15" si="140">BJ233*BI11/(BI11+BI20)</f>
        <v>85.197274925904523</v>
      </c>
      <c r="BK15" s="1"/>
      <c r="BL15" s="7"/>
      <c r="BM15" s="7"/>
      <c r="BN15" s="29">
        <f t="shared" si="77"/>
        <v>0</v>
      </c>
      <c r="BO15" s="29">
        <f t="shared" si="78"/>
        <v>0</v>
      </c>
      <c r="BP15" s="29">
        <f t="shared" si="79"/>
        <v>0</v>
      </c>
      <c r="BQ15" s="29">
        <f t="shared" si="80"/>
        <v>0</v>
      </c>
      <c r="BR15" s="29">
        <f t="shared" si="81"/>
        <v>0</v>
      </c>
      <c r="BS15" s="29">
        <f t="shared" si="82"/>
        <v>0</v>
      </c>
      <c r="BT15" s="29">
        <f t="shared" si="83"/>
        <v>23.847993551434023</v>
      </c>
      <c r="BU15" s="29">
        <f t="shared" si="84"/>
        <v>64.437642276934582</v>
      </c>
      <c r="BV15" s="29">
        <f t="shared" si="85"/>
        <v>101.54398543584225</v>
      </c>
      <c r="BW15" s="29">
        <f t="shared" si="86"/>
        <v>161.75769526609815</v>
      </c>
      <c r="BX15" s="29">
        <f t="shared" si="87"/>
        <v>236.4331578353399</v>
      </c>
      <c r="BY15" s="29">
        <f t="shared" si="88"/>
        <v>312.15957834509771</v>
      </c>
    </row>
    <row r="16" spans="1:85" s="296" customFormat="1" ht="12" hidden="1" customHeight="1" outlineLevel="1">
      <c r="A16" s="18"/>
      <c r="B16" s="17" t="s">
        <v>54</v>
      </c>
      <c r="C16" s="17"/>
      <c r="D16" s="17"/>
      <c r="E16" s="17"/>
      <c r="F16" s="17"/>
      <c r="G16" s="17"/>
      <c r="H16" s="17"/>
      <c r="I16" s="17"/>
      <c r="J16" s="17"/>
      <c r="K16" s="17"/>
      <c r="L16" s="17"/>
      <c r="M16" s="17"/>
      <c r="N16" s="17"/>
      <c r="O16" s="31"/>
      <c r="P16" s="31">
        <f>P9-P17</f>
        <v>53</v>
      </c>
      <c r="Q16" s="31">
        <f t="shared" ref="Q16:V16" si="141">Q9-Q17</f>
        <v>55.900000000000006</v>
      </c>
      <c r="R16" s="31">
        <f t="shared" si="141"/>
        <v>54.6</v>
      </c>
      <c r="S16" s="31">
        <f t="shared" si="141"/>
        <v>56.9</v>
      </c>
      <c r="T16" s="31">
        <f t="shared" si="141"/>
        <v>57.4</v>
      </c>
      <c r="U16" s="31">
        <f t="shared" si="141"/>
        <v>62.1</v>
      </c>
      <c r="V16" s="31">
        <f t="shared" si="141"/>
        <v>66.399999999999991</v>
      </c>
      <c r="W16" s="31">
        <f t="shared" ref="W16:AB16" si="142">W9-W17</f>
        <v>73.900000000000006</v>
      </c>
      <c r="X16" s="31">
        <f t="shared" si="142"/>
        <v>76.600000000000009</v>
      </c>
      <c r="Y16" s="31">
        <f t="shared" si="142"/>
        <v>82.399999999999991</v>
      </c>
      <c r="Z16" s="31">
        <f t="shared" si="142"/>
        <v>81.7</v>
      </c>
      <c r="AA16" s="31">
        <f t="shared" si="142"/>
        <v>83.8</v>
      </c>
      <c r="AB16" s="31">
        <f t="shared" si="142"/>
        <v>87.3</v>
      </c>
      <c r="AC16" s="31">
        <f t="shared" ref="AC16:AH16" si="143">AC9-AC17</f>
        <v>108</v>
      </c>
      <c r="AD16" s="31">
        <f t="shared" si="143"/>
        <v>111.1</v>
      </c>
      <c r="AE16" s="31">
        <f t="shared" si="143"/>
        <v>113.89999999999999</v>
      </c>
      <c r="AF16" s="31">
        <f t="shared" si="143"/>
        <v>121.69999999999999</v>
      </c>
      <c r="AG16" s="31">
        <f t="shared" si="143"/>
        <v>130.10000000000002</v>
      </c>
      <c r="AH16" s="31">
        <f t="shared" si="143"/>
        <v>131.1</v>
      </c>
      <c r="AI16" s="31">
        <f t="shared" ref="AI16:AJ16" si="144">AI9-AI17</f>
        <v>136</v>
      </c>
      <c r="AJ16" s="31">
        <f t="shared" si="144"/>
        <v>160.4</v>
      </c>
      <c r="AK16" s="31">
        <f t="shared" ref="AK16:AL16" si="145">AK9-AK17</f>
        <v>175.70000000000002</v>
      </c>
      <c r="AL16" s="31">
        <f t="shared" si="145"/>
        <v>173.4</v>
      </c>
      <c r="AM16" s="31">
        <f t="shared" ref="AM16:AX16" ca="1" si="146">AM9-AM17</f>
        <v>179.8991177363402</v>
      </c>
      <c r="AN16" s="31">
        <f t="shared" ca="1" si="146"/>
        <v>191.62505581475389</v>
      </c>
      <c r="AO16" s="31">
        <f t="shared" ca="1" si="146"/>
        <v>200.76681416304476</v>
      </c>
      <c r="AP16" s="31">
        <f t="shared" ca="1" si="146"/>
        <v>209.51475188798005</v>
      </c>
      <c r="AQ16" s="31">
        <f t="shared" ca="1" si="146"/>
        <v>217.14168994294661</v>
      </c>
      <c r="AR16" s="31">
        <f t="shared" ca="1" si="146"/>
        <v>224.71448346895937</v>
      </c>
      <c r="AS16" s="31">
        <f t="shared" ca="1" si="146"/>
        <v>232.23399048781289</v>
      </c>
      <c r="AT16" s="31">
        <f t="shared" ca="1" si="146"/>
        <v>239.70105594501422</v>
      </c>
      <c r="AU16" s="31">
        <f t="shared" ca="1" si="146"/>
        <v>247.11651191083126</v>
      </c>
      <c r="AV16" s="31">
        <f t="shared" ca="1" si="146"/>
        <v>254.48117777825649</v>
      </c>
      <c r="AW16" s="31">
        <f t="shared" ca="1" si="146"/>
        <v>261.79586045793258</v>
      </c>
      <c r="AX16" s="31">
        <f t="shared" ca="1" si="146"/>
        <v>269.06135457008753</v>
      </c>
      <c r="AY16" s="31">
        <f t="shared" ref="AY16:BJ16" ca="1" si="147">AY9-AY17</f>
        <v>278.44053739661712</v>
      </c>
      <c r="AZ16" s="31">
        <f t="shared" ca="1" si="147"/>
        <v>287.74646433810415</v>
      </c>
      <c r="BA16" s="31">
        <f t="shared" ca="1" si="147"/>
        <v>296.98031402078948</v>
      </c>
      <c r="BB16" s="31">
        <f t="shared" ca="1" si="147"/>
        <v>306.14324716877502</v>
      </c>
      <c r="BC16" s="31">
        <f t="shared" ca="1" si="147"/>
        <v>315.23640687948171</v>
      </c>
      <c r="BD16" s="31">
        <f t="shared" ca="1" si="147"/>
        <v>324.26091889488168</v>
      </c>
      <c r="BE16" s="31">
        <f t="shared" ca="1" si="147"/>
        <v>333.21789186856972</v>
      </c>
      <c r="BF16" s="31">
        <f t="shared" ca="1" si="147"/>
        <v>342.10841762873696</v>
      </c>
      <c r="BG16" s="31">
        <f t="shared" ca="1" si="147"/>
        <v>350.93357143711086</v>
      </c>
      <c r="BH16" s="31">
        <f t="shared" ca="1" si="147"/>
        <v>359.69441224392278</v>
      </c>
      <c r="BI16" s="31">
        <f t="shared" ca="1" si="147"/>
        <v>368.39198293896385</v>
      </c>
      <c r="BJ16" s="31">
        <f t="shared" ca="1" si="147"/>
        <v>377.02731059878971</v>
      </c>
      <c r="BK16" s="1"/>
      <c r="BL16" s="115"/>
      <c r="BM16" s="115"/>
      <c r="BN16" s="31">
        <f t="shared" si="77"/>
        <v>163.5</v>
      </c>
      <c r="BO16" s="31">
        <f t="shared" si="78"/>
        <v>242.8</v>
      </c>
      <c r="BP16" s="31">
        <f t="shared" si="79"/>
        <v>314.59999999999997</v>
      </c>
      <c r="BQ16" s="31">
        <f t="shared" si="80"/>
        <v>390.20000000000005</v>
      </c>
      <c r="BR16" s="31">
        <f t="shared" si="81"/>
        <v>496.79999999999995</v>
      </c>
      <c r="BS16" s="31">
        <f t="shared" si="82"/>
        <v>645.5</v>
      </c>
      <c r="BT16" s="31">
        <f t="shared" ca="1" si="83"/>
        <v>781.80573960211893</v>
      </c>
      <c r="BU16" s="31">
        <f t="shared" ca="1" si="84"/>
        <v>913.79121984473306</v>
      </c>
      <c r="BV16" s="31">
        <f t="shared" ca="1" si="85"/>
        <v>1032.4549047171079</v>
      </c>
      <c r="BW16" s="31">
        <f t="shared" ca="1" si="86"/>
        <v>1169.3105629242857</v>
      </c>
      <c r="BX16" s="31">
        <f t="shared" ca="1" si="87"/>
        <v>1314.8236352716701</v>
      </c>
      <c r="BY16" s="31">
        <f t="shared" ca="1" si="88"/>
        <v>1456.047277218787</v>
      </c>
      <c r="BZ16" s="451"/>
      <c r="CA16" s="292"/>
      <c r="CB16"/>
      <c r="CC16"/>
      <c r="CD16"/>
      <c r="CE16"/>
      <c r="CF16"/>
      <c r="CG16"/>
    </row>
    <row r="17" spans="1:85" s="296" customFormat="1" ht="12" hidden="1" customHeight="1" outlineLevel="1">
      <c r="A17" s="18"/>
      <c r="B17" s="17" t="s">
        <v>55</v>
      </c>
      <c r="C17" s="17"/>
      <c r="D17" s="17"/>
      <c r="E17" s="17"/>
      <c r="F17" s="17"/>
      <c r="G17" s="17"/>
      <c r="H17" s="17"/>
      <c r="I17" s="17"/>
      <c r="J17" s="17"/>
      <c r="K17" s="17"/>
      <c r="L17" s="17"/>
      <c r="M17" s="17"/>
      <c r="N17" s="17"/>
      <c r="O17" s="31"/>
      <c r="P17" s="31">
        <f>-P56</f>
        <v>1</v>
      </c>
      <c r="Q17" s="31">
        <f t="shared" ref="Q17:V17" si="148">-Q56</f>
        <v>0.8</v>
      </c>
      <c r="R17" s="31">
        <f t="shared" si="148"/>
        <v>3.4</v>
      </c>
      <c r="S17" s="31">
        <f t="shared" si="148"/>
        <v>3.1999999999999997</v>
      </c>
      <c r="T17" s="31">
        <f t="shared" si="148"/>
        <v>6.2</v>
      </c>
      <c r="U17" s="31">
        <f t="shared" si="148"/>
        <v>5.4</v>
      </c>
      <c r="V17" s="31">
        <f t="shared" si="148"/>
        <v>5.9</v>
      </c>
      <c r="W17" s="31">
        <f t="shared" ref="W17:AB17" si="149">-W56</f>
        <v>3.6</v>
      </c>
      <c r="X17" s="31">
        <f t="shared" si="149"/>
        <v>5.0999999999999996</v>
      </c>
      <c r="Y17" s="31">
        <f t="shared" si="149"/>
        <v>2.4</v>
      </c>
      <c r="Z17" s="31">
        <f t="shared" si="149"/>
        <v>5.1999999999999993</v>
      </c>
      <c r="AA17" s="31">
        <f t="shared" si="149"/>
        <v>1.9</v>
      </c>
      <c r="AB17" s="31">
        <f t="shared" si="149"/>
        <v>1.8</v>
      </c>
      <c r="AC17" s="31">
        <f t="shared" ref="AC17:AH17" si="150">-AC56</f>
        <v>3.2</v>
      </c>
      <c r="AD17" s="31">
        <f t="shared" si="150"/>
        <v>2.1999999999999997</v>
      </c>
      <c r="AE17" s="31">
        <f t="shared" si="150"/>
        <v>3.9</v>
      </c>
      <c r="AF17" s="31">
        <f t="shared" si="150"/>
        <v>8.4</v>
      </c>
      <c r="AG17" s="31">
        <f t="shared" si="150"/>
        <v>13.7</v>
      </c>
      <c r="AH17" s="31">
        <f t="shared" si="150"/>
        <v>6.3</v>
      </c>
      <c r="AI17" s="31">
        <f t="shared" ref="AI17:AJ17" si="151">-AI56</f>
        <v>13.3</v>
      </c>
      <c r="AJ17" s="31">
        <f t="shared" si="151"/>
        <v>6.5</v>
      </c>
      <c r="AK17" s="31">
        <f t="shared" ref="AK17:AL17" si="152">-AK56</f>
        <v>-0.40000000000000036</v>
      </c>
      <c r="AL17" s="31">
        <f t="shared" si="152"/>
        <v>7.1</v>
      </c>
      <c r="AM17" s="31">
        <f t="shared" ref="AM17:AX17" ca="1" si="153">-AM56</f>
        <v>7.3661115105421882</v>
      </c>
      <c r="AN17" s="31">
        <f t="shared" ca="1" si="153"/>
        <v>7.8462393096006497</v>
      </c>
      <c r="AO17" s="31">
        <f t="shared" ca="1" si="153"/>
        <v>8.2205558278986022</v>
      </c>
      <c r="AP17" s="31">
        <f t="shared" ca="1" si="153"/>
        <v>8.578747049623173</v>
      </c>
      <c r="AQ17" s="31">
        <f t="shared" ca="1" si="153"/>
        <v>8.891038054180628</v>
      </c>
      <c r="AR17" s="31">
        <f t="shared" ca="1" si="153"/>
        <v>9.2011120682215193</v>
      </c>
      <c r="AS17" s="31">
        <f t="shared" ca="1" si="153"/>
        <v>9.5090042241261319</v>
      </c>
      <c r="AT17" s="31">
        <f t="shared" ca="1" si="153"/>
        <v>9.8147491188558309</v>
      </c>
      <c r="AU17" s="31">
        <f t="shared" ca="1" si="153"/>
        <v>10.118380822185133</v>
      </c>
      <c r="AV17" s="31">
        <f t="shared" ca="1" si="153"/>
        <v>10.419932884807503</v>
      </c>
      <c r="AW17" s="31">
        <f t="shared" ca="1" si="153"/>
        <v>10.719438346316732</v>
      </c>
      <c r="AX17" s="31">
        <f t="shared" ca="1" si="153"/>
        <v>11.016929743065868</v>
      </c>
      <c r="AY17" s="31">
        <f t="shared" ref="AY17:BJ17" ca="1" si="154">-AY56</f>
        <v>11.400967794209812</v>
      </c>
      <c r="AZ17" s="31">
        <f t="shared" ca="1" si="154"/>
        <v>11.782006325262625</v>
      </c>
      <c r="BA17" s="31">
        <f t="shared" ca="1" si="154"/>
        <v>12.16009359600695</v>
      </c>
      <c r="BB17" s="31">
        <f t="shared" ca="1" si="154"/>
        <v>12.535277133208202</v>
      </c>
      <c r="BC17" s="31">
        <f t="shared" ca="1" si="154"/>
        <v>12.907603741893425</v>
      </c>
      <c r="BD17" s="31">
        <f t="shared" ca="1" si="154"/>
        <v>13.277119516457093</v>
      </c>
      <c r="BE17" s="31">
        <f t="shared" ca="1" si="154"/>
        <v>13.643869851596568</v>
      </c>
      <c r="BF17" s="31">
        <f t="shared" ca="1" si="154"/>
        <v>14.007899453079769</v>
      </c>
      <c r="BG17" s="31">
        <f t="shared" ca="1" si="154"/>
        <v>14.369252348347676</v>
      </c>
      <c r="BH17" s="31">
        <f t="shared" ca="1" si="154"/>
        <v>14.727971896954161</v>
      </c>
      <c r="BI17" s="31">
        <f t="shared" ca="1" si="154"/>
        <v>15.084100800845693</v>
      </c>
      <c r="BJ17" s="31">
        <f t="shared" ca="1" si="154"/>
        <v>15.437681114483315</v>
      </c>
      <c r="BK17" s="1"/>
      <c r="BL17" s="115"/>
      <c r="BM17" s="115"/>
      <c r="BN17" s="31">
        <f t="shared" si="77"/>
        <v>5.2</v>
      </c>
      <c r="BO17" s="31">
        <f t="shared" si="78"/>
        <v>20.700000000000003</v>
      </c>
      <c r="BP17" s="31">
        <f t="shared" si="79"/>
        <v>16.299999999999997</v>
      </c>
      <c r="BQ17" s="31">
        <f t="shared" si="80"/>
        <v>9.1</v>
      </c>
      <c r="BR17" s="31">
        <f t="shared" si="81"/>
        <v>32.299999999999997</v>
      </c>
      <c r="BS17" s="31">
        <f t="shared" si="82"/>
        <v>26.5</v>
      </c>
      <c r="BT17" s="31">
        <f t="shared" ca="1" si="83"/>
        <v>32.011653697664613</v>
      </c>
      <c r="BU17" s="31">
        <f t="shared" ca="1" si="84"/>
        <v>37.415903465384105</v>
      </c>
      <c r="BV17" s="31">
        <f t="shared" ca="1" si="85"/>
        <v>42.274681796375233</v>
      </c>
      <c r="BW17" s="31">
        <f t="shared" ca="1" si="86"/>
        <v>47.87834484868759</v>
      </c>
      <c r="BX17" s="31">
        <f t="shared" ca="1" si="87"/>
        <v>53.836492563026852</v>
      </c>
      <c r="BY17" s="31">
        <f t="shared" ca="1" si="88"/>
        <v>59.619006160630846</v>
      </c>
      <c r="BZ17" s="451"/>
      <c r="CA17" s="292"/>
      <c r="CB17"/>
      <c r="CC17"/>
      <c r="CD17"/>
      <c r="CE17"/>
      <c r="CF17"/>
      <c r="CG17"/>
    </row>
    <row r="18" spans="1:85" ht="12" hidden="1" customHeight="1" outlineLevel="1">
      <c r="B18" s="12"/>
      <c r="C18" s="12"/>
      <c r="D18" s="12"/>
      <c r="E18" s="12"/>
      <c r="F18" s="12"/>
      <c r="G18" s="12"/>
      <c r="H18" s="12"/>
      <c r="I18" s="12"/>
      <c r="J18" s="12"/>
      <c r="K18" s="12"/>
      <c r="L18" s="12"/>
      <c r="M18" s="12"/>
      <c r="N18" s="12"/>
      <c r="O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7"/>
      <c r="BM18" s="7"/>
      <c r="BN18" s="29"/>
      <c r="BO18" s="29"/>
      <c r="BP18" s="29"/>
      <c r="BQ18" s="29"/>
      <c r="BR18" s="29"/>
      <c r="BS18" s="29"/>
      <c r="BT18" s="29"/>
      <c r="BU18" s="29"/>
      <c r="BV18" s="29"/>
      <c r="BW18" s="29"/>
      <c r="BX18" s="29"/>
      <c r="BY18" s="29"/>
    </row>
    <row r="19" spans="1:85" ht="12" customHeight="1" collapsed="1">
      <c r="B19" s="2" t="s">
        <v>1</v>
      </c>
      <c r="C19" s="2"/>
      <c r="D19" s="2"/>
      <c r="E19" s="2"/>
      <c r="F19" s="2"/>
      <c r="G19" s="2"/>
      <c r="H19" s="2"/>
      <c r="I19" s="2"/>
      <c r="J19" s="2"/>
      <c r="K19" s="2"/>
      <c r="L19" s="2"/>
      <c r="M19" s="2"/>
      <c r="N19" s="2"/>
      <c r="O19" s="1">
        <f t="shared" ref="O19:T19" si="155">O20+O21+O22+O23</f>
        <v>-17.3</v>
      </c>
      <c r="P19" s="1">
        <f t="shared" si="155"/>
        <v>-18.100000000000001</v>
      </c>
      <c r="Q19" s="1">
        <f t="shared" si="155"/>
        <v>-20</v>
      </c>
      <c r="R19" s="1">
        <f t="shared" si="155"/>
        <v>-20.6</v>
      </c>
      <c r="S19" s="1">
        <f t="shared" si="155"/>
        <v>-20.100000000000001</v>
      </c>
      <c r="T19" s="1">
        <f t="shared" si="155"/>
        <v>-24.6</v>
      </c>
      <c r="U19" s="1">
        <f t="shared" ref="U19:Z19" si="156">U20+U21+U22+U23</f>
        <v>-24.2</v>
      </c>
      <c r="V19" s="1">
        <f t="shared" si="156"/>
        <v>-24.3</v>
      </c>
      <c r="W19" s="1">
        <f t="shared" si="156"/>
        <v>-27.7</v>
      </c>
      <c r="X19" s="1">
        <f t="shared" si="156"/>
        <v>-31.8</v>
      </c>
      <c r="Y19" s="1">
        <f t="shared" si="156"/>
        <v>-33</v>
      </c>
      <c r="Z19" s="1">
        <f t="shared" si="156"/>
        <v>-32</v>
      </c>
      <c r="AA19" s="1">
        <f t="shared" ref="AA19:AF19" si="157">AA20+AA21+AA22+AA23</f>
        <v>-32.299999999999997</v>
      </c>
      <c r="AB19" s="1">
        <f t="shared" si="157"/>
        <v>-32.799999999999997</v>
      </c>
      <c r="AC19" s="1">
        <f t="shared" si="157"/>
        <v>-42.2</v>
      </c>
      <c r="AD19" s="1">
        <f t="shared" si="157"/>
        <v>-41.4</v>
      </c>
      <c r="AE19" s="1">
        <f t="shared" si="157"/>
        <v>-40.299999999999997</v>
      </c>
      <c r="AF19" s="1">
        <f t="shared" si="157"/>
        <v>-44.8</v>
      </c>
      <c r="AG19" s="1">
        <f t="shared" ref="AG19:AL19" si="158">AG20+AG21+AG22+AG23</f>
        <v>-54.6</v>
      </c>
      <c r="AH19" s="1">
        <f t="shared" si="158"/>
        <v>-47.8</v>
      </c>
      <c r="AI19" s="1">
        <f t="shared" si="158"/>
        <v>-52.3</v>
      </c>
      <c r="AJ19" s="1">
        <f t="shared" si="158"/>
        <v>-59.6</v>
      </c>
      <c r="AK19" s="1">
        <f t="shared" si="158"/>
        <v>-63</v>
      </c>
      <c r="AL19" s="1">
        <f t="shared" si="158"/>
        <v>-60.2</v>
      </c>
      <c r="AM19" s="1">
        <f t="shared" ref="AM19:AX19" ca="1" si="159">AM20+AM21+AM22+AM23+AM24</f>
        <v>-63.726620913237461</v>
      </c>
      <c r="AN19" s="1">
        <f t="shared" ca="1" si="159"/>
        <v>-68.239142013587227</v>
      </c>
      <c r="AO19" s="1">
        <f t="shared" ca="1" si="159"/>
        <v>-71.971888305979718</v>
      </c>
      <c r="AP19" s="1">
        <f t="shared" ca="1" si="159"/>
        <v>-69.466706302881732</v>
      </c>
      <c r="AQ19" s="1">
        <f t="shared" ca="1" si="159"/>
        <v>-73.528764346955626</v>
      </c>
      <c r="AR19" s="1">
        <f t="shared" ca="1" si="159"/>
        <v>-80.022539248583882</v>
      </c>
      <c r="AS19" s="1">
        <f t="shared" ca="1" si="159"/>
        <v>-83.25239852970401</v>
      </c>
      <c r="AT19" s="1">
        <f t="shared" ca="1" si="159"/>
        <v>-79.475276579692789</v>
      </c>
      <c r="AU19" s="1">
        <f t="shared" ca="1" si="159"/>
        <v>-83.678872423380923</v>
      </c>
      <c r="AV19" s="1">
        <f t="shared" ca="1" si="159"/>
        <v>-90.62268582968025</v>
      </c>
      <c r="AW19" s="1">
        <f t="shared" ca="1" si="159"/>
        <v>-93.849885034009873</v>
      </c>
      <c r="AX19" s="1">
        <f t="shared" ca="1" si="159"/>
        <v>-89.209976514537232</v>
      </c>
      <c r="AY19" s="1">
        <f t="shared" ref="AY19:BJ19" ca="1" si="160">AY20+AY21+AY22+AY23+AY24</f>
        <v>-94.285849319192792</v>
      </c>
      <c r="AZ19" s="1">
        <f t="shared" ca="1" si="160"/>
        <v>-102.46870776052079</v>
      </c>
      <c r="BA19" s="1">
        <f t="shared" ca="1" si="160"/>
        <v>-106.46298333160188</v>
      </c>
      <c r="BB19" s="1">
        <f t="shared" ca="1" si="160"/>
        <v>-101.50484796915107</v>
      </c>
      <c r="BC19" s="1">
        <f t="shared" ca="1" si="160"/>
        <v>-106.74570821067404</v>
      </c>
      <c r="BD19" s="1">
        <f t="shared" ca="1" si="160"/>
        <v>-115.47178316448775</v>
      </c>
      <c r="BE19" s="1">
        <f t="shared" ca="1" si="160"/>
        <v>-119.45361087237477</v>
      </c>
      <c r="BF19" s="1">
        <f t="shared" ca="1" si="160"/>
        <v>-113.42945905720967</v>
      </c>
      <c r="BG19" s="1">
        <f t="shared" ca="1" si="160"/>
        <v>-118.83352239919796</v>
      </c>
      <c r="BH19" s="1">
        <f t="shared" ca="1" si="160"/>
        <v>-128.08992004852954</v>
      </c>
      <c r="BI19" s="1">
        <f t="shared" ca="1" si="160"/>
        <v>-132.06299437201466</v>
      </c>
      <c r="BJ19" s="1">
        <f t="shared" ca="1" si="160"/>
        <v>-125.00716640484957</v>
      </c>
      <c r="BK19" s="1"/>
      <c r="BL19" s="7">
        <v>-43.9</v>
      </c>
      <c r="BM19" s="7">
        <v>-58.2</v>
      </c>
      <c r="BN19" s="212">
        <f t="shared" ref="BN19:BN24" si="161">SUM(O19:R19)</f>
        <v>-76</v>
      </c>
      <c r="BO19" s="29">
        <f t="shared" ref="BO19:BO24" si="162">SUM(S19:V19)</f>
        <v>-93.2</v>
      </c>
      <c r="BP19" s="29">
        <f t="shared" ref="BP19:BP24" si="163">SUM(W19:Z19)</f>
        <v>-124.5</v>
      </c>
      <c r="BQ19" s="29">
        <f t="shared" ref="BQ19:BQ24" si="164">SUM(AA19:AD19)</f>
        <v>-148.69999999999999</v>
      </c>
      <c r="BR19" s="29">
        <f t="shared" ref="BR19:BR24" si="165">SUM(AE19:AH19)</f>
        <v>-187.5</v>
      </c>
      <c r="BS19" s="29">
        <f t="shared" ref="BS19:BS24" si="166">SUM(AI19:AL19)</f>
        <v>-235.10000000000002</v>
      </c>
      <c r="BT19" s="29">
        <f t="shared" ref="BT19:BT24" ca="1" si="167">SUM(AM19:AP19)</f>
        <v>-273.40435753568613</v>
      </c>
      <c r="BU19" s="29">
        <f t="shared" ref="BU19:BU24" ca="1" si="168">SUM(AQ19:AT19)</f>
        <v>-316.27897870493632</v>
      </c>
      <c r="BV19" s="29">
        <f t="shared" ref="BV19:BV24" ca="1" si="169">SUM(AU19:AX19)</f>
        <v>-357.36141980160829</v>
      </c>
      <c r="BW19" s="29">
        <f ca="1">SUM(AY19:BB19)</f>
        <v>-404.7223883804665</v>
      </c>
      <c r="BX19" s="29">
        <f ca="1">SUM(BC19:BF19)</f>
        <v>-455.10056130474624</v>
      </c>
      <c r="BY19" s="29">
        <f ca="1">SUM(BG19:BJ19)</f>
        <v>-503.99360322459171</v>
      </c>
    </row>
    <row r="20" spans="1:85" ht="12" hidden="1" customHeight="1" outlineLevel="1">
      <c r="B20" s="42" t="s">
        <v>149</v>
      </c>
      <c r="C20" s="42"/>
      <c r="D20" s="42"/>
      <c r="E20" s="42"/>
      <c r="F20" s="42"/>
      <c r="G20" s="42"/>
      <c r="H20" s="42"/>
      <c r="I20" s="42"/>
      <c r="J20" s="42"/>
      <c r="K20" s="42"/>
      <c r="L20" s="42"/>
      <c r="M20" s="42"/>
      <c r="N20" s="42"/>
      <c r="O20" s="7">
        <v>-17.3</v>
      </c>
      <c r="P20" s="7">
        <v>-18.100000000000001</v>
      </c>
      <c r="Q20" s="7">
        <v>-20</v>
      </c>
      <c r="R20" s="7">
        <v>-20.6</v>
      </c>
      <c r="S20" s="7">
        <v>-20.100000000000001</v>
      </c>
      <c r="T20" s="7">
        <v>-24.6</v>
      </c>
      <c r="U20" s="7">
        <v>-24.2</v>
      </c>
      <c r="V20" s="7">
        <v>-24.3</v>
      </c>
      <c r="W20" s="7">
        <v>-27.7</v>
      </c>
      <c r="X20" s="7">
        <v>-31.8</v>
      </c>
      <c r="Y20" s="7">
        <v>-33</v>
      </c>
      <c r="Z20" s="7">
        <v>-32</v>
      </c>
      <c r="AA20" s="7">
        <v>-32.299999999999997</v>
      </c>
      <c r="AB20" s="7">
        <v>-32.799999999999997</v>
      </c>
      <c r="AC20" s="7">
        <v>-42.2</v>
      </c>
      <c r="AD20" s="7">
        <v>-41.4</v>
      </c>
      <c r="AE20" s="7">
        <v>-40.299999999999997</v>
      </c>
      <c r="AF20" s="452">
        <v>-44.8</v>
      </c>
      <c r="AG20" s="452">
        <v>-54.6</v>
      </c>
      <c r="AH20" s="452">
        <v>-47.8</v>
      </c>
      <c r="AI20" s="452">
        <v>-52.3</v>
      </c>
      <c r="AJ20" s="452">
        <v>-59.6</v>
      </c>
      <c r="AK20" s="452">
        <v>-63</v>
      </c>
      <c r="AL20" s="452">
        <v>-60.2</v>
      </c>
      <c r="AM20" s="1">
        <f t="shared" ref="AM20:AX20" si="170">AL20</f>
        <v>-60.2</v>
      </c>
      <c r="AN20" s="1">
        <f t="shared" si="170"/>
        <v>-60.2</v>
      </c>
      <c r="AO20" s="1">
        <f t="shared" si="170"/>
        <v>-60.2</v>
      </c>
      <c r="AP20" s="1">
        <f t="shared" si="170"/>
        <v>-60.2</v>
      </c>
      <c r="AQ20" s="1">
        <f t="shared" si="170"/>
        <v>-60.2</v>
      </c>
      <c r="AR20" s="1">
        <f t="shared" si="170"/>
        <v>-60.2</v>
      </c>
      <c r="AS20" s="1">
        <f t="shared" si="170"/>
        <v>-60.2</v>
      </c>
      <c r="AT20" s="1">
        <f t="shared" si="170"/>
        <v>-60.2</v>
      </c>
      <c r="AU20" s="1">
        <f t="shared" si="170"/>
        <v>-60.2</v>
      </c>
      <c r="AV20" s="1">
        <f t="shared" si="170"/>
        <v>-60.2</v>
      </c>
      <c r="AW20" s="1">
        <f t="shared" si="170"/>
        <v>-60.2</v>
      </c>
      <c r="AX20" s="1">
        <f t="shared" si="170"/>
        <v>-60.2</v>
      </c>
      <c r="AY20" s="1">
        <f t="shared" ref="AY20" si="171">AX20</f>
        <v>-60.2</v>
      </c>
      <c r="AZ20" s="1">
        <f t="shared" ref="AZ20" si="172">AY20</f>
        <v>-60.2</v>
      </c>
      <c r="BA20" s="1">
        <f t="shared" ref="BA20" si="173">AZ20</f>
        <v>-60.2</v>
      </c>
      <c r="BB20" s="1">
        <f t="shared" ref="BB20" si="174">BA20</f>
        <v>-60.2</v>
      </c>
      <c r="BC20" s="1">
        <f t="shared" ref="BC20" si="175">BB20</f>
        <v>-60.2</v>
      </c>
      <c r="BD20" s="1">
        <f t="shared" ref="BD20" si="176">BC20</f>
        <v>-60.2</v>
      </c>
      <c r="BE20" s="1">
        <f t="shared" ref="BE20" si="177">BD20</f>
        <v>-60.2</v>
      </c>
      <c r="BF20" s="1">
        <f t="shared" ref="BF20" si="178">BE20</f>
        <v>-60.2</v>
      </c>
      <c r="BG20" s="1">
        <f t="shared" ref="BG20" si="179">BF20</f>
        <v>-60.2</v>
      </c>
      <c r="BH20" s="1">
        <f t="shared" ref="BH20" si="180">BG20</f>
        <v>-60.2</v>
      </c>
      <c r="BI20" s="1">
        <f t="shared" ref="BI20" si="181">BH20</f>
        <v>-60.2</v>
      </c>
      <c r="BJ20" s="1">
        <f t="shared" ref="BJ20" si="182">BI20</f>
        <v>-60.2</v>
      </c>
      <c r="BK20" s="1"/>
      <c r="BL20" s="7">
        <v>-43.9</v>
      </c>
      <c r="BM20" s="7">
        <v>-58.2</v>
      </c>
      <c r="BN20" s="212">
        <f t="shared" si="161"/>
        <v>-76</v>
      </c>
      <c r="BO20" s="29">
        <f t="shared" si="162"/>
        <v>-93.2</v>
      </c>
      <c r="BP20" s="29">
        <f t="shared" si="163"/>
        <v>-124.5</v>
      </c>
      <c r="BQ20" s="29">
        <f t="shared" si="164"/>
        <v>-148.69999999999999</v>
      </c>
      <c r="BR20" s="29">
        <f t="shared" si="165"/>
        <v>-187.5</v>
      </c>
      <c r="BS20" s="29">
        <f t="shared" si="166"/>
        <v>-235.10000000000002</v>
      </c>
      <c r="BT20" s="29">
        <f t="shared" si="167"/>
        <v>-240.8</v>
      </c>
      <c r="BU20" s="29">
        <f t="shared" si="168"/>
        <v>-240.8</v>
      </c>
      <c r="BV20" s="29">
        <f t="shared" si="169"/>
        <v>-240.8</v>
      </c>
      <c r="BW20" s="29">
        <f t="shared" ref="BW20:BW24" si="183">SUM(AV20:AY20)</f>
        <v>-240.8</v>
      </c>
      <c r="BX20" s="29">
        <f t="shared" ref="BX20:BX24" si="184">SUM(AW20:AZ20)</f>
        <v>-240.8</v>
      </c>
      <c r="BY20" s="29">
        <f t="shared" ref="BY20:BY24" si="185">SUM(AX20:BA20)</f>
        <v>-240.8</v>
      </c>
      <c r="BZ20" s="29"/>
    </row>
    <row r="21" spans="1:85" ht="12" hidden="1" customHeight="1" outlineLevel="1">
      <c r="B21" s="42" t="str">
        <f>B12</f>
        <v>Churn</v>
      </c>
      <c r="C21" s="42"/>
      <c r="D21" s="42"/>
      <c r="E21" s="42"/>
      <c r="F21" s="42"/>
      <c r="G21" s="42"/>
      <c r="H21" s="42"/>
      <c r="I21" s="42"/>
      <c r="J21" s="42"/>
      <c r="K21" s="42"/>
      <c r="L21" s="42"/>
      <c r="M21" s="42"/>
      <c r="N21" s="42"/>
      <c r="O21" s="1"/>
      <c r="P21" s="7"/>
      <c r="Q21" s="7"/>
      <c r="R21" s="7"/>
      <c r="S21" s="7"/>
      <c r="T21" s="7"/>
      <c r="U21" s="7"/>
      <c r="V21" s="7"/>
      <c r="W21" s="7"/>
      <c r="X21" s="7"/>
      <c r="Y21" s="7"/>
      <c r="Z21" s="7"/>
      <c r="AA21" s="7"/>
      <c r="AB21" s="7"/>
      <c r="AC21" s="7"/>
      <c r="AD21" s="7"/>
      <c r="AE21" s="7"/>
      <c r="AF21" s="7"/>
      <c r="AG21" s="7"/>
      <c r="AH21" s="7"/>
      <c r="AI21" s="7"/>
      <c r="AJ21" s="7"/>
      <c r="AK21" s="7"/>
      <c r="AL21" s="7"/>
      <c r="AM21" s="1">
        <f t="shared" ref="AM21:AX21" ca="1" si="186">AM12*AL20/AL11</f>
        <v>0.84539168608132875</v>
      </c>
      <c r="AN21" s="1">
        <f t="shared" ca="1" si="186"/>
        <v>1.7224690705546166</v>
      </c>
      <c r="AO21" s="1">
        <f t="shared" ca="1" si="186"/>
        <v>2.656714912715306</v>
      </c>
      <c r="AP21" s="1">
        <f t="shared" ca="1" si="186"/>
        <v>3.6355303425565588</v>
      </c>
      <c r="AQ21" s="1">
        <f t="shared" ca="1" si="186"/>
        <v>4.7520474223836384</v>
      </c>
      <c r="AR21" s="1">
        <f t="shared" ca="1" si="186"/>
        <v>5.9092089271422203</v>
      </c>
      <c r="AS21" s="1">
        <f t="shared" ca="1" si="186"/>
        <v>7.1067263172864656</v>
      </c>
      <c r="AT21" s="1">
        <f t="shared" ca="1" si="186"/>
        <v>8.3443156257217854</v>
      </c>
      <c r="AU21" s="1">
        <f t="shared" ca="1" si="186"/>
        <v>9.6216973881204879</v>
      </c>
      <c r="AV21" s="1">
        <f t="shared" ca="1" si="186"/>
        <v>10.938596574308837</v>
      </c>
      <c r="AW21" s="1">
        <f t="shared" ca="1" si="186"/>
        <v>12.29474252070907</v>
      </c>
      <c r="AX21" s="1">
        <f t="shared" ca="1" si="186"/>
        <v>13.689868863820177</v>
      </c>
      <c r="AY21" s="1">
        <f t="shared" ref="AY21" ca="1" si="187">AY12*AX20/AX11</f>
        <v>15.123713474721523</v>
      </c>
      <c r="AZ21" s="1">
        <f t="shared" ref="AZ21" ca="1" si="188">AZ12*AY20/AY11</f>
        <v>16.607540331389696</v>
      </c>
      <c r="BA21" s="1">
        <f t="shared" ref="BA21" ca="1" si="189">BA12*AZ20/AZ11</f>
        <v>18.140959048679452</v>
      </c>
      <c r="BB21" s="1">
        <f t="shared" ref="BB21" ca="1" si="190">BB12*BA20/BA11</f>
        <v>19.723585522417711</v>
      </c>
      <c r="BC21" s="1">
        <f t="shared" ref="BC21" ca="1" si="191">BC12*BB20/BB11</f>
        <v>21.355041834001998</v>
      </c>
      <c r="BD21" s="1">
        <f t="shared" ref="BD21" ca="1" si="192">BD12*BC20/BC11</f>
        <v>23.034956156466716</v>
      </c>
      <c r="BE21" s="1">
        <f t="shared" ref="BE21" ca="1" si="193">BE12*BD20/BD11</f>
        <v>24.762962661994933</v>
      </c>
      <c r="BF21" s="1">
        <f t="shared" ref="BF21" ca="1" si="194">BF12*BE20/BE11</f>
        <v>26.538701430853312</v>
      </c>
      <c r="BG21" s="1">
        <f t="shared" ref="BG21" ca="1" si="195">BG12*BF20/BF11</f>
        <v>28.361818361728549</v>
      </c>
      <c r="BH21" s="1">
        <f t="shared" ref="BH21" ca="1" si="196">BH12*BG20/BG11</f>
        <v>30.231965083443612</v>
      </c>
      <c r="BI21" s="1">
        <f t="shared" ref="BI21" ca="1" si="197">BI12*BH20/BH11</f>
        <v>32.148798868032806</v>
      </c>
      <c r="BJ21" s="1">
        <f t="shared" ref="BJ21" ca="1" si="198">BJ12*BI20/BI11</f>
        <v>34.111982545154667</v>
      </c>
      <c r="BK21" s="1"/>
      <c r="BL21" s="7"/>
      <c r="BM21" s="7"/>
      <c r="BN21" s="212">
        <f t="shared" si="161"/>
        <v>0</v>
      </c>
      <c r="BO21" s="29">
        <f t="shared" si="162"/>
        <v>0</v>
      </c>
      <c r="BP21" s="29">
        <f t="shared" si="163"/>
        <v>0</v>
      </c>
      <c r="BQ21" s="29">
        <f t="shared" si="164"/>
        <v>0</v>
      </c>
      <c r="BR21" s="29">
        <f t="shared" si="165"/>
        <v>0</v>
      </c>
      <c r="BS21" s="29">
        <f t="shared" si="166"/>
        <v>0</v>
      </c>
      <c r="BT21" s="29">
        <f t="shared" ca="1" si="167"/>
        <v>8.8601060119078099</v>
      </c>
      <c r="BU21" s="29">
        <f t="shared" ca="1" si="168"/>
        <v>26.112298292534106</v>
      </c>
      <c r="BV21" s="29">
        <f t="shared" ca="1" si="169"/>
        <v>46.544905346958572</v>
      </c>
      <c r="BW21" s="29">
        <f t="shared" ca="1" si="183"/>
        <v>52.046921433559604</v>
      </c>
      <c r="BX21" s="29">
        <f t="shared" ca="1" si="184"/>
        <v>57.715865190640471</v>
      </c>
      <c r="BY21" s="29">
        <f t="shared" ca="1" si="185"/>
        <v>63.562081718610841</v>
      </c>
    </row>
    <row r="22" spans="1:85" ht="12" hidden="1" customHeight="1" outlineLevel="1">
      <c r="B22" s="42" t="str">
        <f>B14</f>
        <v>Vacancy &amp; Development Lease Up</v>
      </c>
      <c r="C22" s="42"/>
      <c r="D22" s="42"/>
      <c r="E22" s="42"/>
      <c r="F22" s="42"/>
      <c r="G22" s="42"/>
      <c r="H22" s="42"/>
      <c r="I22" s="42"/>
      <c r="J22" s="42"/>
      <c r="K22" s="42"/>
      <c r="L22" s="42"/>
      <c r="M22" s="42"/>
      <c r="N22" s="42"/>
      <c r="O22" s="1"/>
      <c r="P22" s="7"/>
      <c r="Q22" s="1"/>
      <c r="R22" s="1"/>
      <c r="S22" s="1"/>
      <c r="T22" s="1"/>
      <c r="U22" s="1"/>
      <c r="V22" s="1"/>
      <c r="W22" s="1"/>
      <c r="X22" s="1"/>
      <c r="Y22" s="1"/>
      <c r="Z22" s="1"/>
      <c r="AA22" s="1"/>
      <c r="AB22" s="1"/>
      <c r="AC22" s="1"/>
      <c r="AD22" s="1"/>
      <c r="AE22" s="1"/>
      <c r="AF22" s="1"/>
      <c r="AG22" s="1"/>
      <c r="AH22" s="1"/>
      <c r="AI22" s="1"/>
      <c r="AJ22" s="1"/>
      <c r="AK22" s="1"/>
      <c r="AL22" s="1"/>
      <c r="AM22" s="1">
        <f t="shared" ref="AM22:AX22" ca="1" si="199">((AM162*AM153/1000000)-(AM14-AL14))+AL22</f>
        <v>-2.7299999999999995</v>
      </c>
      <c r="AN22" s="1">
        <f t="shared" ca="1" si="199"/>
        <v>-5.5135499999999995</v>
      </c>
      <c r="AO22" s="1">
        <f t="shared" ca="1" si="199"/>
        <v>-8.3509999999999991</v>
      </c>
      <c r="AP22" s="1">
        <f t="shared" ca="1" si="199"/>
        <v>-11.242699999999999</v>
      </c>
      <c r="AQ22" s="1">
        <f t="shared" ca="1" si="199"/>
        <v>-13.85895</v>
      </c>
      <c r="AR22" s="1">
        <f t="shared" ca="1" si="199"/>
        <v>-16.486575000000002</v>
      </c>
      <c r="AS22" s="1">
        <f t="shared" ca="1" si="199"/>
        <v>-19.125575000000001</v>
      </c>
      <c r="AT22" s="1">
        <f t="shared" ca="1" si="199"/>
        <v>-21.775949999999998</v>
      </c>
      <c r="AU22" s="1">
        <f t="shared" ca="1" si="199"/>
        <v>-24.437700000000003</v>
      </c>
      <c r="AV22" s="1">
        <f t="shared" ca="1" si="199"/>
        <v>-27.110825000000006</v>
      </c>
      <c r="AW22" s="1">
        <f t="shared" ca="1" si="199"/>
        <v>-29.795325000000005</v>
      </c>
      <c r="AX22" s="1">
        <f t="shared" ca="1" si="199"/>
        <v>-32.491200000000006</v>
      </c>
      <c r="AY22" s="1">
        <f t="shared" ref="AY22" ca="1" si="200">((AY162*AY153/1000000)-(AY14-AX14))+AX22</f>
        <v>-35.198450000000008</v>
      </c>
      <c r="AZ22" s="1">
        <f t="shared" ref="AZ22" ca="1" si="201">((AZ162*AZ153/1000000)-(AZ14-AY14))+AY22</f>
        <v>-37.917075000000004</v>
      </c>
      <c r="BA22" s="1">
        <f t="shared" ref="BA22" ca="1" si="202">((BA162*BA153/1000000)-(BA14-AZ14))+AZ22</f>
        <v>-40.647075000000001</v>
      </c>
      <c r="BB22" s="1">
        <f t="shared" ref="BB22" ca="1" si="203">((BB162*BB153/1000000)-(BB14-BA14))+BA22</f>
        <v>-43.388449999999999</v>
      </c>
      <c r="BC22" s="1">
        <f t="shared" ref="BC22" ca="1" si="204">((BC162*BC153/1000000)-(BC14-BB14))+BB22</f>
        <v>-46.141199999999991</v>
      </c>
      <c r="BD22" s="1">
        <f t="shared" ref="BD22" ca="1" si="205">((BD162*BD153/1000000)-(BD14-BC14))+BC22</f>
        <v>-48.905324999999998</v>
      </c>
      <c r="BE22" s="1">
        <f t="shared" ref="BE22" ca="1" si="206">((BE162*BE153/1000000)-(BE14-BD14))+BD22</f>
        <v>-51.680825000000006</v>
      </c>
      <c r="BF22" s="1">
        <f t="shared" ref="BF22" ca="1" si="207">((BF162*BF153/1000000)-(BF14-BE14))+BE22</f>
        <v>-54.467700000000008</v>
      </c>
      <c r="BG22" s="1">
        <f t="shared" ref="BG22" ca="1" si="208">((BG162*BG153/1000000)-(BG14-BF14))+BF22</f>
        <v>-57.265950000000011</v>
      </c>
      <c r="BH22" s="1">
        <f t="shared" ref="BH22" ca="1" si="209">((BH162*BH153/1000000)-(BH14-BG14))+BG22</f>
        <v>-60.075575000000015</v>
      </c>
      <c r="BI22" s="1">
        <f t="shared" ref="BI22" ca="1" si="210">((BI162*BI153/1000000)-(BI14-BH14))+BH22</f>
        <v>-62.89657500000002</v>
      </c>
      <c r="BJ22" s="1">
        <f t="shared" ref="BJ22" ca="1" si="211">((BJ162*BJ153/1000000)-(BJ14-BI14))+BI22</f>
        <v>-65.728950000000026</v>
      </c>
      <c r="BK22" s="1"/>
      <c r="BL22" s="7"/>
      <c r="BM22" s="7"/>
      <c r="BN22" s="212">
        <f t="shared" si="161"/>
        <v>0</v>
      </c>
      <c r="BO22" s="29">
        <f t="shared" si="162"/>
        <v>0</v>
      </c>
      <c r="BP22" s="29">
        <f t="shared" si="163"/>
        <v>0</v>
      </c>
      <c r="BQ22" s="29">
        <f t="shared" si="164"/>
        <v>0</v>
      </c>
      <c r="BR22" s="29">
        <f t="shared" si="165"/>
        <v>0</v>
      </c>
      <c r="BS22" s="29">
        <f t="shared" si="166"/>
        <v>0</v>
      </c>
      <c r="BT22" s="29">
        <f t="shared" ca="1" si="167"/>
        <v>-27.837249999999997</v>
      </c>
      <c r="BU22" s="29">
        <f t="shared" ca="1" si="168"/>
        <v>-71.247050000000002</v>
      </c>
      <c r="BV22" s="29">
        <f t="shared" ca="1" si="169"/>
        <v>-113.83505000000002</v>
      </c>
      <c r="BW22" s="29">
        <f t="shared" ca="1" si="183"/>
        <v>-124.59580000000003</v>
      </c>
      <c r="BX22" s="29">
        <f t="shared" ca="1" si="184"/>
        <v>-135.40205000000003</v>
      </c>
      <c r="BY22" s="29">
        <f t="shared" ca="1" si="185"/>
        <v>-146.25380000000001</v>
      </c>
    </row>
    <row r="23" spans="1:85" ht="12" hidden="1" customHeight="1" outlineLevel="1">
      <c r="B23" s="42" t="str">
        <f>B15</f>
        <v>Assumed Acquisitions</v>
      </c>
      <c r="C23" s="42"/>
      <c r="D23" s="42"/>
      <c r="E23" s="42"/>
      <c r="F23" s="42"/>
      <c r="G23" s="42"/>
      <c r="H23" s="42"/>
      <c r="I23" s="42"/>
      <c r="J23" s="42"/>
      <c r="K23" s="42"/>
      <c r="L23" s="42"/>
      <c r="M23" s="42"/>
      <c r="N23" s="42"/>
      <c r="O23" s="1"/>
      <c r="P23" s="7"/>
      <c r="Q23" s="1"/>
      <c r="R23" s="1"/>
      <c r="S23" s="1"/>
      <c r="T23" s="1"/>
      <c r="U23" s="1"/>
      <c r="V23" s="1"/>
      <c r="W23" s="1"/>
      <c r="X23" s="1"/>
      <c r="Y23" s="1"/>
      <c r="Z23" s="1"/>
      <c r="AA23" s="1"/>
      <c r="AB23" s="1"/>
      <c r="AC23" s="1"/>
      <c r="AD23" s="1"/>
      <c r="AE23" s="1"/>
      <c r="AF23" s="1"/>
      <c r="AG23" s="1"/>
      <c r="AH23" s="1"/>
      <c r="AI23" s="1"/>
      <c r="AJ23" s="1"/>
      <c r="AK23" s="1"/>
      <c r="AL23" s="1"/>
      <c r="AM23" s="1">
        <f t="shared" ref="AM23:AX23" si="212">AM15*AL20/AL11</f>
        <v>0</v>
      </c>
      <c r="AN23" s="1">
        <f t="shared" si="212"/>
        <v>-1.7952744250484907</v>
      </c>
      <c r="AO23" s="1">
        <f t="shared" si="212"/>
        <v>-2.6991950980604047</v>
      </c>
      <c r="AP23" s="1">
        <f t="shared" si="212"/>
        <v>-3.4592657223001257</v>
      </c>
      <c r="AQ23" s="1">
        <f t="shared" si="212"/>
        <v>-4.2219965937246835</v>
      </c>
      <c r="AR23" s="1">
        <f t="shared" si="212"/>
        <v>-4.9873970231992297</v>
      </c>
      <c r="AS23" s="1">
        <f t="shared" si="212"/>
        <v>-5.7554763541769356</v>
      </c>
      <c r="AT23" s="1">
        <f t="shared" si="212"/>
        <v>-6.526243962813064</v>
      </c>
      <c r="AU23" s="1">
        <f t="shared" si="212"/>
        <v>-7.2997092580794192</v>
      </c>
      <c r="AV23" s="1">
        <f t="shared" si="212"/>
        <v>-8.0758816818792081</v>
      </c>
      <c r="AW23" s="1">
        <f t="shared" si="212"/>
        <v>-8.8547707091622936</v>
      </c>
      <c r="AX23" s="1">
        <f t="shared" si="212"/>
        <v>-9.6363858480408702</v>
      </c>
      <c r="AY23" s="1">
        <f t="shared" ref="AY23" si="213">AY15*AX20/AX11</f>
        <v>-11.171360081302034</v>
      </c>
      <c r="AZ23" s="1">
        <f t="shared" ref="AZ23" si="214">AZ15*AY20/AY11</f>
        <v>-12.711706724379608</v>
      </c>
      <c r="BA23" s="1">
        <f t="shared" ref="BA23" si="215">BA15*AZ20/AZ11</f>
        <v>-14.257444580707958</v>
      </c>
      <c r="BB23" s="1">
        <f t="shared" ref="BB23" si="216">BB15*BA20/BA11</f>
        <v>-15.80859251953345</v>
      </c>
      <c r="BC23" s="1">
        <f t="shared" ref="BC23" si="217">BC15*BB20/BB11</f>
        <v>-17.365169476144839</v>
      </c>
      <c r="BD23" s="1">
        <f t="shared" ref="BD23" si="218">BD15*BC20/BC11</f>
        <v>-18.927194452104363</v>
      </c>
      <c r="BE23" s="1">
        <f t="shared" ref="BE23" si="219">BE15*BD20/BD11</f>
        <v>-20.494686515479746</v>
      </c>
      <c r="BF23" s="1">
        <f t="shared" ref="BF23" si="220">BF15*BE20/BE11</f>
        <v>-22.067664801076941</v>
      </c>
      <c r="BG23" s="1">
        <f t="shared" ref="BG23" si="221">BG15*BF20/BF11</f>
        <v>-23.646148510673729</v>
      </c>
      <c r="BH23" s="1">
        <f t="shared" ref="BH23" si="222">BH15*BG20/BG11</f>
        <v>-25.230156913254106</v>
      </c>
      <c r="BI23" s="1">
        <f t="shared" ref="BI23" si="223">BI15*BH20/BH11</f>
        <v>-26.819709345243513</v>
      </c>
      <c r="BJ23" s="1">
        <f t="shared" ref="BJ23" si="224">BJ15*BI20/BI11</f>
        <v>-28.41482521074489</v>
      </c>
      <c r="BK23" s="1"/>
      <c r="BL23" s="7"/>
      <c r="BM23" s="7"/>
      <c r="BN23" s="212">
        <f t="shared" si="161"/>
        <v>0</v>
      </c>
      <c r="BO23" s="29">
        <f t="shared" si="162"/>
        <v>0</v>
      </c>
      <c r="BP23" s="29">
        <f t="shared" si="163"/>
        <v>0</v>
      </c>
      <c r="BQ23" s="29">
        <f t="shared" si="164"/>
        <v>0</v>
      </c>
      <c r="BR23" s="29">
        <f t="shared" si="165"/>
        <v>0</v>
      </c>
      <c r="BS23" s="29">
        <f t="shared" si="166"/>
        <v>0</v>
      </c>
      <c r="BT23" s="29">
        <f t="shared" si="167"/>
        <v>-7.9537352454090211</v>
      </c>
      <c r="BU23" s="29">
        <f t="shared" si="168"/>
        <v>-21.491113933913915</v>
      </c>
      <c r="BV23" s="29">
        <f t="shared" si="169"/>
        <v>-33.866747497161796</v>
      </c>
      <c r="BW23" s="29">
        <f t="shared" si="183"/>
        <v>-37.738398320384405</v>
      </c>
      <c r="BX23" s="29">
        <f t="shared" si="184"/>
        <v>-42.374223362884806</v>
      </c>
      <c r="BY23" s="29">
        <f t="shared" si="185"/>
        <v>-47.776897234430464</v>
      </c>
    </row>
    <row r="24" spans="1:85" ht="12" hidden="1" customHeight="1" outlineLevel="1">
      <c r="B24" s="124" t="s">
        <v>12</v>
      </c>
      <c r="C24" s="124"/>
      <c r="D24" s="124"/>
      <c r="E24" s="124"/>
      <c r="F24" s="124"/>
      <c r="G24" s="124"/>
      <c r="H24" s="124"/>
      <c r="I24" s="124"/>
      <c r="J24" s="124"/>
      <c r="K24" s="124"/>
      <c r="L24" s="124"/>
      <c r="M24" s="124"/>
      <c r="N24" s="124"/>
      <c r="O24" s="123"/>
      <c r="P24" s="125"/>
      <c r="Q24" s="123"/>
      <c r="R24" s="123"/>
      <c r="S24" s="123"/>
      <c r="T24" s="122"/>
      <c r="U24" s="122"/>
      <c r="V24" s="122"/>
      <c r="W24" s="122"/>
      <c r="X24" s="122"/>
      <c r="Y24" s="122"/>
      <c r="Z24" s="122"/>
      <c r="AA24" s="122"/>
      <c r="AB24" s="122"/>
      <c r="AC24" s="122"/>
      <c r="AD24" s="122"/>
      <c r="AE24" s="122"/>
      <c r="AF24" s="122"/>
      <c r="AG24" s="122"/>
      <c r="AH24" s="122"/>
      <c r="AI24" s="122"/>
      <c r="AJ24" s="122"/>
      <c r="AK24" s="122"/>
      <c r="AL24" s="122"/>
      <c r="AM24" s="123">
        <f t="shared" ref="AM24:AX24" ca="1" si="225">-(AM243*AM9+SUM(AM20:AM23))</f>
        <v>-1.6420125993187895</v>
      </c>
      <c r="AN24" s="123">
        <f t="shared" ca="1" si="225"/>
        <v>-2.4527866590933485</v>
      </c>
      <c r="AO24" s="123">
        <f t="shared" ca="1" si="225"/>
        <v>-3.3784081206346315</v>
      </c>
      <c r="AP24" s="123">
        <f t="shared" ca="1" si="225"/>
        <v>1.799729076861837</v>
      </c>
      <c r="AQ24" s="123">
        <f t="shared" ca="1" si="225"/>
        <v>1.3482438542666841E-4</v>
      </c>
      <c r="AR24" s="123">
        <f t="shared" ca="1" si="225"/>
        <v>-4.2577761525268585</v>
      </c>
      <c r="AS24" s="123">
        <f t="shared" ca="1" si="225"/>
        <v>-5.2780734928135331</v>
      </c>
      <c r="AT24" s="123">
        <f t="shared" ca="1" si="225"/>
        <v>0.68260175739850126</v>
      </c>
      <c r="AU24" s="123">
        <f t="shared" ca="1" si="225"/>
        <v>-1.3631605534219915</v>
      </c>
      <c r="AV24" s="123">
        <f t="shared" ca="1" si="225"/>
        <v>-6.1745757221098785</v>
      </c>
      <c r="AW24" s="123">
        <f t="shared" ca="1" si="225"/>
        <v>-7.2945318455566337</v>
      </c>
      <c r="AX24" s="123">
        <f t="shared" ca="1" si="225"/>
        <v>-0.57225953031652921</v>
      </c>
      <c r="AY24" s="123">
        <f t="shared" ref="AY24:BJ24" ca="1" si="226">-(AY243*AY9+SUM(AY20:AY23))</f>
        <v>-2.839752712612281</v>
      </c>
      <c r="AZ24" s="123">
        <f t="shared" ca="1" si="226"/>
        <v>-8.2474663675308619</v>
      </c>
      <c r="BA24" s="123">
        <f t="shared" ca="1" si="226"/>
        <v>-9.4994227995733667</v>
      </c>
      <c r="BB24" s="123">
        <f t="shared" ca="1" si="226"/>
        <v>-1.8313909720353223</v>
      </c>
      <c r="BC24" s="123">
        <f t="shared" ca="1" si="226"/>
        <v>-4.3943805685311901</v>
      </c>
      <c r="BD24" s="123">
        <f t="shared" ca="1" si="226"/>
        <v>-10.474219868850099</v>
      </c>
      <c r="BE24" s="123">
        <f t="shared" ca="1" si="226"/>
        <v>-11.841062018889957</v>
      </c>
      <c r="BF24" s="123">
        <f t="shared" ca="1" si="226"/>
        <v>-3.232795686986023</v>
      </c>
      <c r="BG24" s="123">
        <f t="shared" ca="1" si="226"/>
        <v>-6.0832422502527663</v>
      </c>
      <c r="BH24" s="123">
        <f t="shared" ca="1" si="226"/>
        <v>-12.816153218719023</v>
      </c>
      <c r="BI24" s="123">
        <f t="shared" ca="1" si="226"/>
        <v>-14.29550889480393</v>
      </c>
      <c r="BJ24" s="123">
        <f t="shared" ca="1" si="226"/>
        <v>-4.7753737392593223</v>
      </c>
      <c r="BK24" s="1"/>
      <c r="BL24" s="7"/>
      <c r="BM24" s="7"/>
      <c r="BN24" s="212">
        <f t="shared" si="161"/>
        <v>0</v>
      </c>
      <c r="BO24" s="29">
        <f t="shared" si="162"/>
        <v>0</v>
      </c>
      <c r="BP24" s="29">
        <f t="shared" si="163"/>
        <v>0</v>
      </c>
      <c r="BQ24" s="29">
        <f t="shared" si="164"/>
        <v>0</v>
      </c>
      <c r="BR24" s="29">
        <f t="shared" si="165"/>
        <v>0</v>
      </c>
      <c r="BS24" s="29">
        <f t="shared" si="166"/>
        <v>0</v>
      </c>
      <c r="BT24" s="29">
        <f t="shared" ca="1" si="167"/>
        <v>-5.6734783021849324</v>
      </c>
      <c r="BU24" s="29">
        <f t="shared" ca="1" si="168"/>
        <v>-8.8531130635564637</v>
      </c>
      <c r="BV24" s="29">
        <f t="shared" ca="1" si="169"/>
        <v>-15.404527651405033</v>
      </c>
      <c r="BW24" s="29">
        <f t="shared" ca="1" si="183"/>
        <v>-16.881119810595322</v>
      </c>
      <c r="BX24" s="29">
        <f t="shared" ca="1" si="184"/>
        <v>-18.954010456016306</v>
      </c>
      <c r="BY24" s="29">
        <f t="shared" ca="1" si="185"/>
        <v>-21.158901410033039</v>
      </c>
    </row>
    <row r="25" spans="1:85" ht="12" customHeight="1" collapsed="1">
      <c r="B25" s="160" t="s">
        <v>7</v>
      </c>
      <c r="C25" s="160"/>
      <c r="D25" s="160"/>
      <c r="E25" s="160"/>
      <c r="F25" s="160"/>
      <c r="G25" s="160"/>
      <c r="H25" s="160"/>
      <c r="I25" s="160"/>
      <c r="J25" s="160"/>
      <c r="K25" s="160"/>
      <c r="L25" s="160"/>
      <c r="M25" s="160"/>
      <c r="N25" s="160"/>
      <c r="O25" s="161">
        <f>SUM(O9+O19)</f>
        <v>34.799999999999997</v>
      </c>
      <c r="P25" s="161">
        <f>SUM(P9+P19)</f>
        <v>35.9</v>
      </c>
      <c r="Q25" s="161">
        <f>SUM(Q9+Q19)</f>
        <v>36.700000000000003</v>
      </c>
      <c r="R25" s="161">
        <f t="shared" ref="R25:W25" si="227">SUM(R9+R19)</f>
        <v>37.4</v>
      </c>
      <c r="S25" s="161">
        <f t="shared" si="227"/>
        <v>40</v>
      </c>
      <c r="T25" s="161">
        <f t="shared" si="227"/>
        <v>39</v>
      </c>
      <c r="U25" s="161">
        <f t="shared" si="227"/>
        <v>43.3</v>
      </c>
      <c r="V25" s="161">
        <f t="shared" si="227"/>
        <v>48</v>
      </c>
      <c r="W25" s="161">
        <f t="shared" si="227"/>
        <v>49.8</v>
      </c>
      <c r="X25" s="161">
        <f t="shared" ref="X25:AC25" si="228">SUM(X9+X19)</f>
        <v>49.900000000000006</v>
      </c>
      <c r="Y25" s="161">
        <f t="shared" si="228"/>
        <v>51.8</v>
      </c>
      <c r="Z25" s="161">
        <f t="shared" si="228"/>
        <v>54.900000000000006</v>
      </c>
      <c r="AA25" s="161">
        <f t="shared" si="228"/>
        <v>53.400000000000006</v>
      </c>
      <c r="AB25" s="161">
        <f t="shared" si="228"/>
        <v>56.3</v>
      </c>
      <c r="AC25" s="161">
        <f t="shared" si="228"/>
        <v>69</v>
      </c>
      <c r="AD25" s="161">
        <f t="shared" ref="AD25:AI25" si="229">SUM(AD9+AD19)</f>
        <v>71.900000000000006</v>
      </c>
      <c r="AE25" s="161">
        <f t="shared" si="229"/>
        <v>77.5</v>
      </c>
      <c r="AF25" s="161">
        <f t="shared" si="229"/>
        <v>85.3</v>
      </c>
      <c r="AG25" s="161">
        <f t="shared" si="229"/>
        <v>89.200000000000017</v>
      </c>
      <c r="AH25" s="161">
        <f t="shared" si="229"/>
        <v>89.600000000000009</v>
      </c>
      <c r="AI25" s="161">
        <f t="shared" si="229"/>
        <v>97.000000000000014</v>
      </c>
      <c r="AJ25" s="161">
        <f t="shared" ref="AJ25:AK25" si="230">SUM(AJ9+AJ19)</f>
        <v>107.30000000000001</v>
      </c>
      <c r="AK25" s="161">
        <f t="shared" si="230"/>
        <v>112.30000000000001</v>
      </c>
      <c r="AL25" s="161">
        <f t="shared" ref="AL25" si="231">SUM(AL9+AL19)</f>
        <v>120.3</v>
      </c>
      <c r="AM25" s="161">
        <f t="shared" ref="AM25:AX25" ca="1" si="232">SUM(AM9+AM19)</f>
        <v>123.53860833364493</v>
      </c>
      <c r="AN25" s="161">
        <f t="shared" ca="1" si="232"/>
        <v>131.23215311076734</v>
      </c>
      <c r="AO25" s="161">
        <f t="shared" ca="1" si="232"/>
        <v>137.01548168496365</v>
      </c>
      <c r="AP25" s="161">
        <f t="shared" ca="1" si="232"/>
        <v>148.62679263472148</v>
      </c>
      <c r="AQ25" s="161">
        <f t="shared" ca="1" si="232"/>
        <v>152.50396365017161</v>
      </c>
      <c r="AR25" s="161">
        <f t="shared" ca="1" si="232"/>
        <v>153.89305628859702</v>
      </c>
      <c r="AS25" s="161">
        <f t="shared" ca="1" si="232"/>
        <v>158.49059618223501</v>
      </c>
      <c r="AT25" s="161">
        <f t="shared" ca="1" si="232"/>
        <v>170.04052848417729</v>
      </c>
      <c r="AU25" s="161">
        <f t="shared" ca="1" si="232"/>
        <v>173.55602030963547</v>
      </c>
      <c r="AV25" s="161">
        <f t="shared" ca="1" si="232"/>
        <v>174.27842483338375</v>
      </c>
      <c r="AW25" s="161">
        <f t="shared" ca="1" si="232"/>
        <v>178.66541377023944</v>
      </c>
      <c r="AX25" s="161">
        <f t="shared" ca="1" si="232"/>
        <v>190.86830779861617</v>
      </c>
      <c r="AY25" s="161">
        <f t="shared" ref="AY25:BJ25" ca="1" si="233">SUM(AY9+AY19)</f>
        <v>195.55565587163414</v>
      </c>
      <c r="AZ25" s="161">
        <f t="shared" ca="1" si="233"/>
        <v>197.05976290284599</v>
      </c>
      <c r="BA25" s="161">
        <f t="shared" ca="1" si="233"/>
        <v>202.67742428519455</v>
      </c>
      <c r="BB25" s="161">
        <f t="shared" ca="1" si="233"/>
        <v>217.17367633283214</v>
      </c>
      <c r="BC25" s="161">
        <f t="shared" ca="1" si="233"/>
        <v>221.39830241070109</v>
      </c>
      <c r="BD25" s="161">
        <f t="shared" ca="1" si="233"/>
        <v>222.06625524685103</v>
      </c>
      <c r="BE25" s="161">
        <f t="shared" ca="1" si="233"/>
        <v>227.40815084779149</v>
      </c>
      <c r="BF25" s="161">
        <f t="shared" ca="1" si="233"/>
        <v>242.68685802460703</v>
      </c>
      <c r="BG25" s="161">
        <f t="shared" ca="1" si="233"/>
        <v>246.46930138626058</v>
      </c>
      <c r="BH25" s="161">
        <f t="shared" ca="1" si="233"/>
        <v>246.33246409234741</v>
      </c>
      <c r="BI25" s="161">
        <f t="shared" ca="1" si="233"/>
        <v>251.4130893677949</v>
      </c>
      <c r="BJ25" s="161">
        <f t="shared" ca="1" si="233"/>
        <v>267.45782530842348</v>
      </c>
      <c r="BK25" s="1"/>
      <c r="BL25" s="161">
        <f t="shared" ref="BL25:BQ25" si="234">BL9+BL19</f>
        <v>83.6</v>
      </c>
      <c r="BM25" s="161">
        <f t="shared" si="234"/>
        <v>123.49999999999999</v>
      </c>
      <c r="BN25" s="375">
        <f t="shared" si="234"/>
        <v>144.80000000000001</v>
      </c>
      <c r="BO25" s="161">
        <f t="shared" si="234"/>
        <v>170.3</v>
      </c>
      <c r="BP25" s="161">
        <f t="shared" si="234"/>
        <v>206.39999999999998</v>
      </c>
      <c r="BQ25" s="161">
        <f t="shared" si="234"/>
        <v>250.60000000000002</v>
      </c>
      <c r="BR25" s="161">
        <f>BR9+BR19</f>
        <v>341.6</v>
      </c>
      <c r="BS25" s="161">
        <f>BS9+BS19</f>
        <v>436.9</v>
      </c>
      <c r="BT25" s="161">
        <f ca="1">BT9+BT19</f>
        <v>540.41303576409746</v>
      </c>
      <c r="BU25" s="161">
        <f ca="1">BU9+BU19</f>
        <v>634.92814460518093</v>
      </c>
      <c r="BV25" s="161">
        <f ca="1">BV9+BV19</f>
        <v>717.36816671187512</v>
      </c>
      <c r="BW25" s="161">
        <f t="shared" ref="BW25:BY25" ca="1" si="235">BW9+BW19</f>
        <v>812.46651939250683</v>
      </c>
      <c r="BX25" s="161">
        <f t="shared" ca="1" si="235"/>
        <v>913.55956652995064</v>
      </c>
      <c r="BY25" s="161">
        <f t="shared" ca="1" si="235"/>
        <v>1011.6726801548266</v>
      </c>
    </row>
    <row r="26" spans="1:85" ht="12" customHeight="1">
      <c r="B26" s="164" t="s">
        <v>210</v>
      </c>
      <c r="C26" s="164"/>
      <c r="D26" s="164"/>
      <c r="E26" s="164"/>
      <c r="F26" s="164"/>
      <c r="G26" s="164"/>
      <c r="H26" s="164"/>
      <c r="I26" s="164"/>
      <c r="J26" s="164"/>
      <c r="K26" s="164"/>
      <c r="L26" s="164"/>
      <c r="M26" s="164"/>
      <c r="N26" s="164"/>
      <c r="O26" s="163">
        <f t="shared" ref="O26:W26" si="236">+O25/O9</f>
        <v>0.66794625719769662</v>
      </c>
      <c r="P26" s="163">
        <f t="shared" si="236"/>
        <v>0.66481481481481475</v>
      </c>
      <c r="Q26" s="163">
        <f t="shared" si="236"/>
        <v>0.64726631393298062</v>
      </c>
      <c r="R26" s="163">
        <f t="shared" si="236"/>
        <v>0.64482758620689651</v>
      </c>
      <c r="S26" s="163">
        <f t="shared" si="236"/>
        <v>0.66555740432612309</v>
      </c>
      <c r="T26" s="163">
        <f t="shared" si="236"/>
        <v>0.6132075471698113</v>
      </c>
      <c r="U26" s="163">
        <f t="shared" si="236"/>
        <v>0.64148148148148143</v>
      </c>
      <c r="V26" s="163">
        <f t="shared" si="236"/>
        <v>0.66390041493775931</v>
      </c>
      <c r="W26" s="163">
        <f t="shared" si="236"/>
        <v>0.64258064516129032</v>
      </c>
      <c r="X26" s="163">
        <f t="shared" ref="X26:AC26" si="237">+X25/X9</f>
        <v>0.6107711138310894</v>
      </c>
      <c r="Y26" s="163">
        <f t="shared" si="237"/>
        <v>0.61084905660377353</v>
      </c>
      <c r="Z26" s="163">
        <f t="shared" si="237"/>
        <v>0.63176064441887225</v>
      </c>
      <c r="AA26" s="163">
        <f t="shared" si="237"/>
        <v>0.62310385064177365</v>
      </c>
      <c r="AB26" s="163">
        <f t="shared" si="237"/>
        <v>0.63187429854096522</v>
      </c>
      <c r="AC26" s="163">
        <f t="shared" si="237"/>
        <v>0.62050359712230219</v>
      </c>
      <c r="AD26" s="163">
        <f t="shared" ref="AD26:AI26" si="238">+AD25/AD9</f>
        <v>0.63459841129744043</v>
      </c>
      <c r="AE26" s="163">
        <f t="shared" si="238"/>
        <v>0.65789473684210531</v>
      </c>
      <c r="AF26" s="163">
        <f t="shared" si="238"/>
        <v>0.65564950038431979</v>
      </c>
      <c r="AG26" s="163">
        <f t="shared" si="238"/>
        <v>0.62030598052851194</v>
      </c>
      <c r="AH26" s="163">
        <f t="shared" si="238"/>
        <v>0.65211062590975255</v>
      </c>
      <c r="AI26" s="163">
        <f t="shared" si="238"/>
        <v>0.64969859343603487</v>
      </c>
      <c r="AJ26" s="163">
        <f t="shared" ref="AJ26:AK26" si="239">+AJ25/AJ9</f>
        <v>0.64289994008388263</v>
      </c>
      <c r="AK26" s="163">
        <f t="shared" si="239"/>
        <v>0.64061608670849979</v>
      </c>
      <c r="AL26" s="163">
        <f t="shared" ref="AL26" si="240">+AL25/AL9</f>
        <v>0.6664819944598338</v>
      </c>
      <c r="AM26" s="163">
        <f t="shared" ref="AM26:AX26" ca="1" si="241">+AM25/AM9</f>
        <v>0.65969859343603487</v>
      </c>
      <c r="AN26" s="163">
        <f t="shared" ca="1" si="241"/>
        <v>0.65789994008388264</v>
      </c>
      <c r="AO26" s="163">
        <f t="shared" ca="1" si="241"/>
        <v>0.6556160867084998</v>
      </c>
      <c r="AP26" s="163">
        <f t="shared" ca="1" si="241"/>
        <v>0.68148199445983382</v>
      </c>
      <c r="AQ26" s="163">
        <f t="shared" ca="1" si="241"/>
        <v>0.67469859343603489</v>
      </c>
      <c r="AR26" s="163">
        <f t="shared" ca="1" si="241"/>
        <v>0.65789994008388253</v>
      </c>
      <c r="AS26" s="163">
        <f t="shared" ca="1" si="241"/>
        <v>0.6556160867084998</v>
      </c>
      <c r="AT26" s="163">
        <f t="shared" ca="1" si="241"/>
        <v>0.68148199445983393</v>
      </c>
      <c r="AU26" s="163">
        <f t="shared" ca="1" si="241"/>
        <v>0.67469859343603489</v>
      </c>
      <c r="AV26" s="163">
        <f t="shared" ca="1" si="241"/>
        <v>0.65789994008388253</v>
      </c>
      <c r="AW26" s="163">
        <f t="shared" ca="1" si="241"/>
        <v>0.6556160867084998</v>
      </c>
      <c r="AX26" s="163">
        <f t="shared" ca="1" si="241"/>
        <v>0.68148199445983382</v>
      </c>
      <c r="AY26" s="163">
        <f t="shared" ref="AY26:BJ26" ca="1" si="242">+AY25/AY9</f>
        <v>0.67469859343603489</v>
      </c>
      <c r="AZ26" s="163">
        <f t="shared" ca="1" si="242"/>
        <v>0.65789994008388264</v>
      </c>
      <c r="BA26" s="163">
        <f t="shared" ca="1" si="242"/>
        <v>0.65561608670849969</v>
      </c>
      <c r="BB26" s="163">
        <f t="shared" ca="1" si="242"/>
        <v>0.68148199445983382</v>
      </c>
      <c r="BC26" s="163">
        <f t="shared" ca="1" si="242"/>
        <v>0.67469859343603489</v>
      </c>
      <c r="BD26" s="163">
        <f t="shared" ca="1" si="242"/>
        <v>0.65789994008388253</v>
      </c>
      <c r="BE26" s="163">
        <f t="shared" ca="1" si="242"/>
        <v>0.65561608670849969</v>
      </c>
      <c r="BF26" s="163">
        <f t="shared" ca="1" si="242"/>
        <v>0.68148199445983382</v>
      </c>
      <c r="BG26" s="163">
        <f t="shared" ca="1" si="242"/>
        <v>0.67469859343603489</v>
      </c>
      <c r="BH26" s="163">
        <f t="shared" ca="1" si="242"/>
        <v>0.65789994008388253</v>
      </c>
      <c r="BI26" s="163">
        <f t="shared" ca="1" si="242"/>
        <v>0.6556160867084998</v>
      </c>
      <c r="BJ26" s="163">
        <f t="shared" ca="1" si="242"/>
        <v>0.68148199445983382</v>
      </c>
      <c r="BK26" s="88"/>
      <c r="BL26" s="163">
        <f t="shared" ref="BL26:BR26" si="243">+BL25/BL9</f>
        <v>0.65568627450980388</v>
      </c>
      <c r="BM26" s="163">
        <f t="shared" si="243"/>
        <v>0.67969179966978532</v>
      </c>
      <c r="BN26" s="376">
        <f t="shared" si="243"/>
        <v>0.65579710144927539</v>
      </c>
      <c r="BO26" s="163">
        <f t="shared" si="243"/>
        <v>0.64629981024667937</v>
      </c>
      <c r="BP26" s="163">
        <f t="shared" si="243"/>
        <v>0.62375339981867628</v>
      </c>
      <c r="BQ26" s="163">
        <f t="shared" si="243"/>
        <v>0.62759829701978465</v>
      </c>
      <c r="BR26" s="163">
        <f t="shared" si="243"/>
        <v>0.64562464562464561</v>
      </c>
      <c r="BS26" s="163">
        <f>+BS25/BS9</f>
        <v>0.65014880952380949</v>
      </c>
      <c r="BT26" s="163">
        <f ca="1">+BT25/BT9</f>
        <v>0.66404704570503947</v>
      </c>
      <c r="BU26" s="163">
        <f ca="1">+BU25/BU9</f>
        <v>0.66749725590330611</v>
      </c>
      <c r="BV26" s="163">
        <f ca="1">+BV25/BV9</f>
        <v>0.66748712951978939</v>
      </c>
      <c r="BW26" s="163">
        <f t="shared" ref="BW26:BY26" ca="1" si="244">+BW25/BW9</f>
        <v>0.66749418615639056</v>
      </c>
      <c r="BX26" s="163">
        <f t="shared" ca="1" si="244"/>
        <v>0.66748460625886519</v>
      </c>
      <c r="BY26" s="163">
        <f t="shared" ca="1" si="244"/>
        <v>0.66747719550714157</v>
      </c>
    </row>
    <row r="27" spans="1:85" ht="12" customHeight="1">
      <c r="B27" s="165" t="s">
        <v>2</v>
      </c>
      <c r="C27" s="165"/>
      <c r="D27" s="165"/>
      <c r="E27" s="165"/>
      <c r="F27" s="165"/>
      <c r="G27" s="165"/>
      <c r="H27" s="165"/>
      <c r="I27" s="165"/>
      <c r="J27" s="165"/>
      <c r="K27" s="165"/>
      <c r="L27" s="165"/>
      <c r="M27" s="165"/>
      <c r="N27" s="165"/>
      <c r="O27" s="84">
        <v>-1.8</v>
      </c>
      <c r="P27" s="339">
        <v>-1.8</v>
      </c>
      <c r="Q27" s="84">
        <v>-2.1</v>
      </c>
      <c r="R27" s="84">
        <v>-4</v>
      </c>
      <c r="S27" s="84">
        <f>-2.8</f>
        <v>-2.8</v>
      </c>
      <c r="T27" s="84">
        <v>-2.9</v>
      </c>
      <c r="U27" s="84">
        <v>-2.2999999999999998</v>
      </c>
      <c r="V27" s="84">
        <v>-2.6</v>
      </c>
      <c r="W27" s="84">
        <v>-3</v>
      </c>
      <c r="X27" s="84">
        <v>-3.5</v>
      </c>
      <c r="Y27" s="84">
        <v>-3.2</v>
      </c>
      <c r="Z27" s="84">
        <v>-3.1</v>
      </c>
      <c r="AA27" s="84">
        <v>-2.9</v>
      </c>
      <c r="AB27" s="84">
        <v>-2.8</v>
      </c>
      <c r="AC27" s="84">
        <v>-3.2</v>
      </c>
      <c r="AD27" s="84">
        <v>-3.2</v>
      </c>
      <c r="AE27" s="84">
        <v>-4</v>
      </c>
      <c r="AF27" s="84">
        <v>-4.2</v>
      </c>
      <c r="AG27" s="84">
        <v>-4.7</v>
      </c>
      <c r="AH27" s="84">
        <v>-4</v>
      </c>
      <c r="AI27" s="84">
        <v>-4.9000000000000004</v>
      </c>
      <c r="AJ27" s="84">
        <v>-4.3</v>
      </c>
      <c r="AK27" s="84">
        <v>-3.9</v>
      </c>
      <c r="AL27" s="84">
        <v>-3.9</v>
      </c>
      <c r="AM27" s="162">
        <f t="shared" ref="AM27:AX27" ca="1" si="245">AM25*-AM245</f>
        <v>-4.0049922901181647</v>
      </c>
      <c r="AN27" s="162">
        <f t="shared" ca="1" si="245"/>
        <v>-4.2544089537156493</v>
      </c>
      <c r="AO27" s="162">
        <f t="shared" ca="1" si="245"/>
        <v>-4.44189840873947</v>
      </c>
      <c r="AP27" s="162">
        <f t="shared" ca="1" si="245"/>
        <v>-4.8183249482578034</v>
      </c>
      <c r="AQ27" s="162">
        <f t="shared" ca="1" si="245"/>
        <v>-4.944018771701324</v>
      </c>
      <c r="AR27" s="162">
        <f t="shared" ca="1" si="245"/>
        <v>-4.9890517001290808</v>
      </c>
      <c r="AS27" s="162">
        <f t="shared" ca="1" si="245"/>
        <v>-5.1380991281023816</v>
      </c>
      <c r="AT27" s="162">
        <f t="shared" ca="1" si="245"/>
        <v>-5.512535836145398</v>
      </c>
      <c r="AU27" s="162">
        <f t="shared" ca="1" si="245"/>
        <v>-5.6265043990654888</v>
      </c>
      <c r="AV27" s="162">
        <f t="shared" ca="1" si="245"/>
        <v>-5.649923997092241</v>
      </c>
      <c r="AW27" s="162">
        <f t="shared" ca="1" si="245"/>
        <v>-5.7921455835738476</v>
      </c>
      <c r="AX27" s="162">
        <f t="shared" ca="1" si="245"/>
        <v>-6.187750626887806</v>
      </c>
      <c r="AY27" s="162">
        <f t="shared" ref="AY27:BJ27" ca="1" si="246">AY25*-AY245</f>
        <v>-6.3397095419731766</v>
      </c>
      <c r="AZ27" s="162">
        <f t="shared" ca="1" si="246"/>
        <v>-6.3884711165511172</v>
      </c>
      <c r="BA27" s="162">
        <f t="shared" ca="1" si="246"/>
        <v>-6.570589814731993</v>
      </c>
      <c r="BB27" s="162">
        <f t="shared" ca="1" si="246"/>
        <v>-7.0405431230095212</v>
      </c>
      <c r="BC27" s="162">
        <f t="shared" ca="1" si="246"/>
        <v>-7.1775010756586388</v>
      </c>
      <c r="BD27" s="162">
        <f t="shared" ca="1" si="246"/>
        <v>-7.1991554070051453</v>
      </c>
      <c r="BE27" s="162">
        <f t="shared" ca="1" si="246"/>
        <v>-7.3723340673847613</v>
      </c>
      <c r="BF27" s="162">
        <f t="shared" ca="1" si="246"/>
        <v>-7.8676537514211757</v>
      </c>
      <c r="BG27" s="162">
        <f t="shared" ca="1" si="246"/>
        <v>-7.9902766035446078</v>
      </c>
      <c r="BH27" s="162">
        <f t="shared" ca="1" si="246"/>
        <v>-7.9858404817967985</v>
      </c>
      <c r="BI27" s="162">
        <f t="shared" ca="1" si="246"/>
        <v>-8.1505490318736502</v>
      </c>
      <c r="BJ27" s="162">
        <f t="shared" ca="1" si="246"/>
        <v>-8.670702566108492</v>
      </c>
      <c r="BK27" s="1"/>
      <c r="BL27" s="84">
        <v>-6.8</v>
      </c>
      <c r="BM27" s="84">
        <v>-9.1</v>
      </c>
      <c r="BN27" s="377">
        <f>SUM(O27:R27)</f>
        <v>-9.6999999999999993</v>
      </c>
      <c r="BO27" s="166">
        <f>SUM(S27:V27)</f>
        <v>-10.6</v>
      </c>
      <c r="BP27" s="166">
        <f>SUM(W27:Z27)</f>
        <v>-12.799999999999999</v>
      </c>
      <c r="BQ27" s="166">
        <f>SUM(AA27:AD27)</f>
        <v>-12.099999999999998</v>
      </c>
      <c r="BR27" s="166">
        <f>SUM(AE27:AH27)</f>
        <v>-16.899999999999999</v>
      </c>
      <c r="BS27" s="166">
        <f>SUM(AI27:AL27)</f>
        <v>-17</v>
      </c>
      <c r="BT27" s="166">
        <f ca="1">SUM(AM27:AP27)</f>
        <v>-17.519624600831087</v>
      </c>
      <c r="BU27" s="166">
        <f ca="1">SUM(AQ27:AT27)</f>
        <v>-20.583705436078183</v>
      </c>
      <c r="BV27" s="166">
        <f ca="1">SUM(AU27:AX27)</f>
        <v>-23.256324606619383</v>
      </c>
      <c r="BW27" s="166">
        <f ca="1">SUM(AY27:BB27)</f>
        <v>-26.339313596265807</v>
      </c>
      <c r="BX27" s="166">
        <f ca="1">SUM(BC27:BF27)</f>
        <v>-29.616644301469723</v>
      </c>
      <c r="BY27" s="166">
        <f ca="1">SUM(BG27:BJ27)</f>
        <v>-32.797368683323555</v>
      </c>
    </row>
    <row r="28" spans="1:85" ht="12" customHeight="1">
      <c r="B28" s="2" t="s">
        <v>3</v>
      </c>
      <c r="C28" s="2"/>
      <c r="D28" s="2"/>
      <c r="E28" s="2"/>
      <c r="F28" s="2"/>
      <c r="G28" s="2"/>
      <c r="H28" s="2"/>
      <c r="I28" s="2"/>
      <c r="J28" s="2"/>
      <c r="K28" s="2"/>
      <c r="L28" s="2"/>
      <c r="M28" s="2"/>
      <c r="N28" s="2"/>
      <c r="O28" s="7">
        <v>-4.5</v>
      </c>
      <c r="P28" s="125">
        <v>-5.5</v>
      </c>
      <c r="Q28" s="7">
        <v>-5.3</v>
      </c>
      <c r="R28" s="7">
        <f>-5.4</f>
        <v>-5.4</v>
      </c>
      <c r="S28" s="7">
        <v>-6.9</v>
      </c>
      <c r="T28" s="7">
        <v>-7.1</v>
      </c>
      <c r="U28" s="7">
        <f>-7.2+0.7</f>
        <v>-6.5</v>
      </c>
      <c r="V28" s="7">
        <v>-6.8</v>
      </c>
      <c r="W28" s="7">
        <v>-7.3</v>
      </c>
      <c r="X28" s="7">
        <v>-8.4</v>
      </c>
      <c r="Y28" s="7">
        <v>-9</v>
      </c>
      <c r="Z28" s="7">
        <v>-9.9</v>
      </c>
      <c r="AA28" s="7">
        <v>-9.1</v>
      </c>
      <c r="AB28" s="7">
        <v>-9.9</v>
      </c>
      <c r="AC28" s="7">
        <v>-12.5</v>
      </c>
      <c r="AD28" s="7">
        <v>-15.1</v>
      </c>
      <c r="AE28" s="7">
        <v>-14</v>
      </c>
      <c r="AF28" s="7">
        <v>-14.9</v>
      </c>
      <c r="AG28" s="7">
        <v>-13.9</v>
      </c>
      <c r="AH28" s="7">
        <v>-17.899999999999999</v>
      </c>
      <c r="AI28" s="7">
        <v>-15.8</v>
      </c>
      <c r="AJ28" s="7">
        <v>-17.3</v>
      </c>
      <c r="AK28" s="7">
        <v>-17.5</v>
      </c>
      <c r="AL28" s="7">
        <v>-16.399999999999999</v>
      </c>
      <c r="AM28" s="1">
        <f t="shared" ref="AM28:AX28" ca="1" si="247">AM25*-AM248</f>
        <v>-16.841506040496895</v>
      </c>
      <c r="AN28" s="1">
        <f t="shared" ca="1" si="247"/>
        <v>-17.890335087419651</v>
      </c>
      <c r="AO28" s="1">
        <f t="shared" ca="1" si="247"/>
        <v>-18.678752282904433</v>
      </c>
      <c r="AP28" s="1">
        <f t="shared" ca="1" si="247"/>
        <v>-20.261674141391786</v>
      </c>
      <c r="AQ28" s="1">
        <f t="shared" ca="1" si="247"/>
        <v>-20.790232783564541</v>
      </c>
      <c r="AR28" s="1">
        <f t="shared" ca="1" si="247"/>
        <v>-20.979602021055619</v>
      </c>
      <c r="AS28" s="1">
        <f t="shared" ca="1" si="247"/>
        <v>-21.606365564327962</v>
      </c>
      <c r="AT28" s="1">
        <f t="shared" ca="1" si="247"/>
        <v>-23.180919926355006</v>
      </c>
      <c r="AU28" s="1">
        <f t="shared" ca="1" si="247"/>
        <v>-23.660172344788208</v>
      </c>
      <c r="AV28" s="1">
        <f t="shared" ca="1" si="247"/>
        <v>-23.758654757003267</v>
      </c>
      <c r="AW28" s="1">
        <f t="shared" ca="1" si="247"/>
        <v>-24.356714761695148</v>
      </c>
      <c r="AX28" s="1">
        <f t="shared" ca="1" si="247"/>
        <v>-26.020284687425644</v>
      </c>
      <c r="AY28" s="1">
        <f t="shared" ref="AY28:BJ28" ca="1" si="248">AY25*-AY248</f>
        <v>-26.659291407271816</v>
      </c>
      <c r="AZ28" s="1">
        <f t="shared" ca="1" si="248"/>
        <v>-26.864340079855975</v>
      </c>
      <c r="BA28" s="1">
        <f t="shared" ca="1" si="248"/>
        <v>-27.630172554257609</v>
      </c>
      <c r="BB28" s="1">
        <f t="shared" ca="1" si="248"/>
        <v>-29.606386465988752</v>
      </c>
      <c r="BC28" s="1">
        <f t="shared" ca="1" si="248"/>
        <v>-30.182312215590169</v>
      </c>
      <c r="BD28" s="1">
        <f t="shared" ca="1" si="248"/>
        <v>-30.273371455098559</v>
      </c>
      <c r="BE28" s="1">
        <f t="shared" ca="1" si="248"/>
        <v>-31.0016099243872</v>
      </c>
      <c r="BF28" s="1">
        <f t="shared" ca="1" si="248"/>
        <v>-33.084492698283917</v>
      </c>
      <c r="BG28" s="1">
        <f t="shared" ca="1" si="248"/>
        <v>-33.600137512341419</v>
      </c>
      <c r="BH28" s="1">
        <f t="shared" ca="1" si="248"/>
        <v>-33.581483051658331</v>
      </c>
      <c r="BI28" s="1">
        <f t="shared" ca="1" si="248"/>
        <v>-34.274103621212269</v>
      </c>
      <c r="BJ28" s="1">
        <f t="shared" ca="1" si="248"/>
        <v>-36.461415919020318</v>
      </c>
      <c r="BK28" s="1"/>
      <c r="BL28" s="7">
        <f>-7-3.6</f>
        <v>-10.6</v>
      </c>
      <c r="BM28" s="7">
        <f>-12.5-2.3</f>
        <v>-14.8</v>
      </c>
      <c r="BN28" s="348">
        <f>SUM(O28:R28)</f>
        <v>-20.700000000000003</v>
      </c>
      <c r="BO28" s="55">
        <f>SUM(S28:V28)</f>
        <v>-27.3</v>
      </c>
      <c r="BP28" s="55">
        <f>SUM(W28:Z28)</f>
        <v>-34.6</v>
      </c>
      <c r="BQ28" s="55">
        <f>SUM(AA28:AD28)</f>
        <v>-46.6</v>
      </c>
      <c r="BR28" s="55">
        <f>SUM(AE28:AH28)</f>
        <v>-60.699999999999996</v>
      </c>
      <c r="BS28" s="55">
        <f>SUM(AI28:AL28)</f>
        <v>-67</v>
      </c>
      <c r="BT28" s="55">
        <f ca="1">SUM(AM28:AP28)</f>
        <v>-73.672267552212759</v>
      </c>
      <c r="BU28" s="55">
        <f ca="1">SUM(AQ28:AT28)</f>
        <v>-86.557120295303122</v>
      </c>
      <c r="BV28" s="55">
        <f ca="1">SUM(AU28:AX28)</f>
        <v>-97.795826550912267</v>
      </c>
      <c r="BW28" s="55">
        <f ca="1">SUM(AY28:BB28)</f>
        <v>-110.76019050737415</v>
      </c>
      <c r="BX28" s="55">
        <f ca="1">SUM(BC28:BF28)</f>
        <v>-124.54178629335985</v>
      </c>
      <c r="BY28" s="55">
        <f ca="1">SUM(BG28:BJ28)</f>
        <v>-137.91714010423235</v>
      </c>
    </row>
    <row r="29" spans="1:85" ht="12" customHeight="1">
      <c r="A29" s="207"/>
      <c r="B29" s="208" t="s">
        <v>443</v>
      </c>
      <c r="C29" s="208"/>
      <c r="D29" s="208"/>
      <c r="E29" s="208"/>
      <c r="F29" s="208"/>
      <c r="G29" s="208"/>
      <c r="H29" s="208"/>
      <c r="I29" s="208"/>
      <c r="J29" s="208"/>
      <c r="K29" s="208"/>
      <c r="L29" s="208"/>
      <c r="M29" s="208"/>
      <c r="N29" s="208"/>
      <c r="O29" s="125">
        <v>-0.7</v>
      </c>
      <c r="P29" s="125">
        <v>-0.5</v>
      </c>
      <c r="Q29" s="125">
        <v>-0.9</v>
      </c>
      <c r="R29" s="125">
        <v>-0.4</v>
      </c>
      <c r="S29" s="125"/>
      <c r="T29" s="125"/>
      <c r="U29" s="125"/>
      <c r="V29" s="125"/>
      <c r="W29" s="125"/>
      <c r="X29" s="125"/>
      <c r="Y29" s="125"/>
      <c r="Z29" s="125"/>
      <c r="AA29" s="125">
        <v>0.7</v>
      </c>
      <c r="AB29" s="125">
        <v>0.3</v>
      </c>
      <c r="AC29" s="125">
        <f>1.9+0.4</f>
        <v>2.2999999999999998</v>
      </c>
      <c r="AD29" s="125">
        <f>0.3+4.1+0.1</f>
        <v>4.4999999999999991</v>
      </c>
      <c r="AE29" s="125">
        <v>0.2</v>
      </c>
      <c r="AF29" s="125">
        <v>0.3</v>
      </c>
      <c r="AG29" s="125">
        <v>0.2</v>
      </c>
      <c r="AH29" s="125">
        <f>0.4+1.9</f>
        <v>2.2999999999999998</v>
      </c>
      <c r="AI29" s="125">
        <f>0.2+0.5</f>
        <v>0.7</v>
      </c>
      <c r="AJ29" s="125">
        <f>0.6+0.5</f>
        <v>1.1000000000000001</v>
      </c>
      <c r="AK29" s="125">
        <f>0.3+0.8</f>
        <v>1.1000000000000001</v>
      </c>
      <c r="AL29" s="125">
        <v>1.1000000000000001</v>
      </c>
      <c r="AM29" s="123"/>
      <c r="AN29" s="123"/>
      <c r="AO29" s="123"/>
      <c r="AP29" s="123"/>
      <c r="AQ29" s="123"/>
      <c r="AR29" s="123"/>
      <c r="AS29" s="123"/>
      <c r="AT29" s="123"/>
      <c r="AU29" s="123"/>
      <c r="AV29" s="123"/>
      <c r="AW29" s="123"/>
      <c r="AX29" s="123"/>
      <c r="AY29" s="123"/>
      <c r="AZ29" s="123"/>
      <c r="BA29" s="123"/>
      <c r="BB29" s="123"/>
      <c r="BC29" s="123"/>
      <c r="BD29" s="123"/>
      <c r="BE29" s="123"/>
      <c r="BF29" s="123"/>
      <c r="BG29" s="123"/>
      <c r="BH29" s="123"/>
      <c r="BI29" s="123"/>
      <c r="BJ29" s="123"/>
      <c r="BK29" s="123"/>
      <c r="BL29" s="125"/>
      <c r="BM29" s="125"/>
      <c r="BN29" s="348">
        <f>+SUM(O29:R29)</f>
        <v>-2.5</v>
      </c>
      <c r="BO29" s="348"/>
      <c r="BP29" s="348"/>
      <c r="BQ29" s="348">
        <f>+SUM(AA29:AD29)</f>
        <v>7.7999999999999989</v>
      </c>
      <c r="BR29" s="55">
        <f>SUM(AE29:AH29)</f>
        <v>3</v>
      </c>
      <c r="BS29" s="55">
        <f>SUM(AI29:AL29)</f>
        <v>4</v>
      </c>
      <c r="BT29" s="55">
        <f>SUM(AM29:AP29)</f>
        <v>0</v>
      </c>
      <c r="BU29" s="55">
        <f>SUM(AQ29:AT29)</f>
        <v>0</v>
      </c>
      <c r="BV29" s="55">
        <f>SUM(AU29:AX29)</f>
        <v>0</v>
      </c>
      <c r="BW29" s="55">
        <f>SUM(AY29:BB29)</f>
        <v>0</v>
      </c>
      <c r="BX29" s="55">
        <f>SUM(BC29:BF29)</f>
        <v>0</v>
      </c>
      <c r="BY29" s="55">
        <f>SUM(BG29:BJ29)</f>
        <v>0</v>
      </c>
      <c r="BZ29" s="207"/>
    </row>
    <row r="30" spans="1:85" ht="12" customHeight="1">
      <c r="A30" s="207"/>
      <c r="B30" s="335" t="s">
        <v>441</v>
      </c>
      <c r="C30" s="335"/>
      <c r="D30" s="335"/>
      <c r="E30" s="335"/>
      <c r="F30" s="335"/>
      <c r="G30" s="335"/>
      <c r="H30" s="335"/>
      <c r="I30" s="335"/>
      <c r="J30" s="335"/>
      <c r="K30" s="335"/>
      <c r="L30" s="335"/>
      <c r="M30" s="335"/>
      <c r="N30" s="335"/>
      <c r="O30" s="336">
        <f>+O25+O27+O28+O29</f>
        <v>27.8</v>
      </c>
      <c r="P30" s="336">
        <f>+P25+P27+P28+P29</f>
        <v>28.1</v>
      </c>
      <c r="Q30" s="336">
        <f t="shared" ref="Q30:W30" si="249">+Q25+Q27+Q28+Q29</f>
        <v>28.400000000000002</v>
      </c>
      <c r="R30" s="336">
        <f t="shared" si="249"/>
        <v>27.6</v>
      </c>
      <c r="S30" s="336">
        <f t="shared" si="249"/>
        <v>30.300000000000004</v>
      </c>
      <c r="T30" s="336">
        <f t="shared" si="249"/>
        <v>29</v>
      </c>
      <c r="U30" s="336">
        <f t="shared" si="249"/>
        <v>34.5</v>
      </c>
      <c r="V30" s="336">
        <f t="shared" si="249"/>
        <v>38.6</v>
      </c>
      <c r="W30" s="336">
        <f t="shared" si="249"/>
        <v>39.5</v>
      </c>
      <c r="X30" s="336">
        <f t="shared" ref="X30:AC30" si="250">+X25+X27+X28+X29</f>
        <v>38.000000000000007</v>
      </c>
      <c r="Y30" s="336">
        <f t="shared" si="250"/>
        <v>39.599999999999994</v>
      </c>
      <c r="Z30" s="336">
        <f t="shared" si="250"/>
        <v>41.900000000000006</v>
      </c>
      <c r="AA30" s="475">
        <f t="shared" si="250"/>
        <v>42.100000000000009</v>
      </c>
      <c r="AB30" s="336">
        <f t="shared" si="250"/>
        <v>43.9</v>
      </c>
      <c r="AC30" s="336">
        <f t="shared" si="250"/>
        <v>55.599999999999994</v>
      </c>
      <c r="AD30" s="336">
        <f t="shared" ref="AD30:AI30" si="251">+AD25+AD27+AD28+AD29</f>
        <v>58.1</v>
      </c>
      <c r="AE30" s="336">
        <f t="shared" si="251"/>
        <v>59.7</v>
      </c>
      <c r="AF30" s="336">
        <f t="shared" si="251"/>
        <v>66.499999999999986</v>
      </c>
      <c r="AG30" s="336">
        <f t="shared" si="251"/>
        <v>70.800000000000011</v>
      </c>
      <c r="AH30" s="336">
        <f t="shared" si="251"/>
        <v>70.000000000000014</v>
      </c>
      <c r="AI30" s="336">
        <f t="shared" si="251"/>
        <v>77.000000000000014</v>
      </c>
      <c r="AJ30" s="336">
        <f t="shared" ref="AJ30:AK30" si="252">+AJ25+AJ27+AJ28+AJ29</f>
        <v>86.800000000000011</v>
      </c>
      <c r="AK30" s="336">
        <f t="shared" si="252"/>
        <v>92</v>
      </c>
      <c r="AL30" s="336">
        <f t="shared" ref="AL30" si="253">+AL25+AL27+AL28+AL29</f>
        <v>101.1</v>
      </c>
      <c r="AM30" s="336">
        <f t="shared" ref="AM30:AX30" ca="1" si="254">+AM25+AM27+AM28</f>
        <v>102.69211000302987</v>
      </c>
      <c r="AN30" s="336">
        <f t="shared" ca="1" si="254"/>
        <v>109.08740906963203</v>
      </c>
      <c r="AO30" s="336">
        <f t="shared" ca="1" si="254"/>
        <v>113.89483099331974</v>
      </c>
      <c r="AP30" s="336">
        <f t="shared" ca="1" si="254"/>
        <v>123.54679354507189</v>
      </c>
      <c r="AQ30" s="336">
        <f t="shared" ca="1" si="254"/>
        <v>126.76971209490574</v>
      </c>
      <c r="AR30" s="336">
        <f t="shared" ca="1" si="254"/>
        <v>127.92440256741233</v>
      </c>
      <c r="AS30" s="336">
        <f t="shared" ca="1" si="254"/>
        <v>131.74613148980467</v>
      </c>
      <c r="AT30" s="336">
        <f t="shared" ca="1" si="254"/>
        <v>141.34707272167688</v>
      </c>
      <c r="AU30" s="336">
        <f t="shared" ca="1" si="254"/>
        <v>144.26934356578178</v>
      </c>
      <c r="AV30" s="336">
        <f t="shared" ca="1" si="254"/>
        <v>144.86984607928827</v>
      </c>
      <c r="AW30" s="336">
        <f t="shared" ca="1" si="254"/>
        <v>148.51655342497045</v>
      </c>
      <c r="AX30" s="336">
        <f t="shared" ca="1" si="254"/>
        <v>158.66027248430271</v>
      </c>
      <c r="AY30" s="336">
        <f t="shared" ref="AY30:BJ30" ca="1" si="255">+AY25+AY27+AY28</f>
        <v>162.55665492238916</v>
      </c>
      <c r="AZ30" s="336">
        <f t="shared" ca="1" si="255"/>
        <v>163.80695170643889</v>
      </c>
      <c r="BA30" s="336">
        <f t="shared" ca="1" si="255"/>
        <v>168.47666191620496</v>
      </c>
      <c r="BB30" s="336">
        <f t="shared" ca="1" si="255"/>
        <v>180.52674674383388</v>
      </c>
      <c r="BC30" s="336">
        <f t="shared" ca="1" si="255"/>
        <v>184.03848911945229</v>
      </c>
      <c r="BD30" s="336">
        <f t="shared" ca="1" si="255"/>
        <v>184.59372838474732</v>
      </c>
      <c r="BE30" s="336">
        <f t="shared" ca="1" si="255"/>
        <v>189.03420685601952</v>
      </c>
      <c r="BF30" s="336">
        <f t="shared" ca="1" si="255"/>
        <v>201.73471157490192</v>
      </c>
      <c r="BG30" s="336">
        <f t="shared" ca="1" si="255"/>
        <v>204.87888727037455</v>
      </c>
      <c r="BH30" s="336">
        <f t="shared" ca="1" si="255"/>
        <v>204.76514055889228</v>
      </c>
      <c r="BI30" s="336">
        <f t="shared" ca="1" si="255"/>
        <v>208.98843671470897</v>
      </c>
      <c r="BJ30" s="336">
        <f t="shared" ca="1" si="255"/>
        <v>222.32570682329467</v>
      </c>
      <c r="BK30" s="123"/>
      <c r="BL30" s="336">
        <f t="shared" ref="BL30:BR30" si="256">+BL25+BL27+BL28+BL29</f>
        <v>66.2</v>
      </c>
      <c r="BM30" s="336">
        <f t="shared" si="256"/>
        <v>99.6</v>
      </c>
      <c r="BN30" s="336">
        <f t="shared" si="256"/>
        <v>111.90000000000002</v>
      </c>
      <c r="BO30" s="336">
        <f t="shared" si="256"/>
        <v>132.4</v>
      </c>
      <c r="BP30" s="336">
        <f t="shared" si="256"/>
        <v>158.99999999999997</v>
      </c>
      <c r="BQ30" s="336">
        <f t="shared" si="256"/>
        <v>199.70000000000005</v>
      </c>
      <c r="BR30" s="336">
        <f t="shared" si="256"/>
        <v>267.00000000000006</v>
      </c>
      <c r="BS30" s="336">
        <f>+BS25+BS27+BS28+BS29</f>
        <v>356.9</v>
      </c>
      <c r="BT30" s="336">
        <f ca="1">+BT25+BT27+BT28+BT29</f>
        <v>449.22114361105361</v>
      </c>
      <c r="BU30" s="336">
        <f ca="1">+BU25+BU27+BU28+BU29</f>
        <v>527.78731887379968</v>
      </c>
      <c r="BV30" s="336">
        <f ca="1">+BV25+BV27+BV28+BV29</f>
        <v>596.31601555434349</v>
      </c>
      <c r="BW30" s="336">
        <f t="shared" ref="BW30:BY30" ca="1" si="257">+BW25+BW27+BW28+BW29</f>
        <v>675.36701528886692</v>
      </c>
      <c r="BX30" s="336">
        <f t="shared" ca="1" si="257"/>
        <v>759.40113593512115</v>
      </c>
      <c r="BY30" s="336">
        <f t="shared" ca="1" si="257"/>
        <v>840.95817136727067</v>
      </c>
      <c r="BZ30" s="207"/>
      <c r="CA30" s="207"/>
    </row>
    <row r="31" spans="1:85" ht="12" customHeight="1">
      <c r="A31" s="207"/>
      <c r="B31" s="208" t="s">
        <v>35</v>
      </c>
      <c r="C31" s="208"/>
      <c r="D31" s="208"/>
      <c r="E31" s="208"/>
      <c r="F31" s="208"/>
      <c r="G31" s="208"/>
      <c r="H31" s="208"/>
      <c r="I31" s="208"/>
      <c r="J31" s="208"/>
      <c r="K31" s="208"/>
      <c r="L31" s="208"/>
      <c r="M31" s="208"/>
      <c r="N31" s="208"/>
      <c r="O31" s="349">
        <v>0.5</v>
      </c>
      <c r="P31" s="349">
        <v>0.4</v>
      </c>
      <c r="Q31" s="349">
        <v>1.7</v>
      </c>
      <c r="R31" s="349">
        <v>0.8</v>
      </c>
      <c r="S31" s="349">
        <v>1.2</v>
      </c>
      <c r="T31" s="349">
        <v>1.8</v>
      </c>
      <c r="U31" s="349">
        <v>2</v>
      </c>
      <c r="V31" s="349">
        <v>1.3</v>
      </c>
      <c r="W31" s="349">
        <v>2.2000000000000002</v>
      </c>
      <c r="X31" s="349">
        <v>2.8</v>
      </c>
      <c r="Y31" s="349">
        <v>2.6</v>
      </c>
      <c r="Z31" s="349">
        <v>2.7</v>
      </c>
      <c r="AA31" s="349">
        <v>3</v>
      </c>
      <c r="AB31" s="349">
        <v>3.2</v>
      </c>
      <c r="AC31" s="349">
        <v>3.4</v>
      </c>
      <c r="AD31" s="349">
        <v>2.4</v>
      </c>
      <c r="AE31" s="349">
        <v>3</v>
      </c>
      <c r="AF31" s="349">
        <v>3.2</v>
      </c>
      <c r="AG31" s="349">
        <v>2.2999999999999998</v>
      </c>
      <c r="AH31" s="349">
        <v>3</v>
      </c>
      <c r="AI31" s="349">
        <v>3.7</v>
      </c>
      <c r="AJ31" s="349">
        <v>4</v>
      </c>
      <c r="AK31" s="349">
        <v>3.9</v>
      </c>
      <c r="AL31" s="349">
        <v>3.1</v>
      </c>
      <c r="AM31" s="349">
        <f t="shared" ref="AM31:AX31" ca="1" si="258">+AM254*AM28</f>
        <v>3.6936480369526028</v>
      </c>
      <c r="AN31" s="349">
        <f t="shared" ca="1" si="258"/>
        <v>3.8572168985144022</v>
      </c>
      <c r="AO31" s="349">
        <f t="shared" ca="1" si="258"/>
        <v>3.9543062347914804</v>
      </c>
      <c r="AP31" s="349">
        <f t="shared" ca="1" si="258"/>
        <v>4.2329003110403276</v>
      </c>
      <c r="AQ31" s="349">
        <f t="shared" ca="1" si="258"/>
        <v>4.4466877100633351</v>
      </c>
      <c r="AR31" s="349">
        <f t="shared" ca="1" si="258"/>
        <v>4.4586864277716103</v>
      </c>
      <c r="AS31" s="349">
        <f t="shared" ca="1" si="258"/>
        <v>4.57526013991043</v>
      </c>
      <c r="AT31" s="349">
        <f t="shared" ca="1" si="258"/>
        <v>4.9089956086034823</v>
      </c>
      <c r="AU31" s="349">
        <f t="shared" ca="1" si="258"/>
        <v>5.0273863310564337</v>
      </c>
      <c r="AV31" s="349">
        <f t="shared" ca="1" si="258"/>
        <v>5.0399941756072719</v>
      </c>
      <c r="AW31" s="349">
        <f t="shared" ca="1" si="258"/>
        <v>5.1644763437009278</v>
      </c>
      <c r="AX31" s="349">
        <f t="shared" ca="1" si="258"/>
        <v>5.519031658785539</v>
      </c>
      <c r="AY31" s="349">
        <f t="shared" ref="AY31:BJ31" ca="1" si="259">+AY254*AY28</f>
        <v>5.6568086573006582</v>
      </c>
      <c r="AZ31" s="349">
        <f t="shared" ca="1" si="259"/>
        <v>5.6983427238897262</v>
      </c>
      <c r="BA31" s="349">
        <f t="shared" ca="1" si="259"/>
        <v>5.8606668769907246</v>
      </c>
      <c r="BB31" s="349">
        <f t="shared" ca="1" si="259"/>
        <v>6.2804071430866424</v>
      </c>
      <c r="BC31" s="349">
        <f t="shared" ca="1" si="259"/>
        <v>6.4027683530630846</v>
      </c>
      <c r="BD31" s="349">
        <f t="shared" ca="1" si="259"/>
        <v>6.4216874888956825</v>
      </c>
      <c r="BE31" s="349">
        <f t="shared" ca="1" si="259"/>
        <v>6.5762243577161783</v>
      </c>
      <c r="BF31" s="349">
        <f t="shared" ca="1" si="259"/>
        <v>7.0181732827266057</v>
      </c>
      <c r="BG31" s="349">
        <f t="shared" ca="1" si="259"/>
        <v>7.1275449532265993</v>
      </c>
      <c r="BH31" s="349">
        <f t="shared" ca="1" si="259"/>
        <v>7.1235206735491046</v>
      </c>
      <c r="BI31" s="349">
        <f t="shared" ca="1" si="259"/>
        <v>7.2704707666102957</v>
      </c>
      <c r="BJ31" s="349">
        <f t="shared" ca="1" si="259"/>
        <v>7.7344773183992972</v>
      </c>
      <c r="BK31" s="123"/>
      <c r="BL31" s="78"/>
      <c r="BM31" s="78"/>
      <c r="BN31" s="78">
        <f>SUM(O31:R31)</f>
        <v>3.4000000000000004</v>
      </c>
      <c r="BO31" s="78">
        <f>SUM(S31:V31)</f>
        <v>6.3</v>
      </c>
      <c r="BP31" s="78">
        <f>SUM(W31:Z31)</f>
        <v>10.3</v>
      </c>
      <c r="BQ31" s="78">
        <f>SUM(AA31:AD31)</f>
        <v>12</v>
      </c>
      <c r="BR31" s="78">
        <f>SUM(AE31:AH31)</f>
        <v>11.5</v>
      </c>
      <c r="BS31" s="78">
        <f>SUM(AI31:AL31)</f>
        <v>14.7</v>
      </c>
      <c r="BT31" s="78">
        <f ca="1">SUM(AM31:AP31)</f>
        <v>15.738071481298814</v>
      </c>
      <c r="BU31" s="78">
        <f ca="1">SUM(AQ31:AT31)</f>
        <v>18.389629886348857</v>
      </c>
      <c r="BV31" s="78">
        <f ca="1">SUM(AU31:AX31)</f>
        <v>20.750888509150172</v>
      </c>
      <c r="BW31" s="78">
        <f ca="1">SUM(AY31:BB31)</f>
        <v>23.49622540126775</v>
      </c>
      <c r="BX31" s="78">
        <f ca="1">SUM(BC31:BF31)</f>
        <v>26.418853482401552</v>
      </c>
      <c r="BY31" s="78">
        <f ca="1">SUM(BG31:BJ31)</f>
        <v>29.256013711785297</v>
      </c>
      <c r="BZ31" s="207"/>
      <c r="CA31" s="207"/>
    </row>
    <row r="32" spans="1:85" ht="12" customHeight="1">
      <c r="A32" s="206" t="s">
        <v>293</v>
      </c>
      <c r="B32" s="160" t="s">
        <v>442</v>
      </c>
      <c r="C32" s="352">
        <v>5.7</v>
      </c>
      <c r="D32" s="352">
        <v>8</v>
      </c>
      <c r="E32" s="352">
        <v>8.5</v>
      </c>
      <c r="F32" s="352">
        <v>9.8000000000000007</v>
      </c>
      <c r="G32" s="352">
        <v>10.8</v>
      </c>
      <c r="H32" s="352">
        <v>13</v>
      </c>
      <c r="I32" s="352">
        <v>22.8</v>
      </c>
      <c r="J32" s="352">
        <v>23.6</v>
      </c>
      <c r="K32" s="352">
        <v>24</v>
      </c>
      <c r="L32" s="352">
        <v>25.8</v>
      </c>
      <c r="M32" s="352">
        <v>24.5</v>
      </c>
      <c r="N32" s="352">
        <v>26.9</v>
      </c>
      <c r="O32" s="161">
        <f t="shared" ref="O32:W32" si="260">O30+O31</f>
        <v>28.3</v>
      </c>
      <c r="P32" s="161">
        <f t="shared" si="260"/>
        <v>28.5</v>
      </c>
      <c r="Q32" s="161">
        <f t="shared" si="260"/>
        <v>30.1</v>
      </c>
      <c r="R32" s="161">
        <f t="shared" si="260"/>
        <v>28.400000000000002</v>
      </c>
      <c r="S32" s="161">
        <f t="shared" si="260"/>
        <v>31.500000000000004</v>
      </c>
      <c r="T32" s="161">
        <f t="shared" si="260"/>
        <v>30.8</v>
      </c>
      <c r="U32" s="161">
        <f t="shared" si="260"/>
        <v>36.5</v>
      </c>
      <c r="V32" s="161">
        <f t="shared" si="260"/>
        <v>39.9</v>
      </c>
      <c r="W32" s="161">
        <f t="shared" si="260"/>
        <v>41.7</v>
      </c>
      <c r="X32" s="161">
        <f t="shared" ref="X32:AC32" si="261">X30+X31</f>
        <v>40.800000000000004</v>
      </c>
      <c r="Y32" s="161">
        <f t="shared" si="261"/>
        <v>42.199999999999996</v>
      </c>
      <c r="Z32" s="161">
        <f t="shared" si="261"/>
        <v>44.600000000000009</v>
      </c>
      <c r="AA32" s="473">
        <f t="shared" si="261"/>
        <v>45.100000000000009</v>
      </c>
      <c r="AB32" s="161">
        <f t="shared" si="261"/>
        <v>47.1</v>
      </c>
      <c r="AC32" s="161">
        <f t="shared" si="261"/>
        <v>58.999999999999993</v>
      </c>
      <c r="AD32" s="161">
        <f t="shared" ref="AD32:AI32" si="262">AD30+AD31</f>
        <v>60.5</v>
      </c>
      <c r="AE32" s="161">
        <f t="shared" si="262"/>
        <v>62.7</v>
      </c>
      <c r="AF32" s="161">
        <f t="shared" si="262"/>
        <v>69.699999999999989</v>
      </c>
      <c r="AG32" s="161">
        <f t="shared" si="262"/>
        <v>73.100000000000009</v>
      </c>
      <c r="AH32" s="161">
        <f t="shared" si="262"/>
        <v>73.000000000000014</v>
      </c>
      <c r="AI32" s="161">
        <f t="shared" si="262"/>
        <v>80.700000000000017</v>
      </c>
      <c r="AJ32" s="161">
        <f t="shared" ref="AJ32:AK32" si="263">AJ30+AJ31</f>
        <v>90.800000000000011</v>
      </c>
      <c r="AK32" s="161">
        <f t="shared" si="263"/>
        <v>95.9</v>
      </c>
      <c r="AL32" s="161">
        <f t="shared" ref="AL32" si="264">AL30+AL31</f>
        <v>104.19999999999999</v>
      </c>
      <c r="AM32" s="161">
        <f t="shared" ref="AM32:AX32" ca="1" si="265">AM30+AM31</f>
        <v>106.38575803998248</v>
      </c>
      <c r="AN32" s="161">
        <f t="shared" ca="1" si="265"/>
        <v>112.94462596814644</v>
      </c>
      <c r="AO32" s="161">
        <f t="shared" ca="1" si="265"/>
        <v>117.84913722811122</v>
      </c>
      <c r="AP32" s="161">
        <f t="shared" ca="1" si="265"/>
        <v>127.77969385611222</v>
      </c>
      <c r="AQ32" s="161">
        <f t="shared" ca="1" si="265"/>
        <v>131.21639980496909</v>
      </c>
      <c r="AR32" s="161">
        <f t="shared" ca="1" si="265"/>
        <v>132.38308899518393</v>
      </c>
      <c r="AS32" s="161">
        <f t="shared" ca="1" si="265"/>
        <v>136.32139162971509</v>
      </c>
      <c r="AT32" s="161">
        <f t="shared" ca="1" si="265"/>
        <v>146.25606833028036</v>
      </c>
      <c r="AU32" s="161">
        <f t="shared" ca="1" si="265"/>
        <v>149.2967298968382</v>
      </c>
      <c r="AV32" s="161">
        <f t="shared" ca="1" si="265"/>
        <v>149.90984025489553</v>
      </c>
      <c r="AW32" s="161">
        <f t="shared" ca="1" si="265"/>
        <v>153.68102976867138</v>
      </c>
      <c r="AX32" s="161">
        <f t="shared" ca="1" si="265"/>
        <v>164.17930414308825</v>
      </c>
      <c r="AY32" s="161">
        <f t="shared" ref="AY32:BJ32" ca="1" si="266">AY30+AY31</f>
        <v>168.2134635796898</v>
      </c>
      <c r="AZ32" s="161">
        <f t="shared" ca="1" si="266"/>
        <v>169.50529443032863</v>
      </c>
      <c r="BA32" s="161">
        <f t="shared" ca="1" si="266"/>
        <v>174.3373287931957</v>
      </c>
      <c r="BB32" s="161">
        <f t="shared" ca="1" si="266"/>
        <v>186.80715388692053</v>
      </c>
      <c r="BC32" s="161">
        <f t="shared" ca="1" si="266"/>
        <v>190.44125747251539</v>
      </c>
      <c r="BD32" s="161">
        <f t="shared" ca="1" si="266"/>
        <v>191.01541587364301</v>
      </c>
      <c r="BE32" s="161">
        <f t="shared" ca="1" si="266"/>
        <v>195.61043121373569</v>
      </c>
      <c r="BF32" s="161">
        <f t="shared" ca="1" si="266"/>
        <v>208.75288485762852</v>
      </c>
      <c r="BG32" s="161">
        <f t="shared" ca="1" si="266"/>
        <v>212.00643222360114</v>
      </c>
      <c r="BH32" s="161">
        <f t="shared" ca="1" si="266"/>
        <v>211.88866123244139</v>
      </c>
      <c r="BI32" s="161">
        <f t="shared" ca="1" si="266"/>
        <v>216.25890748131926</v>
      </c>
      <c r="BJ32" s="161">
        <f t="shared" ca="1" si="266"/>
        <v>230.06018414169395</v>
      </c>
      <c r="BK32" s="1"/>
      <c r="BL32" s="161">
        <f t="shared" ref="BL32:BR32" si="267">BL30+BL31</f>
        <v>66.2</v>
      </c>
      <c r="BM32" s="161">
        <f t="shared" si="267"/>
        <v>99.6</v>
      </c>
      <c r="BN32" s="375">
        <f t="shared" si="267"/>
        <v>115.30000000000003</v>
      </c>
      <c r="BO32" s="161">
        <f t="shared" si="267"/>
        <v>138.70000000000002</v>
      </c>
      <c r="BP32" s="161">
        <f t="shared" si="267"/>
        <v>169.29999999999998</v>
      </c>
      <c r="BQ32" s="161">
        <f t="shared" si="267"/>
        <v>211.70000000000005</v>
      </c>
      <c r="BR32" s="161">
        <f t="shared" si="267"/>
        <v>278.50000000000006</v>
      </c>
      <c r="BS32" s="161">
        <f>BS30+BS31</f>
        <v>371.59999999999997</v>
      </c>
      <c r="BT32" s="161">
        <f ca="1">BT30+BT31</f>
        <v>464.95921509235239</v>
      </c>
      <c r="BU32" s="161">
        <f ca="1">BU30+BU31</f>
        <v>546.17694876014855</v>
      </c>
      <c r="BV32" s="161">
        <f ca="1">BV30+BV31</f>
        <v>617.06690406349367</v>
      </c>
      <c r="BW32" s="161">
        <f t="shared" ref="BW32:BY32" ca="1" si="268">BW30+BW31</f>
        <v>698.86324069013472</v>
      </c>
      <c r="BX32" s="161">
        <f t="shared" ca="1" si="268"/>
        <v>785.81998941752272</v>
      </c>
      <c r="BY32" s="161">
        <f t="shared" ca="1" si="268"/>
        <v>870.21418507905594</v>
      </c>
      <c r="BZ32" s="78"/>
    </row>
    <row r="33" spans="1:85" s="461" customFormat="1" ht="12" customHeight="1">
      <c r="A33" s="451"/>
      <c r="B33" s="462" t="s">
        <v>210</v>
      </c>
      <c r="C33" s="463">
        <f t="shared" ref="C33:W33" si="269">+C32/C9</f>
        <v>0.3372781065088758</v>
      </c>
      <c r="D33" s="463">
        <f t="shared" si="269"/>
        <v>0.43478260869565222</v>
      </c>
      <c r="E33" s="463">
        <f t="shared" si="269"/>
        <v>0.47486033519553078</v>
      </c>
      <c r="F33" s="463">
        <f t="shared" si="269"/>
        <v>0.5268817204301075</v>
      </c>
      <c r="G33" s="463">
        <f t="shared" si="269"/>
        <v>0.54</v>
      </c>
      <c r="H33" s="463">
        <f t="shared" si="269"/>
        <v>0.52631578947368418</v>
      </c>
      <c r="I33" s="463">
        <f t="shared" si="269"/>
        <v>0.57000000000000006</v>
      </c>
      <c r="J33" s="463">
        <f t="shared" si="269"/>
        <v>0.58128078817733997</v>
      </c>
      <c r="K33" s="463">
        <f t="shared" si="269"/>
        <v>0.55299539170506917</v>
      </c>
      <c r="L33" s="463">
        <f t="shared" si="269"/>
        <v>0.57206208425720617</v>
      </c>
      <c r="M33" s="463">
        <f t="shared" si="269"/>
        <v>0.52016985138004246</v>
      </c>
      <c r="N33" s="463">
        <f t="shared" si="269"/>
        <v>0.5478615071283095</v>
      </c>
      <c r="O33" s="463">
        <f t="shared" si="269"/>
        <v>0.54318618042226485</v>
      </c>
      <c r="P33" s="463">
        <f t="shared" si="269"/>
        <v>0.52777777777777779</v>
      </c>
      <c r="Q33" s="463">
        <f t="shared" si="269"/>
        <v>0.53086419753086422</v>
      </c>
      <c r="R33" s="463">
        <f t="shared" si="269"/>
        <v>0.48965517241379314</v>
      </c>
      <c r="S33" s="463">
        <f t="shared" si="269"/>
        <v>0.52412645590682205</v>
      </c>
      <c r="T33" s="463">
        <f t="shared" si="269"/>
        <v>0.48427672955974843</v>
      </c>
      <c r="U33" s="463">
        <f t="shared" si="269"/>
        <v>0.54074074074074074</v>
      </c>
      <c r="V33" s="463">
        <f t="shared" si="269"/>
        <v>0.55186721991701249</v>
      </c>
      <c r="W33" s="463">
        <f t="shared" si="269"/>
        <v>0.53806451612903228</v>
      </c>
      <c r="X33" s="463">
        <f t="shared" ref="X33:AC33" si="270">+X32/X9</f>
        <v>0.49938800489596086</v>
      </c>
      <c r="Y33" s="463">
        <f t="shared" si="270"/>
        <v>0.49764150943396224</v>
      </c>
      <c r="Z33" s="463">
        <f t="shared" si="270"/>
        <v>0.51323360184119682</v>
      </c>
      <c r="AA33" s="463">
        <f t="shared" si="270"/>
        <v>0.52625437572928835</v>
      </c>
      <c r="AB33" s="463">
        <f t="shared" si="270"/>
        <v>0.52861952861952866</v>
      </c>
      <c r="AC33" s="463">
        <f t="shared" si="270"/>
        <v>0.53057553956834524</v>
      </c>
      <c r="AD33" s="463">
        <f t="shared" ref="AD33:AI33" si="271">+AD32/AD9</f>
        <v>0.53398058252427183</v>
      </c>
      <c r="AE33" s="463">
        <f t="shared" si="271"/>
        <v>0.53225806451612911</v>
      </c>
      <c r="AF33" s="463">
        <f t="shared" si="271"/>
        <v>0.53574173712528816</v>
      </c>
      <c r="AG33" s="463">
        <f t="shared" si="271"/>
        <v>0.50834492350486793</v>
      </c>
      <c r="AH33" s="463">
        <f t="shared" si="271"/>
        <v>0.53129548762736545</v>
      </c>
      <c r="AI33" s="463">
        <f t="shared" si="271"/>
        <v>0.54052243804420641</v>
      </c>
      <c r="AJ33" s="463">
        <f t="shared" ref="AJ33:AK33" si="272">+AJ32/AJ9</f>
        <v>0.54403834631515879</v>
      </c>
      <c r="AK33" s="463">
        <f t="shared" si="272"/>
        <v>0.54706217912150601</v>
      </c>
      <c r="AL33" s="463">
        <f t="shared" ref="AL33" si="273">+AL32/AL9</f>
        <v>0.57728531855955667</v>
      </c>
      <c r="AM33" s="463">
        <f t="shared" ref="AM33:AX33" ca="1" si="274">+AM32/AM9</f>
        <v>0.56810203617526922</v>
      </c>
      <c r="AN33" s="463">
        <f t="shared" ca="1" si="274"/>
        <v>0.56621994607161097</v>
      </c>
      <c r="AO33" s="463">
        <f t="shared" ca="1" si="274"/>
        <v>0.56390554717836927</v>
      </c>
      <c r="AP33" s="463">
        <f t="shared" ca="1" si="274"/>
        <v>0.58589409807520276</v>
      </c>
      <c r="AQ33" s="463">
        <f t="shared" ca="1" si="274"/>
        <v>0.58051947152819738</v>
      </c>
      <c r="AR33" s="463">
        <f t="shared" ca="1" si="274"/>
        <v>0.56594383410464666</v>
      </c>
      <c r="AS33" s="463">
        <f t="shared" ca="1" si="274"/>
        <v>0.56391041151846277</v>
      </c>
      <c r="AT33" s="463">
        <f t="shared" ca="1" si="274"/>
        <v>0.58615953523602371</v>
      </c>
      <c r="AU33" s="463">
        <f t="shared" ca="1" si="274"/>
        <v>0.58039066283201701</v>
      </c>
      <c r="AV33" s="463">
        <f t="shared" ca="1" si="274"/>
        <v>0.56590868901856184</v>
      </c>
      <c r="AW33" s="463">
        <f t="shared" ca="1" si="274"/>
        <v>0.56393542103139727</v>
      </c>
      <c r="AX33" s="463">
        <f t="shared" ca="1" si="274"/>
        <v>0.58619076643414669</v>
      </c>
      <c r="AY33" s="463">
        <f t="shared" ref="AY33:BJ33" ca="1" si="275">+AY32/AY9</f>
        <v>0.58036361448282159</v>
      </c>
      <c r="AZ33" s="463">
        <f t="shared" ca="1" si="275"/>
        <v>0.56590712079864947</v>
      </c>
      <c r="BA33" s="463">
        <f t="shared" ca="1" si="275"/>
        <v>0.56394222333206068</v>
      </c>
      <c r="BB33" s="463">
        <f t="shared" ca="1" si="275"/>
        <v>0.58619310572023375</v>
      </c>
      <c r="BC33" s="463">
        <f t="shared" ca="1" si="275"/>
        <v>0.5803587794026619</v>
      </c>
      <c r="BD33" s="463">
        <f t="shared" ca="1" si="275"/>
        <v>0.56590782115307303</v>
      </c>
      <c r="BE33" s="463">
        <f t="shared" ca="1" si="275"/>
        <v>0.56394348643003811</v>
      </c>
      <c r="BF33" s="463">
        <f t="shared" ca="1" si="275"/>
        <v>0.58619297921602431</v>
      </c>
      <c r="BG33" s="463">
        <f t="shared" ca="1" si="275"/>
        <v>0.58035804384614342</v>
      </c>
      <c r="BH33" s="463">
        <f t="shared" ca="1" si="275"/>
        <v>0.56590810327386298</v>
      </c>
      <c r="BI33" s="463">
        <f t="shared" ca="1" si="275"/>
        <v>0.56394366337602431</v>
      </c>
      <c r="BJ33" s="463">
        <f t="shared" ca="1" si="275"/>
        <v>0.58619288089209054</v>
      </c>
      <c r="BK33" s="464"/>
      <c r="BL33" s="463">
        <f t="shared" ref="BL33:BR33" si="276">+BL32/BL9</f>
        <v>0.51921568627450987</v>
      </c>
      <c r="BM33" s="463">
        <f t="shared" si="276"/>
        <v>0.54815630159603745</v>
      </c>
      <c r="BN33" s="465">
        <f t="shared" si="276"/>
        <v>0.52219202898550732</v>
      </c>
      <c r="BO33" s="463">
        <f t="shared" si="276"/>
        <v>0.52637571157495266</v>
      </c>
      <c r="BP33" s="463">
        <f t="shared" si="276"/>
        <v>0.51163493502568747</v>
      </c>
      <c r="BQ33" s="463">
        <f t="shared" si="276"/>
        <v>0.53017781116954676</v>
      </c>
      <c r="BR33" s="463">
        <f t="shared" si="276"/>
        <v>0.52636552636552647</v>
      </c>
      <c r="BS33" s="463">
        <f>+BS32/BS9</f>
        <v>0.5529761904761904</v>
      </c>
      <c r="BT33" s="463">
        <f ca="1">+BT32/BT9</f>
        <v>0.5713311351175272</v>
      </c>
      <c r="BU33" s="463">
        <f ca="1">+BU32/BU9</f>
        <v>0.57419350147368609</v>
      </c>
      <c r="BV33" s="463">
        <f ca="1">+BV32/BV9</f>
        <v>0.57416015322078606</v>
      </c>
      <c r="BW33" s="463">
        <f t="shared" ref="BW33:BY33" ca="1" si="277">+BW32/BW9</f>
        <v>0.57416169029079311</v>
      </c>
      <c r="BX33" s="463">
        <f t="shared" ca="1" si="277"/>
        <v>0.574152759648765</v>
      </c>
      <c r="BY33" s="463">
        <f t="shared" ca="1" si="277"/>
        <v>0.57414629765252512</v>
      </c>
      <c r="BZ33" s="451"/>
      <c r="CA33" s="460"/>
      <c r="CB33"/>
      <c r="CC33"/>
      <c r="CD33"/>
      <c r="CE33"/>
      <c r="CF33"/>
      <c r="CG33"/>
    </row>
    <row r="34" spans="1:85" ht="12" customHeight="1">
      <c r="B34" s="165" t="s">
        <v>6</v>
      </c>
      <c r="C34" s="165"/>
      <c r="D34" s="165"/>
      <c r="E34" s="165"/>
      <c r="F34" s="165"/>
      <c r="G34" s="165"/>
      <c r="H34" s="165"/>
      <c r="I34" s="165"/>
      <c r="J34" s="165"/>
      <c r="K34" s="165"/>
      <c r="L34" s="165"/>
      <c r="M34" s="165"/>
      <c r="N34" s="165"/>
      <c r="O34" s="84">
        <v>-10.3</v>
      </c>
      <c r="P34" s="84">
        <v>-9.6999999999999993</v>
      </c>
      <c r="Q34" s="84">
        <v>-11.3</v>
      </c>
      <c r="R34" s="84">
        <v>-10.5</v>
      </c>
      <c r="S34" s="84">
        <v>-10.9</v>
      </c>
      <c r="T34" s="84">
        <v>-10.8</v>
      </c>
      <c r="U34" s="84">
        <v>-10.5</v>
      </c>
      <c r="V34" s="84">
        <v>-11.5</v>
      </c>
      <c r="W34" s="84">
        <v>-10.7</v>
      </c>
      <c r="X34" s="84">
        <v>-10.7</v>
      </c>
      <c r="Y34" s="84">
        <v>-9</v>
      </c>
      <c r="Z34" s="469">
        <v>-9.1</v>
      </c>
      <c r="AA34" s="469">
        <v>-8.4</v>
      </c>
      <c r="AB34" s="469">
        <v>-8.6999999999999993</v>
      </c>
      <c r="AC34" s="469">
        <v>-12.1</v>
      </c>
      <c r="AD34" s="469">
        <v>-12</v>
      </c>
      <c r="AE34" s="469">
        <v>-12.1</v>
      </c>
      <c r="AF34" s="469">
        <v>-11.5</v>
      </c>
      <c r="AG34" s="469">
        <v>-13.8</v>
      </c>
      <c r="AH34" s="469">
        <v>-11.4</v>
      </c>
      <c r="AI34" s="469">
        <v>-13.6</v>
      </c>
      <c r="AJ34" s="469">
        <v>-16.5</v>
      </c>
      <c r="AK34" s="469">
        <v>-17.899999999999999</v>
      </c>
      <c r="AL34" s="469">
        <v>-20.100000000000001</v>
      </c>
      <c r="AM34" s="344">
        <f t="shared" ref="AM34:AX34" ca="1" si="278">-AM338</f>
        <v>-24.198820115461434</v>
      </c>
      <c r="AN34" s="344">
        <f t="shared" ca="1" si="278"/>
        <v>-28.033147594348403</v>
      </c>
      <c r="AO34" s="344">
        <f t="shared" ca="1" si="278"/>
        <v>-31.20443378898397</v>
      </c>
      <c r="AP34" s="344">
        <f t="shared" ca="1" si="278"/>
        <v>-31.778653311316855</v>
      </c>
      <c r="AQ34" s="344">
        <f t="shared" ca="1" si="278"/>
        <v>-32.315124655691605</v>
      </c>
      <c r="AR34" s="344">
        <f t="shared" ca="1" si="278"/>
        <v>-33.379975495851909</v>
      </c>
      <c r="AS34" s="344">
        <f t="shared" ca="1" si="278"/>
        <v>-34.25595046838059</v>
      </c>
      <c r="AT34" s="344">
        <f t="shared" ca="1" si="278"/>
        <v>-34.461686702684574</v>
      </c>
      <c r="AU34" s="344">
        <f t="shared" ca="1" si="278"/>
        <v>-34.484279136231962</v>
      </c>
      <c r="AV34" s="344">
        <f t="shared" ca="1" si="278"/>
        <v>-35.849122136658309</v>
      </c>
      <c r="AW34" s="344">
        <f t="shared" ca="1" si="278"/>
        <v>-37.238553956041955</v>
      </c>
      <c r="AX34" s="344">
        <f t="shared" ca="1" si="278"/>
        <v>-37.79073713565748</v>
      </c>
      <c r="AY34" s="344">
        <f t="shared" ref="AY34:BJ34" ca="1" si="279">-AY338</f>
        <v>-39.024070464617481</v>
      </c>
      <c r="AZ34" s="344">
        <f t="shared" ca="1" si="279"/>
        <v>-41.513667279128597</v>
      </c>
      <c r="BA34" s="344">
        <f t="shared" ca="1" si="279"/>
        <v>-42.853330221882899</v>
      </c>
      <c r="BB34" s="344">
        <f t="shared" ca="1" si="279"/>
        <v>-43.022018933791202</v>
      </c>
      <c r="BC34" s="344">
        <f t="shared" ca="1" si="279"/>
        <v>-43.175486760973044</v>
      </c>
      <c r="BD34" s="344">
        <f t="shared" ca="1" si="279"/>
        <v>-44.638417452455272</v>
      </c>
      <c r="BE34" s="344">
        <f t="shared" ca="1" si="279"/>
        <v>-46.673599110206212</v>
      </c>
      <c r="BF34" s="344">
        <f t="shared" ca="1" si="279"/>
        <v>-47.735784485766729</v>
      </c>
      <c r="BG34" s="344">
        <f t="shared" ca="1" si="279"/>
        <v>-47.962734055979354</v>
      </c>
      <c r="BH34" s="344">
        <f t="shared" ca="1" si="279"/>
        <v>-49.088558297030758</v>
      </c>
      <c r="BI34" s="344">
        <f t="shared" ca="1" si="279"/>
        <v>-50.744096139611813</v>
      </c>
      <c r="BJ34" s="344">
        <f t="shared" ca="1" si="279"/>
        <v>-52.239484435031144</v>
      </c>
      <c r="BK34" s="1"/>
      <c r="BL34" s="84">
        <v>-11.5</v>
      </c>
      <c r="BM34" s="84">
        <v>-32.9</v>
      </c>
      <c r="BN34" s="377">
        <f t="shared" ref="BN34:BN42" si="280">SUM(O34:R34)</f>
        <v>-41.8</v>
      </c>
      <c r="BO34" s="166">
        <f t="shared" ref="BO34:BO42" si="281">SUM(S34:V34)</f>
        <v>-43.7</v>
      </c>
      <c r="BP34" s="166">
        <f t="shared" ref="BP34:BP42" si="282">SUM(W34:Z34)</f>
        <v>-39.5</v>
      </c>
      <c r="BQ34" s="166">
        <f t="shared" ref="BQ34:BQ42" si="283">SUM(AA34:AD34)</f>
        <v>-41.2</v>
      </c>
      <c r="BR34" s="166">
        <f t="shared" ref="BR34:BR42" si="284">SUM(AE34:AH34)</f>
        <v>-48.800000000000004</v>
      </c>
      <c r="BS34" s="166">
        <f>SUM(AI34:AL34)</f>
        <v>-68.099999999999994</v>
      </c>
      <c r="BT34" s="166">
        <f t="shared" ref="BT34:BT42" ca="1" si="285">SUM(AM34:AP34)</f>
        <v>-115.21505481011066</v>
      </c>
      <c r="BU34" s="166">
        <f t="shared" ref="BU34:BU42" ca="1" si="286">SUM(AQ34:AT34)</f>
        <v>-134.41273732260868</v>
      </c>
      <c r="BV34" s="166">
        <f t="shared" ref="BV34:BV42" ca="1" si="287">SUM(AU34:AX34)</f>
        <v>-145.36269236458969</v>
      </c>
      <c r="BW34" s="166">
        <f ca="1">SUM(AY34:BB34)</f>
        <v>-166.41308689942019</v>
      </c>
      <c r="BX34" s="166">
        <f ca="1">SUM(BC34:BF34)</f>
        <v>-182.22328780940126</v>
      </c>
      <c r="BY34" s="166">
        <f ca="1">SUM(BG34:BJ34)</f>
        <v>-200.03487292765305</v>
      </c>
    </row>
    <row r="35" spans="1:85" ht="12" hidden="1" customHeight="1" outlineLevel="1">
      <c r="B35" s="12" t="s">
        <v>50</v>
      </c>
      <c r="C35" s="12"/>
      <c r="D35" s="12"/>
      <c r="E35" s="12"/>
      <c r="F35" s="12"/>
      <c r="G35" s="12"/>
      <c r="H35" s="12"/>
      <c r="I35" s="12"/>
      <c r="J35" s="12"/>
      <c r="K35" s="12"/>
      <c r="L35" s="12"/>
      <c r="M35" s="12"/>
      <c r="N35" s="12"/>
      <c r="O35" s="1">
        <f t="shared" ref="O35:W35" si="288">O34-O38-O37-O36</f>
        <v>-8.8625000000000007</v>
      </c>
      <c r="P35" s="1">
        <f t="shared" si="288"/>
        <v>-8.2624999999999993</v>
      </c>
      <c r="Q35" s="1">
        <f t="shared" si="288"/>
        <v>-9.8625000000000007</v>
      </c>
      <c r="R35" s="1">
        <f t="shared" si="288"/>
        <v>-8.7624999999999993</v>
      </c>
      <c r="S35" s="1">
        <f t="shared" si="288"/>
        <v>-8.8625000000000007</v>
      </c>
      <c r="T35" s="1">
        <f t="shared" si="288"/>
        <v>-7.6625000000000014</v>
      </c>
      <c r="U35" s="1">
        <f t="shared" si="288"/>
        <v>-8.5625</v>
      </c>
      <c r="V35" s="1">
        <f t="shared" si="288"/>
        <v>-8.7624999999999993</v>
      </c>
      <c r="W35" s="1">
        <f t="shared" si="288"/>
        <v>-8.3624999999999989</v>
      </c>
      <c r="X35" s="1">
        <f>X34-X38-X37-X36</f>
        <v>-8.3624999999999989</v>
      </c>
      <c r="Y35" s="1">
        <f>Y34-Y38-Y37-Y36</f>
        <v>-6.6624999999999996</v>
      </c>
      <c r="Z35" s="1">
        <f>Z34-Z38-Z37-Z36</f>
        <v>-6.9625000000000004</v>
      </c>
      <c r="AA35" s="1"/>
      <c r="AB35" s="1"/>
      <c r="AC35" s="1"/>
      <c r="AD35" s="1"/>
      <c r="AE35" s="1"/>
      <c r="AF35" s="1"/>
      <c r="AG35" s="1"/>
      <c r="AH35" s="1"/>
      <c r="AI35" s="1"/>
      <c r="AJ35" s="1"/>
      <c r="AK35" s="1"/>
      <c r="AL35" s="1"/>
      <c r="AM35" s="1">
        <f t="shared" ref="AM35:AX35" ca="1" si="289">-AM338-AM36-AM37-AM38</f>
        <v>-23.298820115461435</v>
      </c>
      <c r="AN35" s="1">
        <f t="shared" ca="1" si="289"/>
        <v>-27.133147594348404</v>
      </c>
      <c r="AO35" s="1">
        <f t="shared" ca="1" si="289"/>
        <v>-30.304433788983971</v>
      </c>
      <c r="AP35" s="1">
        <f t="shared" ca="1" si="289"/>
        <v>-30.878653311316857</v>
      </c>
      <c r="AQ35" s="1">
        <f t="shared" ca="1" si="289"/>
        <v>-31.415124655691606</v>
      </c>
      <c r="AR35" s="1">
        <f t="shared" ca="1" si="289"/>
        <v>-32.47997549585191</v>
      </c>
      <c r="AS35" s="1">
        <f t="shared" ca="1" si="289"/>
        <v>-33.355950468380591</v>
      </c>
      <c r="AT35" s="1">
        <f t="shared" ca="1" si="289"/>
        <v>-33.561686702684575</v>
      </c>
      <c r="AU35" s="1">
        <f t="shared" ca="1" si="289"/>
        <v>-33.584279136231963</v>
      </c>
      <c r="AV35" s="1">
        <f t="shared" ca="1" si="289"/>
        <v>-34.94912213665831</v>
      </c>
      <c r="AW35" s="1">
        <f t="shared" ca="1" si="289"/>
        <v>-36.338553956041956</v>
      </c>
      <c r="AX35" s="1">
        <f t="shared" ca="1" si="289"/>
        <v>-36.890737135657481</v>
      </c>
      <c r="AY35" s="1">
        <f t="shared" ref="AY35:BJ35" ca="1" si="290">-AY338-AY36-AY37-AY38</f>
        <v>-38.124070464617482</v>
      </c>
      <c r="AZ35" s="1">
        <f t="shared" ca="1" si="290"/>
        <v>-40.613667279128599</v>
      </c>
      <c r="BA35" s="1">
        <f t="shared" ca="1" si="290"/>
        <v>-41.953330221882901</v>
      </c>
      <c r="BB35" s="1">
        <f t="shared" ca="1" si="290"/>
        <v>-42.122018933791203</v>
      </c>
      <c r="BC35" s="1">
        <f t="shared" ca="1" si="290"/>
        <v>-42.275486760973045</v>
      </c>
      <c r="BD35" s="1">
        <f t="shared" ca="1" si="290"/>
        <v>-43.738417452455273</v>
      </c>
      <c r="BE35" s="1">
        <f t="shared" ca="1" si="290"/>
        <v>-45.773599110206213</v>
      </c>
      <c r="BF35" s="1">
        <f t="shared" ca="1" si="290"/>
        <v>-46.83578448576673</v>
      </c>
      <c r="BG35" s="1">
        <f t="shared" ca="1" si="290"/>
        <v>-47.062734055979355</v>
      </c>
      <c r="BH35" s="1">
        <f t="shared" ca="1" si="290"/>
        <v>-48.18855829703076</v>
      </c>
      <c r="BI35" s="1">
        <f t="shared" ca="1" si="290"/>
        <v>-49.844096139611814</v>
      </c>
      <c r="BJ35" s="1">
        <f t="shared" ca="1" si="290"/>
        <v>-51.339484435031146</v>
      </c>
      <c r="BK35" s="1"/>
      <c r="BL35" s="7"/>
      <c r="BM35" s="7"/>
      <c r="BN35" s="348">
        <f t="shared" si="280"/>
        <v>-35.75</v>
      </c>
      <c r="BO35" s="55">
        <f t="shared" si="281"/>
        <v>-33.85</v>
      </c>
      <c r="BP35" s="55">
        <f t="shared" si="282"/>
        <v>-30.349999999999994</v>
      </c>
      <c r="BQ35" s="55">
        <f t="shared" si="283"/>
        <v>0</v>
      </c>
      <c r="BR35" s="55">
        <f t="shared" si="284"/>
        <v>0</v>
      </c>
      <c r="BS35" s="55">
        <f t="shared" ref="BS35:BS42" si="291">SUM(AI35:AL35)</f>
        <v>0</v>
      </c>
      <c r="BT35" s="55">
        <f t="shared" ca="1" si="285"/>
        <v>-111.61505481011066</v>
      </c>
      <c r="BU35" s="55">
        <f t="shared" ca="1" si="286"/>
        <v>-130.81273732260868</v>
      </c>
      <c r="BV35" s="55">
        <f t="shared" ca="1" si="287"/>
        <v>-141.7626923645897</v>
      </c>
      <c r="BW35" s="55">
        <f t="shared" ref="BW35:BW38" ca="1" si="292">SUM(AV35:AY35)</f>
        <v>-146.30248369297524</v>
      </c>
      <c r="BX35" s="55">
        <f t="shared" ref="BX35:BX38" ca="1" si="293">SUM(AW35:AZ35)</f>
        <v>-151.96702883544552</v>
      </c>
      <c r="BY35" s="55">
        <f t="shared" ref="BY35:BY38" ca="1" si="294">SUM(AX35:BA35)</f>
        <v>-157.58180510128648</v>
      </c>
    </row>
    <row r="36" spans="1:85" ht="12" hidden="1" customHeight="1" outlineLevel="1">
      <c r="B36" s="12" t="s">
        <v>161</v>
      </c>
      <c r="C36" s="12"/>
      <c r="D36" s="12"/>
      <c r="E36" s="12"/>
      <c r="F36" s="12"/>
      <c r="G36" s="12"/>
      <c r="H36" s="12"/>
      <c r="I36" s="12"/>
      <c r="J36" s="12"/>
      <c r="K36" s="12"/>
      <c r="L36" s="12"/>
      <c r="M36" s="12"/>
      <c r="N36" s="12"/>
      <c r="O36" s="113">
        <v>0</v>
      </c>
      <c r="P36" s="113">
        <v>0</v>
      </c>
      <c r="Q36" s="113">
        <v>0</v>
      </c>
      <c r="R36" s="113">
        <v>0</v>
      </c>
      <c r="S36" s="113">
        <v>0</v>
      </c>
      <c r="T36" s="113">
        <v>0</v>
      </c>
      <c r="U36" s="113">
        <v>0</v>
      </c>
      <c r="V36" s="113">
        <v>0</v>
      </c>
      <c r="W36" s="113">
        <v>0</v>
      </c>
      <c r="X36" s="113">
        <v>0</v>
      </c>
      <c r="Y36" s="113">
        <v>0</v>
      </c>
      <c r="Z36" s="113">
        <v>0</v>
      </c>
      <c r="AA36" s="113"/>
      <c r="AB36" s="113"/>
      <c r="AC36" s="113"/>
      <c r="AD36" s="113"/>
      <c r="AE36" s="113"/>
      <c r="AF36" s="113"/>
      <c r="AG36" s="113"/>
      <c r="AH36" s="113"/>
      <c r="AI36" s="113"/>
      <c r="AJ36" s="113"/>
      <c r="AK36" s="113"/>
      <c r="AL36" s="113"/>
      <c r="AM36" s="29">
        <f t="shared" ref="AM36:AX36" si="295">+AL36</f>
        <v>0</v>
      </c>
      <c r="AN36" s="29">
        <f t="shared" si="295"/>
        <v>0</v>
      </c>
      <c r="AO36" s="29">
        <f t="shared" si="295"/>
        <v>0</v>
      </c>
      <c r="AP36" s="29">
        <f t="shared" si="295"/>
        <v>0</v>
      </c>
      <c r="AQ36" s="29">
        <f t="shared" si="295"/>
        <v>0</v>
      </c>
      <c r="AR36" s="29">
        <f t="shared" si="295"/>
        <v>0</v>
      </c>
      <c r="AS36" s="29">
        <f t="shared" si="295"/>
        <v>0</v>
      </c>
      <c r="AT36" s="29">
        <f t="shared" si="295"/>
        <v>0</v>
      </c>
      <c r="AU36" s="29">
        <f t="shared" si="295"/>
        <v>0</v>
      </c>
      <c r="AV36" s="29">
        <f t="shared" si="295"/>
        <v>0</v>
      </c>
      <c r="AW36" s="29">
        <f t="shared" si="295"/>
        <v>0</v>
      </c>
      <c r="AX36" s="29">
        <f t="shared" si="295"/>
        <v>0</v>
      </c>
      <c r="AY36" s="29">
        <f t="shared" ref="AY36:AY37" si="296">+AX36</f>
        <v>0</v>
      </c>
      <c r="AZ36" s="29">
        <f t="shared" ref="AZ36:AZ37" si="297">+AY36</f>
        <v>0</v>
      </c>
      <c r="BA36" s="29">
        <f t="shared" ref="BA36:BA37" si="298">+AZ36</f>
        <v>0</v>
      </c>
      <c r="BB36" s="29">
        <f t="shared" ref="BB36:BB37" si="299">+BA36</f>
        <v>0</v>
      </c>
      <c r="BC36" s="29">
        <f t="shared" ref="BC36:BC37" si="300">+BB36</f>
        <v>0</v>
      </c>
      <c r="BD36" s="29">
        <f t="shared" ref="BD36:BD37" si="301">+BC36</f>
        <v>0</v>
      </c>
      <c r="BE36" s="29">
        <f t="shared" ref="BE36:BE37" si="302">+BD36</f>
        <v>0</v>
      </c>
      <c r="BF36" s="29">
        <f t="shared" ref="BF36:BF37" si="303">+BE36</f>
        <v>0</v>
      </c>
      <c r="BG36" s="29">
        <f t="shared" ref="BG36:BG37" si="304">+BF36</f>
        <v>0</v>
      </c>
      <c r="BH36" s="29">
        <f t="shared" ref="BH36:BH37" si="305">+BG36</f>
        <v>0</v>
      </c>
      <c r="BI36" s="29">
        <f t="shared" ref="BI36:BI37" si="306">+BH36</f>
        <v>0</v>
      </c>
      <c r="BJ36" s="29">
        <f t="shared" ref="BJ36:BJ37" si="307">+BI36</f>
        <v>0</v>
      </c>
      <c r="BK36" s="1"/>
      <c r="BL36" s="7"/>
      <c r="BM36" s="7"/>
      <c r="BN36" s="348">
        <f t="shared" si="280"/>
        <v>0</v>
      </c>
      <c r="BO36" s="55">
        <f t="shared" si="281"/>
        <v>0</v>
      </c>
      <c r="BP36" s="55">
        <f t="shared" si="282"/>
        <v>0</v>
      </c>
      <c r="BQ36" s="55">
        <f t="shared" si="283"/>
        <v>0</v>
      </c>
      <c r="BR36" s="55">
        <f t="shared" si="284"/>
        <v>0</v>
      </c>
      <c r="BS36" s="55">
        <f t="shared" si="291"/>
        <v>0</v>
      </c>
      <c r="BT36" s="55">
        <f t="shared" si="285"/>
        <v>0</v>
      </c>
      <c r="BU36" s="55">
        <f t="shared" si="286"/>
        <v>0</v>
      </c>
      <c r="BV36" s="55">
        <f t="shared" si="287"/>
        <v>0</v>
      </c>
      <c r="BW36" s="55">
        <f t="shared" si="292"/>
        <v>0</v>
      </c>
      <c r="BX36" s="55">
        <f t="shared" si="293"/>
        <v>0</v>
      </c>
      <c r="BY36" s="55">
        <f t="shared" si="294"/>
        <v>0</v>
      </c>
    </row>
    <row r="37" spans="1:85" ht="12" hidden="1" customHeight="1" outlineLevel="1">
      <c r="B37" s="12" t="s">
        <v>157</v>
      </c>
      <c r="C37" s="12"/>
      <c r="D37" s="12"/>
      <c r="E37" s="12"/>
      <c r="F37" s="12"/>
      <c r="G37" s="12"/>
      <c r="H37" s="12"/>
      <c r="I37" s="12"/>
      <c r="J37" s="12"/>
      <c r="K37" s="12"/>
      <c r="L37" s="12"/>
      <c r="M37" s="12"/>
      <c r="N37" s="12"/>
      <c r="O37" s="113">
        <f t="shared" ref="O37:Z37" si="308">-5.75/4</f>
        <v>-1.4375</v>
      </c>
      <c r="P37" s="113">
        <f t="shared" si="308"/>
        <v>-1.4375</v>
      </c>
      <c r="Q37" s="113">
        <f t="shared" si="308"/>
        <v>-1.4375</v>
      </c>
      <c r="R37" s="113">
        <f t="shared" si="308"/>
        <v>-1.4375</v>
      </c>
      <c r="S37" s="113">
        <f t="shared" si="308"/>
        <v>-1.4375</v>
      </c>
      <c r="T37" s="113">
        <f t="shared" si="308"/>
        <v>-1.4375</v>
      </c>
      <c r="U37" s="113">
        <f t="shared" si="308"/>
        <v>-1.4375</v>
      </c>
      <c r="V37" s="113">
        <f t="shared" si="308"/>
        <v>-1.4375</v>
      </c>
      <c r="W37" s="113">
        <f t="shared" si="308"/>
        <v>-1.4375</v>
      </c>
      <c r="X37" s="113">
        <f t="shared" si="308"/>
        <v>-1.4375</v>
      </c>
      <c r="Y37" s="113">
        <f t="shared" si="308"/>
        <v>-1.4375</v>
      </c>
      <c r="Z37" s="113">
        <f t="shared" si="308"/>
        <v>-1.4375</v>
      </c>
      <c r="AA37" s="113"/>
      <c r="AB37" s="113"/>
      <c r="AC37" s="113"/>
      <c r="AD37" s="113"/>
      <c r="AE37" s="113"/>
      <c r="AF37" s="113"/>
      <c r="AG37" s="113"/>
      <c r="AH37" s="113"/>
      <c r="AI37" s="113"/>
      <c r="AJ37" s="113"/>
      <c r="AK37" s="113"/>
      <c r="AL37" s="113"/>
      <c r="AM37" s="29">
        <f t="shared" ref="AM37:AX37" si="309">+AL37</f>
        <v>0</v>
      </c>
      <c r="AN37" s="29">
        <f t="shared" si="309"/>
        <v>0</v>
      </c>
      <c r="AO37" s="29">
        <f t="shared" si="309"/>
        <v>0</v>
      </c>
      <c r="AP37" s="29">
        <f t="shared" si="309"/>
        <v>0</v>
      </c>
      <c r="AQ37" s="29">
        <f t="shared" si="309"/>
        <v>0</v>
      </c>
      <c r="AR37" s="29">
        <f t="shared" si="309"/>
        <v>0</v>
      </c>
      <c r="AS37" s="29">
        <f t="shared" si="309"/>
        <v>0</v>
      </c>
      <c r="AT37" s="29">
        <f t="shared" si="309"/>
        <v>0</v>
      </c>
      <c r="AU37" s="29">
        <f t="shared" si="309"/>
        <v>0</v>
      </c>
      <c r="AV37" s="29">
        <f t="shared" si="309"/>
        <v>0</v>
      </c>
      <c r="AW37" s="29">
        <f t="shared" si="309"/>
        <v>0</v>
      </c>
      <c r="AX37" s="29">
        <f t="shared" si="309"/>
        <v>0</v>
      </c>
      <c r="AY37" s="29">
        <f t="shared" si="296"/>
        <v>0</v>
      </c>
      <c r="AZ37" s="29">
        <f t="shared" si="297"/>
        <v>0</v>
      </c>
      <c r="BA37" s="29">
        <f t="shared" si="298"/>
        <v>0</v>
      </c>
      <c r="BB37" s="29">
        <f t="shared" si="299"/>
        <v>0</v>
      </c>
      <c r="BC37" s="29">
        <f t="shared" si="300"/>
        <v>0</v>
      </c>
      <c r="BD37" s="29">
        <f t="shared" si="301"/>
        <v>0</v>
      </c>
      <c r="BE37" s="29">
        <f t="shared" si="302"/>
        <v>0</v>
      </c>
      <c r="BF37" s="29">
        <f t="shared" si="303"/>
        <v>0</v>
      </c>
      <c r="BG37" s="29">
        <f t="shared" si="304"/>
        <v>0</v>
      </c>
      <c r="BH37" s="29">
        <f t="shared" si="305"/>
        <v>0</v>
      </c>
      <c r="BI37" s="29">
        <f t="shared" si="306"/>
        <v>0</v>
      </c>
      <c r="BJ37" s="29">
        <f t="shared" si="307"/>
        <v>0</v>
      </c>
      <c r="BK37" s="1"/>
      <c r="BL37" s="7"/>
      <c r="BM37" s="7"/>
      <c r="BN37" s="348">
        <f t="shared" si="280"/>
        <v>-5.75</v>
      </c>
      <c r="BO37" s="55">
        <f t="shared" si="281"/>
        <v>-5.75</v>
      </c>
      <c r="BP37" s="55">
        <f t="shared" si="282"/>
        <v>-5.75</v>
      </c>
      <c r="BQ37" s="55">
        <f t="shared" si="283"/>
        <v>0</v>
      </c>
      <c r="BR37" s="55">
        <f t="shared" si="284"/>
        <v>0</v>
      </c>
      <c r="BS37" s="55">
        <f t="shared" si="291"/>
        <v>0</v>
      </c>
      <c r="BT37" s="55">
        <f t="shared" si="285"/>
        <v>0</v>
      </c>
      <c r="BU37" s="55">
        <f t="shared" si="286"/>
        <v>0</v>
      </c>
      <c r="BV37" s="55">
        <f t="shared" si="287"/>
        <v>0</v>
      </c>
      <c r="BW37" s="55">
        <f t="shared" si="292"/>
        <v>0</v>
      </c>
      <c r="BX37" s="55">
        <f t="shared" si="293"/>
        <v>0</v>
      </c>
      <c r="BY37" s="55">
        <f t="shared" si="294"/>
        <v>0</v>
      </c>
    </row>
    <row r="38" spans="1:85" ht="12" hidden="1" customHeight="1" outlineLevel="1">
      <c r="B38" s="12" t="s">
        <v>33</v>
      </c>
      <c r="C38" s="12"/>
      <c r="D38" s="12"/>
      <c r="E38" s="12"/>
      <c r="F38" s="12"/>
      <c r="G38" s="12"/>
      <c r="H38" s="12"/>
      <c r="I38" s="12"/>
      <c r="J38" s="12"/>
      <c r="K38" s="12"/>
      <c r="L38" s="12"/>
      <c r="M38" s="12"/>
      <c r="N38" s="12"/>
      <c r="O38" s="1">
        <f>-O57</f>
        <v>0</v>
      </c>
      <c r="P38" s="1">
        <f>-P57</f>
        <v>0</v>
      </c>
      <c r="Q38" s="1">
        <f t="shared" ref="Q38:V38" si="310">-Q57</f>
        <v>0</v>
      </c>
      <c r="R38" s="1">
        <f t="shared" si="310"/>
        <v>-0.3</v>
      </c>
      <c r="S38" s="1">
        <f t="shared" si="310"/>
        <v>-0.6</v>
      </c>
      <c r="T38" s="1">
        <f t="shared" si="310"/>
        <v>-1.7</v>
      </c>
      <c r="U38" s="1">
        <f t="shared" si="310"/>
        <v>-0.5</v>
      </c>
      <c r="V38" s="1">
        <f t="shared" si="310"/>
        <v>-1.3</v>
      </c>
      <c r="W38" s="1">
        <f>-W57</f>
        <v>-0.9</v>
      </c>
      <c r="X38" s="1">
        <f>-X57</f>
        <v>-0.9</v>
      </c>
      <c r="Y38" s="1">
        <f>-Y57</f>
        <v>-0.9</v>
      </c>
      <c r="Z38" s="1">
        <f>-Z57</f>
        <v>-0.7</v>
      </c>
      <c r="AA38" s="1"/>
      <c r="AB38" s="1"/>
      <c r="AC38" s="1"/>
      <c r="AD38" s="1"/>
      <c r="AE38" s="1"/>
      <c r="AF38" s="1"/>
      <c r="AG38" s="1"/>
      <c r="AH38" s="1"/>
      <c r="AI38" s="1"/>
      <c r="AJ38" s="1"/>
      <c r="AK38" s="1"/>
      <c r="AL38" s="1"/>
      <c r="AM38" s="1">
        <f t="shared" ref="AM38:AX38" si="311">-AM57</f>
        <v>-0.9</v>
      </c>
      <c r="AN38" s="1">
        <f t="shared" si="311"/>
        <v>-0.9</v>
      </c>
      <c r="AO38" s="1">
        <f t="shared" si="311"/>
        <v>-0.9</v>
      </c>
      <c r="AP38" s="1">
        <f t="shared" si="311"/>
        <v>-0.9</v>
      </c>
      <c r="AQ38" s="1">
        <f t="shared" si="311"/>
        <v>-0.9</v>
      </c>
      <c r="AR38" s="1">
        <f t="shared" si="311"/>
        <v>-0.9</v>
      </c>
      <c r="AS38" s="1">
        <f t="shared" si="311"/>
        <v>-0.9</v>
      </c>
      <c r="AT38" s="1">
        <f t="shared" si="311"/>
        <v>-0.9</v>
      </c>
      <c r="AU38" s="1">
        <f t="shared" si="311"/>
        <v>-0.9</v>
      </c>
      <c r="AV38" s="1">
        <f t="shared" si="311"/>
        <v>-0.9</v>
      </c>
      <c r="AW38" s="1">
        <f t="shared" si="311"/>
        <v>-0.9</v>
      </c>
      <c r="AX38" s="1">
        <f t="shared" si="311"/>
        <v>-0.9</v>
      </c>
      <c r="AY38" s="1">
        <f t="shared" ref="AY38:BJ38" si="312">-AY57</f>
        <v>-0.9</v>
      </c>
      <c r="AZ38" s="1">
        <f t="shared" si="312"/>
        <v>-0.9</v>
      </c>
      <c r="BA38" s="1">
        <f t="shared" si="312"/>
        <v>-0.9</v>
      </c>
      <c r="BB38" s="1">
        <f t="shared" si="312"/>
        <v>-0.9</v>
      </c>
      <c r="BC38" s="1">
        <f t="shared" si="312"/>
        <v>-0.9</v>
      </c>
      <c r="BD38" s="1">
        <f t="shared" si="312"/>
        <v>-0.9</v>
      </c>
      <c r="BE38" s="1">
        <f t="shared" si="312"/>
        <v>-0.9</v>
      </c>
      <c r="BF38" s="1">
        <f t="shared" si="312"/>
        <v>-0.9</v>
      </c>
      <c r="BG38" s="1">
        <f t="shared" si="312"/>
        <v>-0.9</v>
      </c>
      <c r="BH38" s="1">
        <f t="shared" si="312"/>
        <v>-0.9</v>
      </c>
      <c r="BI38" s="1">
        <f t="shared" si="312"/>
        <v>-0.9</v>
      </c>
      <c r="BJ38" s="1">
        <f t="shared" si="312"/>
        <v>-0.9</v>
      </c>
      <c r="BK38" s="1"/>
      <c r="BL38" s="7"/>
      <c r="BM38" s="7"/>
      <c r="BN38" s="348">
        <f t="shared" si="280"/>
        <v>-0.3</v>
      </c>
      <c r="BO38" s="55">
        <f t="shared" si="281"/>
        <v>-4.0999999999999996</v>
      </c>
      <c r="BP38" s="55">
        <f t="shared" si="282"/>
        <v>-3.4000000000000004</v>
      </c>
      <c r="BQ38" s="55">
        <f t="shared" si="283"/>
        <v>0</v>
      </c>
      <c r="BR38" s="55">
        <f t="shared" si="284"/>
        <v>0</v>
      </c>
      <c r="BS38" s="55">
        <f t="shared" si="291"/>
        <v>0</v>
      </c>
      <c r="BT38" s="55">
        <f t="shared" si="285"/>
        <v>-3.6</v>
      </c>
      <c r="BU38" s="55">
        <f t="shared" si="286"/>
        <v>-3.6</v>
      </c>
      <c r="BV38" s="55">
        <f t="shared" si="287"/>
        <v>-3.6</v>
      </c>
      <c r="BW38" s="55">
        <f t="shared" si="292"/>
        <v>-3.6</v>
      </c>
      <c r="BX38" s="55">
        <f t="shared" si="293"/>
        <v>-3.6</v>
      </c>
      <c r="BY38" s="55">
        <f t="shared" si="294"/>
        <v>-3.6</v>
      </c>
    </row>
    <row r="39" spans="1:85" ht="12" customHeight="1" collapsed="1">
      <c r="B39" s="2" t="s">
        <v>4</v>
      </c>
      <c r="C39" s="2"/>
      <c r="D39" s="2"/>
      <c r="E39" s="2"/>
      <c r="F39" s="2"/>
      <c r="G39" s="2"/>
      <c r="H39" s="2"/>
      <c r="I39" s="2"/>
      <c r="J39" s="2"/>
      <c r="K39" s="2"/>
      <c r="L39" s="2"/>
      <c r="M39" s="2"/>
      <c r="N39" s="2"/>
      <c r="O39" s="7">
        <v>-16.399999999999999</v>
      </c>
      <c r="P39" s="7">
        <v>-17.797842000000003</v>
      </c>
      <c r="Q39" s="7">
        <v>-18.8</v>
      </c>
      <c r="R39" s="7">
        <v>-20.399999999999999</v>
      </c>
      <c r="S39" s="7">
        <v>-21.7</v>
      </c>
      <c r="T39" s="7">
        <v>-23</v>
      </c>
      <c r="U39" s="7">
        <v>-23.9</v>
      </c>
      <c r="V39" s="7">
        <v>-26.6</v>
      </c>
      <c r="W39" s="7">
        <v>-27.6</v>
      </c>
      <c r="X39" s="7">
        <v>-29.8</v>
      </c>
      <c r="Y39" s="7">
        <v>-30</v>
      </c>
      <c r="Z39" s="7">
        <v>-30.6</v>
      </c>
      <c r="AA39" s="7">
        <v>-31.1</v>
      </c>
      <c r="AB39" s="7">
        <v>-31.4</v>
      </c>
      <c r="AC39" s="7">
        <v>-39.1</v>
      </c>
      <c r="AD39" s="7">
        <v>-39.9</v>
      </c>
      <c r="AE39" s="7">
        <v>-39.299999999999997</v>
      </c>
      <c r="AF39" s="452">
        <v>-44.7</v>
      </c>
      <c r="AG39" s="452">
        <v>-50.6</v>
      </c>
      <c r="AH39" s="452">
        <v>-49.3</v>
      </c>
      <c r="AI39" s="452">
        <v>-55.7</v>
      </c>
      <c r="AJ39" s="452">
        <v>-63.7</v>
      </c>
      <c r="AK39" s="452">
        <v>-68.7</v>
      </c>
      <c r="AL39" s="452">
        <v>-70.8</v>
      </c>
      <c r="AM39" s="1">
        <f>AL39/AL344*AM344</f>
        <v>-74.134247261036407</v>
      </c>
      <c r="AN39" s="1">
        <f t="shared" ref="AN39:AX39" ca="1" si="313">AM39/AM344*AN344</f>
        <v>-86.904576633118296</v>
      </c>
      <c r="AO39" s="1">
        <f t="shared" ca="1" si="313"/>
        <v>-90.575472344116065</v>
      </c>
      <c r="AP39" s="1">
        <f t="shared" ca="1" si="313"/>
        <v>-97.659092762230301</v>
      </c>
      <c r="AQ39" s="1">
        <f t="shared" ca="1" si="313"/>
        <v>-101.35733227645413</v>
      </c>
      <c r="AR39" s="1">
        <f t="shared" ca="1" si="313"/>
        <v>-107.51048195711429</v>
      </c>
      <c r="AS39" s="1">
        <f t="shared" ca="1" si="313"/>
        <v>-110.79788802497606</v>
      </c>
      <c r="AT39" s="1">
        <f t="shared" ca="1" si="313"/>
        <v>-116.74855516536601</v>
      </c>
      <c r="AU39" s="1">
        <f t="shared" ca="1" si="313"/>
        <v>-119.831145735611</v>
      </c>
      <c r="AV39" s="1">
        <f t="shared" ca="1" si="313"/>
        <v>-125.57473286991795</v>
      </c>
      <c r="AW39" s="1">
        <f t="shared" ca="1" si="313"/>
        <v>-128.4481940828525</v>
      </c>
      <c r="AX39" s="1">
        <f t="shared" ca="1" si="313"/>
        <v>-133.98060285179028</v>
      </c>
      <c r="AY39" s="1">
        <f t="shared" ref="AY39" ca="1" si="314">AX39/AX344*AY344</f>
        <v>-139.40588597737184</v>
      </c>
      <c r="AZ39" s="1">
        <f t="shared" ref="AZ39" ca="1" si="315">AY39/AY344*AZ344</f>
        <v>-144.7230193734913</v>
      </c>
      <c r="BA39" s="1">
        <f t="shared" ref="BA39" ca="1" si="316">AZ39/AZ344*BA344</f>
        <v>-149.93097911664501</v>
      </c>
      <c r="BB39" s="1">
        <f t="shared" ref="BB39" ca="1" si="317">BA39/BA344*BB344</f>
        <v>-155.02874144345506</v>
      </c>
      <c r="BC39" s="1">
        <f t="shared" ref="BC39" ca="1" si="318">BB39/BB344*BC344</f>
        <v>-160.01571843672394</v>
      </c>
      <c r="BD39" s="1">
        <f t="shared" ref="BD39" ca="1" si="319">BC39/BC344*BD344</f>
        <v>-164.8908814832154</v>
      </c>
      <c r="BE39" s="1">
        <f t="shared" ref="BE39" ca="1" si="320">BD39/BD344*BE344</f>
        <v>-169.65320220720071</v>
      </c>
      <c r="BF39" s="1">
        <f t="shared" ref="BF39" ca="1" si="321">BE39/BE344*BF344</f>
        <v>-174.30165246685138</v>
      </c>
      <c r="BG39" s="1">
        <f t="shared" ref="BG39" ca="1" si="322">BF39/BF344*BG344</f>
        <v>-178.83520435068681</v>
      </c>
      <c r="BH39" s="1">
        <f t="shared" ref="BH39" ca="1" si="323">BG39/BG344*BH344</f>
        <v>-183.25283017407727</v>
      </c>
      <c r="BI39" s="1">
        <f t="shared" ref="BI39" ca="1" si="324">BH39/BH344*BI344</f>
        <v>-187.55350247580026</v>
      </c>
      <c r="BJ39" s="1">
        <f t="shared" ref="BJ39" ca="1" si="325">BI39/BI344*BJ344</f>
        <v>-191.73619401464995</v>
      </c>
      <c r="BK39" s="1"/>
      <c r="BL39" s="7">
        <v>-36.200000000000003</v>
      </c>
      <c r="BM39" s="7">
        <v>-55.5</v>
      </c>
      <c r="BN39" s="348">
        <f t="shared" si="280"/>
        <v>-73.397841999999997</v>
      </c>
      <c r="BO39" s="55">
        <f t="shared" si="281"/>
        <v>-95.199999999999989</v>
      </c>
      <c r="BP39" s="55">
        <f t="shared" si="282"/>
        <v>-118</v>
      </c>
      <c r="BQ39" s="55">
        <f t="shared" si="283"/>
        <v>-141.5</v>
      </c>
      <c r="BR39" s="55">
        <f t="shared" si="284"/>
        <v>-183.89999999999998</v>
      </c>
      <c r="BS39" s="55">
        <f t="shared" si="291"/>
        <v>-258.90000000000003</v>
      </c>
      <c r="BT39" s="55">
        <f t="shared" ca="1" si="285"/>
        <v>-349.27338900050108</v>
      </c>
      <c r="BU39" s="55">
        <f t="shared" ca="1" si="286"/>
        <v>-436.4142574239105</v>
      </c>
      <c r="BV39" s="55">
        <f t="shared" ca="1" si="287"/>
        <v>-507.8346755401717</v>
      </c>
      <c r="BW39" s="55">
        <f ca="1">SUM(AY39:BB39)</f>
        <v>-589.08862591096317</v>
      </c>
      <c r="BX39" s="55">
        <f ca="1">SUM(BC39:BF39)</f>
        <v>-668.86145459399143</v>
      </c>
      <c r="BY39" s="55">
        <f ca="1">SUM(BG39:BJ39)</f>
        <v>-741.37773101521429</v>
      </c>
    </row>
    <row r="40" spans="1:85" ht="12" customHeight="1">
      <c r="B40" s="2" t="s">
        <v>5</v>
      </c>
      <c r="C40" s="2"/>
      <c r="D40" s="2"/>
      <c r="E40" s="2"/>
      <c r="F40" s="2"/>
      <c r="G40" s="2"/>
      <c r="H40" s="2"/>
      <c r="I40" s="2"/>
      <c r="J40" s="2"/>
      <c r="K40" s="2"/>
      <c r="L40" s="2"/>
      <c r="M40" s="2"/>
      <c r="N40" s="2"/>
      <c r="O40" s="7">
        <v>0</v>
      </c>
      <c r="P40" s="125">
        <v>-13.3</v>
      </c>
      <c r="Q40" s="7">
        <v>0</v>
      </c>
      <c r="R40" s="7">
        <v>0</v>
      </c>
      <c r="S40" s="7">
        <v>0</v>
      </c>
      <c r="T40" s="7">
        <v>0</v>
      </c>
      <c r="U40" s="7">
        <v>0</v>
      </c>
      <c r="V40" s="7">
        <v>0</v>
      </c>
      <c r="W40" s="7">
        <v>0</v>
      </c>
      <c r="X40" s="7">
        <v>0</v>
      </c>
      <c r="Y40" s="7">
        <v>0</v>
      </c>
      <c r="Z40" s="7">
        <v>0</v>
      </c>
      <c r="AA40" s="474">
        <v>-0.7</v>
      </c>
      <c r="AB40" s="474"/>
      <c r="AC40" s="474"/>
      <c r="AD40" s="474"/>
      <c r="AE40" s="474"/>
      <c r="AF40" s="474"/>
      <c r="AG40" s="474"/>
      <c r="AH40" s="474"/>
      <c r="AI40" s="474"/>
      <c r="AJ40" s="474"/>
      <c r="AK40" s="474"/>
      <c r="AL40" s="474"/>
      <c r="AM40" s="144">
        <v>0</v>
      </c>
      <c r="AN40" s="144">
        <v>0</v>
      </c>
      <c r="AO40" s="144">
        <v>0</v>
      </c>
      <c r="AP40" s="144">
        <v>0</v>
      </c>
      <c r="AQ40" s="144">
        <v>0</v>
      </c>
      <c r="AR40" s="144">
        <v>0</v>
      </c>
      <c r="AS40" s="144">
        <v>0</v>
      </c>
      <c r="AT40" s="144">
        <v>0</v>
      </c>
      <c r="AU40" s="144">
        <v>0</v>
      </c>
      <c r="AV40" s="144">
        <v>0</v>
      </c>
      <c r="AW40" s="144">
        <v>0</v>
      </c>
      <c r="AX40" s="144">
        <v>0</v>
      </c>
      <c r="AY40" s="144">
        <v>0</v>
      </c>
      <c r="AZ40" s="144">
        <v>0</v>
      </c>
      <c r="BA40" s="144">
        <v>0</v>
      </c>
      <c r="BB40" s="144">
        <v>0</v>
      </c>
      <c r="BC40" s="144">
        <v>0</v>
      </c>
      <c r="BD40" s="144">
        <v>0</v>
      </c>
      <c r="BE40" s="144">
        <v>0</v>
      </c>
      <c r="BF40" s="144">
        <v>0</v>
      </c>
      <c r="BG40" s="144">
        <v>0</v>
      </c>
      <c r="BH40" s="144">
        <v>0</v>
      </c>
      <c r="BI40" s="144">
        <v>0</v>
      </c>
      <c r="BJ40" s="144">
        <v>0</v>
      </c>
      <c r="BK40" s="1"/>
      <c r="BL40" s="7">
        <f>-9-1.8-1.4-0.1</f>
        <v>-12.3</v>
      </c>
      <c r="BM40" s="7">
        <f>-(2.6+3.5+1.4)</f>
        <v>-7.5</v>
      </c>
      <c r="BN40" s="348">
        <f t="shared" si="280"/>
        <v>-13.3</v>
      </c>
      <c r="BO40" s="55">
        <f t="shared" si="281"/>
        <v>0</v>
      </c>
      <c r="BP40" s="55">
        <f t="shared" si="282"/>
        <v>0</v>
      </c>
      <c r="BQ40" s="55">
        <f t="shared" si="283"/>
        <v>-0.7</v>
      </c>
      <c r="BR40" s="55">
        <f t="shared" si="284"/>
        <v>0</v>
      </c>
      <c r="BS40" s="55">
        <f t="shared" si="291"/>
        <v>0</v>
      </c>
      <c r="BT40" s="55">
        <f t="shared" si="285"/>
        <v>0</v>
      </c>
      <c r="BU40" s="55">
        <f t="shared" si="286"/>
        <v>0</v>
      </c>
      <c r="BV40" s="55">
        <f t="shared" si="287"/>
        <v>0</v>
      </c>
      <c r="BW40" s="55">
        <f>SUM(AY40:BB40)</f>
        <v>0</v>
      </c>
      <c r="BX40" s="55">
        <f>SUM(BC40:BF40)</f>
        <v>0</v>
      </c>
      <c r="BY40" s="55">
        <f>SUM(BG40:BJ40)</f>
        <v>0</v>
      </c>
    </row>
    <row r="41" spans="1:85" ht="12" customHeight="1">
      <c r="B41" s="2" t="s">
        <v>11</v>
      </c>
      <c r="C41" s="2"/>
      <c r="D41" s="2"/>
      <c r="E41" s="2"/>
      <c r="F41" s="2"/>
      <c r="G41" s="2"/>
      <c r="H41" s="2"/>
      <c r="I41" s="2"/>
      <c r="J41" s="2"/>
      <c r="K41" s="2"/>
      <c r="L41" s="2"/>
      <c r="M41" s="2"/>
      <c r="N41" s="2"/>
      <c r="O41" s="7">
        <v>-0.6</v>
      </c>
      <c r="P41" s="7">
        <v>4.5999999999999996</v>
      </c>
      <c r="Q41" s="7">
        <v>0.7</v>
      </c>
      <c r="R41" s="7">
        <v>0.4</v>
      </c>
      <c r="S41" s="7">
        <v>-0.6</v>
      </c>
      <c r="T41" s="7">
        <v>-0.3</v>
      </c>
      <c r="U41" s="7">
        <v>-0.3</v>
      </c>
      <c r="V41" s="7">
        <v>-1.1000000000000001</v>
      </c>
      <c r="W41" s="7">
        <v>-0.4</v>
      </c>
      <c r="X41" s="7">
        <v>-0.3</v>
      </c>
      <c r="Y41" s="7">
        <v>-0.4</v>
      </c>
      <c r="Z41" s="7">
        <v>-0.3</v>
      </c>
      <c r="AA41" s="7">
        <v>-0.4</v>
      </c>
      <c r="AB41" s="7">
        <v>-0.4</v>
      </c>
      <c r="AC41" s="7">
        <v>-0.7</v>
      </c>
      <c r="AD41" s="7">
        <v>-0.3</v>
      </c>
      <c r="AE41" s="7">
        <v>-0.2</v>
      </c>
      <c r="AF41" s="452">
        <v>-0.5</v>
      </c>
      <c r="AG41" s="452">
        <v>-0.6</v>
      </c>
      <c r="AH41" s="452">
        <v>-0.5</v>
      </c>
      <c r="AI41" s="452">
        <v>-0.4</v>
      </c>
      <c r="AJ41" s="452">
        <v>-0.7</v>
      </c>
      <c r="AK41" s="452">
        <v>-0.9</v>
      </c>
      <c r="AL41" s="452">
        <v>-1</v>
      </c>
      <c r="AM41" s="29">
        <f t="shared" ref="AM41:AX41" ca="1" si="326">+AL41/AL32*AM32</f>
        <v>-1.0209765646831332</v>
      </c>
      <c r="AN41" s="29">
        <f t="shared" ca="1" si="326"/>
        <v>-1.083921554396799</v>
      </c>
      <c r="AO41" s="29">
        <f t="shared" ca="1" si="326"/>
        <v>-1.1309898006536587</v>
      </c>
      <c r="AP41" s="29">
        <f t="shared" ca="1" si="326"/>
        <v>-1.2262926473715186</v>
      </c>
      <c r="AQ41" s="29">
        <f t="shared" ca="1" si="326"/>
        <v>-1.2592744702972083</v>
      </c>
      <c r="AR41" s="29">
        <f t="shared" ca="1" si="326"/>
        <v>-1.2704711036006135</v>
      </c>
      <c r="AS41" s="29">
        <f t="shared" ca="1" si="326"/>
        <v>-1.3082667142966902</v>
      </c>
      <c r="AT41" s="29">
        <f t="shared" ca="1" si="326"/>
        <v>-1.4036091010583529</v>
      </c>
      <c r="AU41" s="29">
        <f t="shared" ca="1" si="326"/>
        <v>-1.4327901141731114</v>
      </c>
      <c r="AV41" s="29">
        <f t="shared" ca="1" si="326"/>
        <v>-1.4386740907379612</v>
      </c>
      <c r="AW41" s="29">
        <f t="shared" ca="1" si="326"/>
        <v>-1.4748659286820671</v>
      </c>
      <c r="AX41" s="29">
        <f t="shared" ca="1" si="326"/>
        <v>-1.575617122294513</v>
      </c>
      <c r="AY41" s="29">
        <f t="shared" ref="AY41" ca="1" si="327">+AX41/AX32*AY32</f>
        <v>-1.6143326639125701</v>
      </c>
      <c r="AZ41" s="29">
        <f t="shared" ref="AZ41" ca="1" si="328">+AY41/AY32*AZ32</f>
        <v>-1.6267302728438451</v>
      </c>
      <c r="BA41" s="29">
        <f t="shared" ref="BA41" ca="1" si="329">+AZ41/AZ32*BA32</f>
        <v>-1.6731029634663697</v>
      </c>
      <c r="BB41" s="29">
        <f t="shared" ref="BB41" ca="1" si="330">+BA41/BA32*BB32</f>
        <v>-1.7927749893178555</v>
      </c>
      <c r="BC41" s="29">
        <f t="shared" ref="BC41" ca="1" si="331">+BB41/BB32*BC32</f>
        <v>-1.8276512233446776</v>
      </c>
      <c r="BD41" s="29">
        <f t="shared" ref="BD41" ca="1" si="332">+BC41/BC32*BD32</f>
        <v>-1.8331613807451346</v>
      </c>
      <c r="BE41" s="29">
        <f t="shared" ref="BE41" ca="1" si="333">+BD41/BD32*BE32</f>
        <v>-1.8772594166385386</v>
      </c>
      <c r="BF41" s="29">
        <f t="shared" ref="BF41" ca="1" si="334">+BE41/BE32*BF32</f>
        <v>-2.0033866109177403</v>
      </c>
      <c r="BG41" s="29">
        <f t="shared" ref="BG41" ca="1" si="335">+BF41/BF32*BG32</f>
        <v>-2.0346106739309131</v>
      </c>
      <c r="BH41" s="29">
        <f t="shared" ref="BH41" ca="1" si="336">+BG41/BG32*BH32</f>
        <v>-2.0334804340925281</v>
      </c>
      <c r="BI41" s="29">
        <f t="shared" ref="BI41" ca="1" si="337">+BH41/BH32*BI32</f>
        <v>-2.0754213769800316</v>
      </c>
      <c r="BJ41" s="29">
        <f t="shared" ref="BJ41" ca="1" si="338">+BI41/BI32*BJ32</f>
        <v>-2.2078712489605947</v>
      </c>
      <c r="BK41" s="1"/>
      <c r="BL41" s="7">
        <v>-2.7</v>
      </c>
      <c r="BM41" s="7">
        <v>-2.2000000000000002</v>
      </c>
      <c r="BN41" s="348">
        <f t="shared" si="280"/>
        <v>5.0999999999999996</v>
      </c>
      <c r="BO41" s="55">
        <f t="shared" si="281"/>
        <v>-2.2999999999999998</v>
      </c>
      <c r="BP41" s="55">
        <f t="shared" si="282"/>
        <v>-1.4000000000000001</v>
      </c>
      <c r="BQ41" s="55">
        <f t="shared" si="283"/>
        <v>-1.8</v>
      </c>
      <c r="BR41" s="55">
        <f t="shared" si="284"/>
        <v>-1.7999999999999998</v>
      </c>
      <c r="BS41" s="55">
        <f t="shared" si="291"/>
        <v>-3</v>
      </c>
      <c r="BT41" s="55">
        <f t="shared" ca="1" si="285"/>
        <v>-4.4621805671051096</v>
      </c>
      <c r="BU41" s="55">
        <f t="shared" ca="1" si="286"/>
        <v>-5.2416213892528649</v>
      </c>
      <c r="BV41" s="55">
        <f t="shared" ca="1" si="287"/>
        <v>-5.9219472558876536</v>
      </c>
      <c r="BW41" s="55">
        <f ca="1">SUM(AY41:BB41)</f>
        <v>-6.7069408895406406</v>
      </c>
      <c r="BX41" s="55">
        <f ca="1">SUM(BC41:BF41)</f>
        <v>-7.5414586316460905</v>
      </c>
      <c r="BY41" s="55">
        <f ca="1">SUM(BG41:BJ41)</f>
        <v>-8.3513837339640684</v>
      </c>
    </row>
    <row r="42" spans="1:85" ht="12" customHeight="1">
      <c r="B42" s="2" t="s">
        <v>12</v>
      </c>
      <c r="C42" s="2"/>
      <c r="D42" s="2"/>
      <c r="E42" s="2"/>
      <c r="F42" s="2"/>
      <c r="G42" s="2"/>
      <c r="H42" s="2"/>
      <c r="I42" s="2"/>
      <c r="J42" s="2"/>
      <c r="K42" s="2"/>
      <c r="L42" s="2"/>
      <c r="M42" s="2"/>
      <c r="N42" s="2"/>
      <c r="O42" s="7">
        <v>-1.2</v>
      </c>
      <c r="P42" s="7">
        <f>-0.7-1.1</f>
        <v>-1.8</v>
      </c>
      <c r="Q42" s="7">
        <f>-1.3-0.6+0.1</f>
        <v>-1.7999999999999998</v>
      </c>
      <c r="R42" s="7">
        <f>-4.4+0.4</f>
        <v>-4</v>
      </c>
      <c r="S42" s="7">
        <f>-20-0.1</f>
        <v>-20.100000000000001</v>
      </c>
      <c r="T42" s="7">
        <f>-0.4-1.3</f>
        <v>-1.7000000000000002</v>
      </c>
      <c r="U42" s="7">
        <f>-0.7-0.7+0.1-1.4+0.7</f>
        <v>-1.9999999999999998</v>
      </c>
      <c r="V42" s="7">
        <f>-0.2-2.8</f>
        <v>-3</v>
      </c>
      <c r="W42" s="7">
        <v>-0.1</v>
      </c>
      <c r="X42" s="7">
        <v>-0.8</v>
      </c>
      <c r="Y42" s="7">
        <v>0</v>
      </c>
      <c r="Z42" s="7">
        <f>-13.6-0.1</f>
        <v>-13.7</v>
      </c>
      <c r="AA42" s="7">
        <f>-0.1-8.6</f>
        <v>-8.6999999999999993</v>
      </c>
      <c r="AB42" s="7">
        <f>-9.6-0.3</f>
        <v>-9.9</v>
      </c>
      <c r="AC42" s="7">
        <f>-1.8-4.9-AC29</f>
        <v>-9</v>
      </c>
      <c r="AD42" s="7">
        <f>-2.6-AD29</f>
        <v>-7.1</v>
      </c>
      <c r="AE42" s="7">
        <f>-2.3-AE29</f>
        <v>-2.5</v>
      </c>
      <c r="AF42" s="7">
        <f>-0.4-AF29</f>
        <v>-0.7</v>
      </c>
      <c r="AG42" s="7">
        <f>-1.2-AG29</f>
        <v>-1.4</v>
      </c>
      <c r="AH42" s="125">
        <f>-5.3-0.4-AH29</f>
        <v>-8</v>
      </c>
      <c r="AI42" s="125">
        <f>-0.6-0.2-36.2-AI29</f>
        <v>-37.700000000000003</v>
      </c>
      <c r="AJ42" s="125">
        <f>-1.7-3.6-0.3-AJ29</f>
        <v>-6.6999999999999993</v>
      </c>
      <c r="AK42" s="125">
        <f>-3-55.5-AK29</f>
        <v>-59.6</v>
      </c>
      <c r="AL42" s="125">
        <f>-5.1-0.2-AL29</f>
        <v>-6.4</v>
      </c>
      <c r="AM42" s="452">
        <v>0</v>
      </c>
      <c r="AN42" s="452">
        <v>0</v>
      </c>
      <c r="AO42" s="452">
        <v>0</v>
      </c>
      <c r="AP42" s="452">
        <v>0</v>
      </c>
      <c r="AQ42" s="452">
        <v>0</v>
      </c>
      <c r="AR42" s="452">
        <v>0</v>
      </c>
      <c r="AS42" s="452">
        <v>0</v>
      </c>
      <c r="AT42" s="452">
        <v>0</v>
      </c>
      <c r="AU42" s="452">
        <v>0</v>
      </c>
      <c r="AV42" s="452">
        <v>0</v>
      </c>
      <c r="AW42" s="452">
        <v>0</v>
      </c>
      <c r="AX42" s="452">
        <v>0</v>
      </c>
      <c r="AY42" s="452">
        <v>0</v>
      </c>
      <c r="AZ42" s="452">
        <v>0</v>
      </c>
      <c r="BA42" s="452">
        <v>0</v>
      </c>
      <c r="BB42" s="452">
        <v>0</v>
      </c>
      <c r="BC42" s="452">
        <v>0</v>
      </c>
      <c r="BD42" s="452">
        <v>0</v>
      </c>
      <c r="BE42" s="452">
        <v>0</v>
      </c>
      <c r="BF42" s="452">
        <v>0</v>
      </c>
      <c r="BG42" s="452">
        <v>0</v>
      </c>
      <c r="BH42" s="452">
        <v>0</v>
      </c>
      <c r="BI42" s="452">
        <v>0</v>
      </c>
      <c r="BJ42" s="452">
        <v>0</v>
      </c>
      <c r="BK42" s="1"/>
      <c r="BL42" s="7"/>
      <c r="BM42" s="7"/>
      <c r="BN42" s="348">
        <f t="shared" si="280"/>
        <v>-8.8000000000000007</v>
      </c>
      <c r="BO42" s="55">
        <f t="shared" si="281"/>
        <v>-26.8</v>
      </c>
      <c r="BP42" s="55">
        <f t="shared" si="282"/>
        <v>-14.6</v>
      </c>
      <c r="BQ42" s="55">
        <f t="shared" si="283"/>
        <v>-34.700000000000003</v>
      </c>
      <c r="BR42" s="55">
        <f t="shared" si="284"/>
        <v>-12.6</v>
      </c>
      <c r="BS42" s="55">
        <f t="shared" si="291"/>
        <v>-110.4</v>
      </c>
      <c r="BT42" s="55">
        <f t="shared" si="285"/>
        <v>0</v>
      </c>
      <c r="BU42" s="55">
        <f t="shared" si="286"/>
        <v>0</v>
      </c>
      <c r="BV42" s="55">
        <f t="shared" si="287"/>
        <v>0</v>
      </c>
      <c r="BW42" s="55">
        <f>SUM(AY42:BB42)</f>
        <v>0</v>
      </c>
      <c r="BX42" s="55">
        <f>SUM(BC42:BF42)</f>
        <v>0</v>
      </c>
      <c r="BY42" s="55">
        <f>SUM(BG42:BJ42)</f>
        <v>0</v>
      </c>
    </row>
    <row r="43" spans="1:85" ht="12" customHeight="1">
      <c r="B43" s="8" t="s">
        <v>10</v>
      </c>
      <c r="C43" s="8"/>
      <c r="D43" s="8"/>
      <c r="E43" s="8"/>
      <c r="F43" s="8"/>
      <c r="G43" s="8"/>
      <c r="H43" s="8"/>
      <c r="I43" s="8"/>
      <c r="J43" s="8"/>
      <c r="K43" s="8"/>
      <c r="L43" s="8"/>
      <c r="M43" s="8"/>
      <c r="N43" s="8"/>
      <c r="O43" s="9">
        <f t="shared" ref="O43:W43" si="339">O32+O34+O39+O40+O41+O42-O31</f>
        <v>-0.69999999999999862</v>
      </c>
      <c r="P43" s="9">
        <f t="shared" si="339"/>
        <v>-9.8978420000000042</v>
      </c>
      <c r="Q43" s="9">
        <f t="shared" si="339"/>
        <v>-2.8</v>
      </c>
      <c r="R43" s="9">
        <f t="shared" si="339"/>
        <v>-6.8999999999999959</v>
      </c>
      <c r="S43" s="9">
        <f t="shared" si="339"/>
        <v>-23</v>
      </c>
      <c r="T43" s="9">
        <f t="shared" si="339"/>
        <v>-6.8</v>
      </c>
      <c r="U43" s="9">
        <f t="shared" si="339"/>
        <v>-2.1999999999999984</v>
      </c>
      <c r="V43" s="9">
        <f t="shared" si="339"/>
        <v>-3.6000000000000032</v>
      </c>
      <c r="W43" s="9">
        <f t="shared" si="339"/>
        <v>0.70000000000000195</v>
      </c>
      <c r="X43" s="9">
        <f>X32+X34+X39+X40+X41+X42-X31</f>
        <v>-3.5999999999999956</v>
      </c>
      <c r="Y43" s="9">
        <f>Y32+Y34+Y39+Y40+Y41+Y42-Y31</f>
        <v>0.19999999999999574</v>
      </c>
      <c r="Z43" s="9">
        <f>Z32+Z34+Z39+Z40+Z41+Z42-Z31</f>
        <v>-11.799999999999994</v>
      </c>
      <c r="AA43" s="9">
        <f>AA32+AA34+AA39+AA40+AA41+AA42-AA31</f>
        <v>-7.1999999999999913</v>
      </c>
      <c r="AB43" s="9">
        <f t="shared" ref="AB43:AG43" si="340">AB32+AB34+AB39+AB40+AB41+AB42-AB31</f>
        <v>-6.4999999999999938</v>
      </c>
      <c r="AC43" s="9">
        <f t="shared" si="340"/>
        <v>-5.3000000000000096</v>
      </c>
      <c r="AD43" s="9">
        <f t="shared" si="340"/>
        <v>-1.1999999999999988</v>
      </c>
      <c r="AE43" s="9">
        <f t="shared" si="340"/>
        <v>5.600000000000005</v>
      </c>
      <c r="AF43" s="9">
        <f t="shared" si="340"/>
        <v>9.0999999999999872</v>
      </c>
      <c r="AG43" s="9">
        <f t="shared" si="340"/>
        <v>4.4000000000000101</v>
      </c>
      <c r="AH43" s="9">
        <f>AH32+AH34+AH39+AH40+AH41+AH42-AH31</f>
        <v>0.80000000000001847</v>
      </c>
      <c r="AI43" s="9">
        <f>AI32+AI34+AI39+AI40+AI41+AI42-AI31</f>
        <v>-30.399999999999981</v>
      </c>
      <c r="AJ43" s="9">
        <f>AJ32+AJ34+AJ39+AJ40+AJ41+AJ42-AJ31</f>
        <v>-0.79999999999999005</v>
      </c>
      <c r="AK43" s="9">
        <f>AK32+AK34+AK39+AK40+AK41+AK42-AK31</f>
        <v>-55.1</v>
      </c>
      <c r="AL43" s="9">
        <f>AL32+AL34+AL39+AL40+AL41+AL42-AL31</f>
        <v>2.7999999999999967</v>
      </c>
      <c r="AM43" s="9">
        <f t="shared" ref="AM43:AX43" ca="1" si="341">AM32+AM34+AM39+AM40+AM41+AM42-AM31</f>
        <v>3.3380660618489038</v>
      </c>
      <c r="AN43" s="9">
        <f t="shared" ca="1" si="341"/>
        <v>-6.9342367122314634</v>
      </c>
      <c r="AO43" s="9">
        <f t="shared" ca="1" si="341"/>
        <v>-9.0160649404339495</v>
      </c>
      <c r="AP43" s="9">
        <f t="shared" ca="1" si="341"/>
        <v>-7.1172451758467883</v>
      </c>
      <c r="AQ43" s="9">
        <f t="shared" ca="1" si="341"/>
        <v>-8.162019307537193</v>
      </c>
      <c r="AR43" s="9">
        <f t="shared" ca="1" si="341"/>
        <v>-14.236525989154501</v>
      </c>
      <c r="AS43" s="9">
        <f t="shared" ca="1" si="341"/>
        <v>-14.615973717848677</v>
      </c>
      <c r="AT43" s="9">
        <f t="shared" ca="1" si="341"/>
        <v>-11.266778247432066</v>
      </c>
      <c r="AU43" s="9">
        <f t="shared" ca="1" si="341"/>
        <v>-11.478871420234309</v>
      </c>
      <c r="AV43" s="9">
        <f t="shared" ca="1" si="341"/>
        <v>-17.992683018025968</v>
      </c>
      <c r="AW43" s="9">
        <f t="shared" ca="1" si="341"/>
        <v>-18.645060542606068</v>
      </c>
      <c r="AX43" s="9">
        <f t="shared" ca="1" si="341"/>
        <v>-14.686684625439568</v>
      </c>
      <c r="AY43" s="9">
        <f t="shared" ref="AY43:BJ43" ca="1" si="342">AY32+AY34+AY39+AY40+AY41+AY42-AY31</f>
        <v>-17.487634183512732</v>
      </c>
      <c r="AZ43" s="9">
        <f t="shared" ca="1" si="342"/>
        <v>-24.056465219024833</v>
      </c>
      <c r="BA43" s="9">
        <f t="shared" ca="1" si="342"/>
        <v>-25.980750385789317</v>
      </c>
      <c r="BB43" s="9">
        <f t="shared" ca="1" si="342"/>
        <v>-19.316788622730229</v>
      </c>
      <c r="BC43" s="9">
        <f t="shared" ca="1" si="342"/>
        <v>-20.980367301589347</v>
      </c>
      <c r="BD43" s="9">
        <f t="shared" ca="1" si="342"/>
        <v>-26.768731931668462</v>
      </c>
      <c r="BE43" s="9">
        <f t="shared" ca="1" si="342"/>
        <v>-29.169853878025954</v>
      </c>
      <c r="BF43" s="9">
        <f t="shared" ca="1" si="342"/>
        <v>-22.306111988633951</v>
      </c>
      <c r="BG43" s="9">
        <f t="shared" ca="1" si="342"/>
        <v>-23.953661810222538</v>
      </c>
      <c r="BH43" s="9">
        <f t="shared" ca="1" si="342"/>
        <v>-29.609728346308287</v>
      </c>
      <c r="BI43" s="9">
        <f t="shared" ca="1" si="342"/>
        <v>-31.384583277683127</v>
      </c>
      <c r="BJ43" s="9">
        <f t="shared" ca="1" si="342"/>
        <v>-23.857842875347021</v>
      </c>
      <c r="BK43" s="1"/>
      <c r="BL43" s="9">
        <f t="shared" ref="BL43:BR43" si="343">BL32+BL34+BL39+BL40+BL41+BL42-BL31</f>
        <v>3.4999999999999991</v>
      </c>
      <c r="BM43" s="9">
        <f t="shared" si="343"/>
        <v>1.4999999999999885</v>
      </c>
      <c r="BN43" s="56">
        <f t="shared" si="343"/>
        <v>-20.297841999999967</v>
      </c>
      <c r="BO43" s="56">
        <f t="shared" si="343"/>
        <v>-35.599999999999973</v>
      </c>
      <c r="BP43" s="56">
        <f t="shared" si="343"/>
        <v>-14.500000000000018</v>
      </c>
      <c r="BQ43" s="56">
        <f t="shared" si="343"/>
        <v>-20.199999999999946</v>
      </c>
      <c r="BR43" s="56">
        <f t="shared" si="343"/>
        <v>19.90000000000007</v>
      </c>
      <c r="BS43" s="56">
        <f>BS32+BS34+BS39+BS40+BS41+BS42-BS31</f>
        <v>-83.500000000000043</v>
      </c>
      <c r="BT43" s="56">
        <f ca="1">BT32+BT34+BT39+BT40+BT41+BT42-BT31</f>
        <v>-19.729480766663258</v>
      </c>
      <c r="BU43" s="56">
        <f ca="1">BU32+BU34+BU39+BU40+BU41+BU42-BU31</f>
        <v>-48.281297261972348</v>
      </c>
      <c r="BV43" s="56">
        <f ca="1">BV32+BV34+BV39+BV40+BV41+BV42-BV31</f>
        <v>-62.803299606305551</v>
      </c>
      <c r="BW43" s="56">
        <f t="shared" ref="BW43:BY43" ca="1" si="344">BW32+BW34+BW39+BW40+BW41+BW42-BW31</f>
        <v>-86.84163841105709</v>
      </c>
      <c r="BX43" s="56">
        <f t="shared" ca="1" si="344"/>
        <v>-99.225065099917543</v>
      </c>
      <c r="BY43" s="56">
        <f t="shared" ca="1" si="344"/>
        <v>-108.80581630956078</v>
      </c>
    </row>
    <row r="44" spans="1:85" ht="12" customHeight="1">
      <c r="B44" s="2" t="s">
        <v>28</v>
      </c>
      <c r="C44" s="2"/>
      <c r="D44" s="2"/>
      <c r="E44" s="2"/>
      <c r="F44" s="2"/>
      <c r="G44" s="2"/>
      <c r="H44" s="2"/>
      <c r="I44" s="2"/>
      <c r="J44" s="2"/>
      <c r="K44" s="2"/>
      <c r="L44" s="2"/>
      <c r="M44" s="2"/>
      <c r="N44" s="2"/>
      <c r="O44" s="7">
        <v>0</v>
      </c>
      <c r="P44" s="7">
        <v>0</v>
      </c>
      <c r="Q44" s="7">
        <v>0</v>
      </c>
      <c r="R44" s="7">
        <v>0</v>
      </c>
      <c r="S44" s="7">
        <v>0</v>
      </c>
      <c r="T44" s="7">
        <v>0</v>
      </c>
      <c r="U44" s="7">
        <v>0</v>
      </c>
      <c r="V44" s="7">
        <v>0</v>
      </c>
      <c r="W44" s="7">
        <v>0</v>
      </c>
      <c r="X44" s="7">
        <v>0</v>
      </c>
      <c r="Y44" s="7">
        <v>0</v>
      </c>
      <c r="Z44" s="7">
        <v>0</v>
      </c>
      <c r="AA44" s="7">
        <v>0</v>
      </c>
      <c r="AB44" s="7">
        <v>0</v>
      </c>
      <c r="AC44" s="7">
        <v>0</v>
      </c>
      <c r="AD44" s="7">
        <v>0</v>
      </c>
      <c r="AE44" s="7">
        <v>0</v>
      </c>
      <c r="AF44" s="7">
        <v>0</v>
      </c>
      <c r="AG44" s="7">
        <v>0</v>
      </c>
      <c r="AH44" s="7">
        <v>0</v>
      </c>
      <c r="AI44" s="7">
        <v>0</v>
      </c>
      <c r="AJ44" s="7">
        <v>0</v>
      </c>
      <c r="AK44" s="7">
        <v>0</v>
      </c>
      <c r="AL44" s="7">
        <v>0</v>
      </c>
      <c r="AM44" s="144">
        <v>0</v>
      </c>
      <c r="AN44" s="144">
        <v>0</v>
      </c>
      <c r="AO44" s="144">
        <v>0</v>
      </c>
      <c r="AP44" s="144">
        <v>0</v>
      </c>
      <c r="AQ44" s="144">
        <v>0</v>
      </c>
      <c r="AR44" s="144">
        <v>0</v>
      </c>
      <c r="AS44" s="144">
        <v>0</v>
      </c>
      <c r="AT44" s="144">
        <v>0</v>
      </c>
      <c r="AU44" s="144">
        <v>0</v>
      </c>
      <c r="AV44" s="144">
        <v>0</v>
      </c>
      <c r="AW44" s="144">
        <v>0</v>
      </c>
      <c r="AX44" s="144">
        <v>0</v>
      </c>
      <c r="AY44" s="144">
        <v>0</v>
      </c>
      <c r="AZ44" s="144">
        <v>0</v>
      </c>
      <c r="BA44" s="144">
        <v>0</v>
      </c>
      <c r="BB44" s="144">
        <v>0</v>
      </c>
      <c r="BC44" s="144">
        <v>0</v>
      </c>
      <c r="BD44" s="144">
        <v>0</v>
      </c>
      <c r="BE44" s="144">
        <v>0</v>
      </c>
      <c r="BF44" s="144">
        <v>0</v>
      </c>
      <c r="BG44" s="144">
        <v>0</v>
      </c>
      <c r="BH44" s="144">
        <v>0</v>
      </c>
      <c r="BI44" s="144">
        <v>0</v>
      </c>
      <c r="BJ44" s="144">
        <v>0</v>
      </c>
      <c r="BK44" s="1"/>
      <c r="BN44" s="55">
        <f t="shared" ref="BN44:BN51" si="345">SUM(O44:R44)</f>
        <v>0</v>
      </c>
      <c r="BO44" s="55">
        <f t="shared" ref="BO44:BO51" si="346">SUM(S44:V44)</f>
        <v>0</v>
      </c>
      <c r="BP44" s="55">
        <f t="shared" ref="BP44:BP51" si="347">SUM(W44:Z44)</f>
        <v>0</v>
      </c>
      <c r="BQ44" s="55">
        <f t="shared" ref="BQ44:BQ51" si="348">SUM(AA44:AD44)</f>
        <v>0</v>
      </c>
      <c r="BR44" s="55">
        <f t="shared" ref="BR44:BR51" si="349">SUM(AE44:AH44)</f>
        <v>0</v>
      </c>
      <c r="BS44" s="55">
        <f t="shared" ref="BS44:BS51" si="350">SUM(AI44:AL44)</f>
        <v>0</v>
      </c>
      <c r="BT44" s="55">
        <f t="shared" ref="BT44:BT51" si="351">SUM(AM44:AP44)</f>
        <v>0</v>
      </c>
      <c r="BU44" s="55">
        <f t="shared" ref="BU44:BU51" si="352">SUM(AQ44:AT44)</f>
        <v>0</v>
      </c>
      <c r="BV44" s="55">
        <f t="shared" ref="BV44:BV51" si="353">SUM(AU44:AX44)</f>
        <v>0</v>
      </c>
      <c r="BW44" s="55">
        <f>SUM(AY44:BB44)</f>
        <v>0</v>
      </c>
      <c r="BX44" s="55">
        <f>SUM(BC44:BF44)</f>
        <v>0</v>
      </c>
      <c r="BY44" s="55">
        <f>SUM(BG44:BJ44)</f>
        <v>0</v>
      </c>
    </row>
    <row r="45" spans="1:85" ht="12" customHeight="1">
      <c r="B45" s="10" t="s">
        <v>29</v>
      </c>
      <c r="C45" s="10"/>
      <c r="D45" s="10"/>
      <c r="E45" s="10"/>
      <c r="F45" s="10"/>
      <c r="G45" s="10"/>
      <c r="H45" s="10"/>
      <c r="I45" s="10"/>
      <c r="J45" s="10"/>
      <c r="K45" s="10"/>
      <c r="L45" s="10"/>
      <c r="M45" s="10"/>
      <c r="N45" s="10"/>
      <c r="O45" s="11">
        <f t="shared" ref="O45:W45" si="354">O43+O44</f>
        <v>-0.69999999999999862</v>
      </c>
      <c r="P45" s="11">
        <f t="shared" si="354"/>
        <v>-9.8978420000000042</v>
      </c>
      <c r="Q45" s="11">
        <f t="shared" si="354"/>
        <v>-2.8</v>
      </c>
      <c r="R45" s="11">
        <f t="shared" si="354"/>
        <v>-6.8999999999999959</v>
      </c>
      <c r="S45" s="11">
        <f t="shared" si="354"/>
        <v>-23</v>
      </c>
      <c r="T45" s="11">
        <f t="shared" si="354"/>
        <v>-6.8</v>
      </c>
      <c r="U45" s="11">
        <f t="shared" si="354"/>
        <v>-2.1999999999999984</v>
      </c>
      <c r="V45" s="11">
        <f t="shared" si="354"/>
        <v>-3.6000000000000032</v>
      </c>
      <c r="W45" s="11">
        <f t="shared" si="354"/>
        <v>0.70000000000000195</v>
      </c>
      <c r="X45" s="11">
        <f t="shared" ref="X45:AC45" si="355">X43+X44</f>
        <v>-3.5999999999999956</v>
      </c>
      <c r="Y45" s="11">
        <f t="shared" si="355"/>
        <v>0.19999999999999574</v>
      </c>
      <c r="Z45" s="11">
        <f t="shared" si="355"/>
        <v>-11.799999999999994</v>
      </c>
      <c r="AA45" s="11">
        <f t="shared" si="355"/>
        <v>-7.1999999999999913</v>
      </c>
      <c r="AB45" s="11">
        <f t="shared" si="355"/>
        <v>-6.4999999999999938</v>
      </c>
      <c r="AC45" s="11">
        <f t="shared" si="355"/>
        <v>-5.3000000000000096</v>
      </c>
      <c r="AD45" s="11">
        <f t="shared" ref="AD45:AI45" si="356">AD43+AD44</f>
        <v>-1.1999999999999988</v>
      </c>
      <c r="AE45" s="11">
        <f t="shared" si="356"/>
        <v>5.600000000000005</v>
      </c>
      <c r="AF45" s="11">
        <f t="shared" si="356"/>
        <v>9.0999999999999872</v>
      </c>
      <c r="AG45" s="11">
        <f t="shared" si="356"/>
        <v>4.4000000000000101</v>
      </c>
      <c r="AH45" s="11">
        <f t="shared" si="356"/>
        <v>0.80000000000001847</v>
      </c>
      <c r="AI45" s="11">
        <f t="shared" si="356"/>
        <v>-30.399999999999981</v>
      </c>
      <c r="AJ45" s="11">
        <f t="shared" ref="AJ45:AK45" si="357">AJ43+AJ44</f>
        <v>-0.79999999999999005</v>
      </c>
      <c r="AK45" s="11">
        <f t="shared" si="357"/>
        <v>-55.1</v>
      </c>
      <c r="AL45" s="11">
        <f t="shared" ref="AL45" si="358">AL43+AL44</f>
        <v>2.7999999999999967</v>
      </c>
      <c r="AM45" s="11">
        <f t="shared" ref="AM45:AX45" ca="1" si="359">AM43+AM44</f>
        <v>3.3380660618489038</v>
      </c>
      <c r="AN45" s="11">
        <f t="shared" ca="1" si="359"/>
        <v>-6.9342367122314634</v>
      </c>
      <c r="AO45" s="11">
        <f t="shared" ca="1" si="359"/>
        <v>-9.0160649404339495</v>
      </c>
      <c r="AP45" s="11">
        <f t="shared" ca="1" si="359"/>
        <v>-7.1172451758467883</v>
      </c>
      <c r="AQ45" s="11">
        <f t="shared" ca="1" si="359"/>
        <v>-8.162019307537193</v>
      </c>
      <c r="AR45" s="11">
        <f t="shared" ca="1" si="359"/>
        <v>-14.236525989154501</v>
      </c>
      <c r="AS45" s="11">
        <f t="shared" ca="1" si="359"/>
        <v>-14.615973717848677</v>
      </c>
      <c r="AT45" s="11">
        <f t="shared" ca="1" si="359"/>
        <v>-11.266778247432066</v>
      </c>
      <c r="AU45" s="11">
        <f t="shared" ca="1" si="359"/>
        <v>-11.478871420234309</v>
      </c>
      <c r="AV45" s="11">
        <f t="shared" ca="1" si="359"/>
        <v>-17.992683018025968</v>
      </c>
      <c r="AW45" s="11">
        <f t="shared" ca="1" si="359"/>
        <v>-18.645060542606068</v>
      </c>
      <c r="AX45" s="11">
        <f t="shared" ca="1" si="359"/>
        <v>-14.686684625439568</v>
      </c>
      <c r="AY45" s="11">
        <f t="shared" ref="AY45:BJ45" ca="1" si="360">AY43+AY44</f>
        <v>-17.487634183512732</v>
      </c>
      <c r="AZ45" s="11">
        <f t="shared" ca="1" si="360"/>
        <v>-24.056465219024833</v>
      </c>
      <c r="BA45" s="11">
        <f t="shared" ca="1" si="360"/>
        <v>-25.980750385789317</v>
      </c>
      <c r="BB45" s="11">
        <f t="shared" ca="1" si="360"/>
        <v>-19.316788622730229</v>
      </c>
      <c r="BC45" s="11">
        <f t="shared" ca="1" si="360"/>
        <v>-20.980367301589347</v>
      </c>
      <c r="BD45" s="11">
        <f t="shared" ca="1" si="360"/>
        <v>-26.768731931668462</v>
      </c>
      <c r="BE45" s="11">
        <f t="shared" ca="1" si="360"/>
        <v>-29.169853878025954</v>
      </c>
      <c r="BF45" s="11">
        <f t="shared" ca="1" si="360"/>
        <v>-22.306111988633951</v>
      </c>
      <c r="BG45" s="11">
        <f t="shared" ca="1" si="360"/>
        <v>-23.953661810222538</v>
      </c>
      <c r="BH45" s="11">
        <f t="shared" ca="1" si="360"/>
        <v>-29.609728346308287</v>
      </c>
      <c r="BI45" s="11">
        <f t="shared" ca="1" si="360"/>
        <v>-31.384583277683127</v>
      </c>
      <c r="BJ45" s="11">
        <f t="shared" ca="1" si="360"/>
        <v>-23.857842875347021</v>
      </c>
      <c r="BK45" s="1"/>
      <c r="BL45" s="11">
        <f>BL43+BL44</f>
        <v>3.4999999999999991</v>
      </c>
      <c r="BM45" s="11">
        <f>BM43+BM44</f>
        <v>1.4999999999999885</v>
      </c>
      <c r="BN45" s="53">
        <f t="shared" si="345"/>
        <v>-20.297841999999999</v>
      </c>
      <c r="BO45" s="53">
        <f t="shared" si="346"/>
        <v>-35.6</v>
      </c>
      <c r="BP45" s="53">
        <f t="shared" si="347"/>
        <v>-14.499999999999991</v>
      </c>
      <c r="BQ45" s="53">
        <f t="shared" si="348"/>
        <v>-20.199999999999992</v>
      </c>
      <c r="BR45" s="53">
        <f t="shared" si="349"/>
        <v>19.90000000000002</v>
      </c>
      <c r="BS45" s="53">
        <f t="shared" si="350"/>
        <v>-83.499999999999972</v>
      </c>
      <c r="BT45" s="53">
        <f t="shared" ca="1" si="351"/>
        <v>-19.729480766663297</v>
      </c>
      <c r="BU45" s="53">
        <f t="shared" ca="1" si="352"/>
        <v>-48.281297261972433</v>
      </c>
      <c r="BV45" s="53">
        <f t="shared" ca="1" si="353"/>
        <v>-62.803299606305913</v>
      </c>
      <c r="BW45" s="53">
        <f ca="1">SUM(AY45:BB45)</f>
        <v>-86.841638411057119</v>
      </c>
      <c r="BX45" s="53">
        <f ca="1">SUM(BC45:BF45)</f>
        <v>-99.225065099917714</v>
      </c>
      <c r="BY45" s="53">
        <f ca="1">SUM(BG45:BJ45)</f>
        <v>-108.80581630956098</v>
      </c>
    </row>
    <row r="46" spans="1:85" ht="12" customHeight="1">
      <c r="B46" s="2" t="s">
        <v>30</v>
      </c>
      <c r="C46" s="2"/>
      <c r="D46" s="2"/>
      <c r="E46" s="2"/>
      <c r="F46" s="2"/>
      <c r="G46" s="2"/>
      <c r="H46" s="2"/>
      <c r="I46" s="2"/>
      <c r="J46" s="2"/>
      <c r="K46" s="2"/>
      <c r="L46" s="2"/>
      <c r="M46" s="2"/>
      <c r="N46" s="2"/>
      <c r="O46" s="1">
        <f t="shared" ref="O46:T46" si="361">O47+O48</f>
        <v>11.499999999999998</v>
      </c>
      <c r="P46" s="1">
        <f t="shared" si="361"/>
        <v>12.397842000000002</v>
      </c>
      <c r="Q46" s="1">
        <f t="shared" si="361"/>
        <v>13.600000000000001</v>
      </c>
      <c r="R46" s="1">
        <f t="shared" si="361"/>
        <v>15.4</v>
      </c>
      <c r="S46" s="1">
        <f t="shared" si="361"/>
        <v>15.9</v>
      </c>
      <c r="T46" s="1">
        <f t="shared" si="361"/>
        <v>16.899999999999999</v>
      </c>
      <c r="U46" s="1">
        <f t="shared" ref="U46:Z46" si="362">U47+U48</f>
        <v>17.8</v>
      </c>
      <c r="V46" s="1">
        <f t="shared" si="362"/>
        <v>20</v>
      </c>
      <c r="W46" s="1">
        <f t="shared" si="362"/>
        <v>22.2</v>
      </c>
      <c r="X46" s="1">
        <f t="shared" si="362"/>
        <v>24.1</v>
      </c>
      <c r="Y46" s="1">
        <f t="shared" si="362"/>
        <v>24.5</v>
      </c>
      <c r="Z46" s="1">
        <f t="shared" si="362"/>
        <v>25.1</v>
      </c>
      <c r="AA46" s="1">
        <f t="shared" ref="AA46:AH46" si="363">AA47+AA48</f>
        <v>26</v>
      </c>
      <c r="AB46" s="1">
        <f t="shared" si="363"/>
        <v>26.3</v>
      </c>
      <c r="AC46" s="1">
        <f t="shared" si="363"/>
        <v>31.9</v>
      </c>
      <c r="AD46" s="1">
        <f t="shared" si="363"/>
        <v>32.799999999999997</v>
      </c>
      <c r="AE46" s="1">
        <f t="shared" si="363"/>
        <v>33</v>
      </c>
      <c r="AF46" s="1">
        <f t="shared" si="363"/>
        <v>38.4</v>
      </c>
      <c r="AG46" s="1">
        <f t="shared" si="363"/>
        <v>44.2</v>
      </c>
      <c r="AH46" s="1">
        <f t="shared" si="363"/>
        <v>42</v>
      </c>
      <c r="AI46" s="1">
        <f t="shared" ref="AI46:AJ46" si="364">AI47+AI48</f>
        <v>48.7</v>
      </c>
      <c r="AJ46" s="1">
        <f t="shared" si="364"/>
        <v>55.3</v>
      </c>
      <c r="AK46" s="1">
        <f t="shared" ref="AK46:AL46" si="365">AK47+AK48</f>
        <v>60.3</v>
      </c>
      <c r="AL46" s="1">
        <f t="shared" si="365"/>
        <v>62.6</v>
      </c>
      <c r="AM46" s="1">
        <f t="shared" ref="AM46:AX46" si="366">AM47+AM48</f>
        <v>65.548077380520894</v>
      </c>
      <c r="AN46" s="1">
        <f t="shared" ca="1" si="366"/>
        <v>76.839357305553747</v>
      </c>
      <c r="AO46" s="1">
        <f t="shared" ca="1" si="366"/>
        <v>80.085092778837094</v>
      </c>
      <c r="AP46" s="1">
        <f t="shared" ca="1" si="366"/>
        <v>86.348293882988941</v>
      </c>
      <c r="AQ46" s="1">
        <f t="shared" ca="1" si="366"/>
        <v>89.618206221836559</v>
      </c>
      <c r="AR46" s="1">
        <f t="shared" ca="1" si="366"/>
        <v>95.058702973380719</v>
      </c>
      <c r="AS46" s="1">
        <f t="shared" ca="1" si="366"/>
        <v>97.965364270670932</v>
      </c>
      <c r="AT46" s="1">
        <f t="shared" ca="1" si="366"/>
        <v>103.22682984960329</v>
      </c>
      <c r="AU46" s="1">
        <f t="shared" ca="1" si="366"/>
        <v>105.95239721820973</v>
      </c>
      <c r="AV46" s="1">
        <f t="shared" ca="1" si="366"/>
        <v>111.03076663357152</v>
      </c>
      <c r="AW46" s="1">
        <f t="shared" ca="1" si="366"/>
        <v>113.57142584161817</v>
      </c>
      <c r="AX46" s="1">
        <f t="shared" ca="1" si="366"/>
        <v>118.46307540285412</v>
      </c>
      <c r="AY46" s="1">
        <f t="shared" ref="AY46:BJ46" ca="1" si="367">AY47+AY48</f>
        <v>123.26000652801521</v>
      </c>
      <c r="AZ46" s="1">
        <f t="shared" ca="1" si="367"/>
        <v>127.96131373983835</v>
      </c>
      <c r="BA46" s="1">
        <f t="shared" ca="1" si="367"/>
        <v>132.5660917048302</v>
      </c>
      <c r="BB46" s="1">
        <f t="shared" ca="1" si="367"/>
        <v>137.0734352310775</v>
      </c>
      <c r="BC46" s="1">
        <f t="shared" ca="1" si="367"/>
        <v>141.48282449348756</v>
      </c>
      <c r="BD46" s="1">
        <f t="shared" ca="1" si="367"/>
        <v>145.79335001199553</v>
      </c>
      <c r="BE46" s="1">
        <f t="shared" ca="1" si="367"/>
        <v>150.00410251653622</v>
      </c>
      <c r="BF46" s="1">
        <f t="shared" ca="1" si="367"/>
        <v>154.11417294385447</v>
      </c>
      <c r="BG46" s="1">
        <f t="shared" ca="1" si="367"/>
        <v>158.12265243436431</v>
      </c>
      <c r="BH46" s="1">
        <f t="shared" ca="1" si="367"/>
        <v>162.02863232905702</v>
      </c>
      <c r="BI46" s="1">
        <f t="shared" ca="1" si="367"/>
        <v>165.83120416645616</v>
      </c>
      <c r="BJ46" s="1">
        <f t="shared" ca="1" si="367"/>
        <v>169.52945967961986</v>
      </c>
      <c r="BK46" s="1"/>
      <c r="BL46" s="1">
        <f>BL47+BL48</f>
        <v>36.200000000000003</v>
      </c>
      <c r="BM46" s="1">
        <f>BM47+BM48</f>
        <v>55.5</v>
      </c>
      <c r="BN46" s="55">
        <f t="shared" si="345"/>
        <v>52.897842000000004</v>
      </c>
      <c r="BO46" s="55">
        <f t="shared" si="346"/>
        <v>70.599999999999994</v>
      </c>
      <c r="BP46" s="55">
        <f t="shared" si="347"/>
        <v>95.9</v>
      </c>
      <c r="BQ46" s="55">
        <f t="shared" si="348"/>
        <v>116.99999999999999</v>
      </c>
      <c r="BR46" s="55">
        <f t="shared" si="349"/>
        <v>157.60000000000002</v>
      </c>
      <c r="BS46" s="55">
        <f t="shared" si="350"/>
        <v>226.9</v>
      </c>
      <c r="BT46" s="55">
        <f t="shared" ca="1" si="351"/>
        <v>308.82082134790068</v>
      </c>
      <c r="BU46" s="55">
        <f t="shared" ca="1" si="352"/>
        <v>385.86910331549149</v>
      </c>
      <c r="BV46" s="55">
        <f t="shared" ca="1" si="353"/>
        <v>449.01766509625349</v>
      </c>
      <c r="BW46" s="55">
        <f ca="1">SUM(AY46:BB46)</f>
        <v>520.8608472037613</v>
      </c>
      <c r="BX46" s="55">
        <f ca="1">SUM(BC46:BF46)</f>
        <v>591.39444996587372</v>
      </c>
      <c r="BY46" s="55">
        <f ca="1">SUM(BG46:BJ46)</f>
        <v>655.51194860949738</v>
      </c>
    </row>
    <row r="47" spans="1:85" ht="12" hidden="1" customHeight="1" outlineLevel="1">
      <c r="B47" s="12" t="s">
        <v>145</v>
      </c>
      <c r="C47" s="12"/>
      <c r="D47" s="12"/>
      <c r="E47" s="12"/>
      <c r="F47" s="12"/>
      <c r="G47" s="12"/>
      <c r="H47" s="12"/>
      <c r="I47" s="12"/>
      <c r="J47" s="12"/>
      <c r="K47" s="12"/>
      <c r="L47" s="12"/>
      <c r="M47" s="12"/>
      <c r="N47" s="12"/>
      <c r="O47" s="29">
        <f t="shared" ref="O47:T47" si="368">-O39</f>
        <v>16.399999999999999</v>
      </c>
      <c r="P47" s="29">
        <f t="shared" si="368"/>
        <v>17.797842000000003</v>
      </c>
      <c r="Q47" s="29">
        <f t="shared" si="368"/>
        <v>18.8</v>
      </c>
      <c r="R47" s="29">
        <f t="shared" si="368"/>
        <v>20.399999999999999</v>
      </c>
      <c r="S47" s="29">
        <f t="shared" si="368"/>
        <v>21.7</v>
      </c>
      <c r="T47" s="29">
        <f t="shared" si="368"/>
        <v>23</v>
      </c>
      <c r="U47" s="29">
        <f t="shared" ref="U47:AA47" si="369">-U39</f>
        <v>23.9</v>
      </c>
      <c r="V47" s="29">
        <f t="shared" si="369"/>
        <v>26.6</v>
      </c>
      <c r="W47" s="29">
        <f t="shared" si="369"/>
        <v>27.6</v>
      </c>
      <c r="X47" s="29">
        <f t="shared" si="369"/>
        <v>29.8</v>
      </c>
      <c r="Y47" s="29">
        <f t="shared" si="369"/>
        <v>30</v>
      </c>
      <c r="Z47" s="29">
        <f t="shared" si="369"/>
        <v>30.6</v>
      </c>
      <c r="AA47" s="29">
        <f t="shared" si="369"/>
        <v>31.1</v>
      </c>
      <c r="AB47" s="29">
        <f>-AB39</f>
        <v>31.4</v>
      </c>
      <c r="AC47" s="29">
        <f>-AC39</f>
        <v>39.1</v>
      </c>
      <c r="AD47" s="29">
        <f t="shared" ref="AD47:AH47" si="370">-AD39</f>
        <v>39.9</v>
      </c>
      <c r="AE47" s="29">
        <f t="shared" si="370"/>
        <v>39.299999999999997</v>
      </c>
      <c r="AF47" s="29">
        <f t="shared" si="370"/>
        <v>44.7</v>
      </c>
      <c r="AG47" s="29">
        <f t="shared" si="370"/>
        <v>50.6</v>
      </c>
      <c r="AH47" s="29">
        <f t="shared" si="370"/>
        <v>49.3</v>
      </c>
      <c r="AI47" s="29">
        <f t="shared" ref="AI47:AJ47" si="371">-AI39</f>
        <v>55.7</v>
      </c>
      <c r="AJ47" s="29">
        <f t="shared" si="371"/>
        <v>63.7</v>
      </c>
      <c r="AK47" s="29">
        <f t="shared" ref="AK47:AL47" si="372">-AK39</f>
        <v>68.7</v>
      </c>
      <c r="AL47" s="29">
        <f t="shared" si="372"/>
        <v>70.8</v>
      </c>
      <c r="AM47" s="1">
        <f t="shared" ref="AM47:AX47" si="373">-AM39</f>
        <v>74.134247261036407</v>
      </c>
      <c r="AN47" s="1">
        <f t="shared" ca="1" si="373"/>
        <v>86.904576633118296</v>
      </c>
      <c r="AO47" s="1">
        <f t="shared" ca="1" si="373"/>
        <v>90.575472344116065</v>
      </c>
      <c r="AP47" s="1">
        <f t="shared" ca="1" si="373"/>
        <v>97.659092762230301</v>
      </c>
      <c r="AQ47" s="1">
        <f t="shared" ca="1" si="373"/>
        <v>101.35733227645413</v>
      </c>
      <c r="AR47" s="1">
        <f t="shared" ca="1" si="373"/>
        <v>107.51048195711429</v>
      </c>
      <c r="AS47" s="1">
        <f t="shared" ca="1" si="373"/>
        <v>110.79788802497606</v>
      </c>
      <c r="AT47" s="1">
        <f t="shared" ca="1" si="373"/>
        <v>116.74855516536601</v>
      </c>
      <c r="AU47" s="1">
        <f t="shared" ca="1" si="373"/>
        <v>119.831145735611</v>
      </c>
      <c r="AV47" s="1">
        <f t="shared" ca="1" si="373"/>
        <v>125.57473286991795</v>
      </c>
      <c r="AW47" s="1">
        <f t="shared" ca="1" si="373"/>
        <v>128.4481940828525</v>
      </c>
      <c r="AX47" s="1">
        <f t="shared" ca="1" si="373"/>
        <v>133.98060285179028</v>
      </c>
      <c r="AY47" s="1">
        <f t="shared" ref="AY47:BJ47" ca="1" si="374">-AY39</f>
        <v>139.40588597737184</v>
      </c>
      <c r="AZ47" s="1">
        <f t="shared" ca="1" si="374"/>
        <v>144.7230193734913</v>
      </c>
      <c r="BA47" s="1">
        <f t="shared" ca="1" si="374"/>
        <v>149.93097911664501</v>
      </c>
      <c r="BB47" s="1">
        <f t="shared" ca="1" si="374"/>
        <v>155.02874144345506</v>
      </c>
      <c r="BC47" s="1">
        <f t="shared" ca="1" si="374"/>
        <v>160.01571843672394</v>
      </c>
      <c r="BD47" s="1">
        <f t="shared" ca="1" si="374"/>
        <v>164.8908814832154</v>
      </c>
      <c r="BE47" s="1">
        <f t="shared" ca="1" si="374"/>
        <v>169.65320220720071</v>
      </c>
      <c r="BF47" s="1">
        <f t="shared" ca="1" si="374"/>
        <v>174.30165246685138</v>
      </c>
      <c r="BG47" s="1">
        <f t="shared" ca="1" si="374"/>
        <v>178.83520435068681</v>
      </c>
      <c r="BH47" s="1">
        <f t="shared" ca="1" si="374"/>
        <v>183.25283017407727</v>
      </c>
      <c r="BI47" s="1">
        <f t="shared" ca="1" si="374"/>
        <v>187.55350247580026</v>
      </c>
      <c r="BJ47" s="1">
        <f t="shared" ca="1" si="374"/>
        <v>191.73619401464995</v>
      </c>
      <c r="BK47" s="1"/>
      <c r="BL47" s="1">
        <f>-BL39</f>
        <v>36.200000000000003</v>
      </c>
      <c r="BM47" s="1">
        <f>-BM39</f>
        <v>55.5</v>
      </c>
      <c r="BN47" s="55">
        <f t="shared" si="345"/>
        <v>73.397841999999997</v>
      </c>
      <c r="BO47" s="55">
        <f t="shared" si="346"/>
        <v>95.199999999999989</v>
      </c>
      <c r="BP47" s="55">
        <f t="shared" si="347"/>
        <v>118</v>
      </c>
      <c r="BQ47" s="55">
        <f t="shared" si="348"/>
        <v>141.5</v>
      </c>
      <c r="BR47" s="55">
        <f t="shared" si="349"/>
        <v>183.89999999999998</v>
      </c>
      <c r="BS47" s="55">
        <f t="shared" si="350"/>
        <v>258.90000000000003</v>
      </c>
      <c r="BT47" s="55">
        <f t="shared" ca="1" si="351"/>
        <v>349.27338900050108</v>
      </c>
      <c r="BU47" s="55">
        <f t="shared" ca="1" si="352"/>
        <v>436.4142574239105</v>
      </c>
      <c r="BV47" s="55">
        <f t="shared" ca="1" si="353"/>
        <v>507.8346755401717</v>
      </c>
      <c r="BW47" s="55">
        <f t="shared" ref="BW47:BW48" ca="1" si="375">SUM(AV47:AY47)</f>
        <v>527.40941578193247</v>
      </c>
      <c r="BX47" s="55">
        <f t="shared" ref="BX47:BX48" ca="1" si="376">SUM(AW47:AZ47)</f>
        <v>546.55770228550591</v>
      </c>
      <c r="BY47" s="55">
        <f t="shared" ref="BY47:BY48" ca="1" si="377">SUM(AX47:BA47)</f>
        <v>568.04048731929834</v>
      </c>
    </row>
    <row r="48" spans="1:85" ht="12" hidden="1" customHeight="1" outlineLevel="1">
      <c r="B48" s="12" t="s">
        <v>146</v>
      </c>
      <c r="C48" s="12"/>
      <c r="D48" s="12"/>
      <c r="E48" s="12"/>
      <c r="F48" s="12"/>
      <c r="G48" s="12"/>
      <c r="H48" s="12"/>
      <c r="I48" s="12"/>
      <c r="J48" s="12"/>
      <c r="K48" s="12"/>
      <c r="L48" s="12"/>
      <c r="M48" s="12"/>
      <c r="N48" s="12"/>
      <c r="O48" s="113">
        <v>-4.9000000000000004</v>
      </c>
      <c r="P48" s="113">
        <v>-5.4</v>
      </c>
      <c r="Q48" s="113">
        <v>-5.2</v>
      </c>
      <c r="R48" s="113">
        <f>15.4-R47</f>
        <v>-4.9999999999999982</v>
      </c>
      <c r="S48" s="113">
        <f>15.9-S47</f>
        <v>-5.7999999999999989</v>
      </c>
      <c r="T48" s="113">
        <f>16.9-T47</f>
        <v>-6.1000000000000014</v>
      </c>
      <c r="U48" s="113">
        <f>17.8-U47</f>
        <v>-6.0999999999999979</v>
      </c>
      <c r="V48" s="113">
        <f>20-V47</f>
        <v>-6.6000000000000014</v>
      </c>
      <c r="W48" s="113">
        <f>22.2-W47</f>
        <v>-5.4000000000000021</v>
      </c>
      <c r="X48" s="113">
        <f>24.1-X47</f>
        <v>-5.6999999999999993</v>
      </c>
      <c r="Y48" s="113">
        <f>24.5-Y47</f>
        <v>-5.5</v>
      </c>
      <c r="Z48" s="113">
        <f>25.1-Z47</f>
        <v>-5.5</v>
      </c>
      <c r="AA48" s="113">
        <f>26-AA47</f>
        <v>-5.1000000000000014</v>
      </c>
      <c r="AB48" s="113">
        <f>26.3-AB47</f>
        <v>-5.0999999999999979</v>
      </c>
      <c r="AC48" s="452">
        <f>31.9-AC47</f>
        <v>-7.2000000000000028</v>
      </c>
      <c r="AD48" s="452">
        <f>32.8-AD47</f>
        <v>-7.1000000000000014</v>
      </c>
      <c r="AE48" s="452">
        <f>33-AE47</f>
        <v>-6.2999999999999972</v>
      </c>
      <c r="AF48" s="452">
        <f>38.4-AF47</f>
        <v>-6.3000000000000043</v>
      </c>
      <c r="AG48" s="452">
        <f>44.2-AG47</f>
        <v>-6.3999999999999986</v>
      </c>
      <c r="AH48" s="452">
        <f>42-AH47</f>
        <v>-7.2999999999999972</v>
      </c>
      <c r="AI48" s="452">
        <f>48.7-AI47</f>
        <v>-7</v>
      </c>
      <c r="AJ48" s="452">
        <f>55.3-AJ47</f>
        <v>-8.4000000000000057</v>
      </c>
      <c r="AK48" s="452">
        <f>60.3-AK47</f>
        <v>-8.4000000000000057</v>
      </c>
      <c r="AL48" s="452">
        <f>62.6-AL47</f>
        <v>-8.1999999999999957</v>
      </c>
      <c r="AM48" s="29">
        <f t="shared" ref="AM48:AX48" si="378">+AL48/AL47*AM47</f>
        <v>-8.5861698805155129</v>
      </c>
      <c r="AN48" s="29">
        <f t="shared" ca="1" si="378"/>
        <v>-10.065219327564545</v>
      </c>
      <c r="AO48" s="29">
        <f t="shared" ca="1" si="378"/>
        <v>-10.490379565278976</v>
      </c>
      <c r="AP48" s="29">
        <f t="shared" ca="1" si="378"/>
        <v>-11.310798879241361</v>
      </c>
      <c r="AQ48" s="29">
        <f t="shared" ca="1" si="378"/>
        <v>-11.739126054617568</v>
      </c>
      <c r="AR48" s="29">
        <f t="shared" ca="1" si="378"/>
        <v>-12.451778983733576</v>
      </c>
      <c r="AS48" s="29">
        <f t="shared" ca="1" si="378"/>
        <v>-12.832523754305136</v>
      </c>
      <c r="AT48" s="29">
        <f t="shared" ca="1" si="378"/>
        <v>-13.52172531576273</v>
      </c>
      <c r="AU48" s="29">
        <f t="shared" ca="1" si="378"/>
        <v>-13.878748517401274</v>
      </c>
      <c r="AV48" s="29">
        <f t="shared" ca="1" si="378"/>
        <v>-14.54396623634643</v>
      </c>
      <c r="AW48" s="29">
        <f t="shared" ca="1" si="378"/>
        <v>-14.876768241234329</v>
      </c>
      <c r="AX48" s="29">
        <f t="shared" ca="1" si="378"/>
        <v>-15.517527448936162</v>
      </c>
      <c r="AY48" s="29">
        <f t="shared" ref="AY48" ca="1" si="379">+AX48/AX47*AY47</f>
        <v>-16.145879449356624</v>
      </c>
      <c r="AZ48" s="29">
        <f t="shared" ref="AZ48" ca="1" si="380">+AY48/AY47*AZ47</f>
        <v>-16.761705633652944</v>
      </c>
      <c r="BA48" s="29">
        <f t="shared" ref="BA48" ca="1" si="381">+AZ48/AZ47*BA47</f>
        <v>-17.364887411814816</v>
      </c>
      <c r="BB48" s="29">
        <f t="shared" ref="BB48" ca="1" si="382">+BA48/BA47*BB47</f>
        <v>-17.955306212377565</v>
      </c>
      <c r="BC48" s="29">
        <f t="shared" ref="BC48" ca="1" si="383">+BB48/BB47*BC47</f>
        <v>-18.532893943236388</v>
      </c>
      <c r="BD48" s="29">
        <f t="shared" ref="BD48" ca="1" si="384">+BC48/BC47*BD47</f>
        <v>-19.097531471219863</v>
      </c>
      <c r="BE48" s="29">
        <f t="shared" ref="BE48" ca="1" si="385">+BD48/BD47*BE47</f>
        <v>-19.649099690664489</v>
      </c>
      <c r="BF48" s="29">
        <f t="shared" ref="BF48" ca="1" si="386">+BE48/BE47*BF47</f>
        <v>-20.187479522996913</v>
      </c>
      <c r="BG48" s="29">
        <f t="shared" ref="BG48" ca="1" si="387">+BF48/BF47*BG47</f>
        <v>-20.712551916322486</v>
      </c>
      <c r="BH48" s="29">
        <f t="shared" ref="BH48" ca="1" si="388">+BG48/BG47*BH47</f>
        <v>-21.224197845020253</v>
      </c>
      <c r="BI48" s="29">
        <f t="shared" ref="BI48" ca="1" si="389">+BH48/BH47*BI47</f>
        <v>-21.722298309344101</v>
      </c>
      <c r="BJ48" s="29">
        <f t="shared" ref="BJ48" ca="1" si="390">+BI48/BI47*BJ47</f>
        <v>-22.206734335030081</v>
      </c>
      <c r="BK48" s="1"/>
      <c r="BN48" s="55">
        <f t="shared" si="345"/>
        <v>-20.5</v>
      </c>
      <c r="BO48" s="55">
        <f t="shared" si="346"/>
        <v>-24.6</v>
      </c>
      <c r="BP48" s="55">
        <f t="shared" si="347"/>
        <v>-22.1</v>
      </c>
      <c r="BQ48" s="55">
        <f t="shared" si="348"/>
        <v>-24.500000000000004</v>
      </c>
      <c r="BR48" s="55">
        <f t="shared" si="349"/>
        <v>-26.299999999999997</v>
      </c>
      <c r="BS48" s="55">
        <f t="shared" si="350"/>
        <v>-32.000000000000007</v>
      </c>
      <c r="BT48" s="55">
        <f t="shared" ca="1" si="351"/>
        <v>-40.452567652600393</v>
      </c>
      <c r="BU48" s="55">
        <f t="shared" ca="1" si="352"/>
        <v>-50.545154108419005</v>
      </c>
      <c r="BV48" s="55">
        <f t="shared" ca="1" si="353"/>
        <v>-58.8170104439182</v>
      </c>
      <c r="BW48" s="55">
        <f t="shared" ca="1" si="375"/>
        <v>-61.084141375873543</v>
      </c>
      <c r="BX48" s="55">
        <f t="shared" ca="1" si="376"/>
        <v>-63.301880773180059</v>
      </c>
      <c r="BY48" s="55">
        <f t="shared" ca="1" si="377"/>
        <v>-65.789999943760549</v>
      </c>
    </row>
    <row r="49" spans="1:79" ht="12" customHeight="1" collapsed="1">
      <c r="B49" s="2" t="s">
        <v>12</v>
      </c>
      <c r="C49" s="2"/>
      <c r="D49" s="2"/>
      <c r="E49" s="2"/>
      <c r="F49" s="2"/>
      <c r="G49" s="2"/>
      <c r="H49" s="2"/>
      <c r="I49" s="2"/>
      <c r="J49" s="2"/>
      <c r="K49" s="2"/>
      <c r="L49" s="2"/>
      <c r="M49" s="2"/>
      <c r="N49" s="2"/>
      <c r="O49" s="113">
        <v>0</v>
      </c>
      <c r="P49" s="113">
        <v>11.8</v>
      </c>
      <c r="Q49" s="113">
        <f>-0.1-0.1</f>
        <v>-0.2</v>
      </c>
      <c r="R49" s="113"/>
      <c r="S49" s="113"/>
      <c r="T49" s="113"/>
      <c r="U49" s="113"/>
      <c r="V49" s="22">
        <v>-0.2</v>
      </c>
      <c r="W49" s="22"/>
      <c r="X49" s="22"/>
      <c r="Y49" s="22"/>
      <c r="Z49" s="22"/>
      <c r="AA49" s="113">
        <v>8.6</v>
      </c>
      <c r="AB49" s="113"/>
      <c r="AC49" s="452">
        <v>4.9000000000000004</v>
      </c>
      <c r="AD49" s="452"/>
      <c r="AE49" s="452"/>
      <c r="AF49" s="452"/>
      <c r="AG49" s="452"/>
      <c r="AH49" s="452">
        <v>5.3</v>
      </c>
      <c r="AI49" s="452">
        <v>0.2</v>
      </c>
      <c r="AJ49" s="452">
        <v>3.6</v>
      </c>
      <c r="AK49" s="452">
        <v>55.5</v>
      </c>
      <c r="AL49" s="452">
        <v>0.2</v>
      </c>
      <c r="AM49" s="1">
        <f t="shared" ref="AM49:AX49" si="391">-AM40</f>
        <v>0</v>
      </c>
      <c r="AN49" s="1">
        <f t="shared" si="391"/>
        <v>0</v>
      </c>
      <c r="AO49" s="1">
        <f t="shared" si="391"/>
        <v>0</v>
      </c>
      <c r="AP49" s="1">
        <f t="shared" si="391"/>
        <v>0</v>
      </c>
      <c r="AQ49" s="1">
        <f t="shared" si="391"/>
        <v>0</v>
      </c>
      <c r="AR49" s="1">
        <f t="shared" si="391"/>
        <v>0</v>
      </c>
      <c r="AS49" s="1">
        <f t="shared" si="391"/>
        <v>0</v>
      </c>
      <c r="AT49" s="1">
        <f t="shared" si="391"/>
        <v>0</v>
      </c>
      <c r="AU49" s="1">
        <f t="shared" si="391"/>
        <v>0</v>
      </c>
      <c r="AV49" s="1">
        <f t="shared" si="391"/>
        <v>0</v>
      </c>
      <c r="AW49" s="1">
        <f t="shared" si="391"/>
        <v>0</v>
      </c>
      <c r="AX49" s="1">
        <f t="shared" si="391"/>
        <v>0</v>
      </c>
      <c r="AY49" s="1">
        <f t="shared" ref="AY49:BJ49" si="392">-AY40</f>
        <v>0</v>
      </c>
      <c r="AZ49" s="1">
        <f t="shared" si="392"/>
        <v>0</v>
      </c>
      <c r="BA49" s="1">
        <f t="shared" si="392"/>
        <v>0</v>
      </c>
      <c r="BB49" s="1">
        <f t="shared" si="392"/>
        <v>0</v>
      </c>
      <c r="BC49" s="1">
        <f t="shared" si="392"/>
        <v>0</v>
      </c>
      <c r="BD49" s="1">
        <f t="shared" si="392"/>
        <v>0</v>
      </c>
      <c r="BE49" s="1">
        <f t="shared" si="392"/>
        <v>0</v>
      </c>
      <c r="BF49" s="1">
        <f t="shared" si="392"/>
        <v>0</v>
      </c>
      <c r="BG49" s="1">
        <f t="shared" si="392"/>
        <v>0</v>
      </c>
      <c r="BH49" s="1">
        <f t="shared" si="392"/>
        <v>0</v>
      </c>
      <c r="BI49" s="1">
        <f t="shared" si="392"/>
        <v>0</v>
      </c>
      <c r="BJ49" s="1">
        <f t="shared" si="392"/>
        <v>0</v>
      </c>
      <c r="BK49" s="1"/>
      <c r="BL49" s="1"/>
      <c r="BM49" s="1"/>
      <c r="BN49" s="55">
        <f t="shared" si="345"/>
        <v>11.600000000000001</v>
      </c>
      <c r="BO49" s="55">
        <f t="shared" si="346"/>
        <v>-0.2</v>
      </c>
      <c r="BP49" s="55">
        <f t="shared" si="347"/>
        <v>0</v>
      </c>
      <c r="BQ49" s="55">
        <f t="shared" si="348"/>
        <v>13.5</v>
      </c>
      <c r="BR49" s="55">
        <f t="shared" si="349"/>
        <v>5.3</v>
      </c>
      <c r="BS49" s="55">
        <f t="shared" si="350"/>
        <v>59.5</v>
      </c>
      <c r="BT49" s="55">
        <f t="shared" si="351"/>
        <v>0</v>
      </c>
      <c r="BU49" s="55">
        <f t="shared" si="352"/>
        <v>0</v>
      </c>
      <c r="BV49" s="55">
        <f t="shared" si="353"/>
        <v>0</v>
      </c>
      <c r="BW49" s="55">
        <f>SUM(AY49:BB49)</f>
        <v>0</v>
      </c>
      <c r="BX49" s="55">
        <f>SUM(BC49:BF49)</f>
        <v>0</v>
      </c>
      <c r="BY49" s="55">
        <f>SUM(BG49:BJ49)</f>
        <v>0</v>
      </c>
    </row>
    <row r="51" spans="1:79" ht="12" customHeight="1">
      <c r="B51" s="2" t="s">
        <v>196</v>
      </c>
      <c r="C51" s="2"/>
      <c r="D51" s="2"/>
      <c r="E51" s="2"/>
      <c r="F51" s="2"/>
      <c r="G51" s="2"/>
      <c r="H51" s="2"/>
      <c r="I51" s="2"/>
      <c r="J51" s="2"/>
      <c r="K51" s="2"/>
      <c r="L51" s="2"/>
      <c r="M51" s="2"/>
      <c r="N51" s="2"/>
      <c r="O51" s="113"/>
      <c r="P51" s="113">
        <v>1.5</v>
      </c>
      <c r="Q51" s="113"/>
      <c r="R51" s="113"/>
      <c r="S51" s="113"/>
      <c r="T51" s="113"/>
      <c r="U51" s="113"/>
      <c r="V51" s="113">
        <f>2.8+0.2</f>
        <v>3</v>
      </c>
      <c r="W51" s="113"/>
      <c r="X51" s="113"/>
      <c r="Y51" s="113"/>
      <c r="Z51" s="113"/>
      <c r="AA51" s="113"/>
      <c r="AB51" s="113"/>
      <c r="AC51" s="113"/>
      <c r="AD51" s="113"/>
      <c r="AE51" s="113"/>
      <c r="AF51" s="113"/>
      <c r="AG51" s="113"/>
      <c r="AH51" s="113"/>
      <c r="AI51" s="113"/>
      <c r="AJ51" s="113"/>
      <c r="AK51" s="113"/>
      <c r="AL51" s="113"/>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1"/>
      <c r="BL51" s="55"/>
      <c r="BM51" s="55"/>
      <c r="BN51" s="55">
        <f t="shared" si="345"/>
        <v>1.5</v>
      </c>
      <c r="BO51" s="55">
        <f t="shared" si="346"/>
        <v>3</v>
      </c>
      <c r="BP51" s="55">
        <f t="shared" si="347"/>
        <v>0</v>
      </c>
      <c r="BQ51" s="55">
        <f t="shared" si="348"/>
        <v>0</v>
      </c>
      <c r="BR51" s="55">
        <f t="shared" si="349"/>
        <v>0</v>
      </c>
      <c r="BS51" s="55">
        <f t="shared" si="350"/>
        <v>0</v>
      </c>
      <c r="BT51" s="55">
        <f t="shared" si="351"/>
        <v>0</v>
      </c>
      <c r="BU51" s="55">
        <f t="shared" si="352"/>
        <v>0</v>
      </c>
      <c r="BV51" s="55">
        <f t="shared" si="353"/>
        <v>0</v>
      </c>
      <c r="BW51" s="55">
        <f>SUM(AY51:BB51)</f>
        <v>0</v>
      </c>
      <c r="BX51" s="55">
        <f>SUM(BC51:BF51)</f>
        <v>0</v>
      </c>
      <c r="BY51" s="55">
        <f>SUM(BG51:BJ51)</f>
        <v>0</v>
      </c>
    </row>
    <row r="52" spans="1:79" ht="12" customHeight="1">
      <c r="A52" s="216"/>
      <c r="B52" s="335" t="s">
        <v>446</v>
      </c>
      <c r="C52" s="335"/>
      <c r="D52" s="335"/>
      <c r="E52" s="335"/>
      <c r="F52" s="335"/>
      <c r="G52" s="335"/>
      <c r="H52" s="335"/>
      <c r="I52" s="335"/>
      <c r="J52" s="335"/>
      <c r="K52" s="335"/>
      <c r="L52" s="335"/>
      <c r="M52" s="335"/>
      <c r="N52" s="335"/>
      <c r="O52" s="336">
        <f>O45+O46+O49+O51</f>
        <v>10.799999999999999</v>
      </c>
      <c r="P52" s="336">
        <f t="shared" ref="P52:AX52" si="393">P45+P46+P49+P51</f>
        <v>15.799999999999999</v>
      </c>
      <c r="Q52" s="336">
        <f t="shared" si="393"/>
        <v>10.600000000000001</v>
      </c>
      <c r="R52" s="336">
        <f t="shared" si="393"/>
        <v>8.5000000000000036</v>
      </c>
      <c r="S52" s="336">
        <f t="shared" si="393"/>
        <v>-7.1</v>
      </c>
      <c r="T52" s="336">
        <f t="shared" si="393"/>
        <v>10.099999999999998</v>
      </c>
      <c r="U52" s="336">
        <f t="shared" si="393"/>
        <v>15.600000000000001</v>
      </c>
      <c r="V52" s="336">
        <f t="shared" si="393"/>
        <v>19.2</v>
      </c>
      <c r="W52" s="336">
        <f t="shared" si="393"/>
        <v>22.900000000000002</v>
      </c>
      <c r="X52" s="336">
        <f t="shared" si="393"/>
        <v>20.500000000000007</v>
      </c>
      <c r="Y52" s="336">
        <f t="shared" si="393"/>
        <v>24.699999999999996</v>
      </c>
      <c r="Z52" s="336">
        <f t="shared" si="393"/>
        <v>13.300000000000008</v>
      </c>
      <c r="AA52" s="336">
        <f t="shared" si="393"/>
        <v>27.400000000000006</v>
      </c>
      <c r="AB52" s="336">
        <f t="shared" si="393"/>
        <v>19.800000000000008</v>
      </c>
      <c r="AC52" s="336">
        <f t="shared" si="393"/>
        <v>31.499999999999986</v>
      </c>
      <c r="AD52" s="336">
        <f t="shared" ref="AD52:AI52" si="394">AD45+AD46+AD49+AD51</f>
        <v>31.599999999999998</v>
      </c>
      <c r="AE52" s="336">
        <f t="shared" si="394"/>
        <v>38.600000000000009</v>
      </c>
      <c r="AF52" s="336">
        <f t="shared" si="394"/>
        <v>47.499999999999986</v>
      </c>
      <c r="AG52" s="336">
        <f t="shared" si="394"/>
        <v>48.600000000000016</v>
      </c>
      <c r="AH52" s="336">
        <f t="shared" si="394"/>
        <v>48.100000000000016</v>
      </c>
      <c r="AI52" s="336">
        <f t="shared" si="394"/>
        <v>18.500000000000021</v>
      </c>
      <c r="AJ52" s="336">
        <f t="shared" ref="AJ52:AK52" si="395">AJ45+AJ46+AJ49+AJ51</f>
        <v>58.100000000000009</v>
      </c>
      <c r="AK52" s="336">
        <f t="shared" si="395"/>
        <v>60.699999999999996</v>
      </c>
      <c r="AL52" s="336">
        <f t="shared" ref="AL52" si="396">AL45+AL46+AL49+AL51</f>
        <v>65.599999999999994</v>
      </c>
      <c r="AM52" s="336">
        <f t="shared" ca="1" si="393"/>
        <v>68.8861434423698</v>
      </c>
      <c r="AN52" s="336">
        <f t="shared" ca="1" si="393"/>
        <v>69.90512059332228</v>
      </c>
      <c r="AO52" s="336">
        <f t="shared" ca="1" si="393"/>
        <v>71.069027838403144</v>
      </c>
      <c r="AP52" s="336">
        <f t="shared" ca="1" si="393"/>
        <v>79.231048707142151</v>
      </c>
      <c r="AQ52" s="336">
        <f t="shared" ca="1" si="393"/>
        <v>81.456186914299366</v>
      </c>
      <c r="AR52" s="336">
        <f t="shared" ca="1" si="393"/>
        <v>80.822176984226218</v>
      </c>
      <c r="AS52" s="336">
        <f t="shared" ca="1" si="393"/>
        <v>83.349390552822257</v>
      </c>
      <c r="AT52" s="336">
        <f t="shared" ca="1" si="393"/>
        <v>91.96005160217122</v>
      </c>
      <c r="AU52" s="336">
        <f t="shared" ca="1" si="393"/>
        <v>94.473525797975412</v>
      </c>
      <c r="AV52" s="336">
        <f t="shared" ca="1" si="393"/>
        <v>93.038083615545546</v>
      </c>
      <c r="AW52" s="336">
        <f t="shared" ca="1" si="393"/>
        <v>94.926365299012105</v>
      </c>
      <c r="AX52" s="336">
        <f t="shared" ca="1" si="393"/>
        <v>103.77639077741455</v>
      </c>
      <c r="AY52" s="336">
        <f t="shared" ref="AY52:BJ52" ca="1" si="397">AY45+AY46+AY49+AY51</f>
        <v>105.77237234450249</v>
      </c>
      <c r="AZ52" s="336">
        <f t="shared" ca="1" si="397"/>
        <v>103.90484852081352</v>
      </c>
      <c r="BA52" s="336">
        <f t="shared" ca="1" si="397"/>
        <v>106.58534131904088</v>
      </c>
      <c r="BB52" s="336">
        <f t="shared" ca="1" si="397"/>
        <v>117.75664660834727</v>
      </c>
      <c r="BC52" s="336">
        <f t="shared" ca="1" si="397"/>
        <v>120.5024571918982</v>
      </c>
      <c r="BD52" s="336">
        <f t="shared" ca="1" si="397"/>
        <v>119.02461808032706</v>
      </c>
      <c r="BE52" s="336">
        <f t="shared" ca="1" si="397"/>
        <v>120.83424863851027</v>
      </c>
      <c r="BF52" s="336">
        <f t="shared" ca="1" si="397"/>
        <v>131.80806095522053</v>
      </c>
      <c r="BG52" s="336">
        <f t="shared" ca="1" si="397"/>
        <v>134.16899062414177</v>
      </c>
      <c r="BH52" s="336">
        <f t="shared" ca="1" si="397"/>
        <v>132.41890398274873</v>
      </c>
      <c r="BI52" s="336">
        <f t="shared" ca="1" si="397"/>
        <v>134.44662088877303</v>
      </c>
      <c r="BJ52" s="336">
        <f t="shared" ca="1" si="397"/>
        <v>145.67161680427284</v>
      </c>
      <c r="BK52" s="123"/>
      <c r="BL52" s="336"/>
      <c r="BM52" s="336"/>
      <c r="BN52" s="336">
        <f t="shared" ref="BN52:BV52" si="398">BN45+BN46+BN49+BN51</f>
        <v>45.70000000000001</v>
      </c>
      <c r="BO52" s="336">
        <f t="shared" si="398"/>
        <v>37.79999999999999</v>
      </c>
      <c r="BP52" s="336">
        <f t="shared" si="398"/>
        <v>81.40000000000002</v>
      </c>
      <c r="BQ52" s="336">
        <f t="shared" si="398"/>
        <v>110.3</v>
      </c>
      <c r="BR52" s="336">
        <f t="shared" si="398"/>
        <v>182.80000000000007</v>
      </c>
      <c r="BS52" s="336">
        <f t="shared" si="398"/>
        <v>202.90000000000003</v>
      </c>
      <c r="BT52" s="336">
        <f t="shared" ca="1" si="398"/>
        <v>289.09134058123738</v>
      </c>
      <c r="BU52" s="336">
        <f t="shared" ca="1" si="398"/>
        <v>337.58780605351905</v>
      </c>
      <c r="BV52" s="336">
        <f t="shared" ca="1" si="398"/>
        <v>386.21436548994757</v>
      </c>
      <c r="BW52" s="336">
        <f t="shared" ref="BW52:BY52" ca="1" si="399">BW45+BW46+BW49+BW51</f>
        <v>434.01920879270415</v>
      </c>
      <c r="BX52" s="336">
        <f t="shared" ca="1" si="399"/>
        <v>492.16938486595598</v>
      </c>
      <c r="BY52" s="336">
        <f t="shared" ca="1" si="399"/>
        <v>546.70613229993637</v>
      </c>
      <c r="BZ52" s="207"/>
      <c r="CA52" s="207"/>
    </row>
    <row r="53" spans="1:79" ht="12" customHeight="1">
      <c r="B53" s="2" t="s">
        <v>159</v>
      </c>
      <c r="C53" s="2"/>
      <c r="D53" s="2"/>
      <c r="E53" s="2"/>
      <c r="F53" s="2"/>
      <c r="G53" s="2"/>
      <c r="H53" s="2"/>
      <c r="I53" s="2"/>
      <c r="J53" s="2"/>
      <c r="K53" s="2"/>
      <c r="L53" s="2"/>
      <c r="M53" s="2"/>
      <c r="N53" s="2"/>
      <c r="O53" s="113">
        <v>4.0999999999999996</v>
      </c>
      <c r="P53" s="113">
        <v>4</v>
      </c>
      <c r="Q53" s="113">
        <v>4</v>
      </c>
      <c r="R53" s="113">
        <v>3.9</v>
      </c>
      <c r="S53" s="113">
        <v>4.2</v>
      </c>
      <c r="T53" s="113">
        <v>4.2</v>
      </c>
      <c r="U53" s="113">
        <v>4.2</v>
      </c>
      <c r="V53" s="113">
        <v>4.2</v>
      </c>
      <c r="W53" s="113">
        <v>4.2</v>
      </c>
      <c r="X53" s="113">
        <v>4.3</v>
      </c>
      <c r="Y53" s="113">
        <v>4.2</v>
      </c>
      <c r="Z53" s="113">
        <v>4.2</v>
      </c>
      <c r="AA53" s="113">
        <v>3.6</v>
      </c>
      <c r="AB53" s="113">
        <v>3.7</v>
      </c>
      <c r="AC53" s="452">
        <v>5.6</v>
      </c>
      <c r="AD53" s="452">
        <v>5.6</v>
      </c>
      <c r="AE53" s="452">
        <v>4.8</v>
      </c>
      <c r="AF53" s="452">
        <v>4.9000000000000004</v>
      </c>
      <c r="AG53" s="452">
        <v>4.8</v>
      </c>
      <c r="AH53" s="452">
        <v>5.6</v>
      </c>
      <c r="AI53" s="452">
        <v>5.2</v>
      </c>
      <c r="AJ53" s="452">
        <v>6.7</v>
      </c>
      <c r="AK53" s="452">
        <v>6.6</v>
      </c>
      <c r="AL53" s="452">
        <v>6.6</v>
      </c>
      <c r="AM53" s="29">
        <f t="shared" ref="AM53:AX53" si="400">+AVERAGE(AI53:AL53)</f>
        <v>6.2750000000000004</v>
      </c>
      <c r="AN53" s="29">
        <f t="shared" si="400"/>
        <v>6.5437499999999993</v>
      </c>
      <c r="AO53" s="29">
        <f t="shared" si="400"/>
        <v>6.5046875000000002</v>
      </c>
      <c r="AP53" s="29">
        <f t="shared" si="400"/>
        <v>6.4808593749999996</v>
      </c>
      <c r="AQ53" s="29">
        <f t="shared" si="400"/>
        <v>6.4510742187499996</v>
      </c>
      <c r="AR53" s="29">
        <f t="shared" si="400"/>
        <v>6.4950927734375004</v>
      </c>
      <c r="AS53" s="29">
        <f t="shared" si="400"/>
        <v>6.4829284667968743</v>
      </c>
      <c r="AT53" s="29">
        <f t="shared" si="400"/>
        <v>6.4774887084960939</v>
      </c>
      <c r="AU53" s="29">
        <f t="shared" si="400"/>
        <v>6.4766460418701168</v>
      </c>
      <c r="AV53" s="29">
        <f t="shared" si="400"/>
        <v>6.4830389976501461</v>
      </c>
      <c r="AW53" s="29">
        <f t="shared" si="400"/>
        <v>6.4800255537033085</v>
      </c>
      <c r="AX53" s="29">
        <f t="shared" si="400"/>
        <v>6.4792998254299157</v>
      </c>
      <c r="AY53" s="29">
        <f t="shared" ref="AY53" si="401">+AVERAGE(AU53:AX53)</f>
        <v>6.4797526046633722</v>
      </c>
      <c r="AZ53" s="29">
        <f t="shared" ref="AZ53" si="402">+AVERAGE(AV53:AY53)</f>
        <v>6.4805292453616854</v>
      </c>
      <c r="BA53" s="29">
        <f t="shared" ref="BA53" si="403">+AVERAGE(AW53:AZ53)</f>
        <v>6.4799018072895702</v>
      </c>
      <c r="BB53" s="29">
        <f t="shared" ref="BB53" si="404">+AVERAGE(AX53:BA53)</f>
        <v>6.4798708706861365</v>
      </c>
      <c r="BC53" s="29">
        <f t="shared" ref="BC53" si="405">+AVERAGE(AY53:BB53)</f>
        <v>6.4800136320001904</v>
      </c>
      <c r="BD53" s="29">
        <f t="shared" ref="BD53" si="406">+AVERAGE(AZ53:BC53)</f>
        <v>6.4800788888343961</v>
      </c>
      <c r="BE53" s="29">
        <f t="shared" ref="BE53" si="407">+AVERAGE(BA53:BD53)</f>
        <v>6.4799662997025731</v>
      </c>
      <c r="BF53" s="29">
        <f t="shared" ref="BF53" si="408">+AVERAGE(BB53:BE53)</f>
        <v>6.4799824228058238</v>
      </c>
      <c r="BG53" s="29">
        <f t="shared" ref="BG53" si="409">+AVERAGE(BC53:BF53)</f>
        <v>6.4800103108357465</v>
      </c>
      <c r="BH53" s="29">
        <f t="shared" ref="BH53" si="410">+AVERAGE(BD53:BG53)</f>
        <v>6.4800094805446342</v>
      </c>
      <c r="BI53" s="29">
        <f t="shared" ref="BI53" si="411">+AVERAGE(BE53:BH53)</f>
        <v>6.4799921284721949</v>
      </c>
      <c r="BJ53" s="29">
        <f t="shared" ref="BJ53" si="412">+AVERAGE(BF53:BI53)</f>
        <v>6.4799985856645996</v>
      </c>
      <c r="BK53" s="1"/>
      <c r="BN53" s="55">
        <f>SUM(O53:R53)</f>
        <v>16</v>
      </c>
      <c r="BO53" s="55">
        <f>SUM(S53:V53)</f>
        <v>16.8</v>
      </c>
      <c r="BP53" s="55">
        <f>SUM(W53:Z53)</f>
        <v>16.899999999999999</v>
      </c>
      <c r="BQ53" s="55">
        <f>SUM(AA53:AD53)</f>
        <v>18.5</v>
      </c>
      <c r="BR53" s="55">
        <f>SUM(AE53:AH53)</f>
        <v>20.100000000000001</v>
      </c>
      <c r="BS53" s="55">
        <f>SUM(AI53:AL53)</f>
        <v>25.1</v>
      </c>
      <c r="BT53" s="55">
        <f>SUM(AM53:AP53)</f>
        <v>25.804296874999999</v>
      </c>
      <c r="BU53" s="55">
        <f>SUM(AQ53:AT53)</f>
        <v>25.906584167480467</v>
      </c>
      <c r="BV53" s="55">
        <f>SUM(AU53:AX53)</f>
        <v>25.919010418653489</v>
      </c>
      <c r="BW53" s="55">
        <f>SUM(AY53:BB53)</f>
        <v>25.920054528000762</v>
      </c>
      <c r="BX53" s="55">
        <f>SUM(BC53:BF53)</f>
        <v>25.920041243342986</v>
      </c>
      <c r="BY53" s="55">
        <f>SUM(BG53:BJ53)</f>
        <v>25.920010505517176</v>
      </c>
    </row>
    <row r="54" spans="1:79" ht="12" customHeight="1">
      <c r="A54" s="207"/>
      <c r="B54" s="208" t="s">
        <v>444</v>
      </c>
      <c r="C54" s="208"/>
      <c r="D54" s="208"/>
      <c r="E54" s="208"/>
      <c r="F54" s="208"/>
      <c r="G54" s="208"/>
      <c r="H54" s="208"/>
      <c r="I54" s="208"/>
      <c r="J54" s="208"/>
      <c r="K54" s="208"/>
      <c r="L54" s="208"/>
      <c r="M54" s="208"/>
      <c r="N54" s="208"/>
      <c r="O54" s="350"/>
      <c r="P54" s="338">
        <v>0.7</v>
      </c>
      <c r="Q54" s="211">
        <v>0.6</v>
      </c>
      <c r="R54" s="211">
        <v>4.4000000000000004</v>
      </c>
      <c r="S54" s="211">
        <f>20+0.1</f>
        <v>20.100000000000001</v>
      </c>
      <c r="T54" s="211">
        <f>1.3+0.4</f>
        <v>1.7000000000000002</v>
      </c>
      <c r="U54" s="211">
        <f>0.7+0.7+0.7</f>
        <v>2.0999999999999996</v>
      </c>
      <c r="V54" s="211">
        <v>0.2</v>
      </c>
      <c r="W54" s="211">
        <v>0.1</v>
      </c>
      <c r="X54" s="211">
        <v>0.8</v>
      </c>
      <c r="Y54" s="211">
        <v>0</v>
      </c>
      <c r="Z54" s="211">
        <f>13.6+0.1</f>
        <v>13.7</v>
      </c>
      <c r="AA54" s="211">
        <f>0.1+0.8</f>
        <v>0.9</v>
      </c>
      <c r="AB54" s="211">
        <f>9.6+0.3</f>
        <v>9.9</v>
      </c>
      <c r="AC54" s="211">
        <f>1.9+1.9+0.3</f>
        <v>4.0999999999999996</v>
      </c>
      <c r="AD54" s="211">
        <f>2.5+4.1+0.1+0.3</f>
        <v>6.9999999999999991</v>
      </c>
      <c r="AE54" s="211">
        <f>2.3+0.2</f>
        <v>2.5</v>
      </c>
      <c r="AF54" s="211">
        <f>0.4+0.3</f>
        <v>0.7</v>
      </c>
      <c r="AG54" s="211">
        <f>1.2+0.2</f>
        <v>1.4</v>
      </c>
      <c r="AH54" s="211">
        <f>0.4+1.9+0.4</f>
        <v>2.6999999999999997</v>
      </c>
      <c r="AI54" s="211">
        <f>36.2+0.6+0.5+0.2</f>
        <v>37.500000000000007</v>
      </c>
      <c r="AJ54" s="211">
        <f>0.3+0.5+1.7+0.6</f>
        <v>3.1</v>
      </c>
      <c r="AK54" s="211">
        <f>0.8+3+0.3</f>
        <v>4.0999999999999996</v>
      </c>
      <c r="AL54" s="211">
        <f>1.1+5.1</f>
        <v>6.1999999999999993</v>
      </c>
      <c r="AM54" s="212">
        <f t="shared" ref="AM54:AX54" si="413">+AM42</f>
        <v>0</v>
      </c>
      <c r="AN54" s="212">
        <f t="shared" si="413"/>
        <v>0</v>
      </c>
      <c r="AO54" s="212">
        <f t="shared" si="413"/>
        <v>0</v>
      </c>
      <c r="AP54" s="212">
        <f t="shared" si="413"/>
        <v>0</v>
      </c>
      <c r="AQ54" s="212">
        <f t="shared" si="413"/>
        <v>0</v>
      </c>
      <c r="AR54" s="212">
        <f t="shared" si="413"/>
        <v>0</v>
      </c>
      <c r="AS54" s="212">
        <f t="shared" si="413"/>
        <v>0</v>
      </c>
      <c r="AT54" s="212">
        <f t="shared" si="413"/>
        <v>0</v>
      </c>
      <c r="AU54" s="212">
        <f t="shared" si="413"/>
        <v>0</v>
      </c>
      <c r="AV54" s="212">
        <f t="shared" si="413"/>
        <v>0</v>
      </c>
      <c r="AW54" s="212">
        <f t="shared" si="413"/>
        <v>0</v>
      </c>
      <c r="AX54" s="212">
        <f t="shared" si="413"/>
        <v>0</v>
      </c>
      <c r="AY54" s="212">
        <f t="shared" ref="AY54:BJ54" si="414">+AY42</f>
        <v>0</v>
      </c>
      <c r="AZ54" s="212">
        <f t="shared" si="414"/>
        <v>0</v>
      </c>
      <c r="BA54" s="212">
        <f t="shared" si="414"/>
        <v>0</v>
      </c>
      <c r="BB54" s="212">
        <f t="shared" si="414"/>
        <v>0</v>
      </c>
      <c r="BC54" s="212">
        <f t="shared" si="414"/>
        <v>0</v>
      </c>
      <c r="BD54" s="212">
        <f t="shared" si="414"/>
        <v>0</v>
      </c>
      <c r="BE54" s="212">
        <f t="shared" si="414"/>
        <v>0</v>
      </c>
      <c r="BF54" s="212">
        <f t="shared" si="414"/>
        <v>0</v>
      </c>
      <c r="BG54" s="212">
        <f t="shared" si="414"/>
        <v>0</v>
      </c>
      <c r="BH54" s="212">
        <f t="shared" si="414"/>
        <v>0</v>
      </c>
      <c r="BI54" s="212">
        <f t="shared" si="414"/>
        <v>0</v>
      </c>
      <c r="BJ54" s="212">
        <f t="shared" si="414"/>
        <v>0</v>
      </c>
      <c r="BK54" s="123"/>
      <c r="BL54" s="348"/>
      <c r="BM54" s="348"/>
      <c r="BN54" s="348">
        <f>+SUM(O54:R54)</f>
        <v>5.7</v>
      </c>
      <c r="BO54" s="348">
        <f>+SUM(S54:V54)</f>
        <v>24.099999999999998</v>
      </c>
      <c r="BP54" s="55">
        <f>SUM(W54:Z54)</f>
        <v>14.6</v>
      </c>
      <c r="BQ54" s="55">
        <f>SUM(AA54:AD54)</f>
        <v>21.9</v>
      </c>
      <c r="BR54" s="55">
        <f>SUM(AE54:AH54)</f>
        <v>7.2999999999999989</v>
      </c>
      <c r="BS54" s="348"/>
      <c r="BT54" s="348"/>
      <c r="BU54" s="348"/>
      <c r="BV54" s="348"/>
      <c r="BW54" s="348"/>
      <c r="BX54" s="348"/>
      <c r="BY54" s="348"/>
      <c r="BZ54" s="207"/>
      <c r="CA54" s="207"/>
    </row>
    <row r="55" spans="1:79" ht="12" customHeight="1">
      <c r="A55" s="206" t="s">
        <v>293</v>
      </c>
      <c r="B55" s="10" t="s">
        <v>445</v>
      </c>
      <c r="C55" s="10"/>
      <c r="D55" s="10"/>
      <c r="E55" s="10"/>
      <c r="F55" s="10"/>
      <c r="G55" s="10"/>
      <c r="H55" s="10"/>
      <c r="I55" s="10"/>
      <c r="J55" s="10"/>
      <c r="K55" s="10"/>
      <c r="L55" s="10"/>
      <c r="M55" s="10"/>
      <c r="N55" s="10"/>
      <c r="O55" s="11">
        <f>+O52+O54+O53</f>
        <v>14.899999999999999</v>
      </c>
      <c r="P55" s="11">
        <f t="shared" ref="P55:AX55" si="415">+P52+P54+P53</f>
        <v>20.5</v>
      </c>
      <c r="Q55" s="11">
        <f t="shared" si="415"/>
        <v>15.200000000000001</v>
      </c>
      <c r="R55" s="11">
        <f t="shared" si="415"/>
        <v>16.800000000000004</v>
      </c>
      <c r="S55" s="11">
        <f t="shared" si="415"/>
        <v>17.200000000000003</v>
      </c>
      <c r="T55" s="11">
        <f t="shared" si="415"/>
        <v>15.999999999999996</v>
      </c>
      <c r="U55" s="11">
        <f t="shared" si="415"/>
        <v>21.900000000000002</v>
      </c>
      <c r="V55" s="11">
        <f t="shared" si="415"/>
        <v>23.599999999999998</v>
      </c>
      <c r="W55" s="11">
        <f t="shared" si="415"/>
        <v>27.200000000000003</v>
      </c>
      <c r="X55" s="11">
        <f t="shared" si="415"/>
        <v>25.600000000000009</v>
      </c>
      <c r="Y55" s="11">
        <f t="shared" si="415"/>
        <v>28.899999999999995</v>
      </c>
      <c r="Z55" s="11">
        <f t="shared" si="415"/>
        <v>31.200000000000006</v>
      </c>
      <c r="AA55" s="11">
        <f t="shared" si="415"/>
        <v>31.900000000000006</v>
      </c>
      <c r="AB55" s="11">
        <f t="shared" si="415"/>
        <v>33.400000000000013</v>
      </c>
      <c r="AC55" s="11">
        <f t="shared" si="415"/>
        <v>41.199999999999989</v>
      </c>
      <c r="AD55" s="11">
        <f t="shared" ref="AD55:AI55" si="416">+AD52+AD54+AD53</f>
        <v>44.199999999999996</v>
      </c>
      <c r="AE55" s="11">
        <f t="shared" si="416"/>
        <v>45.900000000000006</v>
      </c>
      <c r="AF55" s="11">
        <f t="shared" si="416"/>
        <v>53.099999999999987</v>
      </c>
      <c r="AG55" s="11">
        <f t="shared" si="416"/>
        <v>54.800000000000011</v>
      </c>
      <c r="AH55" s="11">
        <f t="shared" si="416"/>
        <v>56.40000000000002</v>
      </c>
      <c r="AI55" s="11">
        <f t="shared" si="416"/>
        <v>61.200000000000031</v>
      </c>
      <c r="AJ55" s="11">
        <f t="shared" ref="AJ55:AK55" si="417">+AJ52+AJ54+AJ53</f>
        <v>67.900000000000006</v>
      </c>
      <c r="AK55" s="11">
        <f t="shared" si="417"/>
        <v>71.399999999999991</v>
      </c>
      <c r="AL55" s="11">
        <f t="shared" ref="AL55" si="418">+AL52+AL54+AL53</f>
        <v>78.399999999999991</v>
      </c>
      <c r="AM55" s="11">
        <f t="shared" ca="1" si="415"/>
        <v>75.161143442369806</v>
      </c>
      <c r="AN55" s="11">
        <f t="shared" ca="1" si="415"/>
        <v>76.448870593322283</v>
      </c>
      <c r="AO55" s="11">
        <f t="shared" ca="1" si="415"/>
        <v>77.573715338403147</v>
      </c>
      <c r="AP55" s="11">
        <f t="shared" ca="1" si="415"/>
        <v>85.711908082142145</v>
      </c>
      <c r="AQ55" s="11">
        <f t="shared" ca="1" si="415"/>
        <v>87.90726113304936</v>
      </c>
      <c r="AR55" s="11">
        <f t="shared" ca="1" si="415"/>
        <v>87.317269757663723</v>
      </c>
      <c r="AS55" s="11">
        <f t="shared" ca="1" si="415"/>
        <v>89.832319019619135</v>
      </c>
      <c r="AT55" s="11">
        <f t="shared" ca="1" si="415"/>
        <v>98.437540310667316</v>
      </c>
      <c r="AU55" s="11">
        <f t="shared" ca="1" si="415"/>
        <v>100.95017183984552</v>
      </c>
      <c r="AV55" s="11">
        <f t="shared" ca="1" si="415"/>
        <v>99.521122613195686</v>
      </c>
      <c r="AW55" s="11">
        <f t="shared" ca="1" si="415"/>
        <v>101.40639085271542</v>
      </c>
      <c r="AX55" s="11">
        <f t="shared" ca="1" si="415"/>
        <v>110.25569060284447</v>
      </c>
      <c r="AY55" s="11">
        <f t="shared" ref="AY55:BJ55" ca="1" si="419">+AY52+AY54+AY53</f>
        <v>112.25212494916586</v>
      </c>
      <c r="AZ55" s="11">
        <f t="shared" ca="1" si="419"/>
        <v>110.3853777661752</v>
      </c>
      <c r="BA55" s="11">
        <f t="shared" ca="1" si="419"/>
        <v>113.06524312633044</v>
      </c>
      <c r="BB55" s="11">
        <f t="shared" ca="1" si="419"/>
        <v>124.23651747903341</v>
      </c>
      <c r="BC55" s="11">
        <f t="shared" ca="1" si="419"/>
        <v>126.9824708238984</v>
      </c>
      <c r="BD55" s="11">
        <f t="shared" ca="1" si="419"/>
        <v>125.50469696916146</v>
      </c>
      <c r="BE55" s="11">
        <f t="shared" ca="1" si="419"/>
        <v>127.31421493821284</v>
      </c>
      <c r="BF55" s="11">
        <f t="shared" ca="1" si="419"/>
        <v>138.28804337802634</v>
      </c>
      <c r="BG55" s="11">
        <f t="shared" ca="1" si="419"/>
        <v>140.64900093497752</v>
      </c>
      <c r="BH55" s="11">
        <f t="shared" ca="1" si="419"/>
        <v>138.89891346329335</v>
      </c>
      <c r="BI55" s="11">
        <f t="shared" ca="1" si="419"/>
        <v>140.92661301724522</v>
      </c>
      <c r="BJ55" s="11">
        <f t="shared" ca="1" si="419"/>
        <v>152.15161538993743</v>
      </c>
      <c r="BK55" s="1"/>
      <c r="BL55" s="11"/>
      <c r="BM55" s="11"/>
      <c r="BN55" s="53">
        <f t="shared" ref="BN55:BV55" si="420">+BN52+BN54+BN53</f>
        <v>67.400000000000006</v>
      </c>
      <c r="BO55" s="53">
        <f t="shared" si="420"/>
        <v>78.699999999999989</v>
      </c>
      <c r="BP55" s="53">
        <f t="shared" si="420"/>
        <v>112.9</v>
      </c>
      <c r="BQ55" s="53">
        <f t="shared" si="420"/>
        <v>150.69999999999999</v>
      </c>
      <c r="BR55" s="53">
        <f t="shared" si="420"/>
        <v>210.20000000000007</v>
      </c>
      <c r="BS55" s="53">
        <f t="shared" si="420"/>
        <v>228.00000000000003</v>
      </c>
      <c r="BT55" s="53">
        <f t="shared" ca="1" si="420"/>
        <v>314.89563745623735</v>
      </c>
      <c r="BU55" s="53">
        <f t="shared" ca="1" si="420"/>
        <v>363.49439022099949</v>
      </c>
      <c r="BV55" s="53">
        <f t="shared" ca="1" si="420"/>
        <v>412.13337590860107</v>
      </c>
      <c r="BW55" s="53">
        <f t="shared" ref="BW55:BY55" ca="1" si="421">+BW52+BW54+BW53</f>
        <v>459.93926332070492</v>
      </c>
      <c r="BX55" s="53">
        <f t="shared" ca="1" si="421"/>
        <v>518.08942610929898</v>
      </c>
      <c r="BY55" s="53">
        <f t="shared" ca="1" si="421"/>
        <v>572.62614280545358</v>
      </c>
    </row>
    <row r="56" spans="1:79" ht="12" customHeight="1">
      <c r="B56" s="2" t="s">
        <v>32</v>
      </c>
      <c r="C56" s="2"/>
      <c r="D56" s="2"/>
      <c r="E56" s="2"/>
      <c r="F56" s="2"/>
      <c r="G56" s="2"/>
      <c r="H56" s="2"/>
      <c r="I56" s="2"/>
      <c r="J56" s="2"/>
      <c r="K56" s="2"/>
      <c r="L56" s="2"/>
      <c r="M56" s="2"/>
      <c r="N56" s="2"/>
      <c r="O56" s="80">
        <f>0.8-2.3</f>
        <v>-1.4999999999999998</v>
      </c>
      <c r="P56" s="80">
        <f>1.4-1.7-0.7</f>
        <v>-1</v>
      </c>
      <c r="Q56" s="80">
        <f>1.2-2</f>
        <v>-0.8</v>
      </c>
      <c r="R56" s="80">
        <f>-1.1-2.3</f>
        <v>-3.4</v>
      </c>
      <c r="S56" s="80">
        <f>-2.3-0.9</f>
        <v>-3.1999999999999997</v>
      </c>
      <c r="T56" s="80">
        <f>-3.7-2.5</f>
        <v>-6.2</v>
      </c>
      <c r="U56" s="80">
        <f>-3.7-1.7</f>
        <v>-5.4</v>
      </c>
      <c r="V56" s="80">
        <f>-4.2-1.7</f>
        <v>-5.9</v>
      </c>
      <c r="W56" s="80">
        <f>-0.6-3</f>
        <v>-3.6</v>
      </c>
      <c r="X56" s="80">
        <f>-3.7-1.4</f>
        <v>-5.0999999999999996</v>
      </c>
      <c r="Y56" s="80">
        <f>-1.5-0.9</f>
        <v>-2.4</v>
      </c>
      <c r="Z56" s="80">
        <f>-2.3-2.9</f>
        <v>-5.1999999999999993</v>
      </c>
      <c r="AA56" s="80">
        <f>-1.4-0.5</f>
        <v>-1.9</v>
      </c>
      <c r="AB56" s="80">
        <f>-0.3-1.5</f>
        <v>-1.8</v>
      </c>
      <c r="AC56" s="80">
        <f>-1.6-1.6</f>
        <v>-3.2</v>
      </c>
      <c r="AD56" s="80">
        <f>-3.3+1.1</f>
        <v>-2.1999999999999997</v>
      </c>
      <c r="AE56" s="80">
        <f>-1.9-2</f>
        <v>-3.9</v>
      </c>
      <c r="AF56" s="80">
        <f>-5-3.4</f>
        <v>-8.4</v>
      </c>
      <c r="AG56" s="80">
        <f>-10.7-3</f>
        <v>-13.7</v>
      </c>
      <c r="AH56" s="80">
        <f>-2.5-3.8</f>
        <v>-6.3</v>
      </c>
      <c r="AI56" s="80">
        <f>-9.4-3.9</f>
        <v>-13.3</v>
      </c>
      <c r="AJ56" s="525">
        <f>-2.7-3.8</f>
        <v>-6.5</v>
      </c>
      <c r="AK56" s="525">
        <f>6.5-6.1</f>
        <v>0.40000000000000036</v>
      </c>
      <c r="AL56" s="525">
        <f>-3.6-3.5</f>
        <v>-7.1</v>
      </c>
      <c r="AM56" s="123">
        <f ca="1">+AM252*AM9</f>
        <v>-7.3661115105421882</v>
      </c>
      <c r="AN56" s="123">
        <f t="shared" ref="AN56:AX56" ca="1" si="422">+AN252*AN9</f>
        <v>-7.8462393096006497</v>
      </c>
      <c r="AO56" s="123">
        <f t="shared" ca="1" si="422"/>
        <v>-8.2205558278986022</v>
      </c>
      <c r="AP56" s="123">
        <f t="shared" ca="1" si="422"/>
        <v>-8.578747049623173</v>
      </c>
      <c r="AQ56" s="123">
        <f t="shared" ca="1" si="422"/>
        <v>-8.891038054180628</v>
      </c>
      <c r="AR56" s="123">
        <f t="shared" ca="1" si="422"/>
        <v>-9.2011120682215193</v>
      </c>
      <c r="AS56" s="123">
        <f t="shared" ca="1" si="422"/>
        <v>-9.5090042241261319</v>
      </c>
      <c r="AT56" s="123">
        <f t="shared" ca="1" si="422"/>
        <v>-9.8147491188558309</v>
      </c>
      <c r="AU56" s="123">
        <f t="shared" ca="1" si="422"/>
        <v>-10.118380822185133</v>
      </c>
      <c r="AV56" s="123">
        <f t="shared" ca="1" si="422"/>
        <v>-10.419932884807503</v>
      </c>
      <c r="AW56" s="123">
        <f t="shared" ca="1" si="422"/>
        <v>-10.719438346316732</v>
      </c>
      <c r="AX56" s="123">
        <f t="shared" ca="1" si="422"/>
        <v>-11.016929743065868</v>
      </c>
      <c r="AY56" s="123">
        <f t="shared" ref="AY56:BJ56" ca="1" si="423">+AY252*AY9</f>
        <v>-11.400967794209812</v>
      </c>
      <c r="AZ56" s="123">
        <f t="shared" ca="1" si="423"/>
        <v>-11.782006325262625</v>
      </c>
      <c r="BA56" s="123">
        <f t="shared" ca="1" si="423"/>
        <v>-12.16009359600695</v>
      </c>
      <c r="BB56" s="123">
        <f t="shared" ca="1" si="423"/>
        <v>-12.535277133208202</v>
      </c>
      <c r="BC56" s="123">
        <f t="shared" ca="1" si="423"/>
        <v>-12.907603741893425</v>
      </c>
      <c r="BD56" s="123">
        <f t="shared" ca="1" si="423"/>
        <v>-13.277119516457093</v>
      </c>
      <c r="BE56" s="123">
        <f t="shared" ca="1" si="423"/>
        <v>-13.643869851596568</v>
      </c>
      <c r="BF56" s="123">
        <f t="shared" ca="1" si="423"/>
        <v>-14.007899453079769</v>
      </c>
      <c r="BG56" s="123">
        <f t="shared" ca="1" si="423"/>
        <v>-14.369252348347676</v>
      </c>
      <c r="BH56" s="123">
        <f t="shared" ca="1" si="423"/>
        <v>-14.727971896954161</v>
      </c>
      <c r="BI56" s="123">
        <f t="shared" ca="1" si="423"/>
        <v>-15.084100800845693</v>
      </c>
      <c r="BJ56" s="123">
        <f t="shared" ca="1" si="423"/>
        <v>-15.437681114483315</v>
      </c>
      <c r="BK56" s="1"/>
      <c r="BL56" s="55"/>
      <c r="BM56" s="55"/>
      <c r="BN56" s="55">
        <f>SUM(O56:R56)</f>
        <v>-6.6999999999999993</v>
      </c>
      <c r="BO56" s="55">
        <f>SUM(S56:V56)</f>
        <v>-20.700000000000003</v>
      </c>
      <c r="BP56" s="55">
        <f>SUM(W56:Z56)</f>
        <v>-16.299999999999997</v>
      </c>
      <c r="BQ56" s="55">
        <f>SUM(AA56:AD56)</f>
        <v>-9.1</v>
      </c>
      <c r="BR56" s="348">
        <f>SUM(AE56:AH56)</f>
        <v>-32.299999999999997</v>
      </c>
      <c r="BS56" s="348">
        <f>SUM(AI56:AL56)</f>
        <v>-26.5</v>
      </c>
      <c r="BT56" s="348">
        <f ca="1">SUM(AM56:AP56)</f>
        <v>-32.011653697664613</v>
      </c>
      <c r="BU56" s="348">
        <f ca="1">SUM(AQ56:AT56)</f>
        <v>-37.415903465384105</v>
      </c>
      <c r="BV56" s="348">
        <f ca="1">SUM(AU56:AX56)</f>
        <v>-42.274681796375233</v>
      </c>
      <c r="BW56" s="348">
        <f ca="1">SUM(AY56:BB56)</f>
        <v>-47.87834484868759</v>
      </c>
      <c r="BX56" s="348">
        <f ca="1">SUM(BC56:BF56)</f>
        <v>-53.836492563026852</v>
      </c>
      <c r="BY56" s="348">
        <f ca="1">SUM(BG56:BJ56)</f>
        <v>-59.619006160630846</v>
      </c>
    </row>
    <row r="57" spans="1:79" ht="12" customHeight="1">
      <c r="B57" s="2" t="s">
        <v>33</v>
      </c>
      <c r="C57" s="2"/>
      <c r="D57" s="2"/>
      <c r="E57" s="2"/>
      <c r="F57" s="2"/>
      <c r="G57" s="2"/>
      <c r="H57" s="2"/>
      <c r="I57" s="2"/>
      <c r="J57" s="2"/>
      <c r="K57" s="2"/>
      <c r="L57" s="2"/>
      <c r="M57" s="2"/>
      <c r="N57" s="2"/>
      <c r="O57" s="22"/>
      <c r="P57" s="22"/>
      <c r="Q57" s="22"/>
      <c r="R57" s="80">
        <v>0.3</v>
      </c>
      <c r="S57" s="80">
        <f>0.6</f>
        <v>0.6</v>
      </c>
      <c r="T57" s="80">
        <v>1.7</v>
      </c>
      <c r="U57" s="80">
        <v>0.5</v>
      </c>
      <c r="V57" s="80">
        <v>1.3</v>
      </c>
      <c r="W57" s="80">
        <v>0.9</v>
      </c>
      <c r="X57" s="80">
        <v>0.9</v>
      </c>
      <c r="Y57" s="80">
        <v>0.9</v>
      </c>
      <c r="Z57" s="80">
        <v>0.7</v>
      </c>
      <c r="AA57" s="80">
        <v>0.7</v>
      </c>
      <c r="AB57" s="80">
        <v>0.7</v>
      </c>
      <c r="AC57" s="80">
        <v>0.9</v>
      </c>
      <c r="AD57" s="80">
        <v>1.1000000000000001</v>
      </c>
      <c r="AE57" s="80">
        <v>0.9</v>
      </c>
      <c r="AF57" s="80">
        <v>1.1000000000000001</v>
      </c>
      <c r="AG57" s="80">
        <v>1</v>
      </c>
      <c r="AH57" s="80">
        <v>1.1000000000000001</v>
      </c>
      <c r="AI57" s="80">
        <v>1</v>
      </c>
      <c r="AJ57" s="80">
        <v>1.2</v>
      </c>
      <c r="AK57" s="80">
        <v>1.2</v>
      </c>
      <c r="AL57" s="80">
        <v>0.9</v>
      </c>
      <c r="AM57" s="212">
        <f t="shared" ref="AM57:AX57" si="424">+AL57</f>
        <v>0.9</v>
      </c>
      <c r="AN57" s="212">
        <f t="shared" si="424"/>
        <v>0.9</v>
      </c>
      <c r="AO57" s="212">
        <f t="shared" si="424"/>
        <v>0.9</v>
      </c>
      <c r="AP57" s="212">
        <f t="shared" si="424"/>
        <v>0.9</v>
      </c>
      <c r="AQ57" s="212">
        <f t="shared" si="424"/>
        <v>0.9</v>
      </c>
      <c r="AR57" s="212">
        <f t="shared" si="424"/>
        <v>0.9</v>
      </c>
      <c r="AS57" s="212">
        <f t="shared" si="424"/>
        <v>0.9</v>
      </c>
      <c r="AT57" s="212">
        <f t="shared" si="424"/>
        <v>0.9</v>
      </c>
      <c r="AU57" s="212">
        <f t="shared" si="424"/>
        <v>0.9</v>
      </c>
      <c r="AV57" s="212">
        <f t="shared" si="424"/>
        <v>0.9</v>
      </c>
      <c r="AW57" s="212">
        <f t="shared" si="424"/>
        <v>0.9</v>
      </c>
      <c r="AX57" s="212">
        <f t="shared" si="424"/>
        <v>0.9</v>
      </c>
      <c r="AY57" s="212">
        <f t="shared" ref="AY57" si="425">+AX57</f>
        <v>0.9</v>
      </c>
      <c r="AZ57" s="212">
        <f t="shared" ref="AZ57" si="426">+AY57</f>
        <v>0.9</v>
      </c>
      <c r="BA57" s="212">
        <f t="shared" ref="BA57" si="427">+AZ57</f>
        <v>0.9</v>
      </c>
      <c r="BB57" s="212">
        <f t="shared" ref="BB57" si="428">+BA57</f>
        <v>0.9</v>
      </c>
      <c r="BC57" s="212">
        <f t="shared" ref="BC57" si="429">+BB57</f>
        <v>0.9</v>
      </c>
      <c r="BD57" s="212">
        <f t="shared" ref="BD57" si="430">+BC57</f>
        <v>0.9</v>
      </c>
      <c r="BE57" s="212">
        <f t="shared" ref="BE57" si="431">+BD57</f>
        <v>0.9</v>
      </c>
      <c r="BF57" s="212">
        <f t="shared" ref="BF57" si="432">+BE57</f>
        <v>0.9</v>
      </c>
      <c r="BG57" s="212">
        <f t="shared" ref="BG57" si="433">+BF57</f>
        <v>0.9</v>
      </c>
      <c r="BH57" s="212">
        <f t="shared" ref="BH57" si="434">+BG57</f>
        <v>0.9</v>
      </c>
      <c r="BI57" s="212">
        <f t="shared" ref="BI57" si="435">+BH57</f>
        <v>0.9</v>
      </c>
      <c r="BJ57" s="212">
        <f t="shared" ref="BJ57" si="436">+BI57</f>
        <v>0.9</v>
      </c>
      <c r="BK57" s="1"/>
      <c r="BL57" s="144">
        <v>-0.7</v>
      </c>
      <c r="BM57" s="144">
        <v>0</v>
      </c>
      <c r="BN57" s="55">
        <f>SUM(O57:R57)</f>
        <v>0.3</v>
      </c>
      <c r="BO57" s="55">
        <f>SUM(S57:V57)</f>
        <v>4.0999999999999996</v>
      </c>
      <c r="BP57" s="55">
        <f>SUM(W57:Z57)</f>
        <v>3.4000000000000004</v>
      </c>
      <c r="BQ57" s="55">
        <f>SUM(AA57:AD57)</f>
        <v>3.4</v>
      </c>
      <c r="BR57" s="348">
        <f>SUM(AE57:AH57)</f>
        <v>4.0999999999999996</v>
      </c>
      <c r="BS57" s="348">
        <f>SUM(AI57:AL57)</f>
        <v>4.3000000000000007</v>
      </c>
      <c r="BT57" s="348">
        <f>SUM(AM57:AP57)</f>
        <v>3.6</v>
      </c>
      <c r="BU57" s="348">
        <f>SUM(AQ57:AT57)</f>
        <v>3.6</v>
      </c>
      <c r="BV57" s="348">
        <f>SUM(AU57:AX57)</f>
        <v>3.6</v>
      </c>
      <c r="BW57" s="348">
        <f>SUM(AY57:BB57)</f>
        <v>3.6</v>
      </c>
      <c r="BX57" s="348">
        <f>SUM(BC57:BF57)</f>
        <v>3.6</v>
      </c>
      <c r="BY57" s="348">
        <f>SUM(BG57:BJ57)</f>
        <v>3.6</v>
      </c>
    </row>
    <row r="58" spans="1:79" ht="12" customHeight="1">
      <c r="B58" s="2" t="s">
        <v>140</v>
      </c>
      <c r="C58" s="2"/>
      <c r="D58" s="2"/>
      <c r="E58" s="2"/>
      <c r="F58" s="2"/>
      <c r="G58" s="2"/>
      <c r="H58" s="2"/>
      <c r="I58" s="2"/>
      <c r="J58" s="2"/>
      <c r="K58" s="2"/>
      <c r="L58" s="2"/>
      <c r="M58" s="2"/>
      <c r="N58" s="2"/>
      <c r="O58" s="80">
        <v>-0.6</v>
      </c>
      <c r="P58" s="80">
        <v>-0.7</v>
      </c>
      <c r="Q58" s="80">
        <v>-1</v>
      </c>
      <c r="R58" s="80">
        <v>-1.6</v>
      </c>
      <c r="S58" s="80">
        <v>-0.3</v>
      </c>
      <c r="T58" s="80">
        <v>-0.4</v>
      </c>
      <c r="U58" s="80">
        <v>-1.6</v>
      </c>
      <c r="V58" s="80">
        <v>-1.9</v>
      </c>
      <c r="W58" s="80">
        <v>-0.4</v>
      </c>
      <c r="X58" s="80">
        <v>-0.3</v>
      </c>
      <c r="Y58" s="80">
        <v>-2.1</v>
      </c>
      <c r="Z58" s="80">
        <v>-1</v>
      </c>
      <c r="AA58" s="80">
        <v>-0.2</v>
      </c>
      <c r="AB58" s="80">
        <v>-0.3</v>
      </c>
      <c r="AC58" s="80">
        <v>-1.2</v>
      </c>
      <c r="AD58" s="80">
        <v>-0.7</v>
      </c>
      <c r="AE58" s="80">
        <v>-0.9</v>
      </c>
      <c r="AF58" s="80">
        <v>-0.9</v>
      </c>
      <c r="AG58" s="80">
        <v>-1.7</v>
      </c>
      <c r="AH58" s="80">
        <v>-1.9</v>
      </c>
      <c r="AI58" s="80">
        <v>-1.5</v>
      </c>
      <c r="AJ58" s="80">
        <v>-0.7</v>
      </c>
      <c r="AK58" s="80">
        <v>-0.6</v>
      </c>
      <c r="AL58" s="80">
        <v>-1.6</v>
      </c>
      <c r="AM58" s="123">
        <f ca="1">-AM25*AM253</f>
        <v>-1.5914575583782484</v>
      </c>
      <c r="AN58" s="123">
        <f t="shared" ref="AN58:AX58" ca="1" si="437">-AN25*AN253</f>
        <v>-1.7113905671311873</v>
      </c>
      <c r="AO58" s="123">
        <f t="shared" ca="1" si="437"/>
        <v>-1.8294556975498526</v>
      </c>
      <c r="AP58" s="123">
        <f t="shared" ca="1" si="437"/>
        <v>-1.8784818683546256</v>
      </c>
      <c r="AQ58" s="123">
        <f t="shared" ca="1" si="437"/>
        <v>-1.7641831280831515</v>
      </c>
      <c r="AR58" s="123">
        <f t="shared" ca="1" si="437"/>
        <v>-1.7053101564459943</v>
      </c>
      <c r="AS58" s="123">
        <f t="shared" ca="1" si="437"/>
        <v>-1.8465437171278527</v>
      </c>
      <c r="AT58" s="123">
        <f t="shared" ca="1" si="437"/>
        <v>-2.1151862574540909</v>
      </c>
      <c r="AU58" s="123">
        <f t="shared" ca="1" si="437"/>
        <v>-2.1402424180034072</v>
      </c>
      <c r="AV58" s="123">
        <f t="shared" ca="1" si="437"/>
        <v>-2.13715707418879</v>
      </c>
      <c r="AW58" s="123">
        <f t="shared" ca="1" si="437"/>
        <v>-2.1735779082192646</v>
      </c>
      <c r="AX58" s="123">
        <f t="shared" ca="1" si="437"/>
        <v>-2.2937245159570629</v>
      </c>
      <c r="AY58" s="123">
        <f t="shared" ref="AY58:BJ58" ca="1" si="438">-AY25*AY253</f>
        <v>-2.3348590930620094</v>
      </c>
      <c r="AZ58" s="123">
        <f t="shared" ca="1" si="438"/>
        <v>-2.3619685369610526</v>
      </c>
      <c r="BA58" s="123">
        <f t="shared" ca="1" si="438"/>
        <v>-2.4522278249814389</v>
      </c>
      <c r="BB58" s="123">
        <f t="shared" ca="1" si="438"/>
        <v>-2.6397917980570358</v>
      </c>
      <c r="BC58" s="123">
        <f t="shared" ca="1" si="438"/>
        <v>-2.6832807267191177</v>
      </c>
      <c r="BD58" s="123">
        <f t="shared" ca="1" si="438"/>
        <v>-2.6854910604453059</v>
      </c>
      <c r="BE58" s="123">
        <f t="shared" ca="1" si="438"/>
        <v>-2.7452679862418181</v>
      </c>
      <c r="BF58" s="123">
        <f t="shared" ca="1" si="438"/>
        <v>-2.9268714486695155</v>
      </c>
      <c r="BG58" s="123">
        <f t="shared" ca="1" si="438"/>
        <v>-2.9738124773264385</v>
      </c>
      <c r="BH58" s="123">
        <f t="shared" ca="1" si="438"/>
        <v>-2.9760423027122882</v>
      </c>
      <c r="BI58" s="123">
        <f t="shared" ca="1" si="438"/>
        <v>-3.040420028704228</v>
      </c>
      <c r="BJ58" s="123">
        <f t="shared" ca="1" si="438"/>
        <v>-3.2342589198436933</v>
      </c>
      <c r="BK58" s="1"/>
      <c r="BL58" s="55"/>
      <c r="BM58" s="55"/>
      <c r="BN58" s="55">
        <f>SUM(O58:R58)</f>
        <v>-3.9</v>
      </c>
      <c r="BO58" s="55">
        <f>SUM(S58:V58)</f>
        <v>-4.1999999999999993</v>
      </c>
      <c r="BP58" s="55">
        <f>SUM(W58:Z58)</f>
        <v>-3.8</v>
      </c>
      <c r="BQ58" s="55">
        <f>SUM(AA58:AD58)</f>
        <v>-2.4</v>
      </c>
      <c r="BR58" s="348">
        <f>SUM(AE58:AH58)</f>
        <v>-5.4</v>
      </c>
      <c r="BS58" s="348">
        <f>SUM(AI58:AL58)</f>
        <v>-4.4000000000000004</v>
      </c>
      <c r="BT58" s="348">
        <f ca="1">SUM(AM58:AP58)</f>
        <v>-7.0107856914139139</v>
      </c>
      <c r="BU58" s="348">
        <f ca="1">SUM(AQ58:AT58)</f>
        <v>-7.4312232591110892</v>
      </c>
      <c r="BV58" s="348">
        <f ca="1">SUM(AU58:AX58)</f>
        <v>-8.7447019163685251</v>
      </c>
      <c r="BW58" s="348">
        <f ca="1">SUM(AY58:BB58)</f>
        <v>-9.7888472530615367</v>
      </c>
      <c r="BX58" s="348">
        <f ca="1">SUM(BC58:BF58)</f>
        <v>-11.040911222075756</v>
      </c>
      <c r="BY58" s="348">
        <f ca="1">SUM(BG58:BJ58)</f>
        <v>-12.224533728586648</v>
      </c>
    </row>
    <row r="59" spans="1:79" ht="12" customHeight="1">
      <c r="B59" s="2" t="s">
        <v>35</v>
      </c>
      <c r="C59" s="2"/>
      <c r="D59" s="2"/>
      <c r="E59" s="2"/>
      <c r="F59" s="2"/>
      <c r="G59" s="2"/>
      <c r="H59" s="2"/>
      <c r="I59" s="2"/>
      <c r="J59" s="2"/>
      <c r="K59" s="2"/>
      <c r="L59" s="2"/>
      <c r="M59" s="2"/>
      <c r="N59" s="2"/>
      <c r="O59" s="80">
        <v>0.5</v>
      </c>
      <c r="P59" s="80">
        <f>+P31</f>
        <v>0.4</v>
      </c>
      <c r="Q59" s="80">
        <v>1.7</v>
      </c>
      <c r="R59" s="80">
        <v>0.8</v>
      </c>
      <c r="S59" s="80">
        <v>1.2</v>
      </c>
      <c r="T59" s="80">
        <v>1.8</v>
      </c>
      <c r="U59" s="29">
        <f t="shared" ref="U59:Z59" si="439">+U31</f>
        <v>2</v>
      </c>
      <c r="V59" s="29">
        <f t="shared" si="439"/>
        <v>1.3</v>
      </c>
      <c r="W59" s="29">
        <f t="shared" si="439"/>
        <v>2.2000000000000002</v>
      </c>
      <c r="X59" s="29">
        <f t="shared" si="439"/>
        <v>2.8</v>
      </c>
      <c r="Y59" s="29">
        <f t="shared" si="439"/>
        <v>2.6</v>
      </c>
      <c r="Z59" s="29">
        <f t="shared" si="439"/>
        <v>2.7</v>
      </c>
      <c r="AA59" s="29">
        <f>+AA31</f>
        <v>3</v>
      </c>
      <c r="AB59" s="452">
        <v>3.1</v>
      </c>
      <c r="AC59" s="452">
        <v>3.5</v>
      </c>
      <c r="AD59" s="452">
        <v>2.4</v>
      </c>
      <c r="AE59" s="452">
        <v>3</v>
      </c>
      <c r="AF59" s="452">
        <v>3.2</v>
      </c>
      <c r="AG59" s="452">
        <v>2.2999999999999998</v>
      </c>
      <c r="AH59" s="452">
        <v>3</v>
      </c>
      <c r="AI59" s="452">
        <v>3.7</v>
      </c>
      <c r="AJ59" s="452">
        <v>4</v>
      </c>
      <c r="AK59" s="452">
        <v>3.9</v>
      </c>
      <c r="AL59" s="452">
        <v>3.1</v>
      </c>
      <c r="AM59" s="123">
        <f t="shared" ref="AM59:AX59" ca="1" si="440">+AM31</f>
        <v>3.6936480369526028</v>
      </c>
      <c r="AN59" s="123">
        <f t="shared" ca="1" si="440"/>
        <v>3.8572168985144022</v>
      </c>
      <c r="AO59" s="123">
        <f t="shared" ca="1" si="440"/>
        <v>3.9543062347914804</v>
      </c>
      <c r="AP59" s="123">
        <f t="shared" ca="1" si="440"/>
        <v>4.2329003110403276</v>
      </c>
      <c r="AQ59" s="123">
        <f t="shared" ca="1" si="440"/>
        <v>4.4466877100633351</v>
      </c>
      <c r="AR59" s="123">
        <f t="shared" ca="1" si="440"/>
        <v>4.4586864277716103</v>
      </c>
      <c r="AS59" s="123">
        <f t="shared" ca="1" si="440"/>
        <v>4.57526013991043</v>
      </c>
      <c r="AT59" s="123">
        <f t="shared" ca="1" si="440"/>
        <v>4.9089956086034823</v>
      </c>
      <c r="AU59" s="123">
        <f t="shared" ca="1" si="440"/>
        <v>5.0273863310564337</v>
      </c>
      <c r="AV59" s="123">
        <f t="shared" ca="1" si="440"/>
        <v>5.0399941756072719</v>
      </c>
      <c r="AW59" s="123">
        <f t="shared" ca="1" si="440"/>
        <v>5.1644763437009278</v>
      </c>
      <c r="AX59" s="123">
        <f t="shared" ca="1" si="440"/>
        <v>5.519031658785539</v>
      </c>
      <c r="AY59" s="123">
        <f t="shared" ref="AY59:BJ59" ca="1" si="441">+AY31</f>
        <v>5.6568086573006582</v>
      </c>
      <c r="AZ59" s="123">
        <f t="shared" ca="1" si="441"/>
        <v>5.6983427238897262</v>
      </c>
      <c r="BA59" s="123">
        <f t="shared" ca="1" si="441"/>
        <v>5.8606668769907246</v>
      </c>
      <c r="BB59" s="123">
        <f t="shared" ca="1" si="441"/>
        <v>6.2804071430866424</v>
      </c>
      <c r="BC59" s="123">
        <f t="shared" ca="1" si="441"/>
        <v>6.4027683530630846</v>
      </c>
      <c r="BD59" s="123">
        <f t="shared" ca="1" si="441"/>
        <v>6.4216874888956825</v>
      </c>
      <c r="BE59" s="123">
        <f t="shared" ca="1" si="441"/>
        <v>6.5762243577161783</v>
      </c>
      <c r="BF59" s="123">
        <f t="shared" ca="1" si="441"/>
        <v>7.0181732827266057</v>
      </c>
      <c r="BG59" s="123">
        <f t="shared" ca="1" si="441"/>
        <v>7.1275449532265993</v>
      </c>
      <c r="BH59" s="123">
        <f t="shared" ca="1" si="441"/>
        <v>7.1235206735491046</v>
      </c>
      <c r="BI59" s="123">
        <f t="shared" ca="1" si="441"/>
        <v>7.2704707666102957</v>
      </c>
      <c r="BJ59" s="123">
        <f t="shared" ca="1" si="441"/>
        <v>7.7344773183992972</v>
      </c>
      <c r="BK59" s="1"/>
      <c r="BL59" s="55"/>
      <c r="BM59" s="55"/>
      <c r="BN59" s="55">
        <f>SUM(O59:R59)</f>
        <v>3.4000000000000004</v>
      </c>
      <c r="BO59" s="55">
        <f>SUM(S59:V59)</f>
        <v>6.3</v>
      </c>
      <c r="BP59" s="55">
        <f>SUM(W59:Z59)</f>
        <v>10.3</v>
      </c>
      <c r="BQ59" s="55">
        <f>SUM(AA59:AD59)</f>
        <v>12</v>
      </c>
      <c r="BR59" s="348">
        <f>SUM(AE59:AH59)</f>
        <v>11.5</v>
      </c>
      <c r="BS59" s="348">
        <f>SUM(AI59:AL59)</f>
        <v>14.7</v>
      </c>
      <c r="BT59" s="348">
        <f ca="1">SUM(AM59:AP59)</f>
        <v>15.738071481298814</v>
      </c>
      <c r="BU59" s="348">
        <f ca="1">SUM(AQ59:AT59)</f>
        <v>18.389629886348857</v>
      </c>
      <c r="BV59" s="348">
        <f ca="1">SUM(AU59:AX59)</f>
        <v>20.750888509150172</v>
      </c>
      <c r="BW59" s="348">
        <f ca="1">SUM(AY59:BB59)</f>
        <v>23.49622540126775</v>
      </c>
      <c r="BX59" s="348">
        <f ca="1">SUM(BC59:BF59)</f>
        <v>26.418853482401552</v>
      </c>
      <c r="BY59" s="348">
        <f ca="1">SUM(BG59:BJ59)</f>
        <v>29.256013711785297</v>
      </c>
    </row>
    <row r="60" spans="1:79" ht="12" customHeight="1">
      <c r="B60" s="2" t="s">
        <v>12</v>
      </c>
      <c r="C60" s="2"/>
      <c r="D60" s="2"/>
      <c r="E60" s="2"/>
      <c r="F60" s="2"/>
      <c r="G60" s="2"/>
      <c r="H60" s="2"/>
      <c r="I60" s="2"/>
      <c r="J60" s="2"/>
      <c r="K60" s="2"/>
      <c r="L60" s="2"/>
      <c r="M60" s="2"/>
      <c r="N60" s="2"/>
      <c r="O60" s="80">
        <f>-1.6+0.4</f>
        <v>-1.2000000000000002</v>
      </c>
      <c r="P60" s="80">
        <v>-4.8</v>
      </c>
      <c r="Q60" s="80">
        <f>-1-0.9</f>
        <v>-1.9</v>
      </c>
      <c r="R60" s="80">
        <f>1.1-0.5</f>
        <v>0.60000000000000009</v>
      </c>
      <c r="S60" s="80">
        <f>0.4+1.6</f>
        <v>2</v>
      </c>
      <c r="T60" s="80">
        <v>1.9</v>
      </c>
      <c r="U60" s="80">
        <v>1.9</v>
      </c>
      <c r="V60" s="80">
        <v>2.4</v>
      </c>
      <c r="W60" s="80">
        <v>1.2</v>
      </c>
      <c r="X60" s="80">
        <v>1.4</v>
      </c>
      <c r="Y60" s="80">
        <v>1.2</v>
      </c>
      <c r="Z60" s="80">
        <v>1.4</v>
      </c>
      <c r="AA60" s="80">
        <v>1.5</v>
      </c>
      <c r="AB60" s="80">
        <v>1.4</v>
      </c>
      <c r="AC60" s="80">
        <v>1.6</v>
      </c>
      <c r="AD60" s="80">
        <v>1.5</v>
      </c>
      <c r="AE60" s="80">
        <v>1.5</v>
      </c>
      <c r="AF60" s="80">
        <v>1.4</v>
      </c>
      <c r="AG60" s="80">
        <v>1.6</v>
      </c>
      <c r="AH60" s="80">
        <v>1.7</v>
      </c>
      <c r="AI60" s="80">
        <v>1.8</v>
      </c>
      <c r="AJ60" s="80">
        <v>1.7</v>
      </c>
      <c r="AK60" s="80">
        <v>1.8</v>
      </c>
      <c r="AL60" s="80">
        <v>1.6</v>
      </c>
      <c r="AM60" s="350">
        <f ca="1">+AL60*AM9/AL9</f>
        <v>1.6599687911080989</v>
      </c>
      <c r="AN60" s="350">
        <f t="shared" ref="AN60:AX60" ca="1" si="442">+AM60*AN9/AM9</f>
        <v>1.7681666049804283</v>
      </c>
      <c r="AO60" s="350">
        <f t="shared" ca="1" si="442"/>
        <v>1.8525196231884178</v>
      </c>
      <c r="AP60" s="350">
        <f t="shared" ca="1" si="442"/>
        <v>1.9332387717460673</v>
      </c>
      <c r="AQ60" s="350">
        <f t="shared" ca="1" si="442"/>
        <v>2.0036142093928175</v>
      </c>
      <c r="AR60" s="350">
        <f t="shared" ca="1" si="442"/>
        <v>2.0734900435428778</v>
      </c>
      <c r="AS60" s="350">
        <f t="shared" ca="1" si="442"/>
        <v>2.1428741913523681</v>
      </c>
      <c r="AT60" s="350">
        <f t="shared" ca="1" si="442"/>
        <v>2.2117744493196239</v>
      </c>
      <c r="AU60" s="350">
        <f t="shared" ca="1" si="442"/>
        <v>2.2801984951403118</v>
      </c>
      <c r="AV60" s="350">
        <f t="shared" ca="1" si="442"/>
        <v>2.3481538895340854</v>
      </c>
      <c r="AW60" s="350">
        <f t="shared" ca="1" si="442"/>
        <v>2.4156480780432075</v>
      </c>
      <c r="AX60" s="350">
        <f t="shared" ca="1" si="442"/>
        <v>2.4826883928035763</v>
      </c>
      <c r="AY60" s="350">
        <f t="shared" ref="AY60" ca="1" si="443">+AX60*AY9/AX9</f>
        <v>2.5692321789768595</v>
      </c>
      <c r="AZ60" s="350">
        <f t="shared" ref="AZ60" ca="1" si="444">+AY60*AZ9/AY9</f>
        <v>2.6551000169605921</v>
      </c>
      <c r="BA60" s="350">
        <f t="shared" ref="BA60" ca="1" si="445">+AZ60*BA9/AZ9</f>
        <v>2.7403027821987496</v>
      </c>
      <c r="BB60" s="350">
        <f t="shared" ref="BB60" ca="1" si="446">+BA60*BB9/BA9</f>
        <v>2.8248511849483275</v>
      </c>
      <c r="BC60" s="350">
        <f t="shared" ref="BC60" ca="1" si="447">+BB60*BC9/BB9</f>
        <v>2.9087557728210536</v>
      </c>
      <c r="BD60" s="350">
        <f t="shared" ref="BD60" ca="1" si="448">+BC60*BD9/BC9</f>
        <v>2.9920269332861058</v>
      </c>
      <c r="BE60" s="350">
        <f t="shared" ref="BE60" ca="1" si="449">+BD60*BE9/BD9</f>
        <v>3.0746748961344377</v>
      </c>
      <c r="BF60" s="350">
        <f t="shared" ref="BF60" ca="1" si="450">+BE60*BF9/BE9</f>
        <v>3.1567097359053</v>
      </c>
      <c r="BG60" s="350">
        <f t="shared" ref="BG60" ca="1" si="451">+BF60*BG9/BF9</f>
        <v>3.2381413742755325</v>
      </c>
      <c r="BH60" s="350">
        <f t="shared" ref="BH60" ca="1" si="452">+BG60*BH9/BG9</f>
        <v>3.3189795824122053</v>
      </c>
      <c r="BI60" s="350">
        <f t="shared" ref="BI60" ca="1" si="453">+BH60*BI9/BH9</f>
        <v>3.3992339832891703</v>
      </c>
      <c r="BJ60" s="350">
        <f t="shared" ref="BJ60" ca="1" si="454">+BI60*BJ9/BI9</f>
        <v>3.478914053968071</v>
      </c>
      <c r="BK60" s="1"/>
      <c r="BL60" s="55"/>
      <c r="BM60" s="55"/>
      <c r="BN60" s="55">
        <f>SUM(O60:R60)</f>
        <v>-7.3000000000000007</v>
      </c>
      <c r="BO60" s="55">
        <f>SUM(S60:V60)</f>
        <v>8.1999999999999993</v>
      </c>
      <c r="BP60" s="55">
        <f>SUM(W60:Z60)</f>
        <v>5.1999999999999993</v>
      </c>
      <c r="BQ60" s="55">
        <f>SUM(AA60:AD60)</f>
        <v>6</v>
      </c>
      <c r="BR60" s="348">
        <f>SUM(AE60:AH60)</f>
        <v>6.2</v>
      </c>
      <c r="BS60" s="348">
        <f>SUM(AI60:AL60)</f>
        <v>6.9</v>
      </c>
      <c r="BT60" s="348">
        <f ca="1">SUM(AM60:AP60)</f>
        <v>7.213893791023013</v>
      </c>
      <c r="BU60" s="348">
        <f ca="1">SUM(AQ60:AT60)</f>
        <v>8.4317528936076869</v>
      </c>
      <c r="BV60" s="348">
        <f ca="1">SUM(AU60:AX60)</f>
        <v>9.5266888555211811</v>
      </c>
      <c r="BW60" s="348">
        <f ca="1">SUM(AY60:BB60)</f>
        <v>10.789486163084529</v>
      </c>
      <c r="BX60" s="348">
        <f ca="1">SUM(BC60:BF60)</f>
        <v>12.132167338146898</v>
      </c>
      <c r="BY60" s="348">
        <f ca="1">SUM(BG60:BJ60)</f>
        <v>13.435268993944979</v>
      </c>
    </row>
    <row r="61" spans="1:79" ht="12" customHeight="1">
      <c r="A61" s="206" t="s">
        <v>293</v>
      </c>
      <c r="B61" s="10" t="s">
        <v>139</v>
      </c>
      <c r="C61" s="10"/>
      <c r="D61" s="10"/>
      <c r="E61" s="10"/>
      <c r="F61" s="10"/>
      <c r="G61" s="10"/>
      <c r="H61" s="10"/>
      <c r="I61" s="10"/>
      <c r="J61" s="10"/>
      <c r="K61" s="10"/>
      <c r="L61" s="10"/>
      <c r="M61" s="10"/>
      <c r="N61" s="10"/>
      <c r="O61" s="11">
        <f t="shared" ref="O61:W61" si="455">SUM(O55,O60,O59,O58,O57,O56)</f>
        <v>12.1</v>
      </c>
      <c r="P61" s="11">
        <f t="shared" si="455"/>
        <v>14.399999999999999</v>
      </c>
      <c r="Q61" s="11">
        <f t="shared" si="455"/>
        <v>13.2</v>
      </c>
      <c r="R61" s="11">
        <f t="shared" si="455"/>
        <v>13.500000000000005</v>
      </c>
      <c r="S61" s="11">
        <f t="shared" si="455"/>
        <v>17.500000000000004</v>
      </c>
      <c r="T61" s="11">
        <f t="shared" si="455"/>
        <v>14.799999999999997</v>
      </c>
      <c r="U61" s="11">
        <f t="shared" si="455"/>
        <v>19.299999999999997</v>
      </c>
      <c r="V61" s="11">
        <f t="shared" si="455"/>
        <v>20.799999999999997</v>
      </c>
      <c r="W61" s="11">
        <f t="shared" si="455"/>
        <v>27.5</v>
      </c>
      <c r="X61" s="11">
        <f t="shared" ref="X61:AC61" si="456">SUM(X55,X60,X59,X58,X57,X56)</f>
        <v>25.300000000000004</v>
      </c>
      <c r="Y61" s="11">
        <f t="shared" si="456"/>
        <v>29.099999999999994</v>
      </c>
      <c r="Z61" s="11">
        <f t="shared" si="456"/>
        <v>29.800000000000015</v>
      </c>
      <c r="AA61" s="11">
        <f t="shared" si="456"/>
        <v>35.000000000000007</v>
      </c>
      <c r="AB61" s="11">
        <f t="shared" si="456"/>
        <v>36.500000000000021</v>
      </c>
      <c r="AC61" s="11">
        <f t="shared" si="456"/>
        <v>42.799999999999983</v>
      </c>
      <c r="AD61" s="11">
        <f t="shared" ref="AD61:AI61" si="457">SUM(AD55,AD60,AD59,AD58,AD57,AD56)</f>
        <v>46.29999999999999</v>
      </c>
      <c r="AE61" s="11">
        <f t="shared" si="457"/>
        <v>46.500000000000007</v>
      </c>
      <c r="AF61" s="11">
        <f t="shared" si="457"/>
        <v>49.499999999999993</v>
      </c>
      <c r="AG61" s="11">
        <f t="shared" si="457"/>
        <v>44.300000000000011</v>
      </c>
      <c r="AH61" s="11">
        <f t="shared" si="457"/>
        <v>54.000000000000028</v>
      </c>
      <c r="AI61" s="11">
        <f t="shared" si="457"/>
        <v>52.900000000000034</v>
      </c>
      <c r="AJ61" s="11">
        <f t="shared" ref="AJ61:AK61" si="458">SUM(AJ55,AJ60,AJ59,AJ58,AJ57,AJ56)</f>
        <v>67.600000000000009</v>
      </c>
      <c r="AK61" s="11">
        <f t="shared" si="458"/>
        <v>78.100000000000009</v>
      </c>
      <c r="AL61" s="11">
        <f t="shared" ref="AL61" si="459">SUM(AL55,AL60,AL59,AL58,AL57,AL56)</f>
        <v>75.3</v>
      </c>
      <c r="AM61" s="11">
        <f t="shared" ref="AM61:AX61" ca="1" si="460">SUM(AM55,AM60,AM59,AM58,AM57,AM56)</f>
        <v>72.457191201510085</v>
      </c>
      <c r="AN61" s="11">
        <f t="shared" ca="1" si="460"/>
        <v>73.416624220085282</v>
      </c>
      <c r="AO61" s="11">
        <f t="shared" ca="1" si="460"/>
        <v>74.230529670934587</v>
      </c>
      <c r="AP61" s="11">
        <f t="shared" ca="1" si="460"/>
        <v>82.320818246950736</v>
      </c>
      <c r="AQ61" s="11">
        <f t="shared" ca="1" si="460"/>
        <v>84.602341870241744</v>
      </c>
      <c r="AR61" s="11">
        <f t="shared" ca="1" si="460"/>
        <v>83.843024004310706</v>
      </c>
      <c r="AS61" s="11">
        <f t="shared" ca="1" si="460"/>
        <v>86.094905409627941</v>
      </c>
      <c r="AT61" s="11">
        <f t="shared" ca="1" si="460"/>
        <v>94.528374992280504</v>
      </c>
      <c r="AU61" s="11">
        <f t="shared" ca="1" si="460"/>
        <v>96.899133425853734</v>
      </c>
      <c r="AV61" s="11">
        <f t="shared" ca="1" si="460"/>
        <v>95.252180719340757</v>
      </c>
      <c r="AW61" s="11">
        <f t="shared" ca="1" si="460"/>
        <v>96.993499019923561</v>
      </c>
      <c r="AX61" s="11">
        <f t="shared" ca="1" si="460"/>
        <v>105.84675639541065</v>
      </c>
      <c r="AY61" s="11">
        <f t="shared" ref="AY61:BJ61" ca="1" si="461">SUM(AY55,AY60,AY59,AY58,AY57,AY56)</f>
        <v>107.64233889817157</v>
      </c>
      <c r="AZ61" s="11">
        <f t="shared" ca="1" si="461"/>
        <v>105.49484564480183</v>
      </c>
      <c r="BA61" s="11">
        <f t="shared" ca="1" si="461"/>
        <v>107.95389136453154</v>
      </c>
      <c r="BB61" s="11">
        <f t="shared" ca="1" si="461"/>
        <v>119.06670687580315</v>
      </c>
      <c r="BC61" s="11">
        <f t="shared" ca="1" si="461"/>
        <v>121.60311048117002</v>
      </c>
      <c r="BD61" s="11">
        <f t="shared" ca="1" si="461"/>
        <v>119.85580081444085</v>
      </c>
      <c r="BE61" s="11">
        <f t="shared" ca="1" si="461"/>
        <v>121.47597635422507</v>
      </c>
      <c r="BF61" s="11">
        <f t="shared" ca="1" si="461"/>
        <v>132.42815549490896</v>
      </c>
      <c r="BG61" s="11">
        <f t="shared" ca="1" si="461"/>
        <v>134.57162243680551</v>
      </c>
      <c r="BH61" s="11">
        <f t="shared" ca="1" si="461"/>
        <v>132.53739951958821</v>
      </c>
      <c r="BI61" s="11">
        <f t="shared" ca="1" si="461"/>
        <v>134.37179693759475</v>
      </c>
      <c r="BJ61" s="11">
        <f t="shared" ca="1" si="461"/>
        <v>145.5930667279778</v>
      </c>
      <c r="BK61" s="1"/>
      <c r="BL61" s="53"/>
      <c r="BM61" s="53"/>
      <c r="BN61" s="53">
        <f>SUM(BN55,BN60,BN59,BN58,BN57,BN56)</f>
        <v>53.2</v>
      </c>
      <c r="BO61" s="53">
        <f>SUM(BO55,BO60,BO59,BO58,BO57,BO56)</f>
        <v>72.399999999999977</v>
      </c>
      <c r="BP61" s="53">
        <f>SUM(BP55,BP60,BP59,BP58,BP57,BP56)</f>
        <v>111.7</v>
      </c>
      <c r="BQ61" s="53">
        <f>SUM(BQ55,BQ60,BQ59,BQ58,BQ57,BQ56)</f>
        <v>160.6</v>
      </c>
      <c r="BR61" s="53">
        <f t="shared" ref="BR61:BV61" si="462">SUM(BR55,BR60,BR59,BR58,BR57,BR56)</f>
        <v>194.30000000000007</v>
      </c>
      <c r="BS61" s="53">
        <f t="shared" si="462"/>
        <v>223.00000000000003</v>
      </c>
      <c r="BT61" s="53">
        <f t="shared" ca="1" si="462"/>
        <v>302.42516333948066</v>
      </c>
      <c r="BU61" s="53">
        <f t="shared" ca="1" si="462"/>
        <v>349.06864627646087</v>
      </c>
      <c r="BV61" s="53">
        <f t="shared" ca="1" si="462"/>
        <v>394.99156956052866</v>
      </c>
      <c r="BW61" s="53">
        <f t="shared" ref="BW61:BY61" ca="1" si="463">SUM(BW55,BW60,BW59,BW58,BW57,BW56)</f>
        <v>440.15778278330811</v>
      </c>
      <c r="BX61" s="53">
        <f t="shared" ca="1" si="463"/>
        <v>495.36304314474484</v>
      </c>
      <c r="BY61" s="53">
        <f t="shared" ca="1" si="463"/>
        <v>547.07388562196638</v>
      </c>
    </row>
    <row r="62" spans="1:79" ht="12" hidden="1" customHeight="1" outlineLevel="1">
      <c r="B62" s="2" t="s">
        <v>162</v>
      </c>
      <c r="C62" s="2"/>
      <c r="D62" s="2"/>
      <c r="E62" s="2"/>
      <c r="F62" s="2"/>
      <c r="G62" s="2"/>
      <c r="H62" s="2"/>
      <c r="I62" s="2"/>
      <c r="J62" s="2"/>
      <c r="K62" s="2"/>
      <c r="L62" s="2"/>
      <c r="M62" s="2"/>
      <c r="N62" s="2"/>
      <c r="O62" s="29">
        <f t="shared" ref="O62:V62" si="464">140*-0.064/4-O37</f>
        <v>-0.80250000000000021</v>
      </c>
      <c r="P62" s="29">
        <f t="shared" si="464"/>
        <v>-0.80250000000000021</v>
      </c>
      <c r="Q62" s="29">
        <f t="shared" si="464"/>
        <v>-0.80250000000000021</v>
      </c>
      <c r="R62" s="29">
        <f t="shared" si="464"/>
        <v>-0.80250000000000021</v>
      </c>
      <c r="S62" s="29">
        <f t="shared" si="464"/>
        <v>-0.80250000000000021</v>
      </c>
      <c r="T62" s="29">
        <f t="shared" si="464"/>
        <v>-0.80250000000000021</v>
      </c>
      <c r="U62" s="29">
        <f t="shared" si="464"/>
        <v>-0.80250000000000021</v>
      </c>
      <c r="V62" s="29">
        <f t="shared" si="464"/>
        <v>-0.80250000000000021</v>
      </c>
      <c r="W62" s="29">
        <f t="shared" ref="W62:AB62" si="465">140*-0.064/4-W37</f>
        <v>-0.80250000000000021</v>
      </c>
      <c r="X62" s="29">
        <f t="shared" si="465"/>
        <v>-0.80250000000000021</v>
      </c>
      <c r="Y62" s="29">
        <f t="shared" si="465"/>
        <v>-0.80250000000000021</v>
      </c>
      <c r="Z62" s="29">
        <f t="shared" si="465"/>
        <v>-0.80250000000000021</v>
      </c>
      <c r="AA62" s="29">
        <f t="shared" si="465"/>
        <v>-2.2400000000000002</v>
      </c>
      <c r="AB62" s="29">
        <f t="shared" si="465"/>
        <v>-2.2400000000000002</v>
      </c>
      <c r="AC62" s="29">
        <f t="shared" ref="AC62:AH62" si="466">140*-0.064/4-AC37</f>
        <v>-2.2400000000000002</v>
      </c>
      <c r="AD62" s="29">
        <f t="shared" si="466"/>
        <v>-2.2400000000000002</v>
      </c>
      <c r="AE62" s="29">
        <f t="shared" si="466"/>
        <v>-2.2400000000000002</v>
      </c>
      <c r="AF62" s="29">
        <f t="shared" si="466"/>
        <v>-2.2400000000000002</v>
      </c>
      <c r="AG62" s="29">
        <f t="shared" si="466"/>
        <v>-2.2400000000000002</v>
      </c>
      <c r="AH62" s="29">
        <f t="shared" si="466"/>
        <v>-2.2400000000000002</v>
      </c>
      <c r="AI62" s="29">
        <f t="shared" ref="AI62:AJ62" si="467">140*-0.064/4-AI37</f>
        <v>-2.2400000000000002</v>
      </c>
      <c r="AJ62" s="29">
        <f t="shared" si="467"/>
        <v>-2.2400000000000002</v>
      </c>
      <c r="AK62" s="29">
        <f t="shared" ref="AK62:AL62" si="468">140*-0.064/4-AK37</f>
        <v>-2.2400000000000002</v>
      </c>
      <c r="AL62" s="29">
        <f t="shared" si="468"/>
        <v>-2.2400000000000002</v>
      </c>
      <c r="AM62" s="29">
        <f t="shared" ref="AM62:AX62" si="469">AL62</f>
        <v>-2.2400000000000002</v>
      </c>
      <c r="AN62" s="29">
        <f t="shared" si="469"/>
        <v>-2.2400000000000002</v>
      </c>
      <c r="AO62" s="29">
        <f t="shared" si="469"/>
        <v>-2.2400000000000002</v>
      </c>
      <c r="AP62" s="29">
        <f t="shared" si="469"/>
        <v>-2.2400000000000002</v>
      </c>
      <c r="AQ62" s="29">
        <f t="shared" si="469"/>
        <v>-2.2400000000000002</v>
      </c>
      <c r="AR62" s="29">
        <f t="shared" si="469"/>
        <v>-2.2400000000000002</v>
      </c>
      <c r="AS62" s="29">
        <f t="shared" si="469"/>
        <v>-2.2400000000000002</v>
      </c>
      <c r="AT62" s="29">
        <f t="shared" si="469"/>
        <v>-2.2400000000000002</v>
      </c>
      <c r="AU62" s="29">
        <f t="shared" si="469"/>
        <v>-2.2400000000000002</v>
      </c>
      <c r="AV62" s="29">
        <f t="shared" si="469"/>
        <v>-2.2400000000000002</v>
      </c>
      <c r="AW62" s="29">
        <f t="shared" si="469"/>
        <v>-2.2400000000000002</v>
      </c>
      <c r="AX62" s="29">
        <f t="shared" si="469"/>
        <v>-2.2400000000000002</v>
      </c>
      <c r="AY62" s="29">
        <f t="shared" ref="AY62" si="470">AX62</f>
        <v>-2.2400000000000002</v>
      </c>
      <c r="AZ62" s="29">
        <f t="shared" ref="AZ62" si="471">AY62</f>
        <v>-2.2400000000000002</v>
      </c>
      <c r="BA62" s="29">
        <f t="shared" ref="BA62" si="472">AZ62</f>
        <v>-2.2400000000000002</v>
      </c>
      <c r="BB62" s="29">
        <f t="shared" ref="BB62" si="473">BA62</f>
        <v>-2.2400000000000002</v>
      </c>
      <c r="BC62" s="29">
        <f t="shared" ref="BC62" si="474">BB62</f>
        <v>-2.2400000000000002</v>
      </c>
      <c r="BD62" s="29">
        <f t="shared" ref="BD62" si="475">BC62</f>
        <v>-2.2400000000000002</v>
      </c>
      <c r="BE62" s="29">
        <f t="shared" ref="BE62" si="476">BD62</f>
        <v>-2.2400000000000002</v>
      </c>
      <c r="BF62" s="29">
        <f t="shared" ref="BF62" si="477">BE62</f>
        <v>-2.2400000000000002</v>
      </c>
      <c r="BG62" s="29">
        <f t="shared" ref="BG62" si="478">BF62</f>
        <v>-2.2400000000000002</v>
      </c>
      <c r="BH62" s="29">
        <f t="shared" ref="BH62" si="479">BG62</f>
        <v>-2.2400000000000002</v>
      </c>
      <c r="BI62" s="29">
        <f t="shared" ref="BI62" si="480">BH62</f>
        <v>-2.2400000000000002</v>
      </c>
      <c r="BJ62" s="29">
        <f t="shared" ref="BJ62" si="481">BI62</f>
        <v>-2.2400000000000002</v>
      </c>
      <c r="BK62" s="1"/>
      <c r="BL62" s="75"/>
      <c r="BM62" s="75"/>
      <c r="BN62" s="55">
        <f>SUM(O62:R62)</f>
        <v>-3.2100000000000009</v>
      </c>
      <c r="BO62" s="55">
        <f>SUM(S62:V62)</f>
        <v>-3.2100000000000009</v>
      </c>
      <c r="BP62" s="55">
        <f>SUM(W62:Z62)</f>
        <v>-3.2100000000000009</v>
      </c>
      <c r="BQ62" s="55">
        <f t="shared" ref="BQ62:BV63" si="482">SUM(AA62:AD62)</f>
        <v>-8.9600000000000009</v>
      </c>
      <c r="BR62" s="55">
        <f t="shared" si="482"/>
        <v>-8.9600000000000009</v>
      </c>
      <c r="BS62" s="55">
        <f t="shared" si="482"/>
        <v>-8.9600000000000009</v>
      </c>
      <c r="BT62" s="55">
        <f t="shared" si="482"/>
        <v>-8.9600000000000009</v>
      </c>
      <c r="BU62" s="55">
        <f t="shared" si="482"/>
        <v>-8.9600000000000009</v>
      </c>
      <c r="BV62" s="55">
        <f t="shared" si="482"/>
        <v>-8.9600000000000009</v>
      </c>
      <c r="BW62" s="55">
        <f t="shared" ref="BW62:BY63" si="483">SUM(AG62:AJ62)</f>
        <v>-8.9600000000000009</v>
      </c>
      <c r="BX62" s="55">
        <f t="shared" si="483"/>
        <v>-8.9600000000000009</v>
      </c>
      <c r="BY62" s="55">
        <f t="shared" si="483"/>
        <v>-8.9600000000000009</v>
      </c>
    </row>
    <row r="63" spans="1:79" ht="12" hidden="1" customHeight="1" outlineLevel="1">
      <c r="B63" s="10" t="s">
        <v>163</v>
      </c>
      <c r="C63" s="10"/>
      <c r="D63" s="10"/>
      <c r="E63" s="10"/>
      <c r="F63" s="10"/>
      <c r="G63" s="10"/>
      <c r="H63" s="10"/>
      <c r="I63" s="10"/>
      <c r="J63" s="10"/>
      <c r="K63" s="10"/>
      <c r="L63" s="10"/>
      <c r="M63" s="10"/>
      <c r="N63" s="10"/>
      <c r="O63" s="11">
        <f t="shared" ref="O63:W63" si="484">+O62+O61</f>
        <v>11.297499999999999</v>
      </c>
      <c r="P63" s="11">
        <f t="shared" si="484"/>
        <v>13.597499999999998</v>
      </c>
      <c r="Q63" s="11">
        <f t="shared" si="484"/>
        <v>12.397499999999999</v>
      </c>
      <c r="R63" s="11">
        <f t="shared" si="484"/>
        <v>12.697500000000005</v>
      </c>
      <c r="S63" s="11">
        <f t="shared" si="484"/>
        <v>16.697500000000005</v>
      </c>
      <c r="T63" s="11">
        <f t="shared" si="484"/>
        <v>13.997499999999997</v>
      </c>
      <c r="U63" s="11">
        <f t="shared" si="484"/>
        <v>18.497499999999995</v>
      </c>
      <c r="V63" s="11">
        <f t="shared" si="484"/>
        <v>19.997499999999995</v>
      </c>
      <c r="W63" s="11">
        <f t="shared" si="484"/>
        <v>26.697499999999998</v>
      </c>
      <c r="X63" s="11">
        <f t="shared" ref="X63:AC63" si="485">+X62+X61</f>
        <v>24.497500000000002</v>
      </c>
      <c r="Y63" s="11">
        <f t="shared" si="485"/>
        <v>28.297499999999992</v>
      </c>
      <c r="Z63" s="11">
        <f t="shared" si="485"/>
        <v>28.997500000000016</v>
      </c>
      <c r="AA63" s="11">
        <f t="shared" si="485"/>
        <v>32.760000000000005</v>
      </c>
      <c r="AB63" s="11">
        <f t="shared" si="485"/>
        <v>34.260000000000019</v>
      </c>
      <c r="AC63" s="11">
        <f t="shared" si="485"/>
        <v>40.559999999999981</v>
      </c>
      <c r="AD63" s="11">
        <f t="shared" ref="AD63:AI63" si="486">+AD62+AD61</f>
        <v>44.059999999999988</v>
      </c>
      <c r="AE63" s="11">
        <f t="shared" si="486"/>
        <v>44.260000000000005</v>
      </c>
      <c r="AF63" s="11">
        <f t="shared" si="486"/>
        <v>47.259999999999991</v>
      </c>
      <c r="AG63" s="11">
        <f t="shared" si="486"/>
        <v>42.060000000000009</v>
      </c>
      <c r="AH63" s="11">
        <f t="shared" si="486"/>
        <v>51.760000000000026</v>
      </c>
      <c r="AI63" s="11">
        <f t="shared" si="486"/>
        <v>50.660000000000032</v>
      </c>
      <c r="AJ63" s="11">
        <f t="shared" ref="AJ63:AK63" si="487">+AJ62+AJ61</f>
        <v>65.360000000000014</v>
      </c>
      <c r="AK63" s="11">
        <f t="shared" si="487"/>
        <v>75.860000000000014</v>
      </c>
      <c r="AL63" s="11">
        <f t="shared" ref="AL63" si="488">+AL62+AL61</f>
        <v>73.06</v>
      </c>
      <c r="AM63" s="11">
        <f t="shared" ref="AM63:AX63" ca="1" si="489">+AM62+AM61</f>
        <v>70.21719120151009</v>
      </c>
      <c r="AN63" s="11">
        <f t="shared" ca="1" si="489"/>
        <v>71.176624220085287</v>
      </c>
      <c r="AO63" s="11">
        <f t="shared" ca="1" si="489"/>
        <v>71.990529670934592</v>
      </c>
      <c r="AP63" s="11">
        <f t="shared" ca="1" si="489"/>
        <v>80.080818246950741</v>
      </c>
      <c r="AQ63" s="11">
        <f t="shared" ca="1" si="489"/>
        <v>82.36234187024175</v>
      </c>
      <c r="AR63" s="11">
        <f t="shared" ca="1" si="489"/>
        <v>81.603024004310711</v>
      </c>
      <c r="AS63" s="11">
        <f t="shared" ca="1" si="489"/>
        <v>83.854905409627946</v>
      </c>
      <c r="AT63" s="11">
        <f t="shared" ca="1" si="489"/>
        <v>92.288374992280509</v>
      </c>
      <c r="AU63" s="11">
        <f t="shared" ca="1" si="489"/>
        <v>94.659133425853739</v>
      </c>
      <c r="AV63" s="11">
        <f t="shared" ca="1" si="489"/>
        <v>93.012180719340762</v>
      </c>
      <c r="AW63" s="11">
        <f t="shared" ca="1" si="489"/>
        <v>94.753499019923566</v>
      </c>
      <c r="AX63" s="11">
        <f t="shared" ca="1" si="489"/>
        <v>103.60675639541066</v>
      </c>
      <c r="AY63" s="11">
        <f t="shared" ref="AY63:BJ63" ca="1" si="490">+AY62+AY61</f>
        <v>105.40233889817158</v>
      </c>
      <c r="AZ63" s="11">
        <f t="shared" ca="1" si="490"/>
        <v>103.25484564480183</v>
      </c>
      <c r="BA63" s="11">
        <f t="shared" ca="1" si="490"/>
        <v>105.71389136453155</v>
      </c>
      <c r="BB63" s="11">
        <f t="shared" ca="1" si="490"/>
        <v>116.82670687580315</v>
      </c>
      <c r="BC63" s="11">
        <f t="shared" ca="1" si="490"/>
        <v>119.36311048117003</v>
      </c>
      <c r="BD63" s="11">
        <f t="shared" ca="1" si="490"/>
        <v>117.61580081444086</v>
      </c>
      <c r="BE63" s="11">
        <f t="shared" ca="1" si="490"/>
        <v>119.23597635422507</v>
      </c>
      <c r="BF63" s="11">
        <f t="shared" ca="1" si="490"/>
        <v>130.18815549490895</v>
      </c>
      <c r="BG63" s="11">
        <f t="shared" ca="1" si="490"/>
        <v>132.3316224368055</v>
      </c>
      <c r="BH63" s="11">
        <f t="shared" ca="1" si="490"/>
        <v>130.2973995195882</v>
      </c>
      <c r="BI63" s="11">
        <f t="shared" ca="1" si="490"/>
        <v>132.13179693759474</v>
      </c>
      <c r="BJ63" s="11">
        <f t="shared" ca="1" si="490"/>
        <v>143.35306672797779</v>
      </c>
      <c r="BK63" s="1"/>
      <c r="BL63" s="53"/>
      <c r="BM63" s="53"/>
      <c r="BN63" s="53">
        <f>SUM(O63:R63)</f>
        <v>49.99</v>
      </c>
      <c r="BO63" s="53">
        <f>SUM(S63:V63)</f>
        <v>69.19</v>
      </c>
      <c r="BP63" s="53">
        <f>SUM(W63:Z63)</f>
        <v>108.49000000000001</v>
      </c>
      <c r="BQ63" s="53">
        <f t="shared" si="482"/>
        <v>151.63999999999999</v>
      </c>
      <c r="BR63" s="53">
        <f t="shared" si="482"/>
        <v>163.13999999999999</v>
      </c>
      <c r="BS63" s="53">
        <f t="shared" si="482"/>
        <v>176.14</v>
      </c>
      <c r="BT63" s="53">
        <f t="shared" si="482"/>
        <v>177.64</v>
      </c>
      <c r="BU63" s="53">
        <f t="shared" si="482"/>
        <v>185.34000000000003</v>
      </c>
      <c r="BV63" s="53">
        <f t="shared" si="482"/>
        <v>191.74000000000004</v>
      </c>
      <c r="BW63" s="53">
        <f t="shared" si="483"/>
        <v>209.84000000000009</v>
      </c>
      <c r="BX63" s="53">
        <f t="shared" si="483"/>
        <v>243.6400000000001</v>
      </c>
      <c r="BY63" s="53">
        <f t="shared" si="483"/>
        <v>264.94000000000005</v>
      </c>
    </row>
    <row r="64" spans="1:79" ht="12" customHeight="1" collapsed="1">
      <c r="P64" s="123"/>
      <c r="Q64" s="123"/>
      <c r="R64" s="123"/>
      <c r="S64" s="123"/>
      <c r="T64" s="123"/>
      <c r="U64" s="123"/>
      <c r="V64" s="122"/>
      <c r="W64" s="122"/>
      <c r="X64" s="122"/>
      <c r="Y64" s="122"/>
      <c r="Z64" s="122"/>
      <c r="AA64" s="122"/>
      <c r="AB64" s="122"/>
      <c r="AC64" s="122"/>
      <c r="AD64" s="122"/>
      <c r="AE64" s="122"/>
      <c r="AF64" s="122"/>
      <c r="AG64" s="122"/>
      <c r="AH64" s="122"/>
      <c r="AI64" s="122"/>
      <c r="AJ64" s="122"/>
      <c r="AK64" s="122"/>
      <c r="AL64" s="122"/>
      <c r="BL64" s="54"/>
      <c r="BM64" s="54"/>
      <c r="BN64" s="54"/>
      <c r="BO64" s="54"/>
      <c r="BP64" s="54"/>
      <c r="BQ64" s="54"/>
      <c r="BR64" s="54"/>
      <c r="BS64" s="54"/>
      <c r="BT64" s="54"/>
      <c r="BU64" s="54"/>
      <c r="BV64" s="54"/>
      <c r="BW64" s="54"/>
      <c r="BX64" s="54"/>
      <c r="BY64" s="54"/>
    </row>
    <row r="65" spans="1:85" ht="12" customHeight="1">
      <c r="B65" s="38" t="s">
        <v>71</v>
      </c>
      <c r="C65" s="192"/>
      <c r="D65" s="192"/>
      <c r="E65" s="192"/>
      <c r="F65" s="192"/>
      <c r="G65" s="192"/>
      <c r="H65" s="192"/>
      <c r="I65" s="192"/>
      <c r="J65" s="192"/>
      <c r="K65" s="192"/>
      <c r="L65" s="192"/>
      <c r="M65" s="192"/>
      <c r="N65" s="192"/>
      <c r="P65" s="123"/>
      <c r="Q65" s="207"/>
      <c r="R65" s="207"/>
      <c r="S65" s="207"/>
      <c r="T65" s="207"/>
      <c r="U65" s="207"/>
      <c r="V65" s="207"/>
      <c r="W65" s="207"/>
      <c r="X65" s="207"/>
      <c r="Y65" s="207"/>
      <c r="Z65" s="207"/>
      <c r="AA65" s="207"/>
      <c r="AB65" s="207"/>
      <c r="AC65" s="207"/>
      <c r="AD65" s="207"/>
      <c r="AE65" s="207"/>
      <c r="AF65" s="207"/>
      <c r="AG65" s="207"/>
      <c r="AH65" s="207"/>
      <c r="AI65" s="207"/>
      <c r="AJ65" s="207"/>
      <c r="AK65" s="207"/>
      <c r="AL65" s="207"/>
      <c r="BL65" s="54"/>
      <c r="BM65" s="54"/>
      <c r="BN65" s="54"/>
      <c r="BO65" s="54"/>
      <c r="BP65" s="54"/>
      <c r="BQ65" s="54"/>
      <c r="BR65" s="54"/>
      <c r="BS65" s="54"/>
      <c r="BT65" s="54"/>
      <c r="BU65" s="54"/>
      <c r="BV65" s="54"/>
      <c r="BW65" s="54"/>
      <c r="BX65" s="54"/>
      <c r="BY65" s="54"/>
    </row>
    <row r="66" spans="1:85" ht="12" customHeight="1">
      <c r="A66" s="337"/>
      <c r="B66" s="39" t="s">
        <v>447</v>
      </c>
      <c r="C66" s="193"/>
      <c r="D66" s="193"/>
      <c r="E66" s="193"/>
      <c r="F66" s="193"/>
      <c r="G66" s="193"/>
      <c r="H66" s="193"/>
      <c r="I66" s="193"/>
      <c r="J66" s="193"/>
      <c r="K66" s="193"/>
      <c r="L66" s="193"/>
      <c r="M66" s="193"/>
      <c r="N66" s="193"/>
      <c r="O66" s="59">
        <f t="shared" ref="O66:V66" ca="1" si="491">O55/O84</f>
        <v>0.23109732454439705</v>
      </c>
      <c r="P66" s="59">
        <f t="shared" ca="1" si="491"/>
        <v>0.3179526948429624</v>
      </c>
      <c r="Q66" s="59">
        <f t="shared" ca="1" si="491"/>
        <v>0.23575029081039167</v>
      </c>
      <c r="R66" s="59">
        <f t="shared" ca="1" si="491"/>
        <v>0.26056611089569609</v>
      </c>
      <c r="S66" s="59">
        <f t="shared" ca="1" si="491"/>
        <v>0.26677006591702218</v>
      </c>
      <c r="T66" s="59">
        <f t="shared" ca="1" si="491"/>
        <v>0.24815820085304377</v>
      </c>
      <c r="U66" s="59">
        <f t="shared" si="491"/>
        <v>0.33846958611985378</v>
      </c>
      <c r="V66" s="59">
        <f t="shared" si="491"/>
        <v>0.36544668176271156</v>
      </c>
      <c r="W66" s="59">
        <f t="shared" ref="W66:AX66" si="492">W55/W84</f>
        <v>0.41676050162152012</v>
      </c>
      <c r="X66" s="59">
        <f t="shared" si="492"/>
        <v>0.39224517799672493</v>
      </c>
      <c r="Y66" s="59">
        <f t="shared" si="492"/>
        <v>0.44285346824601179</v>
      </c>
      <c r="Z66" s="59">
        <f t="shared" si="492"/>
        <v>0.4781363568878424</v>
      </c>
      <c r="AA66" s="59">
        <f t="shared" si="492"/>
        <v>0.48583153059122008</v>
      </c>
      <c r="AB66" s="59">
        <f t="shared" ref="AB66:AG66" si="493">AB55/AB84</f>
        <v>0.5059629015578736</v>
      </c>
      <c r="AC66" s="59">
        <f t="shared" si="493"/>
        <v>0.56749311294765825</v>
      </c>
      <c r="AD66" s="59">
        <f t="shared" si="493"/>
        <v>0.60881542699724511</v>
      </c>
      <c r="AE66" s="59">
        <f t="shared" si="493"/>
        <v>0.63049450549450559</v>
      </c>
      <c r="AF66" s="59">
        <f t="shared" si="493"/>
        <v>0.67215189873417702</v>
      </c>
      <c r="AG66" s="59">
        <f t="shared" si="493"/>
        <v>0.67404674046740487</v>
      </c>
      <c r="AH66" s="59">
        <f t="shared" ref="AH66:AM66" si="494">AH55/AH84</f>
        <v>0.68048660149028761</v>
      </c>
      <c r="AI66" s="59">
        <f t="shared" si="494"/>
        <v>0.72426035502958619</v>
      </c>
      <c r="AJ66" s="59">
        <f t="shared" si="494"/>
        <v>0.76723163841807918</v>
      </c>
      <c r="AK66" s="59">
        <f t="shared" si="494"/>
        <v>0.78547854785478533</v>
      </c>
      <c r="AL66" s="59">
        <f t="shared" si="494"/>
        <v>0.83850267379679133</v>
      </c>
      <c r="AM66" s="59">
        <f t="shared" ca="1" si="494"/>
        <v>0.7818057578678077</v>
      </c>
      <c r="AN66" s="59">
        <f t="shared" ca="1" si="492"/>
        <v>0.79520034521797611</v>
      </c>
      <c r="AO66" s="59">
        <f t="shared" ca="1" si="492"/>
        <v>0.78840264021376716</v>
      </c>
      <c r="AP66" s="59">
        <f t="shared" ca="1" si="492"/>
        <v>0.8329240635210996</v>
      </c>
      <c r="AQ66" s="59">
        <f t="shared" ca="1" si="492"/>
        <v>0.8183804389885373</v>
      </c>
      <c r="AR66" s="59">
        <f t="shared" ca="1" si="492"/>
        <v>0.79616896014977157</v>
      </c>
      <c r="AS66" s="59">
        <f t="shared" ca="1" si="492"/>
        <v>0.80259427935824035</v>
      </c>
      <c r="AT66" s="59">
        <f t="shared" ca="1" si="492"/>
        <v>0.84540198477329975</v>
      </c>
      <c r="AU66" s="59">
        <f t="shared" ca="1" si="492"/>
        <v>0.85050499947792557</v>
      </c>
      <c r="AV66" s="59">
        <f t="shared" ca="1" si="492"/>
        <v>0.83846526255014731</v>
      </c>
      <c r="AW66" s="59">
        <f t="shared" ca="1" si="492"/>
        <v>0.83841551270884929</v>
      </c>
      <c r="AX66" s="59">
        <f t="shared" ca="1" si="492"/>
        <v>0.89489120245957487</v>
      </c>
      <c r="AY66" s="59">
        <f t="shared" ref="AY66:BJ66" ca="1" si="495">AY55/AY84</f>
        <v>0.9110952779412359</v>
      </c>
      <c r="AZ66" s="59">
        <f t="shared" ca="1" si="495"/>
        <v>0.89594380936722795</v>
      </c>
      <c r="BA66" s="59">
        <f t="shared" ca="1" si="495"/>
        <v>0.90119585177244099</v>
      </c>
      <c r="BB66" s="59">
        <f t="shared" ca="1" si="495"/>
        <v>0.95586663684814255</v>
      </c>
      <c r="BC66" s="59">
        <f t="shared" ca="1" si="495"/>
        <v>0.9603274918230571</v>
      </c>
      <c r="BD66" s="59">
        <f t="shared" ca="1" si="495"/>
        <v>0.9491515645459031</v>
      </c>
      <c r="BE66" s="59">
        <f t="shared" ca="1" si="495"/>
        <v>0.96283636561610575</v>
      </c>
      <c r="BF66" s="59">
        <f t="shared" ca="1" si="495"/>
        <v>1.028286592482097</v>
      </c>
      <c r="BG66" s="59">
        <f t="shared" ca="1" si="495"/>
        <v>1.0285900984945231</v>
      </c>
      <c r="BH66" s="59">
        <f t="shared" ca="1" si="495"/>
        <v>1.01579141074767</v>
      </c>
      <c r="BI66" s="59">
        <f t="shared" ca="1" si="495"/>
        <v>1.030620322933693</v>
      </c>
      <c r="BJ66" s="59">
        <f t="shared" ca="1" si="495"/>
        <v>1.1127106770732609</v>
      </c>
      <c r="BL66" s="59"/>
      <c r="BM66" s="59"/>
      <c r="BN66" s="59">
        <f ca="1">SUM(O66:R66)</f>
        <v>1.0453664210934472</v>
      </c>
      <c r="BO66" s="59">
        <f ca="1">SUM(S66:V66)</f>
        <v>1.2188445346526313</v>
      </c>
      <c r="BP66" s="59">
        <f>SUM(W66:Z66)</f>
        <v>1.7299955047520994</v>
      </c>
      <c r="BQ66" s="59">
        <f>BQ55/BQ84</f>
        <v>2.1771686049426653</v>
      </c>
      <c r="BR66" s="59">
        <f>SUM(AE66:AH66)</f>
        <v>2.6571797461863751</v>
      </c>
      <c r="BS66" s="59">
        <f>SUM(AI66:AL66)</f>
        <v>3.1154732150992421</v>
      </c>
      <c r="BT66" s="59">
        <f ca="1">SUM(AM66:AP66)</f>
        <v>3.1983328068206509</v>
      </c>
      <c r="BU66" s="59">
        <f ca="1">SUM(AQ66:AT66)</f>
        <v>3.2625456632698486</v>
      </c>
      <c r="BV66" s="59">
        <f ca="1">SUM(AU66:AX66)</f>
        <v>3.4222769771964971</v>
      </c>
      <c r="BW66" s="59">
        <f ca="1">SUM(AY66:BB66)</f>
        <v>3.6641015759290472</v>
      </c>
      <c r="BX66" s="59">
        <f ca="1">SUM(BC66:BF66)</f>
        <v>3.9006020144671627</v>
      </c>
      <c r="BY66" s="59">
        <f ca="1">SUM(BG66:BJ66)</f>
        <v>4.1877125092491472</v>
      </c>
    </row>
    <row r="67" spans="1:85" s="296" customFormat="1" ht="12" customHeight="1">
      <c r="A67" s="18"/>
      <c r="B67" s="40" t="s">
        <v>72</v>
      </c>
      <c r="C67" s="194"/>
      <c r="D67" s="194"/>
      <c r="E67" s="194"/>
      <c r="F67" s="194"/>
      <c r="G67" s="194"/>
      <c r="H67" s="194"/>
      <c r="I67" s="194"/>
      <c r="J67" s="194"/>
      <c r="K67" s="194"/>
      <c r="L67" s="194"/>
      <c r="M67" s="194"/>
      <c r="N67" s="194"/>
      <c r="O67" s="18"/>
      <c r="P67" s="31"/>
      <c r="Q67" s="31"/>
      <c r="R67" s="31"/>
      <c r="S67" s="31"/>
      <c r="T67" s="31"/>
      <c r="U67" s="31"/>
      <c r="V67" s="31"/>
      <c r="W67" s="31"/>
      <c r="X67" s="31"/>
      <c r="Y67" s="31"/>
      <c r="Z67" s="31"/>
      <c r="AA67" s="31"/>
      <c r="AB67" s="31"/>
      <c r="AC67" s="31"/>
      <c r="AD67" s="31"/>
      <c r="AE67" s="31"/>
      <c r="AF67" s="31"/>
      <c r="AG67" s="31"/>
      <c r="AH67" s="31"/>
      <c r="AI67" s="31"/>
      <c r="AJ67" s="31"/>
      <c r="AK67" s="31"/>
      <c r="AL67" s="31"/>
      <c r="AM67" s="76">
        <f t="shared" ref="AM67:AX67" ca="1" si="496">AM66/AI66-1</f>
        <v>7.9454028428590062E-2</v>
      </c>
      <c r="AN67" s="76">
        <f t="shared" ca="1" si="496"/>
        <v>3.6454058200160233E-2</v>
      </c>
      <c r="AO67" s="76">
        <f t="shared" ca="1" si="496"/>
        <v>3.722689011644853E-3</v>
      </c>
      <c r="AP67" s="76">
        <f t="shared" ca="1" si="496"/>
        <v>-6.6530619997089424E-3</v>
      </c>
      <c r="AQ67" s="76">
        <f t="shared" ca="1" si="496"/>
        <v>4.6782312297722672E-2</v>
      </c>
      <c r="AR67" s="76">
        <f t="shared" ca="1" si="496"/>
        <v>1.2180765987090947E-3</v>
      </c>
      <c r="AS67" s="76">
        <f t="shared" ca="1" si="496"/>
        <v>1.8000496726679138E-2</v>
      </c>
      <c r="AT67" s="76">
        <f t="shared" ca="1" si="496"/>
        <v>1.4980862960605412E-2</v>
      </c>
      <c r="AU67" s="76">
        <f t="shared" ca="1" si="496"/>
        <v>3.9253822499829116E-2</v>
      </c>
      <c r="AV67" s="76">
        <f t="shared" ca="1" si="496"/>
        <v>5.3124781946308319E-2</v>
      </c>
      <c r="AW67" s="76">
        <f t="shared" ca="1" si="496"/>
        <v>4.463180746721962E-2</v>
      </c>
      <c r="AX67" s="76">
        <f t="shared" ca="1" si="496"/>
        <v>5.8539273124070146E-2</v>
      </c>
      <c r="AY67" s="76">
        <f t="shared" ref="AY67" ca="1" si="497">AY66/AU66-1</f>
        <v>7.1240355436479552E-2</v>
      </c>
      <c r="AZ67" s="76">
        <f t="shared" ref="AZ67" ca="1" si="498">AZ66/AV66-1</f>
        <v>6.8552090807271648E-2</v>
      </c>
      <c r="BA67" s="76">
        <f t="shared" ref="BA67" ca="1" si="499">BA66/AW66-1</f>
        <v>7.4879744126815861E-2</v>
      </c>
      <c r="BB67" s="76">
        <f t="shared" ref="BB67" ca="1" si="500">BB66/AX66-1</f>
        <v>6.8137259837820485E-2</v>
      </c>
      <c r="BC67" s="76">
        <f t="shared" ref="BC67" ca="1" si="501">BC66/AY66-1</f>
        <v>5.4036295735248707E-2</v>
      </c>
      <c r="BD67" s="76">
        <f t="shared" ref="BD67" ca="1" si="502">BD66/AZ66-1</f>
        <v>5.9387379679819219E-2</v>
      </c>
      <c r="BE67" s="76">
        <f t="shared" ref="BE67" ca="1" si="503">BE66/BA66-1</f>
        <v>6.8398576982386494E-2</v>
      </c>
      <c r="BF67" s="76">
        <f t="shared" ref="BF67" ca="1" si="504">BF66/BB66-1</f>
        <v>7.5763660789281984E-2</v>
      </c>
      <c r="BG67" s="76">
        <f t="shared" ref="BG67" ca="1" si="505">BG66/BC66-1</f>
        <v>7.1082633010826735E-2</v>
      </c>
      <c r="BH67" s="76">
        <f t="shared" ref="BH67" ca="1" si="506">BH66/BD66-1</f>
        <v>7.0209910293567379E-2</v>
      </c>
      <c r="BI67" s="76">
        <f t="shared" ref="BI67" ca="1" si="507">BI66/BE66-1</f>
        <v>7.0400287876760004E-2</v>
      </c>
      <c r="BJ67" s="76">
        <f t="shared" ref="BJ67" ca="1" si="508">BJ66/BF66-1</f>
        <v>8.2101707061432716E-2</v>
      </c>
      <c r="BK67" s="18"/>
      <c r="BL67" s="31"/>
      <c r="BM67" s="31"/>
      <c r="BN67" s="31"/>
      <c r="BO67" s="31"/>
      <c r="BP67" s="351">
        <f t="shared" ref="BP67:BV67" ca="1" si="509">BP66/BO66-1</f>
        <v>0.41937339469233059</v>
      </c>
      <c r="BQ67" s="351">
        <f t="shared" si="509"/>
        <v>0.25848223244640378</v>
      </c>
      <c r="BR67" s="351">
        <f t="shared" si="509"/>
        <v>0.22047495088528102</v>
      </c>
      <c r="BS67" s="351">
        <f t="shared" si="509"/>
        <v>0.17247364224065631</v>
      </c>
      <c r="BT67" s="351">
        <f t="shared" ca="1" si="509"/>
        <v>2.6596149605724984E-2</v>
      </c>
      <c r="BU67" s="351">
        <f t="shared" ca="1" si="509"/>
        <v>2.0076977702964349E-2</v>
      </c>
      <c r="BV67" s="351">
        <f t="shared" ca="1" si="509"/>
        <v>4.8959104457884983E-2</v>
      </c>
      <c r="BW67" s="351">
        <f t="shared" ref="BW67" ca="1" si="510">BW66/BV66-1</f>
        <v>7.0661901518751735E-2</v>
      </c>
      <c r="BX67" s="351">
        <f t="shared" ref="BX67" ca="1" si="511">BX66/BW66-1</f>
        <v>6.4545273551307014E-2</v>
      </c>
      <c r="BY67" s="351">
        <f t="shared" ref="BY67" ca="1" si="512">BY66/BX66-1</f>
        <v>7.3606713455283135E-2</v>
      </c>
      <c r="BZ67" s="18"/>
      <c r="CA67" s="292"/>
      <c r="CB67"/>
      <c r="CC67"/>
      <c r="CD67"/>
      <c r="CE67"/>
      <c r="CF67"/>
      <c r="CG67"/>
    </row>
    <row r="68" spans="1:85" ht="12" customHeight="1">
      <c r="A68" s="337"/>
      <c r="B68" s="39" t="s">
        <v>164</v>
      </c>
      <c r="C68" s="193"/>
      <c r="D68" s="193"/>
      <c r="E68" s="193"/>
      <c r="F68" s="193"/>
      <c r="G68" s="193"/>
      <c r="H68" s="193"/>
      <c r="I68" s="193"/>
      <c r="J68" s="193"/>
      <c r="K68" s="193"/>
      <c r="L68" s="193"/>
      <c r="M68" s="193"/>
      <c r="N68" s="193"/>
      <c r="O68" s="59">
        <f t="shared" ref="O68:V68" ca="1" si="513">O61/O84</f>
        <v>0.18766963939511438</v>
      </c>
      <c r="P68" s="59">
        <f t="shared" ca="1" si="513"/>
        <v>0.22334238076773943</v>
      </c>
      <c r="Q68" s="59">
        <f t="shared" ca="1" si="513"/>
        <v>0.20473051570376116</v>
      </c>
      <c r="R68" s="59">
        <f t="shared" ca="1" si="513"/>
        <v>0.20938348196975581</v>
      </c>
      <c r="S68" s="59">
        <f t="shared" ca="1" si="513"/>
        <v>0.27142303218301678</v>
      </c>
      <c r="T68" s="59">
        <f t="shared" ca="1" si="513"/>
        <v>0.2295463357890655</v>
      </c>
      <c r="U68" s="59">
        <f t="shared" si="513"/>
        <v>0.29828598228827291</v>
      </c>
      <c r="V68" s="59">
        <f t="shared" si="513"/>
        <v>0.32208860087561014</v>
      </c>
      <c r="W68" s="59">
        <f t="shared" ref="W68:AB68" si="514">W61/W84</f>
        <v>0.42135712480116921</v>
      </c>
      <c r="X68" s="59">
        <f t="shared" si="514"/>
        <v>0.38764855481707572</v>
      </c>
      <c r="Y68" s="59">
        <f t="shared" si="514"/>
        <v>0.44591819813006722</v>
      </c>
      <c r="Z68" s="59">
        <f t="shared" si="514"/>
        <v>0.45668152036082393</v>
      </c>
      <c r="AA68" s="59">
        <f t="shared" si="514"/>
        <v>0.53304399908127598</v>
      </c>
      <c r="AB68" s="59">
        <f t="shared" si="514"/>
        <v>0.5529235301455806</v>
      </c>
      <c r="AC68" s="59">
        <f>AC61/AC84</f>
        <v>0.5895316804407712</v>
      </c>
      <c r="AD68" s="59">
        <f>AD61/AD84</f>
        <v>0.63774104683195587</v>
      </c>
      <c r="AE68" s="59">
        <f>AE61/AE84</f>
        <v>0.63873626373626391</v>
      </c>
      <c r="AF68" s="59">
        <f t="shared" ref="AF68:AI68" si="515">AF61/AF84</f>
        <v>0.62658227848101256</v>
      </c>
      <c r="AG68" s="59">
        <f t="shared" si="515"/>
        <v>0.54489544895448971</v>
      </c>
      <c r="AH68" s="59">
        <f t="shared" si="515"/>
        <v>0.65152972483112659</v>
      </c>
      <c r="AI68" s="59">
        <f t="shared" si="515"/>
        <v>0.62603550295858024</v>
      </c>
      <c r="AJ68" s="59">
        <f t="shared" ref="AJ68:AK68" si="516">AJ61/AJ84</f>
        <v>0.76384180790960465</v>
      </c>
      <c r="AK68" s="59">
        <f t="shared" si="516"/>
        <v>0.85918591859185922</v>
      </c>
      <c r="AL68" s="59">
        <f t="shared" ref="AL68" si="517">AL61/AL84</f>
        <v>0.80534759358288766</v>
      </c>
      <c r="AM68" s="59">
        <f t="shared" ref="AM68:AX68" ca="1" si="518">AM61/AM84</f>
        <v>0.75367998257908309</v>
      </c>
      <c r="AN68" s="59">
        <f t="shared" ca="1" si="518"/>
        <v>0.76365974371437928</v>
      </c>
      <c r="AO68" s="59">
        <f t="shared" ca="1" si="518"/>
        <v>0.75442494048056652</v>
      </c>
      <c r="AP68" s="59">
        <f t="shared" ca="1" si="518"/>
        <v>0.79997041228997967</v>
      </c>
      <c r="AQ68" s="59">
        <f t="shared" ca="1" si="518"/>
        <v>0.78761300018704195</v>
      </c>
      <c r="AR68" s="59">
        <f t="shared" ca="1" si="518"/>
        <v>0.7644903857231008</v>
      </c>
      <c r="AS68" s="59">
        <f t="shared" ca="1" si="518"/>
        <v>0.76920288063102449</v>
      </c>
      <c r="AT68" s="59">
        <f t="shared" ca="1" si="518"/>
        <v>0.81182926334465366</v>
      </c>
      <c r="AU68" s="59">
        <f t="shared" ca="1" si="518"/>
        <v>0.81637500879655045</v>
      </c>
      <c r="AV68" s="59">
        <f t="shared" ca="1" si="518"/>
        <v>0.80249943547890201</v>
      </c>
      <c r="AW68" s="59">
        <f t="shared" ca="1" si="518"/>
        <v>0.80193026816550883</v>
      </c>
      <c r="AX68" s="59">
        <f t="shared" ca="1" si="518"/>
        <v>0.85910605238811177</v>
      </c>
      <c r="AY68" s="59">
        <f t="shared" ref="AY68:BJ68" ca="1" si="519">AY61/AY84</f>
        <v>0.87367991226078878</v>
      </c>
      <c r="AZ68" s="59">
        <f t="shared" ca="1" si="519"/>
        <v>0.85624976594113666</v>
      </c>
      <c r="BA68" s="59">
        <f t="shared" ca="1" si="519"/>
        <v>0.86045540070795101</v>
      </c>
      <c r="BB68" s="59">
        <f t="shared" ca="1" si="519"/>
        <v>0.9160904939335961</v>
      </c>
      <c r="BC68" s="59">
        <f t="shared" ca="1" si="519"/>
        <v>0.91964512368179607</v>
      </c>
      <c r="BD68" s="59">
        <f t="shared" ca="1" si="519"/>
        <v>0.90643078394812315</v>
      </c>
      <c r="BE68" s="59">
        <f t="shared" ca="1" si="519"/>
        <v>0.91868364926361856</v>
      </c>
      <c r="BF68" s="59">
        <f t="shared" ca="1" si="519"/>
        <v>0.98471345342779626</v>
      </c>
      <c r="BG68" s="59">
        <f t="shared" ca="1" si="519"/>
        <v>0.98414519446770277</v>
      </c>
      <c r="BH68" s="59">
        <f t="shared" ca="1" si="519"/>
        <v>0.96926857581509196</v>
      </c>
      <c r="BI68" s="59">
        <f t="shared" ca="1" si="519"/>
        <v>0.98268383655866276</v>
      </c>
      <c r="BJ68" s="59">
        <f t="shared" ca="1" si="519"/>
        <v>1.0647468936880884</v>
      </c>
      <c r="BL68" s="59"/>
      <c r="BM68" s="59"/>
      <c r="BN68" s="59">
        <f ca="1">SUM(O68:R68)</f>
        <v>0.82512601783637085</v>
      </c>
      <c r="BO68" s="59">
        <f ca="1">SUM(S68:V68)</f>
        <v>1.1213439511359653</v>
      </c>
      <c r="BP68" s="59">
        <f>SUM(W68:Z68)</f>
        <v>1.7116053981091361</v>
      </c>
      <c r="BQ68" s="59">
        <f>BQ61/BQ84</f>
        <v>2.3201942797199209</v>
      </c>
      <c r="BR68" s="59">
        <f>SUM(AE68:AH68)</f>
        <v>2.4617437160028928</v>
      </c>
      <c r="BS68" s="59">
        <f>SUM(AI68:AL68)</f>
        <v>3.0544108230429314</v>
      </c>
      <c r="BT68" s="59">
        <f ca="1">SUM(AM68:AP68)</f>
        <v>3.0717350790640086</v>
      </c>
      <c r="BU68" s="59">
        <f ca="1">SUM(AQ68:AT68)</f>
        <v>3.1331355298858208</v>
      </c>
      <c r="BV68" s="59">
        <f ca="1">SUM(AU68:AX68)</f>
        <v>3.2799107648290731</v>
      </c>
      <c r="BW68" s="59">
        <f ca="1">SUM(AY68:BB68)</f>
        <v>3.5064755728434722</v>
      </c>
      <c r="BX68" s="59">
        <f ca="1">SUM(BC68:BF68)</f>
        <v>3.729473010321334</v>
      </c>
      <c r="BY68" s="59">
        <f ca="1">SUM(BG68:BJ68)</f>
        <v>4.0008445005295457</v>
      </c>
    </row>
    <row r="69" spans="1:85" s="296" customFormat="1" ht="12" customHeight="1">
      <c r="A69" s="18"/>
      <c r="B69" s="40" t="s">
        <v>72</v>
      </c>
      <c r="C69" s="194"/>
      <c r="D69" s="194"/>
      <c r="E69" s="194"/>
      <c r="F69" s="194"/>
      <c r="G69" s="194"/>
      <c r="H69" s="194"/>
      <c r="I69" s="194"/>
      <c r="J69" s="194"/>
      <c r="K69" s="194"/>
      <c r="L69" s="194"/>
      <c r="M69" s="194"/>
      <c r="N69" s="194"/>
      <c r="O69" s="18"/>
      <c r="P69" s="31"/>
      <c r="Q69" s="31"/>
      <c r="R69" s="31"/>
      <c r="S69" s="31"/>
      <c r="T69" s="31"/>
      <c r="U69" s="31"/>
      <c r="V69" s="31"/>
      <c r="W69" s="31"/>
      <c r="X69" s="31"/>
      <c r="Y69" s="31"/>
      <c r="Z69" s="31"/>
      <c r="AA69" s="31"/>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18"/>
      <c r="BL69" s="31"/>
      <c r="BM69" s="31"/>
      <c r="BN69" s="31"/>
      <c r="BO69" s="31"/>
      <c r="BP69" s="351">
        <f ca="1">BP68/BO68-1</f>
        <v>0.52638750704029125</v>
      </c>
      <c r="BQ69" s="351">
        <f>BQ68/BP68-1</f>
        <v>0.35556611487852963</v>
      </c>
      <c r="BR69" s="351">
        <f t="shared" ref="BR69" si="520">BR68/BQ68-1</f>
        <v>6.100757920153943E-2</v>
      </c>
      <c r="BS69" s="351">
        <f t="shared" ref="BS69" si="521">BS68/BR68-1</f>
        <v>0.24075093730810693</v>
      </c>
      <c r="BT69" s="351">
        <f t="shared" ref="BT69" ca="1" si="522">BT68/BS68-1</f>
        <v>5.6718814281235819E-3</v>
      </c>
      <c r="BU69" s="351">
        <f t="shared" ref="BU69" ca="1" si="523">BU68/BT68-1</f>
        <v>1.9988849702664346E-2</v>
      </c>
      <c r="BV69" s="351">
        <f t="shared" ref="BV69" ca="1" si="524">BV68/BU68-1</f>
        <v>4.6846117425568545E-2</v>
      </c>
      <c r="BW69" s="351">
        <f t="shared" ref="BW69" ca="1" si="525">BW68/BV68-1</f>
        <v>6.9076515874725741E-2</v>
      </c>
      <c r="BX69" s="351">
        <f t="shared" ref="BX69" ca="1" si="526">BX68/BW68-1</f>
        <v>6.3595890758488594E-2</v>
      </c>
      <c r="BY69" s="351">
        <f t="shared" ref="BY69" ca="1" si="527">BY68/BX68-1</f>
        <v>7.2764031126432593E-2</v>
      </c>
      <c r="BZ69" s="18"/>
      <c r="CA69" s="292"/>
      <c r="CB69"/>
      <c r="CC69"/>
      <c r="CD69"/>
      <c r="CE69"/>
      <c r="CF69"/>
      <c r="CG69"/>
    </row>
    <row r="70" spans="1:85" ht="12" customHeight="1">
      <c r="B70" s="39" t="s">
        <v>165</v>
      </c>
      <c r="C70" s="193"/>
      <c r="D70" s="193"/>
      <c r="E70" s="193"/>
      <c r="F70" s="193"/>
      <c r="G70" s="193"/>
      <c r="H70" s="193"/>
      <c r="I70" s="193"/>
      <c r="J70" s="193"/>
      <c r="K70" s="193"/>
      <c r="L70" s="193"/>
      <c r="M70" s="193"/>
      <c r="N70" s="193"/>
      <c r="O70" s="59">
        <f t="shared" ref="O70:V70" ca="1" si="528">O63/O84</f>
        <v>0.17522295463357893</v>
      </c>
      <c r="P70" s="59">
        <f t="shared" ca="1" si="528"/>
        <v>0.21089569600620395</v>
      </c>
      <c r="Q70" s="59">
        <f t="shared" ca="1" si="528"/>
        <v>0.19228383094222568</v>
      </c>
      <c r="R70" s="59">
        <f t="shared" ca="1" si="528"/>
        <v>0.19693679720822033</v>
      </c>
      <c r="S70" s="59">
        <f t="shared" ca="1" si="528"/>
        <v>0.25897634742148129</v>
      </c>
      <c r="T70" s="59">
        <f t="shared" ca="1" si="528"/>
        <v>0.21709965102753001</v>
      </c>
      <c r="U70" s="59">
        <f t="shared" si="528"/>
        <v>0.28588315841333301</v>
      </c>
      <c r="V70" s="59">
        <f t="shared" si="528"/>
        <v>0.3096618651927891</v>
      </c>
      <c r="W70" s="59">
        <f t="shared" ref="W70:AB70" si="529">W63/W84</f>
        <v>0.40906115779560775</v>
      </c>
      <c r="X70" s="59">
        <f t="shared" si="529"/>
        <v>0.37535258781151432</v>
      </c>
      <c r="Y70" s="59">
        <f t="shared" si="529"/>
        <v>0.43362096947029471</v>
      </c>
      <c r="Z70" s="59">
        <f t="shared" si="529"/>
        <v>0.44438330156587225</v>
      </c>
      <c r="AA70" s="59">
        <f t="shared" si="529"/>
        <v>0.49892918314007428</v>
      </c>
      <c r="AB70" s="59">
        <f t="shared" si="529"/>
        <v>0.51899068884349564</v>
      </c>
      <c r="AC70" s="59">
        <f>AC63/AC84</f>
        <v>0.55867768595041301</v>
      </c>
      <c r="AD70" s="59">
        <f>AD63/AD84</f>
        <v>0.60688705234159768</v>
      </c>
      <c r="AE70" s="59">
        <f>AE63/AE84</f>
        <v>0.60796703296703303</v>
      </c>
      <c r="AF70" s="59">
        <f t="shared" ref="AF70:AI70" si="530">AF63/AF84</f>
        <v>0.59822784810126572</v>
      </c>
      <c r="AG70" s="59">
        <f t="shared" si="530"/>
        <v>0.51734317343173442</v>
      </c>
      <c r="AH70" s="59">
        <f t="shared" si="530"/>
        <v>0.62450330661590947</v>
      </c>
      <c r="AI70" s="59">
        <f t="shared" si="530"/>
        <v>0.59952662721893524</v>
      </c>
      <c r="AJ70" s="59">
        <f t="shared" ref="AJ70:AK70" si="531">AJ63/AJ84</f>
        <v>0.73853107344632785</v>
      </c>
      <c r="AK70" s="59">
        <f t="shared" si="531"/>
        <v>0.83454345434543464</v>
      </c>
      <c r="AL70" s="59">
        <f t="shared" ref="AL70" si="532">AL63/AL84</f>
        <v>0.78139037433155079</v>
      </c>
      <c r="AM70" s="59">
        <f t="shared" ref="AM70:AX70" ca="1" si="533">AM63/AM84</f>
        <v>0.73038011222829924</v>
      </c>
      <c r="AN70" s="59">
        <f t="shared" ca="1" si="533"/>
        <v>0.74035987336359543</v>
      </c>
      <c r="AO70" s="59">
        <f t="shared" ca="1" si="533"/>
        <v>0.73165921492037078</v>
      </c>
      <c r="AP70" s="59">
        <f t="shared" ca="1" si="533"/>
        <v>0.77820272628187892</v>
      </c>
      <c r="AQ70" s="59">
        <f t="shared" ca="1" si="533"/>
        <v>0.76675952164947525</v>
      </c>
      <c r="AR70" s="59">
        <f t="shared" ca="1" si="533"/>
        <v>0.74406580676311851</v>
      </c>
      <c r="AS70" s="59">
        <f t="shared" ca="1" si="533"/>
        <v>0.74918991419107517</v>
      </c>
      <c r="AT70" s="59">
        <f t="shared" ca="1" si="533"/>
        <v>0.79259167939125841</v>
      </c>
      <c r="AU70" s="59">
        <f t="shared" ca="1" si="533"/>
        <v>0.79750301319605776</v>
      </c>
      <c r="AV70" s="59">
        <f t="shared" ca="1" si="533"/>
        <v>0.78362743987840933</v>
      </c>
      <c r="AW70" s="59">
        <f t="shared" ca="1" si="533"/>
        <v>0.78341022487557921</v>
      </c>
      <c r="AX70" s="59">
        <f t="shared" ca="1" si="533"/>
        <v>0.84092507431297436</v>
      </c>
      <c r="AY70" s="59">
        <f t="shared" ref="AY70:BJ70" ca="1" si="534">AY63/AY84</f>
        <v>0.85549893418565148</v>
      </c>
      <c r="AZ70" s="59">
        <f t="shared" ca="1" si="534"/>
        <v>0.83806878786599937</v>
      </c>
      <c r="BA70" s="59">
        <f t="shared" ca="1" si="534"/>
        <v>0.84260129583759091</v>
      </c>
      <c r="BB70" s="59">
        <f t="shared" ca="1" si="534"/>
        <v>0.89885609852404047</v>
      </c>
      <c r="BC70" s="59">
        <f t="shared" ca="1" si="534"/>
        <v>0.9027047257849331</v>
      </c>
      <c r="BD70" s="59">
        <f t="shared" ca="1" si="534"/>
        <v>0.88949038605126018</v>
      </c>
      <c r="BE70" s="59">
        <f t="shared" ca="1" si="534"/>
        <v>0.90174325136675548</v>
      </c>
      <c r="BF70" s="59">
        <f t="shared" ca="1" si="534"/>
        <v>0.96805719081177677</v>
      </c>
      <c r="BG70" s="59">
        <f t="shared" ca="1" si="534"/>
        <v>0.96776369296174536</v>
      </c>
      <c r="BH70" s="59">
        <f t="shared" ca="1" si="534"/>
        <v>0.95288707430913455</v>
      </c>
      <c r="BI70" s="59">
        <f t="shared" ca="1" si="534"/>
        <v>0.96630233505270535</v>
      </c>
      <c r="BJ70" s="59">
        <f t="shared" ca="1" si="534"/>
        <v>1.048365392182131</v>
      </c>
      <c r="BL70" s="59"/>
      <c r="BM70" s="59"/>
      <c r="BN70" s="59">
        <f ca="1">SUM(O70:R70)</f>
        <v>0.7753392787902289</v>
      </c>
      <c r="BO70" s="59">
        <f ca="1">SUM(S70:V70)</f>
        <v>1.0716210220551334</v>
      </c>
      <c r="BP70" s="59">
        <f>SUM(W70:Z70)</f>
        <v>1.6624180166432889</v>
      </c>
      <c r="BQ70" s="59">
        <f>SUM(AA70:AD70)</f>
        <v>2.1834846102755803</v>
      </c>
      <c r="BR70" s="59">
        <f>SUM(AE70:AH70)</f>
        <v>2.3480413611159427</v>
      </c>
      <c r="BS70" s="59">
        <f>SUM(AI70:AL70)</f>
        <v>2.9539915293422485</v>
      </c>
      <c r="BT70" s="59">
        <f ca="1">SUM(AM70:AP70)</f>
        <v>2.9806019267941446</v>
      </c>
      <c r="BU70" s="59">
        <f ca="1">SUM(AQ70:AT70)</f>
        <v>3.0526069219949274</v>
      </c>
      <c r="BV70" s="59">
        <f ca="1">SUM(AU70:AX70)</f>
        <v>3.2054657522630206</v>
      </c>
      <c r="BW70" s="59">
        <f ca="1">SUM(AY70:BB70)</f>
        <v>3.4350251164132821</v>
      </c>
      <c r="BX70" s="59">
        <f ca="1">SUM(BC70:BF70)</f>
        <v>3.6619955540147258</v>
      </c>
      <c r="BY70" s="59">
        <f ca="1">SUM(BG70:BJ70)</f>
        <v>3.935318494505716</v>
      </c>
    </row>
    <row r="71" spans="1:85" s="296" customFormat="1" ht="12" customHeight="1">
      <c r="A71" s="18"/>
      <c r="B71" s="40" t="s">
        <v>72</v>
      </c>
      <c r="C71" s="194"/>
      <c r="D71" s="194"/>
      <c r="E71" s="194"/>
      <c r="F71" s="194"/>
      <c r="G71" s="194"/>
      <c r="H71" s="194"/>
      <c r="I71" s="194"/>
      <c r="J71" s="194"/>
      <c r="K71" s="194"/>
      <c r="L71" s="194"/>
      <c r="M71" s="194"/>
      <c r="N71" s="194"/>
      <c r="O71" s="18"/>
      <c r="P71" s="31"/>
      <c r="Q71" s="31"/>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18"/>
      <c r="BL71" s="31"/>
      <c r="BM71" s="31"/>
      <c r="BN71" s="31"/>
      <c r="BO71" s="31"/>
      <c r="BP71" s="76">
        <f ca="1">BP70/BO70-1</f>
        <v>0.551311501387997</v>
      </c>
      <c r="BQ71" s="76">
        <f>BQ70/BP70-1</f>
        <v>0.31343897167597801</v>
      </c>
      <c r="BR71" s="351">
        <f t="shared" ref="BR71" si="535">BR70/BQ70-1</f>
        <v>7.5364282425417928E-2</v>
      </c>
      <c r="BS71" s="351">
        <f t="shared" ref="BS71" si="536">BS70/BR70-1</f>
        <v>0.25806622415642577</v>
      </c>
      <c r="BT71" s="351">
        <f t="shared" ref="BT71" ca="1" si="537">BT70/BS70-1</f>
        <v>9.0082849553130284E-3</v>
      </c>
      <c r="BU71" s="351">
        <f t="shared" ref="BU71" ca="1" si="538">BU70/BT70-1</f>
        <v>2.4157870446735341E-2</v>
      </c>
      <c r="BV71" s="351">
        <f t="shared" ref="BV71" ca="1" si="539">BV70/BU70-1</f>
        <v>5.0074848866619615E-2</v>
      </c>
      <c r="BW71" s="351">
        <f t="shared" ref="BW71" ca="1" si="540">BW70/BV70-1</f>
        <v>7.1614979504365461E-2</v>
      </c>
      <c r="BX71" s="351">
        <f t="shared" ref="BX71" ca="1" si="541">BX70/BW70-1</f>
        <v>6.607533566987045E-2</v>
      </c>
      <c r="BY71" s="351">
        <f t="shared" ref="BY71" ca="1" si="542">BY70/BX70-1</f>
        <v>7.4637704076767841E-2</v>
      </c>
      <c r="BZ71" s="18"/>
      <c r="CA71" s="292"/>
      <c r="CB71"/>
      <c r="CC71"/>
      <c r="CD71"/>
      <c r="CE71"/>
      <c r="CF71"/>
      <c r="CG71"/>
    </row>
    <row r="72" spans="1:85" ht="12" customHeight="1">
      <c r="B72" s="41" t="s">
        <v>74</v>
      </c>
      <c r="C72" s="195"/>
      <c r="D72" s="195"/>
      <c r="E72" s="195"/>
      <c r="F72" s="195"/>
      <c r="G72" s="195"/>
      <c r="H72" s="195"/>
      <c r="I72" s="195"/>
      <c r="J72" s="195"/>
      <c r="K72" s="195"/>
      <c r="L72" s="195"/>
      <c r="M72" s="195"/>
      <c r="N72" s="195"/>
      <c r="O72" s="27"/>
      <c r="P72" s="27"/>
      <c r="Q72" s="27"/>
      <c r="R72" s="27"/>
      <c r="S72" s="341">
        <v>0.16</v>
      </c>
      <c r="T72" s="341">
        <v>0.16</v>
      </c>
      <c r="U72" s="341">
        <v>0.16</v>
      </c>
      <c r="V72" s="341">
        <v>0.16</v>
      </c>
      <c r="W72" s="341">
        <v>0.21</v>
      </c>
      <c r="X72" s="341">
        <v>0.21</v>
      </c>
      <c r="Y72" s="341">
        <v>0.21</v>
      </c>
      <c r="Z72" s="341">
        <v>0.21</v>
      </c>
      <c r="AA72" s="341">
        <v>0.315</v>
      </c>
      <c r="AB72" s="341">
        <v>0.315</v>
      </c>
      <c r="AC72" s="341">
        <v>0.315</v>
      </c>
      <c r="AD72" s="341">
        <v>0.315</v>
      </c>
      <c r="AE72" s="341">
        <v>0.38</v>
      </c>
      <c r="AF72" s="341">
        <v>0.38</v>
      </c>
      <c r="AG72" s="341">
        <v>0.38</v>
      </c>
      <c r="AH72" s="341">
        <v>0.38</v>
      </c>
      <c r="AI72" s="341">
        <v>0.42</v>
      </c>
      <c r="AJ72" s="341">
        <v>0.42</v>
      </c>
      <c r="AK72" s="341">
        <v>0.42</v>
      </c>
      <c r="AL72" s="341">
        <v>0.42</v>
      </c>
      <c r="AM72" s="341">
        <v>0.45</v>
      </c>
      <c r="AN72" s="109">
        <f>+AM72</f>
        <v>0.45</v>
      </c>
      <c r="AO72" s="109">
        <f>+AN72</f>
        <v>0.45</v>
      </c>
      <c r="AP72" s="109">
        <f>+AO72</f>
        <v>0.45</v>
      </c>
      <c r="AQ72" s="109">
        <f ca="1">+AQ74*AQ66</f>
        <v>0.45010924144369557</v>
      </c>
      <c r="AR72" s="109">
        <f ca="1">+AQ72</f>
        <v>0.45010924144369557</v>
      </c>
      <c r="AS72" s="109">
        <f ca="1">+AR72</f>
        <v>0.45010924144369557</v>
      </c>
      <c r="AT72" s="109">
        <f ca="1">+AS72</f>
        <v>0.45010924144369557</v>
      </c>
      <c r="AU72" s="109">
        <f ca="1">+AU74*AU66</f>
        <v>0.46777774971285913</v>
      </c>
      <c r="AV72" s="109">
        <f ca="1">+AU72</f>
        <v>0.46777774971285913</v>
      </c>
      <c r="AW72" s="109">
        <f ca="1">+AV72</f>
        <v>0.46777774971285913</v>
      </c>
      <c r="AX72" s="109">
        <f ca="1">+AW72</f>
        <v>0.46777774971285913</v>
      </c>
      <c r="AY72" s="109">
        <f ca="1">+AY74*AY66</f>
        <v>0.50110240286767982</v>
      </c>
      <c r="AZ72" s="109">
        <f t="shared" ref="AZ72:BJ72" ca="1" si="543">+AY72</f>
        <v>0.50110240286767982</v>
      </c>
      <c r="BA72" s="109">
        <f t="shared" ca="1" si="543"/>
        <v>0.50110240286767982</v>
      </c>
      <c r="BB72" s="109">
        <f t="shared" ca="1" si="543"/>
        <v>0.50110240286767982</v>
      </c>
      <c r="BC72" s="109">
        <f ca="1">+BC74*BC66</f>
        <v>0.52818012050268148</v>
      </c>
      <c r="BD72" s="109">
        <f t="shared" ca="1" si="543"/>
        <v>0.52818012050268148</v>
      </c>
      <c r="BE72" s="109">
        <f t="shared" ca="1" si="543"/>
        <v>0.52818012050268148</v>
      </c>
      <c r="BF72" s="109">
        <f t="shared" ca="1" si="543"/>
        <v>0.52818012050268148</v>
      </c>
      <c r="BG72" s="109">
        <f ca="1">+BG74*BG66</f>
        <v>0.56572455417198775</v>
      </c>
      <c r="BH72" s="109">
        <f t="shared" ca="1" si="543"/>
        <v>0.56572455417198775</v>
      </c>
      <c r="BI72" s="109">
        <f t="shared" ca="1" si="543"/>
        <v>0.56572455417198775</v>
      </c>
      <c r="BJ72" s="109">
        <f t="shared" ca="1" si="543"/>
        <v>0.56572455417198775</v>
      </c>
      <c r="BL72" s="57"/>
      <c r="BM72" s="57"/>
      <c r="BN72" s="57">
        <f>SUM(O72:R72)</f>
        <v>0</v>
      </c>
      <c r="BO72" s="57">
        <f>SUM(S72:V72)</f>
        <v>0.64</v>
      </c>
      <c r="BP72" s="57">
        <f>SUM(W72:Z72)</f>
        <v>0.84</v>
      </c>
      <c r="BQ72" s="57">
        <f>SUM(AA72:AD72)</f>
        <v>1.26</v>
      </c>
      <c r="BR72" s="57">
        <f>SUM(AE72:AH72)</f>
        <v>1.52</v>
      </c>
      <c r="BS72" s="57">
        <f>SUM(AI72:AL72)</f>
        <v>1.68</v>
      </c>
      <c r="BT72" s="57">
        <f>SUM(AM72:AP72)</f>
        <v>1.8</v>
      </c>
      <c r="BU72" s="57">
        <f ca="1">SUM(AQ72:AT72)</f>
        <v>1.8004369657747823</v>
      </c>
      <c r="BV72" s="57">
        <f ca="1">SUM(AU72:AX72)</f>
        <v>1.8711109988514365</v>
      </c>
      <c r="BW72" s="57">
        <f ca="1">SUM(AY72:BB72)</f>
        <v>2.0044096114707193</v>
      </c>
      <c r="BX72" s="57">
        <f ca="1">SUM(BC72:BF72)</f>
        <v>2.1127204820107259</v>
      </c>
      <c r="BY72" s="57">
        <f ca="1">SUM(BG72:BJ72)</f>
        <v>2.262898216687951</v>
      </c>
    </row>
    <row r="73" spans="1:85" s="296" customFormat="1" ht="12" customHeight="1">
      <c r="A73" s="18"/>
      <c r="B73" s="40" t="s">
        <v>72</v>
      </c>
      <c r="C73" s="194"/>
      <c r="D73" s="194"/>
      <c r="E73" s="194"/>
      <c r="F73" s="194"/>
      <c r="G73" s="194"/>
      <c r="H73" s="194"/>
      <c r="I73" s="194"/>
      <c r="J73" s="194"/>
      <c r="K73" s="194"/>
      <c r="L73" s="194"/>
      <c r="M73" s="194"/>
      <c r="N73" s="194"/>
      <c r="O73" s="18"/>
      <c r="P73" s="31"/>
      <c r="Q73" s="31"/>
      <c r="R73" s="31"/>
      <c r="S73" s="31"/>
      <c r="T73" s="31"/>
      <c r="U73" s="31"/>
      <c r="V73" s="76"/>
      <c r="W73" s="76"/>
      <c r="X73" s="76"/>
      <c r="Y73" s="76"/>
      <c r="Z73" s="76"/>
      <c r="AA73" s="76"/>
      <c r="AB73" s="76"/>
      <c r="AC73" s="76"/>
      <c r="AD73" s="76"/>
      <c r="AE73" s="76"/>
      <c r="AF73" s="76"/>
      <c r="AG73" s="76"/>
      <c r="AH73" s="76"/>
      <c r="AI73" s="76"/>
      <c r="AJ73" s="76"/>
      <c r="AK73" s="76"/>
      <c r="AL73" s="76"/>
      <c r="AM73" s="76">
        <f t="shared" ref="AM73:AY73" si="544">AM72/AI72-1</f>
        <v>7.1428571428571397E-2</v>
      </c>
      <c r="AN73" s="76">
        <f t="shared" si="544"/>
        <v>7.1428571428571397E-2</v>
      </c>
      <c r="AO73" s="76">
        <f t="shared" si="544"/>
        <v>7.1428571428571397E-2</v>
      </c>
      <c r="AP73" s="76">
        <f t="shared" si="544"/>
        <v>7.1428571428571397E-2</v>
      </c>
      <c r="AQ73" s="76">
        <f t="shared" ca="1" si="544"/>
        <v>2.4275876376789185E-4</v>
      </c>
      <c r="AR73" s="76">
        <f t="shared" ca="1" si="544"/>
        <v>2.4275876376789185E-4</v>
      </c>
      <c r="AS73" s="76">
        <f t="shared" ca="1" si="544"/>
        <v>2.4275876376789185E-4</v>
      </c>
      <c r="AT73" s="76">
        <f t="shared" ca="1" si="544"/>
        <v>2.4275876376789185E-4</v>
      </c>
      <c r="AU73" s="76">
        <f t="shared" ca="1" si="544"/>
        <v>3.9253822499829116E-2</v>
      </c>
      <c r="AV73" s="76">
        <f t="shared" ca="1" si="544"/>
        <v>3.9253822499829116E-2</v>
      </c>
      <c r="AW73" s="76">
        <f t="shared" ca="1" si="544"/>
        <v>3.9253822499829116E-2</v>
      </c>
      <c r="AX73" s="76">
        <f t="shared" ca="1" si="544"/>
        <v>3.9253822499829116E-2</v>
      </c>
      <c r="AY73" s="76">
        <f t="shared" ca="1" si="544"/>
        <v>7.1240355436479552E-2</v>
      </c>
      <c r="AZ73" s="76">
        <f t="shared" ref="AZ73" ca="1" si="545">AZ72/AV72-1</f>
        <v>7.1240355436479552E-2</v>
      </c>
      <c r="BA73" s="76">
        <f t="shared" ref="BA73" ca="1" si="546">BA72/AW72-1</f>
        <v>7.1240355436479552E-2</v>
      </c>
      <c r="BB73" s="76">
        <f t="shared" ref="BB73:BC73" ca="1" si="547">BB72/AX72-1</f>
        <v>7.1240355436479552E-2</v>
      </c>
      <c r="BC73" s="76">
        <f t="shared" ca="1" si="547"/>
        <v>5.4036295735248707E-2</v>
      </c>
      <c r="BD73" s="76">
        <f t="shared" ref="BD73" ca="1" si="548">BD72/AZ72-1</f>
        <v>5.4036295735248707E-2</v>
      </c>
      <c r="BE73" s="76">
        <f t="shared" ref="BE73" ca="1" si="549">BE72/BA72-1</f>
        <v>5.4036295735248707E-2</v>
      </c>
      <c r="BF73" s="76">
        <f t="shared" ref="BF73:BG73" ca="1" si="550">BF72/BB72-1</f>
        <v>5.4036295735248707E-2</v>
      </c>
      <c r="BG73" s="76">
        <f t="shared" ca="1" si="550"/>
        <v>7.1082633010826513E-2</v>
      </c>
      <c r="BH73" s="76">
        <f t="shared" ref="BH73" ca="1" si="551">BH72/BD72-1</f>
        <v>7.1082633010826513E-2</v>
      </c>
      <c r="BI73" s="76">
        <f t="shared" ref="BI73" ca="1" si="552">BI72/BE72-1</f>
        <v>7.1082633010826513E-2</v>
      </c>
      <c r="BJ73" s="76">
        <f t="shared" ref="BJ73" ca="1" si="553">BJ72/BF72-1</f>
        <v>7.1082633010826513E-2</v>
      </c>
      <c r="BK73" s="18"/>
      <c r="BL73" s="31"/>
      <c r="BM73" s="31"/>
      <c r="BN73" s="31"/>
      <c r="BO73" s="31"/>
      <c r="BP73" s="76">
        <f t="shared" ref="BP73:BV73" si="554">BP72/BO72-1</f>
        <v>0.3125</v>
      </c>
      <c r="BQ73" s="76">
        <f t="shared" si="554"/>
        <v>0.5</v>
      </c>
      <c r="BR73" s="76">
        <f t="shared" si="554"/>
        <v>0.20634920634920628</v>
      </c>
      <c r="BS73" s="76">
        <f t="shared" si="554"/>
        <v>0.10526315789473673</v>
      </c>
      <c r="BT73" s="76">
        <f t="shared" si="554"/>
        <v>7.1428571428571397E-2</v>
      </c>
      <c r="BU73" s="76">
        <f t="shared" ca="1" si="554"/>
        <v>2.4275876376789185E-4</v>
      </c>
      <c r="BV73" s="76">
        <f t="shared" ca="1" si="554"/>
        <v>3.9253822499829116E-2</v>
      </c>
      <c r="BW73" s="76">
        <f t="shared" ref="BW73" ca="1" si="555">BW72/BV72-1</f>
        <v>7.1240355436479552E-2</v>
      </c>
      <c r="BX73" s="76">
        <f t="shared" ref="BX73" ca="1" si="556">BX72/BW72-1</f>
        <v>5.4036295735248707E-2</v>
      </c>
      <c r="BY73" s="76">
        <f t="shared" ref="BY73" ca="1" si="557">BY72/BX72-1</f>
        <v>7.1082633010826513E-2</v>
      </c>
      <c r="BZ73" s="539"/>
      <c r="CA73" s="292"/>
      <c r="CB73"/>
      <c r="CC73"/>
      <c r="CD73"/>
      <c r="CE73"/>
      <c r="CF73"/>
      <c r="CG73"/>
    </row>
    <row r="74" spans="1:85" ht="12" customHeight="1">
      <c r="B74" s="40" t="s">
        <v>635</v>
      </c>
      <c r="C74" s="194"/>
      <c r="D74" s="194"/>
      <c r="E74" s="194"/>
      <c r="F74" s="194"/>
      <c r="G74" s="194"/>
      <c r="H74" s="194"/>
      <c r="I74" s="194"/>
      <c r="J74" s="194"/>
      <c r="K74" s="194"/>
      <c r="L74" s="194"/>
      <c r="M74" s="194"/>
      <c r="N74" s="194"/>
      <c r="Q74" s="1"/>
      <c r="R74" s="1"/>
      <c r="S74" s="77">
        <f t="shared" ref="S74:AE74" ca="1" si="558">S72/S66</f>
        <v>0.59976744186046493</v>
      </c>
      <c r="T74" s="77">
        <f t="shared" ca="1" si="558"/>
        <v>0.64475000000000016</v>
      </c>
      <c r="U74" s="77">
        <f t="shared" si="558"/>
        <v>0.47271603287671227</v>
      </c>
      <c r="V74" s="77">
        <f t="shared" si="558"/>
        <v>0.437820366101695</v>
      </c>
      <c r="W74" s="77">
        <f t="shared" si="558"/>
        <v>0.50388652279411761</v>
      </c>
      <c r="X74" s="77">
        <f t="shared" si="558"/>
        <v>0.53537943046874981</v>
      </c>
      <c r="Y74" s="77">
        <f t="shared" si="558"/>
        <v>0.47419748304498277</v>
      </c>
      <c r="Z74" s="77">
        <f t="shared" si="558"/>
        <v>0.43920525384615378</v>
      </c>
      <c r="AA74" s="77">
        <f t="shared" si="558"/>
        <v>0.64837290329153585</v>
      </c>
      <c r="AB74" s="77">
        <f t="shared" si="558"/>
        <v>0.62257528967065845</v>
      </c>
      <c r="AC74" s="77">
        <f t="shared" si="558"/>
        <v>0.55507281553398069</v>
      </c>
      <c r="AD74" s="77">
        <f t="shared" si="558"/>
        <v>0.5173981900452489</v>
      </c>
      <c r="AE74" s="77">
        <f t="shared" si="558"/>
        <v>0.60270152505446617</v>
      </c>
      <c r="AF74" s="77">
        <f t="shared" ref="AF74:AK74" si="559">AF72/AF66</f>
        <v>0.56534839924670455</v>
      </c>
      <c r="AG74" s="77">
        <f t="shared" si="559"/>
        <v>0.5637591240875911</v>
      </c>
      <c r="AH74" s="77">
        <f t="shared" si="559"/>
        <v>0.55842392659574447</v>
      </c>
      <c r="AI74" s="77">
        <f t="shared" si="559"/>
        <v>0.57990196078431344</v>
      </c>
      <c r="AJ74" s="77">
        <f t="shared" si="559"/>
        <v>0.54742268041237108</v>
      </c>
      <c r="AK74" s="77">
        <f t="shared" si="559"/>
        <v>0.53470588235294125</v>
      </c>
      <c r="AL74" s="77">
        <f t="shared" ref="AL74:AM74" si="560">AL72/AL66</f>
        <v>0.50089285714285714</v>
      </c>
      <c r="AM74" s="77">
        <f t="shared" ca="1" si="560"/>
        <v>0.57559054211530714</v>
      </c>
      <c r="AN74" s="77">
        <f ca="1">+AM74</f>
        <v>0.57559054211530714</v>
      </c>
      <c r="AO74" s="77">
        <f ca="1">+AN74</f>
        <v>0.57559054211530714</v>
      </c>
      <c r="AP74" s="77">
        <f ca="1">+AO74</f>
        <v>0.57559054211530714</v>
      </c>
      <c r="AQ74" s="290">
        <v>0.55000000000000004</v>
      </c>
      <c r="AR74" s="77">
        <f>+AQ74</f>
        <v>0.55000000000000004</v>
      </c>
      <c r="AS74" s="77">
        <f>+AR74</f>
        <v>0.55000000000000004</v>
      </c>
      <c r="AT74" s="77">
        <f>+AS74</f>
        <v>0.55000000000000004</v>
      </c>
      <c r="AU74" s="290">
        <v>0.55000000000000004</v>
      </c>
      <c r="AV74" s="77">
        <f>+AU74</f>
        <v>0.55000000000000004</v>
      </c>
      <c r="AW74" s="77">
        <f>+AV74</f>
        <v>0.55000000000000004</v>
      </c>
      <c r="AX74" s="77">
        <f>+AW74</f>
        <v>0.55000000000000004</v>
      </c>
      <c r="AY74" s="290">
        <v>0.55000000000000004</v>
      </c>
      <c r="AZ74" s="77">
        <f t="shared" ref="AZ74:BJ74" si="561">+AY74</f>
        <v>0.55000000000000004</v>
      </c>
      <c r="BA74" s="77">
        <f t="shared" si="561"/>
        <v>0.55000000000000004</v>
      </c>
      <c r="BB74" s="77">
        <f t="shared" si="561"/>
        <v>0.55000000000000004</v>
      </c>
      <c r="BC74" s="290">
        <v>0.55000000000000004</v>
      </c>
      <c r="BD74" s="77">
        <f t="shared" si="561"/>
        <v>0.55000000000000004</v>
      </c>
      <c r="BE74" s="77">
        <f t="shared" si="561"/>
        <v>0.55000000000000004</v>
      </c>
      <c r="BF74" s="77">
        <f t="shared" si="561"/>
        <v>0.55000000000000004</v>
      </c>
      <c r="BG74" s="290">
        <v>0.55000000000000004</v>
      </c>
      <c r="BH74" s="77">
        <f t="shared" si="561"/>
        <v>0.55000000000000004</v>
      </c>
      <c r="BI74" s="77">
        <f t="shared" si="561"/>
        <v>0.55000000000000004</v>
      </c>
      <c r="BJ74" s="77">
        <f t="shared" si="561"/>
        <v>0.55000000000000004</v>
      </c>
      <c r="BL74" s="55"/>
      <c r="BM74" s="55"/>
      <c r="BN74" s="77"/>
      <c r="BO74" s="77">
        <f ca="1">BO72/BO68</f>
        <v>0.57074370388466</v>
      </c>
      <c r="BP74" s="77">
        <f>BP72/BP66</f>
        <v>0.48555039460658495</v>
      </c>
      <c r="BQ74" s="77">
        <f t="shared" ref="BQ74:BV74" si="562">BQ72/BQ66</f>
        <v>0.57873331313868615</v>
      </c>
      <c r="BR74" s="77">
        <f t="shared" si="562"/>
        <v>0.57203506920505742</v>
      </c>
      <c r="BS74" s="77">
        <f t="shared" si="562"/>
        <v>0.53924392347776429</v>
      </c>
      <c r="BT74" s="77">
        <f t="shared" ca="1" si="562"/>
        <v>0.5627932140649603</v>
      </c>
      <c r="BU74" s="77">
        <f t="shared" ca="1" si="562"/>
        <v>0.55185034987995085</v>
      </c>
      <c r="BV74" s="77">
        <f t="shared" ca="1" si="562"/>
        <v>0.54674446613150407</v>
      </c>
      <c r="BW74" s="77">
        <f t="shared" ref="BW74:BY74" ca="1" si="563">BW72/BW66</f>
        <v>0.54703985954933398</v>
      </c>
      <c r="BX74" s="77">
        <f t="shared" ca="1" si="563"/>
        <v>0.54163959157451536</v>
      </c>
      <c r="BY74" s="77">
        <f t="shared" ca="1" si="563"/>
        <v>0.54036618122424229</v>
      </c>
    </row>
    <row r="75" spans="1:85" ht="12" customHeight="1">
      <c r="B75" s="41" t="s">
        <v>75</v>
      </c>
      <c r="C75" s="195"/>
      <c r="D75" s="195"/>
      <c r="E75" s="195"/>
      <c r="F75" s="195"/>
      <c r="G75" s="195"/>
      <c r="H75" s="195"/>
      <c r="I75" s="195"/>
      <c r="J75" s="195"/>
      <c r="K75" s="195"/>
      <c r="L75" s="195"/>
      <c r="M75" s="195"/>
      <c r="N75" s="195"/>
      <c r="O75" s="47">
        <f t="shared" ref="O75:V75" ca="1" si="564">O45/O81</f>
        <v>-1.0856921287320647E-2</v>
      </c>
      <c r="P75" s="47">
        <f t="shared" ca="1" si="564"/>
        <v>-0.15351441644048089</v>
      </c>
      <c r="Q75" s="47">
        <f t="shared" ca="1" si="564"/>
        <v>-4.342768514928267E-2</v>
      </c>
      <c r="R75" s="47">
        <f t="shared" ca="1" si="564"/>
        <v>-0.10701822411787509</v>
      </c>
      <c r="S75" s="47">
        <f t="shared" ca="1" si="564"/>
        <v>-0.3567274137262505</v>
      </c>
      <c r="T75" s="47">
        <f t="shared" ca="1" si="564"/>
        <v>-0.10546723536254363</v>
      </c>
      <c r="U75" s="47">
        <f t="shared" si="564"/>
        <v>-3.400151093441451E-2</v>
      </c>
      <c r="V75" s="47">
        <f t="shared" si="564"/>
        <v>-5.5746103997701815E-2</v>
      </c>
      <c r="W75" s="47">
        <f t="shared" ref="W75:AB75" si="565">W45/W81</f>
        <v>1.0725454085847973E-2</v>
      </c>
      <c r="X75" s="47">
        <f t="shared" si="565"/>
        <v>-5.5159478155789358E-2</v>
      </c>
      <c r="Y75" s="47">
        <f t="shared" si="565"/>
        <v>3.0647298840553801E-3</v>
      </c>
      <c r="Z75" s="47">
        <f t="shared" si="565"/>
        <v>-0.18083362215629922</v>
      </c>
      <c r="AA75" s="47">
        <f t="shared" si="565"/>
        <v>-0.10965476552529091</v>
      </c>
      <c r="AB75" s="47">
        <f t="shared" si="565"/>
        <v>-9.8465834135514199E-2</v>
      </c>
      <c r="AC75" s="47">
        <f t="shared" ref="AC75:AH75" si="566">AC45/AC81</f>
        <v>-7.300275482093678E-2</v>
      </c>
      <c r="AD75" s="47">
        <f t="shared" si="566"/>
        <v>-1.6528925619834697E-2</v>
      </c>
      <c r="AE75" s="47">
        <f t="shared" si="566"/>
        <v>7.6923076923076997E-2</v>
      </c>
      <c r="AF75" s="47">
        <f t="shared" si="566"/>
        <v>0.11518987341772136</v>
      </c>
      <c r="AG75" s="47">
        <f t="shared" si="566"/>
        <v>5.4120541205412181E-2</v>
      </c>
      <c r="AH75" s="47">
        <f t="shared" si="566"/>
        <v>9.6522922197206113E-3</v>
      </c>
      <c r="AI75" s="47">
        <f t="shared" ref="AI75:AJ75" si="567">AI45/AI81</f>
        <v>-0.35976331360946723</v>
      </c>
      <c r="AJ75" s="47">
        <f t="shared" si="567"/>
        <v>-9.0395480225987576E-3</v>
      </c>
      <c r="AK75" s="47">
        <f t="shared" ref="AK75:AL75" si="568">AK45/AK81</f>
        <v>-0.60616061606160609</v>
      </c>
      <c r="AL75" s="47">
        <f t="shared" si="568"/>
        <v>2.9946524064171087E-2</v>
      </c>
      <c r="AM75" s="47">
        <f t="shared" ref="AM75:AX75" ca="1" si="569">AM45/AM81</f>
        <v>3.472165467117469E-2</v>
      </c>
      <c r="AN75" s="47">
        <f t="shared" ca="1" si="569"/>
        <v>-7.2128043025285374E-2</v>
      </c>
      <c r="AO75" s="47">
        <f t="shared" ca="1" si="569"/>
        <v>-9.1632705386974322E-2</v>
      </c>
      <c r="AP75" s="47">
        <f t="shared" ca="1" si="569"/>
        <v>-6.9163374210045842E-2</v>
      </c>
      <c r="AQ75" s="47">
        <f t="shared" ca="1" si="569"/>
        <v>-7.5985042166487757E-2</v>
      </c>
      <c r="AR75" s="47">
        <f t="shared" ca="1" si="569"/>
        <v>-0.12981028981309287</v>
      </c>
      <c r="AS75" s="47">
        <f t="shared" ca="1" si="569"/>
        <v>-0.13058437120646732</v>
      </c>
      <c r="AT75" s="47">
        <f t="shared" ca="1" si="569"/>
        <v>-9.676142518717043E-2</v>
      </c>
      <c r="AU75" s="47">
        <f t="shared" ca="1" si="569"/>
        <v>-9.6709469170216084E-2</v>
      </c>
      <c r="AV75" s="47">
        <f t="shared" ca="1" si="569"/>
        <v>-0.15158831908805667</v>
      </c>
      <c r="AW75" s="47">
        <f t="shared" ca="1" si="569"/>
        <v>-0.1541550573180468</v>
      </c>
      <c r="AX75" s="47">
        <f t="shared" ca="1" si="569"/>
        <v>-0.11920459427302425</v>
      </c>
      <c r="AY75" s="47">
        <f t="shared" ref="AY75:BJ75" ca="1" si="570">AY45/AY81</f>
        <v>-0.14193852396270906</v>
      </c>
      <c r="AZ75" s="47">
        <f t="shared" ca="1" si="570"/>
        <v>-0.19525449406803388</v>
      </c>
      <c r="BA75" s="47">
        <f t="shared" ca="1" si="570"/>
        <v>-0.20708171517791593</v>
      </c>
      <c r="BB75" s="47">
        <f t="shared" ca="1" si="570"/>
        <v>-0.14862195230666944</v>
      </c>
      <c r="BC75" s="47">
        <f t="shared" ca="1" si="570"/>
        <v>-0.15866775451395509</v>
      </c>
      <c r="BD75" s="47">
        <f t="shared" ca="1" si="570"/>
        <v>-0.20244329023077162</v>
      </c>
      <c r="BE75" s="47">
        <f t="shared" ca="1" si="570"/>
        <v>-0.22060220146746193</v>
      </c>
      <c r="BF75" s="47">
        <f t="shared" ca="1" si="570"/>
        <v>-0.16586449072545853</v>
      </c>
      <c r="BG75" s="47">
        <f t="shared" ca="1" si="570"/>
        <v>-0.17517720848989005</v>
      </c>
      <c r="BH75" s="47">
        <f t="shared" ca="1" si="570"/>
        <v>-0.21654098638215957</v>
      </c>
      <c r="BI75" s="47">
        <f t="shared" ca="1" si="570"/>
        <v>-0.22952080278000456</v>
      </c>
      <c r="BJ75" s="47">
        <f t="shared" ca="1" si="570"/>
        <v>-0.17447646829972821</v>
      </c>
      <c r="BL75" s="57"/>
      <c r="BM75" s="57"/>
      <c r="BN75" s="57">
        <f ca="1">SUM(O75:R75)</f>
        <v>-0.31481724699495928</v>
      </c>
      <c r="BO75" s="57">
        <f ca="1">SUM(S75:V75)</f>
        <v>-0.55194226402091051</v>
      </c>
      <c r="BP75" s="57">
        <f>SUM(W75:Z75)</f>
        <v>-0.22220291634218522</v>
      </c>
      <c r="BQ75" s="57">
        <f>SUM(AA75:AD75)</f>
        <v>-0.29765228010157657</v>
      </c>
      <c r="BR75" s="57">
        <f>SUM(AE75:AH75)</f>
        <v>0.25588578376593113</v>
      </c>
      <c r="BS75" s="57">
        <f>SUM(AI75:AL75)</f>
        <v>-0.945016953629501</v>
      </c>
      <c r="BT75" s="57">
        <f ca="1">SUM(AM75:AP75)</f>
        <v>-0.19820246795113086</v>
      </c>
      <c r="BU75" s="57">
        <f ca="1">SUM(AQ75:AT75)</f>
        <v>-0.43314112837321839</v>
      </c>
      <c r="BV75" s="57">
        <f ca="1">SUM(AU75:AX75)</f>
        <v>-0.52165743984934376</v>
      </c>
      <c r="BW75" s="57">
        <f ca="1">SUM(AY75:BB75)</f>
        <v>-0.69289668551532835</v>
      </c>
      <c r="BX75" s="57">
        <f ca="1">SUM(BC75:BF75)</f>
        <v>-0.74757773693764717</v>
      </c>
      <c r="BY75" s="57">
        <f ca="1">SUM(BG75:BJ75)</f>
        <v>-0.79571546595178233</v>
      </c>
    </row>
    <row r="76" spans="1:85" ht="12" customHeight="1">
      <c r="BL76" s="54"/>
      <c r="BM76" s="54"/>
      <c r="BN76" s="54"/>
      <c r="BO76" s="54"/>
      <c r="BP76" s="54"/>
      <c r="BQ76" s="54"/>
      <c r="BR76" s="54"/>
      <c r="BS76" s="54"/>
      <c r="BT76" s="54"/>
      <c r="BU76" s="54"/>
      <c r="BV76" s="54"/>
      <c r="BW76" s="54"/>
      <c r="BX76" s="54"/>
      <c r="BY76" s="54"/>
    </row>
    <row r="77" spans="1:85" ht="12" customHeight="1" outlineLevel="1">
      <c r="A77" s="206" t="s">
        <v>293</v>
      </c>
      <c r="B77" s="8" t="s">
        <v>76</v>
      </c>
      <c r="C77" s="8"/>
      <c r="D77" s="8"/>
      <c r="E77" s="8"/>
      <c r="F77" s="8"/>
      <c r="G77" s="8"/>
      <c r="H77" s="8"/>
      <c r="I77" s="8"/>
      <c r="J77" s="8"/>
      <c r="K77" s="8"/>
      <c r="L77" s="8"/>
      <c r="M77" s="8"/>
      <c r="N77" s="8"/>
      <c r="BL77" s="54"/>
      <c r="BM77" s="54"/>
      <c r="BN77" s="54"/>
      <c r="BO77" s="54"/>
      <c r="BP77" s="54"/>
      <c r="BQ77" s="54"/>
      <c r="BR77" s="54"/>
      <c r="BS77" s="54"/>
      <c r="BT77" s="54"/>
      <c r="BU77" s="54"/>
      <c r="BV77" s="54"/>
      <c r="BW77" s="54"/>
      <c r="BX77" s="54"/>
      <c r="BY77" s="54"/>
    </row>
    <row r="78" spans="1:85" ht="12" customHeight="1" outlineLevel="1">
      <c r="B78" s="2" t="s">
        <v>77</v>
      </c>
      <c r="C78" s="2"/>
      <c r="D78" s="2"/>
      <c r="E78" s="2"/>
      <c r="F78" s="2"/>
      <c r="G78" s="2"/>
      <c r="H78" s="2"/>
      <c r="I78" s="2"/>
      <c r="J78" s="2"/>
      <c r="K78" s="2"/>
      <c r="L78" s="2"/>
      <c r="M78" s="2"/>
      <c r="N78" s="2"/>
      <c r="BL78" s="54"/>
      <c r="BM78" s="54"/>
      <c r="BN78" s="54"/>
      <c r="BO78" s="54"/>
      <c r="BP78" s="54"/>
      <c r="BQ78" s="54"/>
      <c r="BR78" s="54"/>
      <c r="BS78" s="54"/>
      <c r="BT78" s="54"/>
      <c r="BU78" s="54"/>
      <c r="BV78" s="54"/>
      <c r="BW78" s="54"/>
      <c r="BX78" s="54"/>
      <c r="BY78" s="54"/>
    </row>
    <row r="79" spans="1:85" ht="12" customHeight="1" outlineLevel="1">
      <c r="B79" s="12" t="s">
        <v>78</v>
      </c>
      <c r="C79" s="12"/>
      <c r="D79" s="12"/>
      <c r="E79" s="12"/>
      <c r="F79" s="12"/>
      <c r="G79" s="12"/>
      <c r="H79" s="12"/>
      <c r="I79" s="12"/>
      <c r="J79" s="12"/>
      <c r="K79" s="12"/>
      <c r="L79" s="12"/>
      <c r="M79" s="12"/>
      <c r="N79" s="12"/>
      <c r="O79" s="22">
        <f t="shared" ref="O79:T79" ca="1" si="571">+$S$79</f>
        <v>64.474999999999994</v>
      </c>
      <c r="P79" s="22">
        <f t="shared" ca="1" si="571"/>
        <v>64.474999999999994</v>
      </c>
      <c r="Q79" s="22">
        <f t="shared" ca="1" si="571"/>
        <v>64.474999999999994</v>
      </c>
      <c r="R79" s="22">
        <f t="shared" ca="1" si="571"/>
        <v>64.474999999999994</v>
      </c>
      <c r="S79" s="22">
        <f t="shared" ca="1" si="571"/>
        <v>64.474999999999994</v>
      </c>
      <c r="T79" s="22">
        <f t="shared" ca="1" si="571"/>
        <v>64.474999999999994</v>
      </c>
      <c r="U79" s="144">
        <f>22.116172+42.586835</f>
        <v>64.703006999999999</v>
      </c>
      <c r="V79" s="144">
        <f>21.991669+42.586835</f>
        <v>64.578504000000009</v>
      </c>
      <c r="W79" s="144">
        <f>22.678467+42.586835</f>
        <v>65.265302000000005</v>
      </c>
      <c r="X79" s="144">
        <f>22.678467+42.586835</f>
        <v>65.265302000000005</v>
      </c>
      <c r="Y79" s="144">
        <f>38.653771+26.604835</f>
        <v>65.258606</v>
      </c>
      <c r="Z79" s="144">
        <f>38.651517+26.601835</f>
        <v>65.253352000000007</v>
      </c>
      <c r="AA79" s="144">
        <f>39.058786+26.601835</f>
        <v>65.660620999999992</v>
      </c>
      <c r="AB79" s="144">
        <v>72.599999999999994</v>
      </c>
      <c r="AC79" s="144">
        <f>66.245906+6.346835</f>
        <v>72.592741000000004</v>
      </c>
      <c r="AD79" s="144">
        <f>66.245906+6.346835</f>
        <v>72.592741000000004</v>
      </c>
      <c r="AE79" s="144">
        <v>79.602964999999998</v>
      </c>
      <c r="AF79" s="144">
        <v>79.619202000000001</v>
      </c>
      <c r="AG79" s="211">
        <v>83.524905000000004</v>
      </c>
      <c r="AH79" s="211">
        <v>83.536249999999995</v>
      </c>
      <c r="AI79" s="211">
        <v>87.725493999999998</v>
      </c>
      <c r="AJ79" s="211">
        <v>91.291228000000004</v>
      </c>
      <c r="AK79" s="211">
        <v>91.289334999999994</v>
      </c>
      <c r="AL79" s="211">
        <v>96.137873999999996</v>
      </c>
      <c r="AM79" s="1">
        <f t="shared" ref="AM79:AW79" ca="1" si="572">AL79+AM282</f>
        <v>96.137873999999996</v>
      </c>
      <c r="AN79" s="1">
        <f t="shared" ca="1" si="572"/>
        <v>96.137873999999996</v>
      </c>
      <c r="AO79" s="1">
        <f t="shared" ca="1" si="572"/>
        <v>100.64917713765183</v>
      </c>
      <c r="AP79" s="1">
        <f t="shared" ca="1" si="572"/>
        <v>105.16048027530366</v>
      </c>
      <c r="AQ79" s="1">
        <f t="shared" ca="1" si="572"/>
        <v>109.67178341295548</v>
      </c>
      <c r="AR79" s="1">
        <f t="shared" ca="1" si="572"/>
        <v>109.67178341295548</v>
      </c>
      <c r="AS79" s="1">
        <f ca="1">AR79+AS282</f>
        <v>114.1830865506073</v>
      </c>
      <c r="AT79" s="1">
        <f t="shared" ca="1" si="572"/>
        <v>118.69438968825912</v>
      </c>
      <c r="AU79" s="1">
        <f t="shared" ca="1" si="572"/>
        <v>118.69438968825912</v>
      </c>
      <c r="AV79" s="1">
        <f t="shared" ca="1" si="572"/>
        <v>118.69438968825912</v>
      </c>
      <c r="AW79" s="1">
        <f t="shared" ca="1" si="572"/>
        <v>123.20569282591094</v>
      </c>
      <c r="AX79" s="1">
        <f ca="1">AW79+AX282</f>
        <v>123.20569282591094</v>
      </c>
      <c r="AY79" s="1">
        <f t="shared" ref="AY79:BJ79" ca="1" si="573">AX79+AY282</f>
        <v>123.20569282591094</v>
      </c>
      <c r="AZ79" s="1">
        <f t="shared" ca="1" si="573"/>
        <v>123.20569282591094</v>
      </c>
      <c r="BA79" s="1">
        <f t="shared" ca="1" si="573"/>
        <v>127.71699596356277</v>
      </c>
      <c r="BB79" s="1">
        <f t="shared" ca="1" si="573"/>
        <v>132.22829910121459</v>
      </c>
      <c r="BC79" s="1">
        <f t="shared" ca="1" si="573"/>
        <v>132.22829910121459</v>
      </c>
      <c r="BD79" s="1">
        <f t="shared" ca="1" si="573"/>
        <v>132.22829910121459</v>
      </c>
      <c r="BE79" s="1">
        <f t="shared" ca="1" si="573"/>
        <v>132.22829910121459</v>
      </c>
      <c r="BF79" s="1">
        <f t="shared" ca="1" si="573"/>
        <v>136.73960223886641</v>
      </c>
      <c r="BG79" s="1">
        <f t="shared" ca="1" si="573"/>
        <v>136.73960223886641</v>
      </c>
      <c r="BH79" s="1">
        <f t="shared" ca="1" si="573"/>
        <v>136.73960223886641</v>
      </c>
      <c r="BI79" s="1">
        <f t="shared" ca="1" si="573"/>
        <v>136.73960223886641</v>
      </c>
      <c r="BJ79" s="1">
        <f t="shared" ca="1" si="573"/>
        <v>136.73960223886641</v>
      </c>
      <c r="BL79" s="55">
        <f ca="1">+BN79</f>
        <v>64.474999999999994</v>
      </c>
      <c r="BM79" s="55">
        <f ca="1">+BN79</f>
        <v>64.474999999999994</v>
      </c>
      <c r="BN79" s="55">
        <f ca="1">R79</f>
        <v>64.474999999999994</v>
      </c>
      <c r="BO79" s="55">
        <f>V79</f>
        <v>64.578504000000009</v>
      </c>
      <c r="BP79" s="55">
        <f>Z79</f>
        <v>65.253352000000007</v>
      </c>
      <c r="BQ79" s="55">
        <f>AD79</f>
        <v>72.592741000000004</v>
      </c>
      <c r="BR79" s="55">
        <f>AH79</f>
        <v>83.536249999999995</v>
      </c>
      <c r="BS79" s="55">
        <f>AL79</f>
        <v>96.137873999999996</v>
      </c>
      <c r="BT79" s="55">
        <f ca="1">AP79</f>
        <v>105.16048027530366</v>
      </c>
      <c r="BU79" s="55">
        <f ca="1">AT79</f>
        <v>118.69438968825912</v>
      </c>
      <c r="BV79" s="55">
        <f ca="1">AX79</f>
        <v>123.20569282591094</v>
      </c>
      <c r="BW79" s="55">
        <f ca="1">BB79</f>
        <v>132.22829910121459</v>
      </c>
      <c r="BX79" s="55">
        <f ca="1">BF79</f>
        <v>136.73960223886641</v>
      </c>
      <c r="BY79" s="55">
        <f ca="1">BJ79</f>
        <v>136.73960223886641</v>
      </c>
    </row>
    <row r="80" spans="1:85" ht="12" customHeight="1" outlineLevel="1">
      <c r="B80" s="281" t="s">
        <v>394</v>
      </c>
      <c r="C80" s="281"/>
      <c r="D80" s="281"/>
      <c r="E80" s="281"/>
      <c r="F80" s="281"/>
      <c r="G80" s="281"/>
      <c r="H80" s="281"/>
      <c r="I80" s="281"/>
      <c r="J80" s="281"/>
      <c r="K80" s="281"/>
      <c r="L80" s="281"/>
      <c r="M80" s="281"/>
      <c r="N80" s="281"/>
      <c r="O80" s="29">
        <f ca="1">+O81</f>
        <v>64.474999999999994</v>
      </c>
      <c r="P80" s="29">
        <f t="shared" ref="P80:BJ80" ca="1" si="574">+P81</f>
        <v>64.474999999999994</v>
      </c>
      <c r="Q80" s="29">
        <f t="shared" ca="1" si="574"/>
        <v>64.474999999999994</v>
      </c>
      <c r="R80" s="29">
        <f t="shared" ca="1" si="574"/>
        <v>64.474999999999994</v>
      </c>
      <c r="S80" s="29">
        <f t="shared" ca="1" si="574"/>
        <v>64.474999999999994</v>
      </c>
      <c r="T80" s="29">
        <f t="shared" ca="1" si="574"/>
        <v>64.474999999999994</v>
      </c>
      <c r="U80" s="29">
        <f t="shared" si="574"/>
        <v>64.703006999999999</v>
      </c>
      <c r="V80" s="29">
        <f t="shared" si="574"/>
        <v>64.578504000000009</v>
      </c>
      <c r="W80" s="29">
        <f t="shared" si="574"/>
        <v>65.265302000000005</v>
      </c>
      <c r="X80" s="29">
        <f t="shared" si="574"/>
        <v>65.265302000000005</v>
      </c>
      <c r="Y80" s="29">
        <f t="shared" si="574"/>
        <v>65.258606</v>
      </c>
      <c r="Z80" s="29">
        <f t="shared" si="574"/>
        <v>65.253352000000007</v>
      </c>
      <c r="AA80" s="29">
        <f t="shared" si="574"/>
        <v>65.660620999999992</v>
      </c>
      <c r="AB80" s="29">
        <f t="shared" si="574"/>
        <v>66.012744999999995</v>
      </c>
      <c r="AC80" s="29">
        <f t="shared" si="574"/>
        <v>72.599999999999994</v>
      </c>
      <c r="AD80" s="29">
        <f t="shared" si="574"/>
        <v>72.599999999999994</v>
      </c>
      <c r="AE80" s="29">
        <f t="shared" si="574"/>
        <v>72.8</v>
      </c>
      <c r="AF80" s="29">
        <f t="shared" si="574"/>
        <v>79</v>
      </c>
      <c r="AG80" s="29">
        <f t="shared" si="574"/>
        <v>81.3</v>
      </c>
      <c r="AH80" s="29">
        <f t="shared" si="574"/>
        <v>82.881867</v>
      </c>
      <c r="AI80" s="144">
        <v>83.978977</v>
      </c>
      <c r="AJ80" s="144">
        <v>88.1</v>
      </c>
      <c r="AK80" s="211">
        <v>90.4</v>
      </c>
      <c r="AL80" s="211">
        <v>93.5</v>
      </c>
      <c r="AM80" s="29">
        <f t="shared" ca="1" si="574"/>
        <v>96.137873999999996</v>
      </c>
      <c r="AN80" s="29">
        <f t="shared" ca="1" si="574"/>
        <v>96.137873999999996</v>
      </c>
      <c r="AO80" s="29">
        <f t="shared" ca="1" si="574"/>
        <v>98.393525568825908</v>
      </c>
      <c r="AP80" s="29">
        <f t="shared" ca="1" si="574"/>
        <v>102.90482870647774</v>
      </c>
      <c r="AQ80" s="29">
        <f t="shared" ca="1" si="574"/>
        <v>107.41613184412957</v>
      </c>
      <c r="AR80" s="29">
        <f t="shared" ca="1" si="574"/>
        <v>109.67178341295548</v>
      </c>
      <c r="AS80" s="29">
        <f t="shared" ca="1" si="574"/>
        <v>111.92743498178139</v>
      </c>
      <c r="AT80" s="29">
        <f t="shared" ca="1" si="574"/>
        <v>116.43873811943321</v>
      </c>
      <c r="AU80" s="29">
        <f t="shared" ca="1" si="574"/>
        <v>118.69438968825912</v>
      </c>
      <c r="AV80" s="29">
        <f t="shared" ca="1" si="574"/>
        <v>118.69438968825912</v>
      </c>
      <c r="AW80" s="29">
        <f t="shared" ca="1" si="574"/>
        <v>120.95004125708503</v>
      </c>
      <c r="AX80" s="29">
        <f t="shared" ca="1" si="574"/>
        <v>123.20569282591094</v>
      </c>
      <c r="AY80" s="29">
        <f t="shared" ca="1" si="574"/>
        <v>123.20569282591094</v>
      </c>
      <c r="AZ80" s="29">
        <f t="shared" ca="1" si="574"/>
        <v>123.20569282591094</v>
      </c>
      <c r="BA80" s="29">
        <f t="shared" ca="1" si="574"/>
        <v>125.46134439473686</v>
      </c>
      <c r="BB80" s="29">
        <f t="shared" ca="1" si="574"/>
        <v>129.97264753238869</v>
      </c>
      <c r="BC80" s="29">
        <f t="shared" ca="1" si="574"/>
        <v>132.22829910121459</v>
      </c>
      <c r="BD80" s="29">
        <f t="shared" ca="1" si="574"/>
        <v>132.22829910121459</v>
      </c>
      <c r="BE80" s="29">
        <f t="shared" ca="1" si="574"/>
        <v>132.22829910121459</v>
      </c>
      <c r="BF80" s="29">
        <f t="shared" ca="1" si="574"/>
        <v>134.48395067004049</v>
      </c>
      <c r="BG80" s="29">
        <f t="shared" ca="1" si="574"/>
        <v>136.73960223886641</v>
      </c>
      <c r="BH80" s="29">
        <f t="shared" ca="1" si="574"/>
        <v>136.73960223886641</v>
      </c>
      <c r="BI80" s="29">
        <f t="shared" ca="1" si="574"/>
        <v>136.73960223886641</v>
      </c>
      <c r="BJ80" s="29">
        <f t="shared" ca="1" si="574"/>
        <v>136.73960223886641</v>
      </c>
      <c r="BL80" s="55">
        <f ca="1">+BN80</f>
        <v>64.474999999999994</v>
      </c>
      <c r="BM80" s="55">
        <f ca="1">+BN80</f>
        <v>64.474999999999994</v>
      </c>
      <c r="BN80" s="55">
        <f t="shared" ref="BN80:BY80" ca="1" si="575">+BN81</f>
        <v>64.474999999999994</v>
      </c>
      <c r="BO80" s="55">
        <f t="shared" ca="1" si="575"/>
        <v>64.557877750000003</v>
      </c>
      <c r="BP80" s="55">
        <f t="shared" si="575"/>
        <v>65.260640500000008</v>
      </c>
      <c r="BQ80" s="55">
        <f t="shared" si="575"/>
        <v>69.218341499999994</v>
      </c>
      <c r="BR80" s="55">
        <f t="shared" si="575"/>
        <v>78.995466750000006</v>
      </c>
      <c r="BS80" s="55">
        <f t="shared" si="575"/>
        <v>89.35</v>
      </c>
      <c r="BT80" s="55">
        <f t="shared" ca="1" si="575"/>
        <v>98.393525568825922</v>
      </c>
      <c r="BU80" s="55">
        <f t="shared" ca="1" si="575"/>
        <v>111.36352208957491</v>
      </c>
      <c r="BV80" s="55">
        <f t="shared" ca="1" si="575"/>
        <v>120.38612836487856</v>
      </c>
      <c r="BW80" s="55">
        <f t="shared" ca="1" si="575"/>
        <v>125.46134439473686</v>
      </c>
      <c r="BX80" s="55">
        <f t="shared" ca="1" si="575"/>
        <v>132.79221199342106</v>
      </c>
      <c r="BY80" s="55">
        <f t="shared" ca="1" si="575"/>
        <v>136.73960223886641</v>
      </c>
    </row>
    <row r="81" spans="1:77" ht="12" customHeight="1" outlineLevel="1">
      <c r="B81" s="12" t="s">
        <v>395</v>
      </c>
      <c r="C81" s="12"/>
      <c r="D81" s="12"/>
      <c r="E81" s="12"/>
      <c r="F81" s="12"/>
      <c r="G81" s="12"/>
      <c r="H81" s="12"/>
      <c r="I81" s="12"/>
      <c r="J81" s="12"/>
      <c r="K81" s="12"/>
      <c r="L81" s="12"/>
      <c r="M81" s="12"/>
      <c r="N81" s="12"/>
      <c r="O81" s="22">
        <f ca="1">O79</f>
        <v>64.474999999999994</v>
      </c>
      <c r="P81" s="22">
        <f ca="1">P79</f>
        <v>64.474999999999994</v>
      </c>
      <c r="Q81" s="1">
        <f ca="1">Q79*(Q284/90)+P79*(1-Q284/90)</f>
        <v>64.474999999999994</v>
      </c>
      <c r="R81" s="1">
        <f ca="1">R79*(R284/90)+Q79*(1-R284/90)</f>
        <v>64.474999999999994</v>
      </c>
      <c r="S81" s="1">
        <f ca="1">S79*(S284/90)+R79*(1-S284/90)</f>
        <v>64.474999999999994</v>
      </c>
      <c r="T81" s="1">
        <f ca="1">T79*(T284/90)+S79*(1-T284/90)</f>
        <v>64.474999999999994</v>
      </c>
      <c r="U81" s="1">
        <f t="shared" ref="U81:Z81" si="576">+U79</f>
        <v>64.703006999999999</v>
      </c>
      <c r="V81" s="1">
        <f t="shared" si="576"/>
        <v>64.578504000000009</v>
      </c>
      <c r="W81" s="1">
        <f t="shared" si="576"/>
        <v>65.265302000000005</v>
      </c>
      <c r="X81" s="1">
        <f t="shared" si="576"/>
        <v>65.265302000000005</v>
      </c>
      <c r="Y81" s="1">
        <f t="shared" si="576"/>
        <v>65.258606</v>
      </c>
      <c r="Z81" s="1">
        <f t="shared" si="576"/>
        <v>65.253352000000007</v>
      </c>
      <c r="AA81" s="1">
        <f>+AA79</f>
        <v>65.660620999999992</v>
      </c>
      <c r="AB81" s="144">
        <v>66.012744999999995</v>
      </c>
      <c r="AC81" s="144">
        <v>72.599999999999994</v>
      </c>
      <c r="AD81" s="144">
        <v>72.599999999999994</v>
      </c>
      <c r="AE81" s="144">
        <v>72.8</v>
      </c>
      <c r="AF81" s="144">
        <v>79</v>
      </c>
      <c r="AG81" s="144">
        <v>81.3</v>
      </c>
      <c r="AH81" s="144">
        <v>82.881867</v>
      </c>
      <c r="AI81" s="144">
        <v>84.5</v>
      </c>
      <c r="AJ81" s="144">
        <v>88.5</v>
      </c>
      <c r="AK81" s="144">
        <v>90.9</v>
      </c>
      <c r="AL81" s="144">
        <v>93.5</v>
      </c>
      <c r="AM81" s="1">
        <f t="shared" ref="AM81:AX81" ca="1" si="577">AM79*(AM284/90)+AL79*(1-AM284/90)</f>
        <v>96.137873999999996</v>
      </c>
      <c r="AN81" s="1">
        <f t="shared" ca="1" si="577"/>
        <v>96.137873999999996</v>
      </c>
      <c r="AO81" s="1">
        <f t="shared" ca="1" si="577"/>
        <v>98.393525568825908</v>
      </c>
      <c r="AP81" s="1">
        <f t="shared" ca="1" si="577"/>
        <v>102.90482870647774</v>
      </c>
      <c r="AQ81" s="1">
        <f t="shared" ca="1" si="577"/>
        <v>107.41613184412957</v>
      </c>
      <c r="AR81" s="1">
        <f t="shared" ca="1" si="577"/>
        <v>109.67178341295548</v>
      </c>
      <c r="AS81" s="1">
        <f t="shared" ca="1" si="577"/>
        <v>111.92743498178139</v>
      </c>
      <c r="AT81" s="1">
        <f t="shared" ca="1" si="577"/>
        <v>116.43873811943321</v>
      </c>
      <c r="AU81" s="1">
        <f t="shared" ca="1" si="577"/>
        <v>118.69438968825912</v>
      </c>
      <c r="AV81" s="1">
        <f t="shared" ca="1" si="577"/>
        <v>118.69438968825912</v>
      </c>
      <c r="AW81" s="1">
        <f t="shared" ca="1" si="577"/>
        <v>120.95004125708503</v>
      </c>
      <c r="AX81" s="1">
        <f t="shared" ca="1" si="577"/>
        <v>123.20569282591094</v>
      </c>
      <c r="AY81" s="1">
        <f t="shared" ref="AY81" ca="1" si="578">AY79*(AY284/90)+AX79*(1-AY284/90)</f>
        <v>123.20569282591094</v>
      </c>
      <c r="AZ81" s="1">
        <f t="shared" ref="AZ81" ca="1" si="579">AZ79*(AZ284/90)+AY79*(1-AZ284/90)</f>
        <v>123.20569282591094</v>
      </c>
      <c r="BA81" s="1">
        <f t="shared" ref="BA81" ca="1" si="580">BA79*(BA284/90)+AZ79*(1-BA284/90)</f>
        <v>125.46134439473686</v>
      </c>
      <c r="BB81" s="1">
        <f t="shared" ref="BB81" ca="1" si="581">BB79*(BB284/90)+BA79*(1-BB284/90)</f>
        <v>129.97264753238869</v>
      </c>
      <c r="BC81" s="1">
        <f t="shared" ref="BC81" ca="1" si="582">BC79*(BC284/90)+BB79*(1-BC284/90)</f>
        <v>132.22829910121459</v>
      </c>
      <c r="BD81" s="1">
        <f t="shared" ref="BD81" ca="1" si="583">BD79*(BD284/90)+BC79*(1-BD284/90)</f>
        <v>132.22829910121459</v>
      </c>
      <c r="BE81" s="1">
        <f t="shared" ref="BE81" ca="1" si="584">BE79*(BE284/90)+BD79*(1-BE284/90)</f>
        <v>132.22829910121459</v>
      </c>
      <c r="BF81" s="1">
        <f t="shared" ref="BF81" ca="1" si="585">BF79*(BF284/90)+BE79*(1-BF284/90)</f>
        <v>134.48395067004049</v>
      </c>
      <c r="BG81" s="1">
        <f t="shared" ref="BG81" ca="1" si="586">BG79*(BG284/90)+BF79*(1-BG284/90)</f>
        <v>136.73960223886641</v>
      </c>
      <c r="BH81" s="1">
        <f t="shared" ref="BH81" ca="1" si="587">BH79*(BH284/90)+BG79*(1-BH284/90)</f>
        <v>136.73960223886641</v>
      </c>
      <c r="BI81" s="1">
        <f t="shared" ref="BI81" ca="1" si="588">BI79*(BI284/90)+BH79*(1-BI284/90)</f>
        <v>136.73960223886641</v>
      </c>
      <c r="BJ81" s="1">
        <f t="shared" ref="BJ81" ca="1" si="589">BJ79*(BJ284/90)+BI79*(1-BJ284/90)</f>
        <v>136.73960223886641</v>
      </c>
      <c r="BL81" s="55">
        <f ca="1">+BN81</f>
        <v>64.474999999999994</v>
      </c>
      <c r="BM81" s="55">
        <f ca="1">+BN81</f>
        <v>64.474999999999994</v>
      </c>
      <c r="BN81" s="55">
        <f ca="1">AVERAGE(O81:R81)</f>
        <v>64.474999999999994</v>
      </c>
      <c r="BO81" s="55">
        <f ca="1">AVERAGE(S81:V81)</f>
        <v>64.557877750000003</v>
      </c>
      <c r="BP81" s="55">
        <f>AVERAGE(W81:Z81)</f>
        <v>65.260640500000008</v>
      </c>
      <c r="BQ81" s="55">
        <f>AVERAGE(AA81:AD81)</f>
        <v>69.218341499999994</v>
      </c>
      <c r="BR81" s="55">
        <f>AVERAGE(AE81:AH81)</f>
        <v>78.995466750000006</v>
      </c>
      <c r="BS81" s="55">
        <f>AVERAGE(AI81:AL81)</f>
        <v>89.35</v>
      </c>
      <c r="BT81" s="55">
        <f ca="1">AVERAGE(AM81:AP81)</f>
        <v>98.393525568825922</v>
      </c>
      <c r="BU81" s="55">
        <f ca="1">AVERAGE(AQ81:AT81)</f>
        <v>111.36352208957491</v>
      </c>
      <c r="BV81" s="55">
        <f ca="1">AVERAGE(AU81:AX81)</f>
        <v>120.38612836487856</v>
      </c>
      <c r="BW81" s="55">
        <f ca="1">AVERAGE(AY81:BB81)</f>
        <v>125.46134439473686</v>
      </c>
      <c r="BX81" s="55">
        <f ca="1">AVERAGE(BC81:BF81)</f>
        <v>132.79221199342106</v>
      </c>
      <c r="BY81" s="55">
        <f ca="1">AVERAGE(BG81:BJ81)</f>
        <v>136.73960223886641</v>
      </c>
    </row>
    <row r="82" spans="1:77" ht="12" customHeight="1" outlineLevel="1">
      <c r="B82" s="2" t="s">
        <v>80</v>
      </c>
      <c r="C82" s="2"/>
      <c r="D82" s="2"/>
      <c r="E82" s="2"/>
      <c r="F82" s="2"/>
      <c r="G82" s="2"/>
      <c r="H82" s="2"/>
      <c r="I82" s="2"/>
      <c r="J82" s="2"/>
      <c r="K82" s="2"/>
      <c r="L82" s="2"/>
      <c r="M82" s="2"/>
      <c r="N82" s="2"/>
      <c r="O82" s="1"/>
      <c r="BL82" s="54"/>
      <c r="BM82" s="54"/>
      <c r="BN82" s="54"/>
      <c r="BO82" s="54"/>
      <c r="BP82" s="54"/>
      <c r="BQ82" s="54"/>
      <c r="BR82" s="54"/>
      <c r="BS82" s="54"/>
      <c r="BT82" s="54"/>
      <c r="BU82" s="54"/>
      <c r="BV82" s="54"/>
      <c r="BW82" s="54"/>
      <c r="BX82" s="54"/>
      <c r="BY82" s="54"/>
    </row>
    <row r="83" spans="1:77" ht="12" customHeight="1" outlineLevel="1">
      <c r="B83" s="12" t="s">
        <v>78</v>
      </c>
      <c r="C83" s="12"/>
      <c r="D83" s="12"/>
      <c r="E83" s="12"/>
      <c r="F83" s="12"/>
      <c r="G83" s="12"/>
      <c r="H83" s="12"/>
      <c r="I83" s="12"/>
      <c r="J83" s="12"/>
      <c r="K83" s="12"/>
      <c r="L83" s="12"/>
      <c r="M83" s="12"/>
      <c r="N83" s="12"/>
      <c r="O83" s="1">
        <f t="shared" ref="O83:U83" ca="1" si="590">O79</f>
        <v>64.474999999999994</v>
      </c>
      <c r="P83" s="1">
        <f t="shared" ca="1" si="590"/>
        <v>64.474999999999994</v>
      </c>
      <c r="Q83" s="1">
        <f t="shared" ca="1" si="590"/>
        <v>64.474999999999994</v>
      </c>
      <c r="R83" s="1">
        <f t="shared" ca="1" si="590"/>
        <v>64.474999999999994</v>
      </c>
      <c r="S83" s="1">
        <f t="shared" ca="1" si="590"/>
        <v>64.474999999999994</v>
      </c>
      <c r="T83" s="1">
        <f t="shared" ca="1" si="590"/>
        <v>64.474999999999994</v>
      </c>
      <c r="U83" s="1">
        <f t="shared" si="590"/>
        <v>64.703006999999999</v>
      </c>
      <c r="V83" s="1">
        <f>V79</f>
        <v>64.578504000000009</v>
      </c>
      <c r="W83" s="1">
        <f>W79</f>
        <v>65.265302000000005</v>
      </c>
      <c r="X83" s="1">
        <f>X79</f>
        <v>65.265302000000005</v>
      </c>
      <c r="Y83" s="1">
        <f>Y79</f>
        <v>65.258606</v>
      </c>
      <c r="Z83" s="1">
        <f>Z79</f>
        <v>65.253352000000007</v>
      </c>
      <c r="AA83" s="1">
        <f t="shared" ref="AA83:AF83" si="591">AA79</f>
        <v>65.660620999999992</v>
      </c>
      <c r="AB83" s="1">
        <f t="shared" si="591"/>
        <v>72.599999999999994</v>
      </c>
      <c r="AC83" s="1">
        <f t="shared" si="591"/>
        <v>72.592741000000004</v>
      </c>
      <c r="AD83" s="1">
        <f t="shared" si="591"/>
        <v>72.592741000000004</v>
      </c>
      <c r="AE83" s="1">
        <f t="shared" si="591"/>
        <v>79.602964999999998</v>
      </c>
      <c r="AF83" s="1">
        <f t="shared" si="591"/>
        <v>79.619202000000001</v>
      </c>
      <c r="AG83" s="1">
        <f t="shared" ref="AG83:AL83" si="592">AG79</f>
        <v>83.524905000000004</v>
      </c>
      <c r="AH83" s="1">
        <f t="shared" si="592"/>
        <v>83.536249999999995</v>
      </c>
      <c r="AI83" s="1">
        <f t="shared" si="592"/>
        <v>87.725493999999998</v>
      </c>
      <c r="AJ83" s="1">
        <f t="shared" si="592"/>
        <v>91.291228000000004</v>
      </c>
      <c r="AK83" s="1">
        <f t="shared" si="592"/>
        <v>91.289334999999994</v>
      </c>
      <c r="AL83" s="1">
        <f t="shared" si="592"/>
        <v>96.137873999999996</v>
      </c>
      <c r="AM83" s="1">
        <f t="shared" ref="AM83:AX83" ca="1" si="593">AM79</f>
        <v>96.137873999999996</v>
      </c>
      <c r="AN83" s="1">
        <f t="shared" ca="1" si="593"/>
        <v>96.137873999999996</v>
      </c>
      <c r="AO83" s="1">
        <f t="shared" ca="1" si="593"/>
        <v>100.64917713765183</v>
      </c>
      <c r="AP83" s="1">
        <f t="shared" ca="1" si="593"/>
        <v>105.16048027530366</v>
      </c>
      <c r="AQ83" s="1">
        <f t="shared" ca="1" si="593"/>
        <v>109.67178341295548</v>
      </c>
      <c r="AR83" s="1">
        <f t="shared" ca="1" si="593"/>
        <v>109.67178341295548</v>
      </c>
      <c r="AS83" s="1">
        <f t="shared" ca="1" si="593"/>
        <v>114.1830865506073</v>
      </c>
      <c r="AT83" s="1">
        <f t="shared" ca="1" si="593"/>
        <v>118.69438968825912</v>
      </c>
      <c r="AU83" s="1">
        <f t="shared" ca="1" si="593"/>
        <v>118.69438968825912</v>
      </c>
      <c r="AV83" s="1">
        <f t="shared" ca="1" si="593"/>
        <v>118.69438968825912</v>
      </c>
      <c r="AW83" s="1">
        <f t="shared" ca="1" si="593"/>
        <v>123.20569282591094</v>
      </c>
      <c r="AX83" s="1">
        <f t="shared" ca="1" si="593"/>
        <v>123.20569282591094</v>
      </c>
      <c r="AY83" s="1">
        <f t="shared" ref="AY83:BJ83" ca="1" si="594">AY79</f>
        <v>123.20569282591094</v>
      </c>
      <c r="AZ83" s="1">
        <f t="shared" ca="1" si="594"/>
        <v>123.20569282591094</v>
      </c>
      <c r="BA83" s="1">
        <f t="shared" ca="1" si="594"/>
        <v>127.71699596356277</v>
      </c>
      <c r="BB83" s="1">
        <f t="shared" ca="1" si="594"/>
        <v>132.22829910121459</v>
      </c>
      <c r="BC83" s="1">
        <f t="shared" ca="1" si="594"/>
        <v>132.22829910121459</v>
      </c>
      <c r="BD83" s="1">
        <f t="shared" ca="1" si="594"/>
        <v>132.22829910121459</v>
      </c>
      <c r="BE83" s="1">
        <f t="shared" ca="1" si="594"/>
        <v>132.22829910121459</v>
      </c>
      <c r="BF83" s="1">
        <f t="shared" ca="1" si="594"/>
        <v>136.73960223886641</v>
      </c>
      <c r="BG83" s="1">
        <f t="shared" ca="1" si="594"/>
        <v>136.73960223886641</v>
      </c>
      <c r="BH83" s="1">
        <f t="shared" ca="1" si="594"/>
        <v>136.73960223886641</v>
      </c>
      <c r="BI83" s="1">
        <f t="shared" ca="1" si="594"/>
        <v>136.73960223886641</v>
      </c>
      <c r="BJ83" s="1">
        <f t="shared" ca="1" si="594"/>
        <v>136.73960223886641</v>
      </c>
      <c r="BL83" s="55"/>
      <c r="BM83" s="55"/>
      <c r="BN83" s="55">
        <f ca="1">R83</f>
        <v>64.474999999999994</v>
      </c>
      <c r="BO83" s="55">
        <f>V83</f>
        <v>64.578504000000009</v>
      </c>
      <c r="BP83" s="55">
        <f>Z83</f>
        <v>65.253352000000007</v>
      </c>
      <c r="BQ83" s="55">
        <f>AD83</f>
        <v>72.592741000000004</v>
      </c>
      <c r="BR83" s="55">
        <f>AH83</f>
        <v>83.536249999999995</v>
      </c>
      <c r="BS83" s="55">
        <f>AL83</f>
        <v>96.137873999999996</v>
      </c>
      <c r="BT83" s="55">
        <f ca="1">AP83</f>
        <v>105.16048027530366</v>
      </c>
      <c r="BU83" s="55">
        <f ca="1">AT83</f>
        <v>118.69438968825912</v>
      </c>
      <c r="BV83" s="55">
        <f ca="1">AX83</f>
        <v>123.20569282591094</v>
      </c>
      <c r="BW83" s="55">
        <f ca="1">BB83</f>
        <v>132.22829910121459</v>
      </c>
      <c r="BX83" s="55">
        <f ca="1">BF83</f>
        <v>136.73960223886641</v>
      </c>
      <c r="BY83" s="55">
        <f ca="1">BJ83</f>
        <v>136.73960223886641</v>
      </c>
    </row>
    <row r="84" spans="1:77" ht="12" customHeight="1">
      <c r="B84" s="60" t="s">
        <v>79</v>
      </c>
      <c r="C84" s="60"/>
      <c r="D84" s="60"/>
      <c r="E84" s="60"/>
      <c r="F84" s="60"/>
      <c r="G84" s="60"/>
      <c r="H84" s="60"/>
      <c r="I84" s="60"/>
      <c r="J84" s="60"/>
      <c r="K84" s="60"/>
      <c r="L84" s="60"/>
      <c r="M84" s="60"/>
      <c r="N84" s="60"/>
      <c r="O84" s="61">
        <f t="shared" ref="O84:U84" ca="1" si="595">O81</f>
        <v>64.474999999999994</v>
      </c>
      <c r="P84" s="61">
        <f t="shared" ca="1" si="595"/>
        <v>64.474999999999994</v>
      </c>
      <c r="Q84" s="61">
        <f t="shared" ca="1" si="595"/>
        <v>64.474999999999994</v>
      </c>
      <c r="R84" s="61">
        <f t="shared" ca="1" si="595"/>
        <v>64.474999999999994</v>
      </c>
      <c r="S84" s="61">
        <f t="shared" ca="1" si="595"/>
        <v>64.474999999999994</v>
      </c>
      <c r="T84" s="61">
        <f t="shared" ca="1" si="595"/>
        <v>64.474999999999994</v>
      </c>
      <c r="U84" s="61">
        <f t="shared" si="595"/>
        <v>64.703006999999999</v>
      </c>
      <c r="V84" s="61">
        <f>V81</f>
        <v>64.578504000000009</v>
      </c>
      <c r="W84" s="61">
        <f>W81</f>
        <v>65.265302000000005</v>
      </c>
      <c r="X84" s="61">
        <f>X81</f>
        <v>65.265302000000005</v>
      </c>
      <c r="Y84" s="61">
        <f>Y81</f>
        <v>65.258606</v>
      </c>
      <c r="Z84" s="61">
        <f>Z81</f>
        <v>65.253352000000007</v>
      </c>
      <c r="AA84" s="61">
        <f t="shared" ref="AA84:AF84" si="596">AA81</f>
        <v>65.660620999999992</v>
      </c>
      <c r="AB84" s="61">
        <f t="shared" si="596"/>
        <v>66.012744999999995</v>
      </c>
      <c r="AC84" s="61">
        <f t="shared" si="596"/>
        <v>72.599999999999994</v>
      </c>
      <c r="AD84" s="61">
        <f t="shared" si="596"/>
        <v>72.599999999999994</v>
      </c>
      <c r="AE84" s="61">
        <f t="shared" si="596"/>
        <v>72.8</v>
      </c>
      <c r="AF84" s="61">
        <f t="shared" si="596"/>
        <v>79</v>
      </c>
      <c r="AG84" s="61">
        <f t="shared" ref="AG84:AL84" si="597">AG81</f>
        <v>81.3</v>
      </c>
      <c r="AH84" s="61">
        <f t="shared" si="597"/>
        <v>82.881867</v>
      </c>
      <c r="AI84" s="61">
        <f t="shared" si="597"/>
        <v>84.5</v>
      </c>
      <c r="AJ84" s="61">
        <f t="shared" si="597"/>
        <v>88.5</v>
      </c>
      <c r="AK84" s="61">
        <f t="shared" si="597"/>
        <v>90.9</v>
      </c>
      <c r="AL84" s="61">
        <f t="shared" si="597"/>
        <v>93.5</v>
      </c>
      <c r="AM84" s="61">
        <f t="shared" ref="AM84:AX84" ca="1" si="598">AM81</f>
        <v>96.137873999999996</v>
      </c>
      <c r="AN84" s="61">
        <f t="shared" ca="1" si="598"/>
        <v>96.137873999999996</v>
      </c>
      <c r="AO84" s="61">
        <f t="shared" ca="1" si="598"/>
        <v>98.393525568825908</v>
      </c>
      <c r="AP84" s="61">
        <f t="shared" ca="1" si="598"/>
        <v>102.90482870647774</v>
      </c>
      <c r="AQ84" s="61">
        <f t="shared" ca="1" si="598"/>
        <v>107.41613184412957</v>
      </c>
      <c r="AR84" s="61">
        <f t="shared" ca="1" si="598"/>
        <v>109.67178341295548</v>
      </c>
      <c r="AS84" s="61">
        <f t="shared" ca="1" si="598"/>
        <v>111.92743498178139</v>
      </c>
      <c r="AT84" s="61">
        <f t="shared" ca="1" si="598"/>
        <v>116.43873811943321</v>
      </c>
      <c r="AU84" s="61">
        <f t="shared" ca="1" si="598"/>
        <v>118.69438968825912</v>
      </c>
      <c r="AV84" s="61">
        <f t="shared" ca="1" si="598"/>
        <v>118.69438968825912</v>
      </c>
      <c r="AW84" s="61">
        <f t="shared" ca="1" si="598"/>
        <v>120.95004125708503</v>
      </c>
      <c r="AX84" s="61">
        <f t="shared" ca="1" si="598"/>
        <v>123.20569282591094</v>
      </c>
      <c r="AY84" s="61">
        <f t="shared" ref="AY84:BJ84" ca="1" si="599">AY81</f>
        <v>123.20569282591094</v>
      </c>
      <c r="AZ84" s="61">
        <f t="shared" ca="1" si="599"/>
        <v>123.20569282591094</v>
      </c>
      <c r="BA84" s="61">
        <f t="shared" ca="1" si="599"/>
        <v>125.46134439473686</v>
      </c>
      <c r="BB84" s="61">
        <f t="shared" ca="1" si="599"/>
        <v>129.97264753238869</v>
      </c>
      <c r="BC84" s="61">
        <f t="shared" ca="1" si="599"/>
        <v>132.22829910121459</v>
      </c>
      <c r="BD84" s="61">
        <f t="shared" ca="1" si="599"/>
        <v>132.22829910121459</v>
      </c>
      <c r="BE84" s="61">
        <f t="shared" ca="1" si="599"/>
        <v>132.22829910121459</v>
      </c>
      <c r="BF84" s="61">
        <f t="shared" ca="1" si="599"/>
        <v>134.48395067004049</v>
      </c>
      <c r="BG84" s="61">
        <f t="shared" ca="1" si="599"/>
        <v>136.73960223886641</v>
      </c>
      <c r="BH84" s="61">
        <f t="shared" ca="1" si="599"/>
        <v>136.73960223886641</v>
      </c>
      <c r="BI84" s="61">
        <f t="shared" ca="1" si="599"/>
        <v>136.73960223886641</v>
      </c>
      <c r="BJ84" s="61">
        <f t="shared" ca="1" si="599"/>
        <v>136.73960223886641</v>
      </c>
      <c r="BL84" s="55"/>
      <c r="BM84" s="55"/>
      <c r="BN84" s="55">
        <f ca="1">AVERAGE(O84:R84)</f>
        <v>64.474999999999994</v>
      </c>
      <c r="BO84" s="55">
        <f ca="1">AVERAGE(S84:V84)</f>
        <v>64.557877750000003</v>
      </c>
      <c r="BP84" s="55">
        <f>AVERAGE(W84:Z84)</f>
        <v>65.260640500000008</v>
      </c>
      <c r="BQ84" s="55">
        <f>AVERAGE(AA84:AD84)</f>
        <v>69.218341499999994</v>
      </c>
      <c r="BR84" s="55">
        <f>AVERAGE(AE84:AH84)</f>
        <v>78.995466750000006</v>
      </c>
      <c r="BS84" s="55">
        <f>AVERAGE(AI84:AL84)</f>
        <v>89.35</v>
      </c>
      <c r="BT84" s="55">
        <f ca="1">AVERAGE(AM84:AP84)</f>
        <v>98.393525568825922</v>
      </c>
      <c r="BU84" s="55">
        <f ca="1">AVERAGE(AQ84:AT84)</f>
        <v>111.36352208957491</v>
      </c>
      <c r="BV84" s="55">
        <f ca="1">AVERAGE(AU84:AX84)</f>
        <v>120.38612836487856</v>
      </c>
      <c r="BW84" s="55">
        <f ca="1">AVERAGE(AY84:BB84)</f>
        <v>125.46134439473686</v>
      </c>
      <c r="BX84" s="55">
        <f ca="1">AVERAGE(BC84:BF84)</f>
        <v>132.79221199342106</v>
      </c>
      <c r="BY84" s="55">
        <f ca="1">AVERAGE(BG84:BJ84)</f>
        <v>136.73960223886641</v>
      </c>
    </row>
    <row r="85" spans="1:77" ht="12" customHeight="1">
      <c r="BL85" s="54"/>
      <c r="BM85" s="54"/>
      <c r="BN85" s="308"/>
      <c r="BO85" s="308"/>
      <c r="BP85" s="308"/>
      <c r="BQ85" s="468"/>
      <c r="BR85" s="308"/>
      <c r="BS85" s="308"/>
      <c r="BT85" s="308"/>
      <c r="BU85" s="308"/>
      <c r="BV85" s="308"/>
      <c r="BW85" s="308"/>
      <c r="BX85" s="308"/>
      <c r="BY85" s="308"/>
    </row>
    <row r="86" spans="1:77" ht="12" customHeight="1">
      <c r="B86" s="3" t="s">
        <v>13</v>
      </c>
      <c r="C86" s="3"/>
      <c r="D86" s="3"/>
      <c r="E86" s="3"/>
      <c r="F86" s="3"/>
      <c r="G86" s="3"/>
      <c r="H86" s="3"/>
      <c r="I86" s="3"/>
      <c r="J86" s="3"/>
      <c r="K86" s="3"/>
      <c r="L86" s="3"/>
      <c r="M86" s="3"/>
      <c r="N86" s="3"/>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L86" s="5"/>
      <c r="BM86" s="5"/>
      <c r="BN86" s="5"/>
      <c r="BO86" s="5"/>
      <c r="BP86" s="5"/>
      <c r="BQ86" s="5"/>
      <c r="BR86" s="5"/>
      <c r="BS86" s="5"/>
      <c r="BT86" s="5"/>
      <c r="BU86" s="5"/>
      <c r="BV86" s="5"/>
      <c r="BW86" s="5"/>
      <c r="BX86" s="5"/>
      <c r="BY86" s="5"/>
    </row>
    <row r="87" spans="1:77" ht="12" customHeight="1">
      <c r="A87" s="206" t="s">
        <v>293</v>
      </c>
      <c r="B87" s="4" t="s">
        <v>117</v>
      </c>
      <c r="C87" s="4"/>
      <c r="D87" s="4"/>
      <c r="E87" s="4"/>
      <c r="F87" s="4"/>
      <c r="G87" s="4"/>
      <c r="H87" s="4"/>
      <c r="I87" s="4"/>
      <c r="J87" s="4"/>
      <c r="K87" s="4"/>
      <c r="L87" s="4"/>
      <c r="M87" s="4"/>
      <c r="N87" s="4"/>
      <c r="O87" s="5" t="str">
        <f t="shared" ref="O87:BJ87" si="600">O$1</f>
        <v>1Q '12A</v>
      </c>
      <c r="P87" s="5" t="str">
        <f t="shared" si="600"/>
        <v>2Q '12A</v>
      </c>
      <c r="Q87" s="5" t="str">
        <f t="shared" si="600"/>
        <v>3Q '12A</v>
      </c>
      <c r="R87" s="5" t="str">
        <f t="shared" si="600"/>
        <v>4Q '12A</v>
      </c>
      <c r="S87" s="5" t="str">
        <f t="shared" si="600"/>
        <v>1Q '13A</v>
      </c>
      <c r="T87" s="5" t="str">
        <f t="shared" si="600"/>
        <v>2Q '13A</v>
      </c>
      <c r="U87" s="5" t="str">
        <f t="shared" si="600"/>
        <v>3Q '13A</v>
      </c>
      <c r="V87" s="5" t="str">
        <f t="shared" si="600"/>
        <v>4Q '13A</v>
      </c>
      <c r="W87" s="5" t="str">
        <f t="shared" si="600"/>
        <v>1Q '14A</v>
      </c>
      <c r="X87" s="5" t="str">
        <f t="shared" si="600"/>
        <v>2Q '14A</v>
      </c>
      <c r="Y87" s="5" t="str">
        <f t="shared" si="600"/>
        <v>3Q '14A</v>
      </c>
      <c r="Z87" s="5" t="str">
        <f t="shared" si="600"/>
        <v>4Q '14A</v>
      </c>
      <c r="AA87" s="5" t="str">
        <f t="shared" si="600"/>
        <v>1Q '15A</v>
      </c>
      <c r="AB87" s="5" t="str">
        <f t="shared" si="600"/>
        <v>2Q '15A</v>
      </c>
      <c r="AC87" s="5" t="str">
        <f t="shared" si="600"/>
        <v>3Q '15A</v>
      </c>
      <c r="AD87" s="5" t="str">
        <f t="shared" si="600"/>
        <v>4Q '15A</v>
      </c>
      <c r="AE87" s="5" t="str">
        <f t="shared" si="600"/>
        <v>1Q '16A</v>
      </c>
      <c r="AF87" s="5" t="str">
        <f t="shared" si="600"/>
        <v>2Q '16A</v>
      </c>
      <c r="AG87" s="5" t="str">
        <f t="shared" si="600"/>
        <v>3Q '16A</v>
      </c>
      <c r="AH87" s="5" t="str">
        <f t="shared" si="600"/>
        <v>4Q '16A</v>
      </c>
      <c r="AI87" s="5" t="str">
        <f t="shared" si="600"/>
        <v>1Q '17A</v>
      </c>
      <c r="AJ87" s="5" t="str">
        <f t="shared" si="600"/>
        <v>2Q '17A</v>
      </c>
      <c r="AK87" s="5" t="str">
        <f t="shared" si="600"/>
        <v>3Q '17A</v>
      </c>
      <c r="AL87" s="5" t="str">
        <f t="shared" si="600"/>
        <v>4Q '17A</v>
      </c>
      <c r="AM87" s="5" t="str">
        <f t="shared" si="600"/>
        <v>1Q '18E</v>
      </c>
      <c r="AN87" s="5" t="str">
        <f t="shared" si="600"/>
        <v>2Q '18E</v>
      </c>
      <c r="AO87" s="5" t="str">
        <f t="shared" si="600"/>
        <v>3Q '18E</v>
      </c>
      <c r="AP87" s="5" t="str">
        <f t="shared" si="600"/>
        <v>4Q '18E</v>
      </c>
      <c r="AQ87" s="5" t="str">
        <f t="shared" si="600"/>
        <v>1Q '19E</v>
      </c>
      <c r="AR87" s="5" t="str">
        <f t="shared" si="600"/>
        <v>2Q '19E</v>
      </c>
      <c r="AS87" s="5" t="str">
        <f t="shared" si="600"/>
        <v>3Q '19E</v>
      </c>
      <c r="AT87" s="5" t="str">
        <f t="shared" si="600"/>
        <v>4Q '19E</v>
      </c>
      <c r="AU87" s="5" t="str">
        <f t="shared" si="600"/>
        <v>1Q '20E</v>
      </c>
      <c r="AV87" s="5" t="str">
        <f t="shared" si="600"/>
        <v>2Q '20E</v>
      </c>
      <c r="AW87" s="5" t="str">
        <f t="shared" si="600"/>
        <v>3Q '20E</v>
      </c>
      <c r="AX87" s="5" t="str">
        <f t="shared" si="600"/>
        <v>4Q '20E</v>
      </c>
      <c r="AY87" s="5" t="str">
        <f t="shared" si="600"/>
        <v>1Q '21E</v>
      </c>
      <c r="AZ87" s="5" t="str">
        <f t="shared" si="600"/>
        <v>2Q '21E</v>
      </c>
      <c r="BA87" s="5" t="str">
        <f t="shared" si="600"/>
        <v>3Q '21E</v>
      </c>
      <c r="BB87" s="5" t="str">
        <f t="shared" si="600"/>
        <v>4Q '21E</v>
      </c>
      <c r="BC87" s="5" t="str">
        <f t="shared" si="600"/>
        <v>1Q '22E</v>
      </c>
      <c r="BD87" s="5" t="str">
        <f t="shared" si="600"/>
        <v>2Q '22E</v>
      </c>
      <c r="BE87" s="5" t="str">
        <f t="shared" si="600"/>
        <v>3Q '22E</v>
      </c>
      <c r="BF87" s="5" t="str">
        <f t="shared" si="600"/>
        <v>4Q '22E</v>
      </c>
      <c r="BG87" s="5" t="str">
        <f t="shared" si="600"/>
        <v>1Q '23E</v>
      </c>
      <c r="BH87" s="5" t="str">
        <f t="shared" si="600"/>
        <v>2Q '23E</v>
      </c>
      <c r="BI87" s="5" t="str">
        <f t="shared" si="600"/>
        <v>3Q '23E</v>
      </c>
      <c r="BJ87" s="5" t="str">
        <f t="shared" si="600"/>
        <v>4Q '23E</v>
      </c>
      <c r="BL87" s="5">
        <f t="shared" ref="BL87:BY87" si="601">BL$1</f>
        <v>2010</v>
      </c>
      <c r="BM87" s="5">
        <f t="shared" si="601"/>
        <v>2011</v>
      </c>
      <c r="BN87" s="5">
        <f t="shared" si="601"/>
        <v>2012</v>
      </c>
      <c r="BO87" s="5">
        <f t="shared" si="601"/>
        <v>2013</v>
      </c>
      <c r="BP87" s="5">
        <f t="shared" si="601"/>
        <v>2014</v>
      </c>
      <c r="BQ87" s="5">
        <f t="shared" si="601"/>
        <v>2015</v>
      </c>
      <c r="BR87" s="5">
        <f t="shared" si="601"/>
        <v>2016</v>
      </c>
      <c r="BS87" s="167">
        <f t="shared" si="601"/>
        <v>2017</v>
      </c>
      <c r="BT87" s="167">
        <f t="shared" si="601"/>
        <v>2018</v>
      </c>
      <c r="BU87" s="167">
        <f t="shared" si="601"/>
        <v>2019</v>
      </c>
      <c r="BV87" s="167">
        <f t="shared" si="601"/>
        <v>2020</v>
      </c>
      <c r="BW87" s="167">
        <f t="shared" si="601"/>
        <v>2021</v>
      </c>
      <c r="BX87" s="167">
        <f t="shared" si="601"/>
        <v>2022</v>
      </c>
      <c r="BY87" s="167">
        <f t="shared" si="601"/>
        <v>2023</v>
      </c>
    </row>
    <row r="88" spans="1:77" ht="12" hidden="1" customHeight="1" outlineLevel="1">
      <c r="B88" s="72" t="s">
        <v>127</v>
      </c>
      <c r="C88" s="72"/>
      <c r="D88" s="72"/>
      <c r="E88" s="72"/>
      <c r="F88" s="72"/>
      <c r="G88" s="72"/>
      <c r="H88" s="72"/>
      <c r="I88" s="72"/>
      <c r="J88" s="72"/>
      <c r="K88" s="72"/>
      <c r="L88" s="72"/>
      <c r="M88" s="72"/>
      <c r="N88" s="72"/>
      <c r="O88" s="50"/>
      <c r="P88" s="49"/>
      <c r="Q88" s="50"/>
      <c r="R88" s="50"/>
      <c r="S88" s="50"/>
      <c r="T88" s="50"/>
      <c r="U88" s="50"/>
      <c r="V88" s="50"/>
      <c r="W88" s="50"/>
      <c r="X88" s="50"/>
      <c r="Y88" s="50"/>
      <c r="Z88" s="50"/>
      <c r="AA88" s="50"/>
      <c r="AB88" s="50"/>
      <c r="AC88" s="50"/>
      <c r="AD88" s="50"/>
      <c r="AE88" s="50"/>
      <c r="AF88" s="50"/>
      <c r="AG88" s="50"/>
      <c r="AH88" s="50"/>
      <c r="AI88" s="50"/>
    </row>
    <row r="89" spans="1:77" ht="12" hidden="1" customHeight="1" outlineLevel="1">
      <c r="B89" s="72" t="s">
        <v>109</v>
      </c>
      <c r="C89" s="72"/>
      <c r="D89" s="72"/>
      <c r="E89" s="72"/>
      <c r="F89" s="72"/>
      <c r="G89" s="72"/>
      <c r="H89" s="72"/>
      <c r="I89" s="72"/>
      <c r="J89" s="72"/>
      <c r="K89" s="72"/>
      <c r="L89" s="72"/>
      <c r="M89" s="72"/>
      <c r="N89" s="72"/>
      <c r="O89" s="50"/>
      <c r="P89" s="49"/>
      <c r="Q89" s="50"/>
      <c r="R89" s="50"/>
      <c r="S89" s="50"/>
      <c r="T89" s="50"/>
      <c r="U89" s="50"/>
      <c r="V89" s="50"/>
      <c r="W89" s="50"/>
      <c r="X89" s="50"/>
      <c r="Y89" s="50"/>
      <c r="Z89" s="50"/>
      <c r="AA89" s="50"/>
      <c r="AB89" s="50"/>
      <c r="AC89" s="50"/>
      <c r="AD89" s="50"/>
      <c r="AE89" s="50"/>
      <c r="AF89" s="50"/>
      <c r="AG89" s="50"/>
      <c r="AH89" s="50"/>
      <c r="AI89" s="50"/>
    </row>
    <row r="90" spans="1:77" ht="12" hidden="1" customHeight="1" outlineLevel="1">
      <c r="B90" s="72"/>
      <c r="C90" s="72"/>
      <c r="D90" s="72"/>
      <c r="E90" s="72"/>
      <c r="F90" s="72"/>
      <c r="G90" s="72"/>
      <c r="H90" s="72"/>
      <c r="I90" s="72"/>
      <c r="J90" s="72"/>
      <c r="K90" s="72"/>
      <c r="L90" s="72"/>
      <c r="M90" s="72"/>
      <c r="N90" s="72"/>
      <c r="O90" s="50"/>
      <c r="P90" s="49"/>
      <c r="Q90" s="50"/>
      <c r="R90" s="50"/>
      <c r="S90" s="50"/>
      <c r="T90" s="50"/>
      <c r="U90" s="50"/>
      <c r="V90" s="50"/>
      <c r="W90" s="50"/>
      <c r="X90" s="50"/>
      <c r="Y90" s="50"/>
      <c r="Z90" s="50"/>
      <c r="AA90" s="50"/>
      <c r="AB90" s="50"/>
      <c r="AC90" s="50"/>
      <c r="AD90" s="50"/>
      <c r="AE90" s="50"/>
      <c r="AF90" s="50"/>
      <c r="AG90" s="50"/>
      <c r="AH90" s="50"/>
      <c r="AI90" s="50"/>
    </row>
    <row r="91" spans="1:77" ht="12" hidden="1" customHeight="1" outlineLevel="1">
      <c r="B91" s="72" t="s">
        <v>123</v>
      </c>
      <c r="C91" s="72"/>
      <c r="D91" s="72"/>
      <c r="E91" s="72"/>
      <c r="F91" s="72"/>
      <c r="G91" s="72"/>
      <c r="H91" s="72"/>
      <c r="I91" s="72"/>
      <c r="J91" s="72"/>
      <c r="K91" s="72"/>
      <c r="L91" s="72"/>
      <c r="M91" s="72"/>
      <c r="N91" s="72"/>
      <c r="O91" s="50"/>
      <c r="P91" s="49"/>
      <c r="Q91" s="50"/>
      <c r="R91" s="50"/>
      <c r="S91" s="50"/>
      <c r="T91" s="50"/>
      <c r="U91" s="50"/>
      <c r="V91" s="50"/>
      <c r="W91" s="50"/>
      <c r="X91" s="50"/>
      <c r="Y91" s="50"/>
      <c r="Z91" s="50"/>
      <c r="AA91" s="50"/>
      <c r="AB91" s="50"/>
      <c r="AC91" s="50"/>
      <c r="AD91" s="50"/>
      <c r="AE91" s="50"/>
      <c r="AF91" s="50"/>
      <c r="AG91" s="50"/>
      <c r="AH91" s="50"/>
      <c r="AI91" s="50"/>
    </row>
    <row r="92" spans="1:77" ht="12" hidden="1" customHeight="1" outlineLevel="1">
      <c r="B92" s="72" t="s">
        <v>124</v>
      </c>
      <c r="C92" s="72"/>
      <c r="D92" s="72"/>
      <c r="E92" s="72"/>
      <c r="F92" s="72"/>
      <c r="G92" s="72"/>
      <c r="H92" s="72"/>
      <c r="I92" s="72"/>
      <c r="J92" s="72"/>
      <c r="K92" s="72"/>
      <c r="L92" s="72"/>
      <c r="M92" s="72"/>
      <c r="N92" s="72"/>
      <c r="O92" s="50"/>
      <c r="P92" s="49"/>
      <c r="Q92" s="50"/>
      <c r="R92" s="50"/>
      <c r="S92" s="50"/>
      <c r="T92" s="50"/>
      <c r="U92" s="50"/>
      <c r="V92" s="50"/>
      <c r="W92" s="50"/>
      <c r="X92" s="50"/>
      <c r="Y92" s="50"/>
      <c r="Z92" s="50"/>
      <c r="AA92" s="50"/>
      <c r="AB92" s="50"/>
      <c r="AC92" s="50"/>
      <c r="AD92" s="50"/>
      <c r="AE92" s="50"/>
      <c r="AF92" s="50"/>
      <c r="AG92" s="50"/>
      <c r="AH92" s="50"/>
      <c r="AI92" s="50"/>
    </row>
    <row r="93" spans="1:77" ht="12" customHeight="1" collapsed="1">
      <c r="B93" s="73" t="s">
        <v>130</v>
      </c>
      <c r="C93" s="73"/>
      <c r="D93" s="73"/>
      <c r="E93" s="73"/>
      <c r="F93" s="73"/>
      <c r="G93" s="73"/>
      <c r="H93" s="73"/>
      <c r="I93" s="73"/>
      <c r="J93" s="73"/>
      <c r="K93" s="73"/>
      <c r="L93" s="73"/>
      <c r="M93" s="73"/>
      <c r="N93" s="73"/>
      <c r="O93" s="50"/>
      <c r="P93" s="49"/>
      <c r="Q93" s="50"/>
      <c r="R93" s="50"/>
      <c r="S93" s="50"/>
      <c r="T93" s="50"/>
      <c r="U93" s="50"/>
      <c r="V93" s="50"/>
      <c r="W93" s="50"/>
      <c r="X93" s="50"/>
      <c r="Y93" s="50"/>
      <c r="Z93" s="50"/>
      <c r="AA93" s="50"/>
      <c r="AB93" s="50"/>
      <c r="AC93" s="50"/>
      <c r="AD93" s="50"/>
      <c r="AE93" s="50"/>
      <c r="AF93" s="50"/>
      <c r="AG93" s="50"/>
      <c r="AH93" s="50"/>
      <c r="AI93" s="50"/>
    </row>
    <row r="94" spans="1:77" ht="12" customHeight="1">
      <c r="B94" s="73" t="s">
        <v>110</v>
      </c>
      <c r="C94" s="73"/>
      <c r="D94" s="73"/>
      <c r="E94" s="73"/>
      <c r="F94" s="73"/>
      <c r="G94" s="73"/>
      <c r="H94" s="73"/>
      <c r="I94" s="73"/>
      <c r="J94" s="73"/>
      <c r="K94" s="73"/>
      <c r="L94" s="73"/>
      <c r="M94" s="73"/>
      <c r="N94" s="73"/>
      <c r="O94" s="50"/>
      <c r="P94" s="49"/>
      <c r="Q94" s="50"/>
      <c r="R94" s="50"/>
      <c r="S94" s="50"/>
      <c r="T94" s="50"/>
      <c r="U94" s="50"/>
      <c r="V94" s="50"/>
      <c r="W94" s="50"/>
      <c r="X94" s="50"/>
      <c r="Y94" s="50"/>
      <c r="Z94" s="50"/>
      <c r="AA94" s="50"/>
      <c r="AB94" s="50"/>
      <c r="AC94" s="50"/>
      <c r="AD94" s="50"/>
      <c r="AE94" s="50"/>
      <c r="AF94" s="50"/>
      <c r="AG94" s="50"/>
      <c r="AH94" s="50"/>
      <c r="AI94" s="50"/>
    </row>
    <row r="95" spans="1:77" ht="12" customHeight="1">
      <c r="B95" s="69" t="s">
        <v>111</v>
      </c>
      <c r="C95" s="69"/>
      <c r="D95" s="69"/>
      <c r="E95" s="69"/>
      <c r="F95" s="69"/>
      <c r="G95" s="69"/>
      <c r="H95" s="69"/>
      <c r="I95" s="69"/>
      <c r="J95" s="69"/>
      <c r="K95" s="69"/>
      <c r="L95" s="69"/>
      <c r="M95" s="69"/>
      <c r="N95" s="69"/>
      <c r="O95" s="50"/>
      <c r="P95" s="49"/>
      <c r="Q95" s="50"/>
      <c r="R95" s="50"/>
      <c r="S95" s="50"/>
      <c r="T95" s="50"/>
      <c r="U95" s="50"/>
      <c r="V95" s="50"/>
      <c r="W95" s="50"/>
      <c r="X95" s="50"/>
      <c r="Y95" s="50"/>
      <c r="Z95" s="50"/>
      <c r="AA95" s="50"/>
      <c r="AB95" s="50"/>
      <c r="AC95" s="50"/>
      <c r="AD95" s="50"/>
      <c r="AE95" s="50"/>
      <c r="AF95" s="50"/>
      <c r="AG95" s="50"/>
      <c r="AH95" s="50"/>
      <c r="AI95" s="50"/>
    </row>
    <row r="96" spans="1:77" ht="12" hidden="1" customHeight="1" outlineLevel="1">
      <c r="B96" s="64"/>
      <c r="C96" s="64"/>
      <c r="D96" s="64"/>
      <c r="E96" s="64"/>
      <c r="F96" s="64"/>
      <c r="G96" s="64"/>
      <c r="H96" s="64"/>
      <c r="I96" s="64"/>
      <c r="J96" s="64"/>
      <c r="K96" s="64"/>
      <c r="L96" s="64"/>
      <c r="M96" s="64"/>
      <c r="N96" s="64"/>
      <c r="O96" s="50"/>
      <c r="P96" s="49"/>
      <c r="Q96" s="50"/>
      <c r="R96" s="50"/>
      <c r="S96" s="50"/>
      <c r="T96" s="50"/>
      <c r="U96" s="50"/>
      <c r="V96" s="50"/>
      <c r="W96" s="50"/>
      <c r="X96" s="50"/>
      <c r="Y96" s="50"/>
      <c r="Z96" s="50"/>
      <c r="AA96" s="50"/>
      <c r="AB96" s="50"/>
      <c r="AC96" s="50"/>
      <c r="AD96" s="50"/>
      <c r="AE96" s="50"/>
      <c r="AF96" s="50"/>
      <c r="AG96" s="50"/>
      <c r="AH96" s="50"/>
      <c r="AI96" s="50"/>
    </row>
    <row r="97" spans="1:85" ht="12" hidden="1" customHeight="1" outlineLevel="1">
      <c r="B97" s="72" t="s">
        <v>125</v>
      </c>
      <c r="C97" s="72"/>
      <c r="D97" s="72"/>
      <c r="E97" s="72"/>
      <c r="F97" s="72"/>
      <c r="G97" s="72"/>
      <c r="H97" s="72"/>
      <c r="I97" s="72"/>
      <c r="J97" s="72"/>
      <c r="K97" s="72"/>
      <c r="L97" s="72"/>
      <c r="M97" s="72"/>
      <c r="N97" s="72"/>
      <c r="O97" s="50"/>
      <c r="P97" s="49"/>
      <c r="Q97" s="50"/>
      <c r="R97" s="50"/>
      <c r="S97" s="50"/>
      <c r="T97" s="50"/>
      <c r="U97" s="50"/>
      <c r="V97" s="50"/>
      <c r="W97" s="50"/>
      <c r="X97" s="50"/>
      <c r="Y97" s="50"/>
      <c r="Z97" s="50"/>
      <c r="AA97" s="50"/>
      <c r="AB97" s="50"/>
      <c r="AC97" s="50"/>
      <c r="AD97" s="50"/>
      <c r="AE97" s="50"/>
      <c r="AF97" s="50"/>
      <c r="AG97" s="50"/>
      <c r="AH97" s="50"/>
      <c r="AI97" s="50"/>
    </row>
    <row r="98" spans="1:85" ht="12" hidden="1" customHeight="1" outlineLevel="1">
      <c r="B98" s="72" t="s">
        <v>40</v>
      </c>
      <c r="C98" s="72"/>
      <c r="D98" s="72"/>
      <c r="E98" s="72"/>
      <c r="F98" s="72"/>
      <c r="G98" s="72"/>
      <c r="H98" s="72"/>
      <c r="I98" s="72"/>
      <c r="J98" s="72"/>
      <c r="K98" s="72"/>
      <c r="L98" s="72"/>
      <c r="M98" s="72"/>
      <c r="N98" s="72"/>
      <c r="O98" s="50"/>
      <c r="P98" s="49"/>
      <c r="Q98" s="50"/>
      <c r="R98" s="50"/>
      <c r="S98" s="50"/>
      <c r="T98" s="50"/>
      <c r="U98" s="50"/>
      <c r="V98" s="50"/>
      <c r="W98" s="50"/>
      <c r="X98" s="50"/>
      <c r="Y98" s="50"/>
      <c r="Z98" s="50"/>
      <c r="AA98" s="50"/>
      <c r="AB98" s="50"/>
      <c r="AC98" s="50"/>
      <c r="AD98" s="50"/>
      <c r="AE98" s="50"/>
      <c r="AF98" s="50"/>
      <c r="AG98" s="50"/>
      <c r="AH98" s="50"/>
      <c r="AI98" s="50"/>
    </row>
    <row r="99" spans="1:85" ht="12" customHeight="1" collapsed="1">
      <c r="B99" s="73" t="s">
        <v>131</v>
      </c>
      <c r="C99" s="73"/>
      <c r="D99" s="73"/>
      <c r="E99" s="73"/>
      <c r="F99" s="73"/>
      <c r="G99" s="73"/>
      <c r="H99" s="73"/>
      <c r="I99" s="73"/>
      <c r="J99" s="73"/>
      <c r="K99" s="73"/>
      <c r="L99" s="73"/>
      <c r="M99" s="73"/>
      <c r="N99" s="73"/>
      <c r="O99" s="50"/>
      <c r="P99" s="49"/>
      <c r="Q99" s="50"/>
      <c r="R99" s="50"/>
      <c r="S99" s="50"/>
      <c r="T99" s="50"/>
      <c r="U99" s="50"/>
      <c r="V99" s="50"/>
      <c r="W99" s="50"/>
      <c r="X99" s="50"/>
      <c r="Y99" s="50"/>
      <c r="Z99" s="50"/>
      <c r="AA99" s="50"/>
      <c r="AB99" s="50"/>
      <c r="AC99" s="50"/>
      <c r="AD99" s="50"/>
      <c r="AE99" s="50"/>
      <c r="AF99" s="50"/>
      <c r="AG99" s="50"/>
      <c r="AH99" s="50"/>
      <c r="AI99" s="50"/>
    </row>
    <row r="100" spans="1:85" ht="12" customHeight="1">
      <c r="B100" s="73" t="s">
        <v>112</v>
      </c>
      <c r="C100" s="73"/>
      <c r="D100" s="73"/>
      <c r="E100" s="73"/>
      <c r="F100" s="73"/>
      <c r="G100" s="73"/>
      <c r="H100" s="73"/>
      <c r="I100" s="73"/>
      <c r="J100" s="73"/>
      <c r="K100" s="73"/>
      <c r="L100" s="73"/>
      <c r="M100" s="73"/>
      <c r="N100" s="73"/>
      <c r="O100" s="50"/>
      <c r="P100" s="49"/>
      <c r="Q100" s="50"/>
      <c r="R100" s="50"/>
      <c r="S100" s="50"/>
      <c r="T100" s="50"/>
      <c r="U100" s="50"/>
      <c r="V100" s="50"/>
      <c r="W100" s="50"/>
      <c r="X100" s="50"/>
      <c r="Y100" s="50"/>
      <c r="Z100" s="50"/>
      <c r="AA100" s="50"/>
      <c r="AB100" s="50"/>
      <c r="AC100" s="50"/>
      <c r="AD100" s="50"/>
      <c r="AE100" s="50"/>
      <c r="AF100" s="50"/>
      <c r="AG100" s="50"/>
      <c r="AH100" s="50"/>
      <c r="AI100" s="50"/>
    </row>
    <row r="101" spans="1:85" s="296" customFormat="1" ht="12" hidden="1" customHeight="1" outlineLevel="1">
      <c r="A101" s="18"/>
      <c r="B101" s="63" t="s">
        <v>132</v>
      </c>
      <c r="C101" s="63"/>
      <c r="D101" s="63"/>
      <c r="E101" s="63"/>
      <c r="F101" s="63"/>
      <c r="G101" s="63"/>
      <c r="H101" s="63"/>
      <c r="I101" s="63"/>
      <c r="J101" s="63"/>
      <c r="K101" s="63"/>
      <c r="L101" s="63"/>
      <c r="M101" s="63"/>
      <c r="N101" s="63"/>
      <c r="O101" s="18"/>
      <c r="P101" s="31"/>
      <c r="Q101" s="18"/>
      <c r="R101" s="18"/>
      <c r="S101" s="18"/>
      <c r="T101" s="18"/>
      <c r="U101" s="18"/>
      <c r="V101" s="18"/>
      <c r="W101" s="18"/>
      <c r="X101" s="18"/>
      <c r="Y101" s="18"/>
      <c r="Z101" s="18"/>
      <c r="AA101" s="18"/>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8"/>
      <c r="AZ101" s="18"/>
      <c r="BA101" s="18"/>
      <c r="BB101" s="18"/>
      <c r="BC101" s="18"/>
      <c r="BD101" s="18"/>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292"/>
      <c r="CB101"/>
      <c r="CC101"/>
      <c r="CD101"/>
      <c r="CE101"/>
      <c r="CF101"/>
      <c r="CG101"/>
    </row>
    <row r="102" spans="1:85" ht="12" customHeight="1" collapsed="1">
      <c r="B102" s="69" t="s">
        <v>113</v>
      </c>
      <c r="C102" s="69"/>
      <c r="D102" s="69"/>
      <c r="E102" s="69"/>
      <c r="F102" s="69"/>
      <c r="G102" s="69"/>
      <c r="H102" s="69"/>
      <c r="I102" s="69"/>
      <c r="J102" s="69"/>
      <c r="K102" s="69"/>
      <c r="L102" s="69"/>
      <c r="M102" s="69"/>
      <c r="N102" s="69"/>
      <c r="O102" s="50"/>
      <c r="P102" s="49"/>
      <c r="Q102" s="50"/>
      <c r="R102" s="50"/>
      <c r="S102" s="50"/>
      <c r="T102" s="50"/>
      <c r="U102" s="50"/>
      <c r="V102" s="50"/>
      <c r="W102" s="50"/>
      <c r="X102" s="50"/>
      <c r="Y102" s="50"/>
      <c r="Z102" s="50"/>
      <c r="AA102" s="50"/>
      <c r="AB102" s="50"/>
      <c r="AC102" s="50"/>
      <c r="AD102" s="50"/>
      <c r="AE102" s="50"/>
      <c r="AF102" s="50"/>
      <c r="AG102" s="50"/>
      <c r="AH102" s="50"/>
      <c r="AI102" s="50"/>
    </row>
    <row r="103" spans="1:85" ht="12" hidden="1" customHeight="1" outlineLevel="1">
      <c r="B103" s="69"/>
      <c r="C103" s="69"/>
      <c r="D103" s="69"/>
      <c r="E103" s="69"/>
      <c r="F103" s="69"/>
      <c r="G103" s="69"/>
      <c r="H103" s="69"/>
      <c r="I103" s="69"/>
      <c r="J103" s="69"/>
      <c r="K103" s="69"/>
      <c r="L103" s="69"/>
      <c r="M103" s="69"/>
      <c r="N103" s="69"/>
      <c r="O103" s="50"/>
      <c r="P103" s="49"/>
      <c r="Q103" s="50"/>
      <c r="R103" s="50"/>
      <c r="S103" s="50"/>
      <c r="T103" s="50"/>
      <c r="U103" s="50"/>
      <c r="V103" s="50"/>
      <c r="W103" s="50"/>
      <c r="X103" s="50"/>
      <c r="Y103" s="50"/>
      <c r="Z103" s="50"/>
      <c r="AA103" s="50"/>
      <c r="AB103" s="50"/>
      <c r="AC103" s="50"/>
      <c r="AD103" s="50"/>
      <c r="AE103" s="50"/>
      <c r="AF103" s="50"/>
      <c r="AG103" s="50"/>
      <c r="AH103" s="50"/>
      <c r="AI103" s="50"/>
    </row>
    <row r="104" spans="1:85" ht="12" customHeight="1" collapsed="1">
      <c r="B104" s="64" t="s">
        <v>114</v>
      </c>
      <c r="C104" s="64"/>
      <c r="D104" s="64"/>
      <c r="E104" s="64"/>
      <c r="F104" s="64"/>
      <c r="G104" s="64"/>
      <c r="H104" s="64"/>
      <c r="I104" s="64"/>
      <c r="J104" s="64"/>
      <c r="K104" s="64"/>
      <c r="L104" s="64"/>
      <c r="M104" s="64"/>
      <c r="N104" s="64"/>
      <c r="O104" s="50"/>
      <c r="P104" s="49"/>
      <c r="Q104" s="50"/>
      <c r="R104" s="50"/>
      <c r="S104" s="50"/>
      <c r="T104" s="50"/>
      <c r="U104" s="50"/>
      <c r="V104" s="50"/>
      <c r="W104" s="50"/>
      <c r="X104" s="50"/>
      <c r="Y104" s="50"/>
      <c r="Z104" s="50"/>
      <c r="AA104" s="50"/>
      <c r="AB104" s="50"/>
      <c r="AC104" s="50"/>
      <c r="AD104" s="50"/>
      <c r="AE104" s="50"/>
      <c r="AF104" s="50"/>
      <c r="AG104" s="50"/>
      <c r="AH104" s="50"/>
      <c r="AI104" s="50"/>
    </row>
    <row r="105" spans="1:85" ht="12" hidden="1" customHeight="1" outlineLevel="1">
      <c r="B105" s="50"/>
      <c r="C105" s="50"/>
      <c r="D105" s="50"/>
      <c r="E105" s="50"/>
      <c r="F105" s="50"/>
      <c r="G105" s="50"/>
      <c r="H105" s="50"/>
      <c r="I105" s="50"/>
      <c r="J105" s="50"/>
      <c r="K105" s="50"/>
      <c r="L105" s="50"/>
      <c r="M105" s="50"/>
      <c r="N105" s="50"/>
      <c r="O105" s="50"/>
      <c r="P105" s="49"/>
      <c r="Q105" s="50"/>
      <c r="R105" s="50"/>
      <c r="S105" s="50"/>
      <c r="T105" s="50"/>
      <c r="U105" s="50"/>
      <c r="V105" s="50"/>
      <c r="W105" s="50"/>
      <c r="X105" s="50"/>
      <c r="Y105" s="50"/>
      <c r="Z105" s="50"/>
      <c r="AA105" s="50"/>
      <c r="AB105" s="50"/>
      <c r="AC105" s="50"/>
      <c r="AD105" s="50"/>
      <c r="AE105" s="50"/>
      <c r="AF105" s="50"/>
      <c r="AG105" s="50"/>
      <c r="AH105" s="50"/>
      <c r="AI105" s="50"/>
    </row>
    <row r="106" spans="1:85" ht="12" customHeight="1" collapsed="1">
      <c r="B106" s="64" t="s">
        <v>153</v>
      </c>
      <c r="C106" s="64"/>
      <c r="D106" s="64"/>
      <c r="E106" s="64"/>
      <c r="F106" s="64"/>
      <c r="G106" s="64"/>
      <c r="H106" s="64"/>
      <c r="I106" s="64"/>
      <c r="J106" s="64"/>
      <c r="K106" s="64"/>
      <c r="L106" s="64"/>
      <c r="M106" s="64"/>
      <c r="N106" s="64"/>
      <c r="O106" s="50"/>
      <c r="P106" s="49"/>
      <c r="Q106" s="50"/>
      <c r="R106" s="50"/>
      <c r="S106" s="50"/>
      <c r="T106" s="50"/>
      <c r="U106" s="50"/>
      <c r="V106" s="50"/>
      <c r="W106" s="50"/>
      <c r="X106" s="50"/>
      <c r="Y106" s="50"/>
      <c r="Z106" s="50"/>
      <c r="AA106" s="50"/>
      <c r="AB106" s="50"/>
      <c r="AC106" s="50"/>
      <c r="AD106" s="50"/>
      <c r="AE106" s="50"/>
      <c r="AF106" s="50"/>
      <c r="AG106" s="50"/>
      <c r="AH106" s="50"/>
      <c r="AI106" s="50"/>
    </row>
    <row r="107" spans="1:85" ht="12" hidden="1" customHeight="1" outlineLevel="1">
      <c r="B107" s="69" t="s">
        <v>151</v>
      </c>
      <c r="C107" s="69"/>
      <c r="D107" s="69"/>
      <c r="E107" s="69"/>
      <c r="F107" s="69"/>
      <c r="G107" s="69"/>
      <c r="H107" s="69"/>
      <c r="I107" s="69"/>
      <c r="J107" s="69"/>
      <c r="K107" s="69"/>
      <c r="L107" s="69"/>
      <c r="M107" s="69"/>
      <c r="N107" s="69"/>
      <c r="O107" s="50"/>
      <c r="P107" s="49"/>
      <c r="Q107" s="50"/>
      <c r="R107" s="50"/>
      <c r="S107" s="50"/>
      <c r="T107" s="50"/>
      <c r="U107" s="50"/>
      <c r="V107" s="50"/>
      <c r="W107" s="50"/>
      <c r="X107" s="50"/>
      <c r="Y107" s="50"/>
      <c r="Z107" s="50"/>
      <c r="AA107" s="50"/>
      <c r="AB107" s="50"/>
      <c r="AC107" s="50"/>
      <c r="AD107" s="50"/>
      <c r="AE107" s="50"/>
      <c r="AF107" s="50"/>
      <c r="AG107" s="50"/>
      <c r="AH107" s="50"/>
      <c r="AI107" s="50"/>
    </row>
    <row r="108" spans="1:85" ht="12" hidden="1" customHeight="1" outlineLevel="1">
      <c r="B108" s="69" t="s">
        <v>152</v>
      </c>
      <c r="C108" s="69"/>
      <c r="D108" s="69"/>
      <c r="E108" s="69"/>
      <c r="F108" s="69"/>
      <c r="G108" s="69"/>
      <c r="H108" s="69"/>
      <c r="I108" s="69"/>
      <c r="J108" s="69"/>
      <c r="K108" s="69"/>
      <c r="L108" s="69"/>
      <c r="M108" s="69"/>
      <c r="N108" s="69"/>
      <c r="O108" s="50"/>
      <c r="P108" s="49"/>
      <c r="Q108" s="50"/>
      <c r="R108" s="50"/>
      <c r="S108" s="50"/>
      <c r="T108" s="50"/>
      <c r="U108" s="50"/>
      <c r="V108" s="50"/>
      <c r="W108" s="50"/>
      <c r="X108" s="50"/>
      <c r="Y108" s="50"/>
      <c r="Z108" s="50"/>
      <c r="AA108" s="50"/>
      <c r="AB108" s="50"/>
      <c r="AC108" s="50"/>
      <c r="AD108" s="50"/>
      <c r="AE108" s="50"/>
      <c r="AF108" s="50"/>
      <c r="AG108" s="50"/>
      <c r="AH108" s="50"/>
      <c r="AI108" s="50"/>
    </row>
    <row r="109" spans="1:85" ht="12" customHeight="1" collapsed="1">
      <c r="B109" s="64" t="s">
        <v>116</v>
      </c>
      <c r="C109" s="64"/>
      <c r="D109" s="64"/>
      <c r="E109" s="64"/>
      <c r="F109" s="64"/>
      <c r="G109" s="64"/>
      <c r="H109" s="64"/>
      <c r="I109" s="64"/>
      <c r="J109" s="64"/>
      <c r="K109" s="64"/>
      <c r="L109" s="64"/>
      <c r="M109" s="64"/>
      <c r="N109" s="64"/>
      <c r="O109" s="50"/>
      <c r="P109" s="49"/>
      <c r="Q109" s="50"/>
      <c r="R109" s="50"/>
      <c r="S109" s="50"/>
      <c r="T109" s="50"/>
      <c r="U109" s="50"/>
      <c r="V109" s="50"/>
      <c r="W109" s="50"/>
      <c r="X109" s="50"/>
      <c r="Y109" s="50"/>
      <c r="Z109" s="50"/>
      <c r="AA109" s="50"/>
      <c r="AB109" s="50"/>
      <c r="AC109" s="50"/>
      <c r="AD109" s="50"/>
      <c r="AE109" s="50"/>
      <c r="AF109" s="50"/>
      <c r="AG109" s="50"/>
      <c r="AH109" s="50"/>
      <c r="AI109" s="50"/>
    </row>
    <row r="110" spans="1:85" ht="12" hidden="1" customHeight="1" outlineLevel="1">
      <c r="B110" s="69" t="s">
        <v>115</v>
      </c>
      <c r="C110" s="69"/>
      <c r="D110" s="69"/>
      <c r="E110" s="69"/>
      <c r="F110" s="69"/>
      <c r="G110" s="69"/>
      <c r="H110" s="69"/>
      <c r="I110" s="69"/>
      <c r="J110" s="69"/>
      <c r="K110" s="69"/>
      <c r="L110" s="69"/>
      <c r="M110" s="69"/>
      <c r="N110" s="69"/>
      <c r="O110" s="50"/>
      <c r="P110" s="49"/>
      <c r="Q110" s="50"/>
      <c r="R110" s="50"/>
      <c r="S110" s="50"/>
      <c r="T110" s="50"/>
      <c r="U110" s="50"/>
      <c r="V110" s="50"/>
      <c r="W110" s="50"/>
      <c r="X110" s="50"/>
      <c r="Y110" s="50"/>
      <c r="Z110" s="50"/>
      <c r="AA110" s="50"/>
      <c r="AB110" s="50"/>
      <c r="AC110" s="50"/>
      <c r="AD110" s="50"/>
      <c r="AE110" s="50"/>
      <c r="AF110" s="50"/>
      <c r="AG110" s="50"/>
      <c r="AH110" s="50"/>
      <c r="AI110" s="50"/>
    </row>
    <row r="111" spans="1:85" ht="12" hidden="1" customHeight="1" outlineLevel="1">
      <c r="B111" s="69" t="s">
        <v>129</v>
      </c>
      <c r="C111" s="69"/>
      <c r="D111" s="69"/>
      <c r="E111" s="69"/>
      <c r="F111" s="69"/>
      <c r="G111" s="69"/>
      <c r="H111" s="69"/>
      <c r="I111" s="69"/>
      <c r="J111" s="69"/>
      <c r="K111" s="69"/>
      <c r="L111" s="69"/>
      <c r="M111" s="69"/>
      <c r="N111" s="69"/>
      <c r="O111" s="50"/>
      <c r="P111" s="49"/>
      <c r="Q111" s="50"/>
      <c r="R111" s="50"/>
      <c r="S111" s="50"/>
      <c r="T111" s="50"/>
      <c r="U111" s="50"/>
      <c r="V111" s="50"/>
      <c r="W111" s="50"/>
      <c r="X111" s="50"/>
      <c r="Y111" s="50"/>
      <c r="Z111" s="50"/>
      <c r="AA111" s="50"/>
      <c r="AB111" s="50"/>
      <c r="AC111" s="50"/>
      <c r="AD111" s="50"/>
      <c r="AE111" s="50"/>
      <c r="AF111" s="50"/>
      <c r="AG111" s="50"/>
      <c r="AH111" s="50"/>
      <c r="AI111" s="50"/>
    </row>
    <row r="112" spans="1:85" ht="12" customHeight="1" collapsed="1">
      <c r="B112" s="64" t="s">
        <v>122</v>
      </c>
      <c r="C112" s="64"/>
      <c r="D112" s="64"/>
      <c r="E112" s="64"/>
      <c r="F112" s="64"/>
      <c r="G112" s="64"/>
      <c r="H112" s="64"/>
      <c r="I112" s="64"/>
      <c r="J112" s="64"/>
      <c r="K112" s="64"/>
      <c r="L112" s="64"/>
      <c r="M112" s="64"/>
      <c r="N112" s="64"/>
      <c r="O112" s="50"/>
      <c r="P112" s="49"/>
      <c r="Q112" s="50"/>
      <c r="R112" s="50"/>
      <c r="S112" s="50"/>
      <c r="T112" s="50"/>
      <c r="U112" s="50"/>
      <c r="V112" s="50"/>
      <c r="W112" s="50"/>
      <c r="X112" s="50"/>
      <c r="Y112" s="50"/>
      <c r="Z112" s="50"/>
      <c r="AA112" s="50"/>
      <c r="AB112" s="50"/>
      <c r="AC112" s="50"/>
      <c r="AD112" s="50"/>
      <c r="AE112" s="50"/>
      <c r="AF112" s="50"/>
      <c r="AG112" s="50"/>
      <c r="AH112" s="50"/>
      <c r="AI112" s="50"/>
    </row>
    <row r="113" spans="1:85" s="297" customFormat="1" ht="12" customHeight="1">
      <c r="A113" s="8"/>
      <c r="B113" s="8" t="s">
        <v>120</v>
      </c>
      <c r="C113" s="8"/>
      <c r="D113" s="8"/>
      <c r="E113" s="8"/>
      <c r="F113" s="8"/>
      <c r="G113" s="8"/>
      <c r="H113" s="8"/>
      <c r="I113" s="8"/>
      <c r="J113" s="8"/>
      <c r="K113" s="8"/>
      <c r="L113" s="8"/>
      <c r="M113" s="8"/>
      <c r="N113" s="8"/>
      <c r="O113" s="8"/>
      <c r="P113" s="9"/>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293"/>
      <c r="CB113"/>
      <c r="CC113"/>
      <c r="CD113"/>
      <c r="CE113"/>
      <c r="CF113"/>
      <c r="CG113"/>
    </row>
    <row r="114" spans="1:85" ht="12" customHeight="1">
      <c r="B114" s="64" t="s">
        <v>118</v>
      </c>
      <c r="C114" s="64"/>
      <c r="D114" s="64"/>
      <c r="E114" s="64"/>
      <c r="F114" s="64"/>
      <c r="G114" s="64"/>
      <c r="H114" s="64"/>
      <c r="I114" s="64"/>
      <c r="J114" s="64"/>
      <c r="K114" s="64"/>
      <c r="L114" s="64"/>
      <c r="M114" s="64"/>
      <c r="N114" s="64"/>
      <c r="O114" s="50"/>
      <c r="P114" s="49"/>
      <c r="Q114" s="50"/>
      <c r="R114" s="50"/>
      <c r="S114" s="50"/>
      <c r="T114" s="50"/>
      <c r="U114" s="50"/>
      <c r="V114" s="50"/>
      <c r="W114" s="50"/>
      <c r="X114" s="50"/>
      <c r="Y114" s="50"/>
      <c r="Z114" s="50"/>
      <c r="AA114" s="50"/>
      <c r="AB114" s="50"/>
      <c r="AC114" s="50"/>
      <c r="AD114" s="50"/>
      <c r="AE114" s="50"/>
      <c r="AF114" s="50"/>
      <c r="AG114" s="50"/>
      <c r="AH114" s="50"/>
      <c r="AI114" s="50"/>
    </row>
    <row r="115" spans="1:85" ht="12" customHeight="1">
      <c r="B115" s="64" t="s">
        <v>119</v>
      </c>
      <c r="C115" s="64"/>
      <c r="D115" s="64"/>
      <c r="E115" s="64"/>
      <c r="F115" s="64"/>
      <c r="G115" s="64"/>
      <c r="H115" s="64"/>
      <c r="I115" s="64"/>
      <c r="J115" s="64"/>
      <c r="K115" s="64"/>
      <c r="L115" s="64"/>
      <c r="M115" s="64"/>
      <c r="N115" s="64"/>
      <c r="O115" s="50"/>
      <c r="P115" s="49"/>
      <c r="Q115" s="50"/>
      <c r="R115" s="50"/>
      <c r="S115" s="50"/>
      <c r="T115" s="50"/>
      <c r="U115" s="50"/>
      <c r="V115" s="50"/>
      <c r="W115" s="50"/>
      <c r="X115" s="50"/>
      <c r="Y115" s="50"/>
      <c r="Z115" s="50"/>
      <c r="AA115" s="50"/>
      <c r="AB115" s="50"/>
      <c r="AC115" s="50"/>
      <c r="AD115" s="50"/>
      <c r="AE115" s="50"/>
      <c r="AF115" s="50"/>
      <c r="AG115" s="50"/>
      <c r="AH115" s="50"/>
      <c r="AI115" s="50"/>
    </row>
    <row r="116" spans="1:85" ht="12" customHeight="1">
      <c r="B116" s="64" t="s">
        <v>148</v>
      </c>
      <c r="C116" s="64"/>
      <c r="D116" s="64"/>
      <c r="E116" s="64"/>
      <c r="F116" s="64"/>
      <c r="G116" s="64"/>
      <c r="H116" s="64"/>
      <c r="I116" s="64"/>
      <c r="J116" s="64"/>
      <c r="K116" s="64"/>
      <c r="L116" s="64"/>
      <c r="M116" s="64"/>
      <c r="N116" s="64"/>
      <c r="O116" s="50"/>
      <c r="P116" s="49"/>
      <c r="Q116" s="50"/>
      <c r="R116" s="50"/>
      <c r="S116" s="50"/>
      <c r="T116" s="50"/>
      <c r="U116" s="50"/>
      <c r="V116" s="50"/>
      <c r="W116" s="50"/>
      <c r="X116" s="50"/>
      <c r="Y116" s="50"/>
      <c r="Z116" s="50"/>
      <c r="AA116" s="50"/>
      <c r="AB116" s="50"/>
      <c r="AC116" s="50"/>
      <c r="AD116" s="50"/>
      <c r="AE116" s="50"/>
      <c r="AF116" s="50"/>
      <c r="AG116" s="50"/>
      <c r="AH116" s="50"/>
      <c r="AI116" s="50"/>
    </row>
    <row r="117" spans="1:85" ht="12" hidden="1" customHeight="1" outlineLevel="1">
      <c r="B117" s="69" t="s">
        <v>147</v>
      </c>
      <c r="C117" s="69"/>
      <c r="D117" s="69"/>
      <c r="E117" s="69"/>
      <c r="F117" s="69"/>
      <c r="G117" s="69"/>
      <c r="H117" s="69"/>
      <c r="I117" s="69"/>
      <c r="J117" s="69"/>
      <c r="K117" s="69"/>
      <c r="L117" s="69"/>
      <c r="M117" s="69"/>
      <c r="N117" s="69"/>
      <c r="O117" s="50"/>
      <c r="P117" s="49"/>
      <c r="Q117" s="50"/>
      <c r="R117" s="50"/>
      <c r="S117" s="50"/>
      <c r="T117" s="50"/>
      <c r="U117" s="50"/>
      <c r="V117" s="50"/>
      <c r="W117" s="50"/>
      <c r="X117" s="50"/>
      <c r="Y117" s="50"/>
      <c r="Z117" s="50"/>
      <c r="AA117" s="50"/>
      <c r="AB117" s="50"/>
      <c r="AC117" s="50"/>
      <c r="AD117" s="50"/>
      <c r="AE117" s="50"/>
      <c r="AF117" s="50"/>
      <c r="AG117" s="50"/>
      <c r="AH117" s="50"/>
      <c r="AI117" s="50"/>
    </row>
    <row r="118" spans="1:85" ht="12" hidden="1" customHeight="1" outlineLevel="1">
      <c r="B118" s="69" t="s">
        <v>110</v>
      </c>
      <c r="C118" s="69"/>
      <c r="D118" s="69"/>
      <c r="E118" s="69"/>
      <c r="F118" s="69"/>
      <c r="G118" s="69"/>
      <c r="H118" s="69"/>
      <c r="I118" s="69"/>
      <c r="J118" s="69"/>
      <c r="K118" s="69"/>
      <c r="L118" s="69"/>
      <c r="M118" s="69"/>
      <c r="N118" s="69"/>
      <c r="O118" s="50"/>
      <c r="P118" s="49"/>
      <c r="Q118" s="50"/>
      <c r="R118" s="50"/>
      <c r="S118" s="50"/>
      <c r="T118" s="50"/>
      <c r="U118" s="50"/>
      <c r="V118" s="50"/>
      <c r="W118" s="50"/>
      <c r="X118" s="50"/>
      <c r="Y118" s="50"/>
      <c r="Z118" s="50"/>
      <c r="AA118" s="50"/>
      <c r="AB118" s="50"/>
      <c r="AC118" s="50"/>
      <c r="AD118" s="50"/>
      <c r="AE118" s="50"/>
      <c r="AF118" s="50"/>
      <c r="AG118" s="50"/>
      <c r="AH118" s="50"/>
      <c r="AI118" s="50"/>
    </row>
    <row r="119" spans="1:85" s="297" customFormat="1" ht="12" customHeight="1" collapsed="1">
      <c r="A119" s="8"/>
      <c r="B119" s="8" t="s">
        <v>121</v>
      </c>
      <c r="C119" s="8"/>
      <c r="D119" s="8"/>
      <c r="E119" s="8"/>
      <c r="F119" s="8"/>
      <c r="G119" s="8"/>
      <c r="H119" s="8"/>
      <c r="I119" s="8"/>
      <c r="J119" s="8"/>
      <c r="K119" s="8"/>
      <c r="L119" s="8"/>
      <c r="M119" s="8"/>
      <c r="N119" s="8"/>
      <c r="O119" s="8"/>
      <c r="P119" s="9"/>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293"/>
      <c r="CB119"/>
      <c r="CC119"/>
      <c r="CD119"/>
      <c r="CE119"/>
      <c r="CF119"/>
      <c r="CG119"/>
    </row>
    <row r="120" spans="1:85" s="297" customFormat="1" ht="12" customHeight="1">
      <c r="A120" s="8"/>
      <c r="B120" s="62" t="s">
        <v>117</v>
      </c>
      <c r="C120" s="62"/>
      <c r="D120" s="62"/>
      <c r="E120" s="62"/>
      <c r="F120" s="62"/>
      <c r="G120" s="62"/>
      <c r="H120" s="62"/>
      <c r="I120" s="62"/>
      <c r="J120" s="62"/>
      <c r="K120" s="62"/>
      <c r="L120" s="62"/>
      <c r="M120" s="62"/>
      <c r="N120" s="62"/>
      <c r="O120" s="10"/>
      <c r="P120" s="11"/>
      <c r="Q120" s="10"/>
      <c r="R120" s="10"/>
      <c r="S120" s="10"/>
      <c r="T120" s="10"/>
      <c r="U120" s="10"/>
      <c r="V120" s="10"/>
      <c r="W120" s="10"/>
      <c r="X120" s="10"/>
      <c r="Y120" s="10"/>
      <c r="Z120" s="10"/>
      <c r="AA120" s="10"/>
      <c r="AB120" s="10"/>
      <c r="AC120" s="10"/>
      <c r="AD120" s="10"/>
      <c r="AE120" s="10"/>
      <c r="AF120" s="10"/>
      <c r="AG120" s="10"/>
      <c r="AH120" s="10"/>
      <c r="AI120" s="10"/>
      <c r="AJ120" s="8"/>
      <c r="AK120" s="8"/>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293"/>
      <c r="CB120"/>
      <c r="CC120"/>
      <c r="CD120"/>
      <c r="CE120"/>
      <c r="CF120"/>
      <c r="CG120"/>
    </row>
    <row r="121" spans="1:85" ht="12" customHeight="1">
      <c r="BO121" s="13"/>
    </row>
    <row r="122" spans="1:85" ht="12" customHeight="1">
      <c r="B122" s="3" t="s">
        <v>13</v>
      </c>
      <c r="C122" s="3"/>
      <c r="D122" s="3"/>
      <c r="E122" s="3"/>
      <c r="F122" s="3"/>
      <c r="G122" s="3"/>
      <c r="H122" s="3"/>
      <c r="I122" s="3"/>
      <c r="J122" s="3"/>
      <c r="K122" s="3"/>
      <c r="L122" s="3"/>
      <c r="M122" s="3"/>
      <c r="N122" s="3"/>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L122" s="5"/>
      <c r="BM122" s="5"/>
      <c r="BN122" s="5"/>
      <c r="BO122" s="5"/>
      <c r="BP122" s="5"/>
      <c r="BQ122" s="5"/>
      <c r="BR122" s="5"/>
      <c r="BS122" s="5"/>
      <c r="BT122" s="5"/>
      <c r="BU122" s="5"/>
      <c r="BV122" s="5"/>
      <c r="BW122" s="5"/>
      <c r="BX122" s="5"/>
      <c r="BY122" s="5"/>
    </row>
    <row r="123" spans="1:85" ht="12" customHeight="1">
      <c r="A123" s="206" t="s">
        <v>293</v>
      </c>
      <c r="B123" s="4" t="s">
        <v>37</v>
      </c>
      <c r="C123" s="5">
        <f t="shared" ref="C123:BJ123" si="602">C$1</f>
        <v>0</v>
      </c>
      <c r="D123" s="5" t="str">
        <f t="shared" si="602"/>
        <v>2Q '09A</v>
      </c>
      <c r="E123" s="5" t="str">
        <f t="shared" si="602"/>
        <v>3Q '09A</v>
      </c>
      <c r="F123" s="5" t="str">
        <f t="shared" si="602"/>
        <v>4Q '09A</v>
      </c>
      <c r="G123" s="5" t="str">
        <f t="shared" si="602"/>
        <v>1Q '10A</v>
      </c>
      <c r="H123" s="5" t="str">
        <f t="shared" si="602"/>
        <v>2Q '10A</v>
      </c>
      <c r="I123" s="5" t="str">
        <f t="shared" si="602"/>
        <v>3Q '10A</v>
      </c>
      <c r="J123" s="5" t="str">
        <f t="shared" si="602"/>
        <v>4Q '10A</v>
      </c>
      <c r="K123" s="5" t="str">
        <f t="shared" si="602"/>
        <v>1Q '11A</v>
      </c>
      <c r="L123" s="5" t="str">
        <f t="shared" si="602"/>
        <v>2Q '11A</v>
      </c>
      <c r="M123" s="5" t="str">
        <f t="shared" si="602"/>
        <v>3Q '11A</v>
      </c>
      <c r="N123" s="5" t="str">
        <f t="shared" si="602"/>
        <v>4Q '11A</v>
      </c>
      <c r="O123" s="5" t="str">
        <f t="shared" si="602"/>
        <v>1Q '12A</v>
      </c>
      <c r="P123" s="5" t="str">
        <f t="shared" si="602"/>
        <v>2Q '12A</v>
      </c>
      <c r="Q123" s="5" t="str">
        <f t="shared" si="602"/>
        <v>3Q '12A</v>
      </c>
      <c r="R123" s="5" t="str">
        <f t="shared" si="602"/>
        <v>4Q '12A</v>
      </c>
      <c r="S123" s="5" t="str">
        <f t="shared" si="602"/>
        <v>1Q '13A</v>
      </c>
      <c r="T123" s="5" t="str">
        <f t="shared" si="602"/>
        <v>2Q '13A</v>
      </c>
      <c r="U123" s="5" t="str">
        <f t="shared" si="602"/>
        <v>3Q '13A</v>
      </c>
      <c r="V123" s="5" t="str">
        <f t="shared" si="602"/>
        <v>4Q '13A</v>
      </c>
      <c r="W123" s="5" t="str">
        <f t="shared" si="602"/>
        <v>1Q '14A</v>
      </c>
      <c r="X123" s="5" t="str">
        <f t="shared" si="602"/>
        <v>2Q '14A</v>
      </c>
      <c r="Y123" s="5" t="str">
        <f t="shared" si="602"/>
        <v>3Q '14A</v>
      </c>
      <c r="Z123" s="5" t="str">
        <f t="shared" si="602"/>
        <v>4Q '14A</v>
      </c>
      <c r="AA123" s="5" t="str">
        <f t="shared" si="602"/>
        <v>1Q '15A</v>
      </c>
      <c r="AB123" s="5" t="str">
        <f t="shared" si="602"/>
        <v>2Q '15A</v>
      </c>
      <c r="AC123" s="5" t="str">
        <f t="shared" si="602"/>
        <v>3Q '15A</v>
      </c>
      <c r="AD123" s="5" t="str">
        <f t="shared" si="602"/>
        <v>4Q '15A</v>
      </c>
      <c r="AE123" s="5" t="str">
        <f t="shared" si="602"/>
        <v>1Q '16A</v>
      </c>
      <c r="AF123" s="5" t="str">
        <f t="shared" si="602"/>
        <v>2Q '16A</v>
      </c>
      <c r="AG123" s="5" t="str">
        <f t="shared" si="602"/>
        <v>3Q '16A</v>
      </c>
      <c r="AH123" s="5" t="str">
        <f t="shared" si="602"/>
        <v>4Q '16A</v>
      </c>
      <c r="AI123" s="5" t="str">
        <f t="shared" si="602"/>
        <v>1Q '17A</v>
      </c>
      <c r="AJ123" s="5" t="str">
        <f t="shared" si="602"/>
        <v>2Q '17A</v>
      </c>
      <c r="AK123" s="5" t="str">
        <f t="shared" si="602"/>
        <v>3Q '17A</v>
      </c>
      <c r="AL123" s="5" t="str">
        <f t="shared" si="602"/>
        <v>4Q '17A</v>
      </c>
      <c r="AM123" s="5" t="str">
        <f t="shared" si="602"/>
        <v>1Q '18E</v>
      </c>
      <c r="AN123" s="5" t="str">
        <f t="shared" si="602"/>
        <v>2Q '18E</v>
      </c>
      <c r="AO123" s="5" t="str">
        <f t="shared" si="602"/>
        <v>3Q '18E</v>
      </c>
      <c r="AP123" s="5" t="str">
        <f t="shared" si="602"/>
        <v>4Q '18E</v>
      </c>
      <c r="AQ123" s="5" t="str">
        <f t="shared" si="602"/>
        <v>1Q '19E</v>
      </c>
      <c r="AR123" s="5" t="str">
        <f t="shared" si="602"/>
        <v>2Q '19E</v>
      </c>
      <c r="AS123" s="5" t="str">
        <f t="shared" si="602"/>
        <v>3Q '19E</v>
      </c>
      <c r="AT123" s="5" t="str">
        <f t="shared" si="602"/>
        <v>4Q '19E</v>
      </c>
      <c r="AU123" s="5" t="str">
        <f t="shared" si="602"/>
        <v>1Q '20E</v>
      </c>
      <c r="AV123" s="5" t="str">
        <f t="shared" si="602"/>
        <v>2Q '20E</v>
      </c>
      <c r="AW123" s="5" t="str">
        <f t="shared" si="602"/>
        <v>3Q '20E</v>
      </c>
      <c r="AX123" s="5" t="str">
        <f t="shared" si="602"/>
        <v>4Q '20E</v>
      </c>
      <c r="AY123" s="5" t="str">
        <f t="shared" si="602"/>
        <v>1Q '21E</v>
      </c>
      <c r="AZ123" s="5" t="str">
        <f t="shared" si="602"/>
        <v>2Q '21E</v>
      </c>
      <c r="BA123" s="5" t="str">
        <f t="shared" si="602"/>
        <v>3Q '21E</v>
      </c>
      <c r="BB123" s="5" t="str">
        <f t="shared" si="602"/>
        <v>4Q '21E</v>
      </c>
      <c r="BC123" s="5" t="str">
        <f t="shared" si="602"/>
        <v>1Q '22E</v>
      </c>
      <c r="BD123" s="5" t="str">
        <f t="shared" si="602"/>
        <v>2Q '22E</v>
      </c>
      <c r="BE123" s="5" t="str">
        <f t="shared" si="602"/>
        <v>3Q '22E</v>
      </c>
      <c r="BF123" s="5" t="str">
        <f t="shared" si="602"/>
        <v>4Q '22E</v>
      </c>
      <c r="BG123" s="5" t="str">
        <f t="shared" si="602"/>
        <v>1Q '23E</v>
      </c>
      <c r="BH123" s="5" t="str">
        <f t="shared" si="602"/>
        <v>2Q '23E</v>
      </c>
      <c r="BI123" s="5" t="str">
        <f t="shared" si="602"/>
        <v>3Q '23E</v>
      </c>
      <c r="BJ123" s="5" t="str">
        <f t="shared" si="602"/>
        <v>4Q '23E</v>
      </c>
      <c r="BL123" s="5">
        <f t="shared" ref="BL123:BY123" si="603">BL$1</f>
        <v>2010</v>
      </c>
      <c r="BM123" s="5">
        <f t="shared" si="603"/>
        <v>2011</v>
      </c>
      <c r="BN123" s="5">
        <f>BN$1</f>
        <v>2012</v>
      </c>
      <c r="BO123" s="5">
        <f t="shared" si="603"/>
        <v>2013</v>
      </c>
      <c r="BP123" s="5">
        <f t="shared" si="603"/>
        <v>2014</v>
      </c>
      <c r="BQ123" s="5">
        <f t="shared" si="603"/>
        <v>2015</v>
      </c>
      <c r="BR123" s="5">
        <f t="shared" si="603"/>
        <v>2016</v>
      </c>
      <c r="BS123" s="167">
        <f t="shared" si="603"/>
        <v>2017</v>
      </c>
      <c r="BT123" s="167">
        <f t="shared" si="603"/>
        <v>2018</v>
      </c>
      <c r="BU123" s="167">
        <f t="shared" si="603"/>
        <v>2019</v>
      </c>
      <c r="BV123" s="167">
        <f t="shared" si="603"/>
        <v>2020</v>
      </c>
      <c r="BW123" s="167">
        <f t="shared" si="603"/>
        <v>2021</v>
      </c>
      <c r="BX123" s="167">
        <f t="shared" si="603"/>
        <v>2022</v>
      </c>
      <c r="BY123" s="167">
        <f t="shared" si="603"/>
        <v>2023</v>
      </c>
    </row>
    <row r="124" spans="1:85" ht="12" customHeight="1">
      <c r="B124" s="152" t="s">
        <v>308</v>
      </c>
      <c r="Q124" s="6"/>
      <c r="R124" s="6"/>
      <c r="S124" s="6"/>
      <c r="T124" s="6"/>
      <c r="U124" s="6"/>
      <c r="V124" s="6"/>
      <c r="W124" s="6"/>
      <c r="X124" s="6"/>
      <c r="Y124" s="6"/>
      <c r="Z124" s="6"/>
      <c r="AA124" s="6"/>
      <c r="AB124" s="6"/>
      <c r="AC124" s="6"/>
      <c r="AD124" s="6"/>
      <c r="AE124" s="6"/>
      <c r="AF124" s="6"/>
      <c r="AG124" s="6"/>
      <c r="AH124" s="6"/>
      <c r="AI124" s="6"/>
      <c r="AJ124" s="6"/>
      <c r="AK124" s="6"/>
      <c r="AL124" s="6"/>
      <c r="AM124" s="6"/>
      <c r="AN124" s="6"/>
      <c r="AO124" s="6"/>
      <c r="AP124" s="6"/>
      <c r="AQ124" s="6"/>
      <c r="AR124" s="6"/>
      <c r="AS124" s="6"/>
      <c r="AT124" s="6"/>
      <c r="AU124" s="6"/>
      <c r="AV124" s="6"/>
      <c r="AW124" s="6"/>
      <c r="AX124" s="6"/>
      <c r="AY124" s="6"/>
      <c r="AZ124" s="6"/>
      <c r="BA124" s="6"/>
      <c r="BB124" s="6"/>
      <c r="BC124" s="6"/>
      <c r="BD124" s="6"/>
      <c r="BE124" s="6"/>
      <c r="BF124" s="6"/>
      <c r="BG124" s="6"/>
      <c r="BH124" s="6"/>
      <c r="BI124" s="6"/>
      <c r="BJ124" s="6"/>
      <c r="BL124" s="6"/>
      <c r="BM124" s="6"/>
      <c r="BN124" s="6"/>
      <c r="BO124" s="6"/>
      <c r="BP124" s="6"/>
      <c r="BQ124" s="6"/>
      <c r="BR124" s="6"/>
      <c r="BS124" s="6"/>
      <c r="BT124" s="6"/>
      <c r="BU124" s="6"/>
      <c r="BV124" s="6"/>
      <c r="BW124" s="6"/>
      <c r="BX124" s="6"/>
      <c r="BY124" s="6"/>
    </row>
    <row r="125" spans="1:85" ht="12" customHeight="1">
      <c r="B125" s="8" t="s">
        <v>300</v>
      </c>
      <c r="C125" s="8"/>
      <c r="D125" s="8"/>
      <c r="E125" s="8"/>
      <c r="F125" s="8"/>
      <c r="G125" s="8"/>
      <c r="H125" s="8"/>
      <c r="I125" s="8"/>
      <c r="J125" s="8"/>
      <c r="K125" s="8"/>
      <c r="L125" s="8"/>
      <c r="M125" s="8"/>
      <c r="N125" s="8"/>
      <c r="Q125" s="6"/>
      <c r="R125" s="6"/>
      <c r="S125" s="6"/>
      <c r="T125" s="6"/>
      <c r="U125" s="6"/>
      <c r="V125" s="6"/>
      <c r="W125" s="6"/>
      <c r="X125" s="6"/>
      <c r="Y125" s="6"/>
      <c r="Z125" s="6"/>
      <c r="AA125" s="6"/>
      <c r="AB125" s="6"/>
      <c r="AC125" s="6"/>
      <c r="AD125" s="6"/>
      <c r="AE125" s="6"/>
      <c r="AF125" s="6"/>
      <c r="AG125" s="6"/>
      <c r="AH125" s="6"/>
      <c r="AI125" s="6"/>
      <c r="AJ125" s="6"/>
      <c r="AK125" s="6"/>
      <c r="AL125" s="6"/>
      <c r="AM125" s="6"/>
      <c r="AN125" s="6"/>
      <c r="AO125" s="6"/>
      <c r="AP125" s="6"/>
      <c r="AQ125" s="6"/>
      <c r="AR125" s="6"/>
      <c r="AS125" s="6"/>
      <c r="AT125" s="6"/>
      <c r="AU125" s="6"/>
      <c r="AV125" s="6"/>
      <c r="AW125" s="6"/>
      <c r="AX125" s="6"/>
      <c r="AY125" s="6"/>
      <c r="AZ125" s="6"/>
      <c r="BA125" s="6"/>
      <c r="BB125" s="6"/>
      <c r="BC125" s="6"/>
      <c r="BD125" s="6"/>
      <c r="BE125" s="6"/>
      <c r="BF125" s="6"/>
      <c r="BG125" s="6"/>
      <c r="BH125" s="6"/>
      <c r="BI125" s="6"/>
      <c r="BJ125" s="6"/>
      <c r="BL125" s="6"/>
      <c r="BM125" s="6"/>
      <c r="BN125" s="6"/>
      <c r="BO125" s="209"/>
      <c r="BP125" s="6"/>
      <c r="BQ125" s="6"/>
      <c r="BR125" s="6"/>
      <c r="BS125" s="6"/>
      <c r="BT125" s="6"/>
      <c r="BU125" s="6"/>
      <c r="BV125" s="6"/>
      <c r="BW125" s="6"/>
      <c r="BX125" s="6"/>
      <c r="BY125" s="6"/>
    </row>
    <row r="126" spans="1:85" ht="12" customHeight="1">
      <c r="B126" s="2" t="s">
        <v>301</v>
      </c>
      <c r="C126" s="182">
        <f>+C127+62000</f>
        <v>446000</v>
      </c>
      <c r="D126" s="182">
        <f>+D127+51000</f>
        <v>446000</v>
      </c>
      <c r="E126" s="182">
        <f>+E127+54000</f>
        <v>446000</v>
      </c>
      <c r="F126" s="182">
        <f>+F127+57000</f>
        <v>446000</v>
      </c>
      <c r="G126" s="182">
        <f>+G127+43000</f>
        <v>446000</v>
      </c>
      <c r="H126" s="182">
        <f>+H127+87000</f>
        <v>621000</v>
      </c>
      <c r="I126" s="182">
        <f>+I127+83000</f>
        <v>621000</v>
      </c>
      <c r="J126" s="182">
        <f>+J127+76000</f>
        <v>639000</v>
      </c>
      <c r="K126" s="182">
        <f>+K127+68000</f>
        <v>659000</v>
      </c>
      <c r="L126" s="182">
        <f>+L127+67000</f>
        <v>669000</v>
      </c>
      <c r="M126" s="182">
        <f>+M127+103000</f>
        <v>736000</v>
      </c>
      <c r="N126" s="182">
        <f>+N127+92000</f>
        <v>763000</v>
      </c>
      <c r="O126" s="14">
        <v>808383</v>
      </c>
      <c r="P126" s="14">
        <v>800054</v>
      </c>
      <c r="Q126" s="14">
        <v>895753</v>
      </c>
      <c r="R126" s="14">
        <v>931975</v>
      </c>
      <c r="S126" s="14">
        <v>921060</v>
      </c>
      <c r="T126" s="14">
        <v>970005</v>
      </c>
      <c r="U126" s="14">
        <v>992083</v>
      </c>
      <c r="V126" s="14">
        <v>1052189</v>
      </c>
      <c r="W126" s="14">
        <v>1130821</v>
      </c>
      <c r="X126" s="14">
        <v>1194140</v>
      </c>
      <c r="Y126" s="14">
        <v>1200132</v>
      </c>
      <c r="Z126" s="14">
        <v>1224648</v>
      </c>
      <c r="AA126" s="14">
        <v>1262109</v>
      </c>
      <c r="AB126" s="14">
        <v>1353704</v>
      </c>
      <c r="AC126" s="14">
        <v>1511672</v>
      </c>
      <c r="AD126" s="14">
        <v>1573510</v>
      </c>
      <c r="AE126" s="14">
        <v>1607470</v>
      </c>
      <c r="AF126" s="509">
        <v>2005702</v>
      </c>
      <c r="AG126" s="509">
        <v>2054911</v>
      </c>
      <c r="AH126" s="509">
        <v>2079502</v>
      </c>
      <c r="AI126" s="509">
        <v>2476562</v>
      </c>
      <c r="AJ126" s="509">
        <v>2575381</v>
      </c>
      <c r="AK126" s="509">
        <v>3130404</v>
      </c>
      <c r="AL126" s="509">
        <v>3266647</v>
      </c>
      <c r="AM126" s="25">
        <f t="shared" ref="AM126:AX126" si="604">+AL126+AM174+AM236*AM237</f>
        <v>3374147</v>
      </c>
      <c r="AN126" s="25">
        <f t="shared" ca="1" si="604"/>
        <v>3524147</v>
      </c>
      <c r="AO126" s="25">
        <f t="shared" ca="1" si="604"/>
        <v>3674772</v>
      </c>
      <c r="AP126" s="25">
        <f t="shared" ca="1" si="604"/>
        <v>3826022</v>
      </c>
      <c r="AQ126" s="25">
        <f t="shared" ca="1" si="604"/>
        <v>3959672</v>
      </c>
      <c r="AR126" s="25">
        <f t="shared" ca="1" si="604"/>
        <v>4086172</v>
      </c>
      <c r="AS126" s="25">
        <f t="shared" ca="1" si="604"/>
        <v>4213222</v>
      </c>
      <c r="AT126" s="25">
        <f t="shared" ca="1" si="604"/>
        <v>4340822</v>
      </c>
      <c r="AU126" s="25">
        <f t="shared" ca="1" si="604"/>
        <v>4468972</v>
      </c>
      <c r="AV126" s="25">
        <f t="shared" ca="1" si="604"/>
        <v>4597672</v>
      </c>
      <c r="AW126" s="25">
        <f t="shared" ca="1" si="604"/>
        <v>4726922</v>
      </c>
      <c r="AX126" s="25">
        <f t="shared" ca="1" si="604"/>
        <v>4856722</v>
      </c>
      <c r="AY126" s="25">
        <f t="shared" ref="AY126" ca="1" si="605">+AX126+AY174+AY236*AY237</f>
        <v>4987072</v>
      </c>
      <c r="AZ126" s="25">
        <f t="shared" ref="AZ126" ca="1" si="606">+AY126+AZ174+AZ236*AZ237</f>
        <v>5117972</v>
      </c>
      <c r="BA126" s="25">
        <f t="shared" ref="BA126" ca="1" si="607">+AZ126+BA174+BA236*BA237</f>
        <v>5249422</v>
      </c>
      <c r="BB126" s="25">
        <f t="shared" ref="BB126" ca="1" si="608">+BA126+BB174+BB236*BB237</f>
        <v>5381422</v>
      </c>
      <c r="BC126" s="25">
        <f t="shared" ref="BC126" ca="1" si="609">+BB126+BC174+BC236*BC237</f>
        <v>5513972</v>
      </c>
      <c r="BD126" s="25">
        <f t="shared" ref="BD126" ca="1" si="610">+BC126+BD174+BD236*BD237</f>
        <v>5647072</v>
      </c>
      <c r="BE126" s="25">
        <f t="shared" ref="BE126" ca="1" si="611">+BD126+BE174+BE236*BE237</f>
        <v>5780722</v>
      </c>
      <c r="BF126" s="25">
        <f t="shared" ref="BF126" ca="1" si="612">+BE126+BF174+BF236*BF237</f>
        <v>5914922</v>
      </c>
      <c r="BG126" s="25">
        <f t="shared" ref="BG126" ca="1" si="613">+BF126+BG174+BG236*BG237</f>
        <v>6049672</v>
      </c>
      <c r="BH126" s="25">
        <f t="shared" ref="BH126" ca="1" si="614">+BG126+BH174+BH236*BH237</f>
        <v>6184972</v>
      </c>
      <c r="BI126" s="25">
        <f t="shared" ref="BI126" ca="1" si="615">+BH126+BI174+BI236*BI237</f>
        <v>6320822</v>
      </c>
      <c r="BJ126" s="25">
        <f t="shared" ref="BJ126" ca="1" si="616">+BI126+BJ174+BJ236*BJ237</f>
        <v>6457222</v>
      </c>
      <c r="BL126" s="19"/>
      <c r="BM126" s="19"/>
      <c r="BN126" s="25">
        <f>+R126</f>
        <v>931975</v>
      </c>
      <c r="BO126" s="25">
        <f>+V126</f>
        <v>1052189</v>
      </c>
      <c r="BP126" s="25">
        <f>+Z126</f>
        <v>1224648</v>
      </c>
      <c r="BQ126" s="25">
        <f>+AD126</f>
        <v>1573510</v>
      </c>
      <c r="BR126" s="25">
        <f>+AH126</f>
        <v>2079502</v>
      </c>
      <c r="BS126" s="25">
        <f>+AM126</f>
        <v>3374147</v>
      </c>
      <c r="BT126" s="25">
        <f ca="1">+AP126</f>
        <v>3826022</v>
      </c>
      <c r="BU126" s="25">
        <f ca="1">+AT126</f>
        <v>4340822</v>
      </c>
      <c r="BV126" s="25">
        <f ca="1">+AX126</f>
        <v>4856722</v>
      </c>
      <c r="BW126" s="25">
        <f ca="1">+BB126</f>
        <v>5381422</v>
      </c>
      <c r="BX126" s="25">
        <f ca="1">+BF126</f>
        <v>5914922</v>
      </c>
      <c r="BY126" s="25">
        <f ca="1">+BJ126</f>
        <v>6457222</v>
      </c>
    </row>
    <row r="127" spans="1:85" ht="12" customHeight="1">
      <c r="B127" s="2" t="s">
        <v>302</v>
      </c>
      <c r="C127" s="182">
        <v>384000</v>
      </c>
      <c r="D127" s="182">
        <v>395000</v>
      </c>
      <c r="E127" s="182">
        <v>392000</v>
      </c>
      <c r="F127" s="182">
        <v>389000</v>
      </c>
      <c r="G127" s="182">
        <v>403000</v>
      </c>
      <c r="H127" s="182">
        <v>534000</v>
      </c>
      <c r="I127" s="182">
        <v>538000</v>
      </c>
      <c r="J127" s="182">
        <v>563000</v>
      </c>
      <c r="K127" s="182">
        <v>591000</v>
      </c>
      <c r="L127" s="182">
        <v>602000</v>
      </c>
      <c r="M127" s="182">
        <v>633000</v>
      </c>
      <c r="N127" s="182">
        <v>671000</v>
      </c>
      <c r="O127" s="25">
        <f t="shared" ref="O127:W127" si="617">+O126*O128</f>
        <v>687125.54999999993</v>
      </c>
      <c r="P127" s="25">
        <f t="shared" si="617"/>
        <v>680045.9</v>
      </c>
      <c r="Q127" s="25">
        <f t="shared" si="617"/>
        <v>698687.34</v>
      </c>
      <c r="R127" s="25">
        <f t="shared" si="617"/>
        <v>726940.5</v>
      </c>
      <c r="S127" s="25">
        <f t="shared" si="617"/>
        <v>746058.60000000009</v>
      </c>
      <c r="T127" s="25">
        <f t="shared" si="617"/>
        <v>785704.05</v>
      </c>
      <c r="U127" s="25">
        <f t="shared" si="617"/>
        <v>843270.54999999993</v>
      </c>
      <c r="V127" s="25">
        <f t="shared" si="617"/>
        <v>894360.65</v>
      </c>
      <c r="W127" s="25">
        <f t="shared" si="617"/>
        <v>1006430.6900000001</v>
      </c>
      <c r="X127" s="25">
        <f t="shared" ref="X127:AC127" si="618">+X126*X128</f>
        <v>1026960.4</v>
      </c>
      <c r="Y127" s="25">
        <f t="shared" si="618"/>
        <v>1056116.1599999999</v>
      </c>
      <c r="Z127" s="25">
        <f t="shared" si="618"/>
        <v>1077690.24</v>
      </c>
      <c r="AA127" s="25">
        <f t="shared" si="618"/>
        <v>1123277.01</v>
      </c>
      <c r="AB127" s="25">
        <f t="shared" si="618"/>
        <v>1137111.3599999999</v>
      </c>
      <c r="AC127" s="25">
        <f t="shared" si="618"/>
        <v>1345388.08</v>
      </c>
      <c r="AD127" s="25">
        <f t="shared" ref="AD127:AI127" si="619">+AD126*AD128</f>
        <v>1353218.6</v>
      </c>
      <c r="AE127" s="25">
        <f t="shared" si="619"/>
        <v>1430648.3</v>
      </c>
      <c r="AF127" s="25">
        <f t="shared" si="619"/>
        <v>1684789.68</v>
      </c>
      <c r="AG127" s="25">
        <f t="shared" si="619"/>
        <v>1746674.3499999999</v>
      </c>
      <c r="AH127" s="25">
        <f t="shared" si="619"/>
        <v>1767576.7</v>
      </c>
      <c r="AI127" s="25">
        <f t="shared" si="619"/>
        <v>2179374.56</v>
      </c>
      <c r="AJ127" s="25">
        <f t="shared" ref="AJ127:AK127" si="620">+AJ126*AJ128</f>
        <v>2292089.09</v>
      </c>
      <c r="AK127" s="25">
        <f t="shared" si="620"/>
        <v>2566931.2799999998</v>
      </c>
      <c r="AL127" s="25">
        <f t="shared" ref="AL127" si="621">+AL126*AL128</f>
        <v>2711317.01</v>
      </c>
      <c r="AM127" s="25">
        <f t="shared" ref="AM127:AX127" ca="1" si="622">+AL127+AM153+AM236*AM237*AM238</f>
        <v>2831317.01</v>
      </c>
      <c r="AN127" s="25">
        <f t="shared" ca="1" si="622"/>
        <v>2951817.01</v>
      </c>
      <c r="AO127" s="25">
        <f t="shared" ca="1" si="622"/>
        <v>3072817.01</v>
      </c>
      <c r="AP127" s="25">
        <f t="shared" ca="1" si="622"/>
        <v>3194317.01</v>
      </c>
      <c r="AQ127" s="25">
        <f t="shared" ca="1" si="622"/>
        <v>3309317.01</v>
      </c>
      <c r="AR127" s="25">
        <f t="shared" ca="1" si="622"/>
        <v>3424817.01</v>
      </c>
      <c r="AS127" s="25">
        <f t="shared" ca="1" si="622"/>
        <v>3540817.01</v>
      </c>
      <c r="AT127" s="25">
        <f t="shared" ca="1" si="622"/>
        <v>3657317.01</v>
      </c>
      <c r="AU127" s="25">
        <f t="shared" ca="1" si="622"/>
        <v>3774317.01</v>
      </c>
      <c r="AV127" s="25">
        <f t="shared" ca="1" si="622"/>
        <v>3891817.01</v>
      </c>
      <c r="AW127" s="25">
        <f t="shared" ca="1" si="622"/>
        <v>4009817.01</v>
      </c>
      <c r="AX127" s="25">
        <f t="shared" ca="1" si="622"/>
        <v>4128317.01</v>
      </c>
      <c r="AY127" s="25">
        <f t="shared" ref="AY127" ca="1" si="623">+AX127+AY153+AY236*AY237*AY238</f>
        <v>4247317.01</v>
      </c>
      <c r="AZ127" s="25">
        <f t="shared" ref="AZ127" ca="1" si="624">+AY127+AZ153+AZ236*AZ237*AZ238</f>
        <v>4366817.01</v>
      </c>
      <c r="BA127" s="25">
        <f t="shared" ref="BA127" ca="1" si="625">+AZ127+BA153+BA236*BA237*BA238</f>
        <v>4486817.01</v>
      </c>
      <c r="BB127" s="25">
        <f t="shared" ref="BB127" ca="1" si="626">+BA127+BB153+BB236*BB237*BB238</f>
        <v>4607317.01</v>
      </c>
      <c r="BC127" s="25">
        <f t="shared" ref="BC127" ca="1" si="627">+BB127+BC153+BC236*BC237*BC238</f>
        <v>4728317.01</v>
      </c>
      <c r="BD127" s="25">
        <f t="shared" ref="BD127" ca="1" si="628">+BC127+BD153+BD236*BD237*BD238</f>
        <v>4849817.01</v>
      </c>
      <c r="BE127" s="25">
        <f t="shared" ref="BE127" ca="1" si="629">+BD127+BE153+BE236*BE237*BE238</f>
        <v>4971817.01</v>
      </c>
      <c r="BF127" s="25">
        <f t="shared" ref="BF127" ca="1" si="630">+BE127+BF153+BF236*BF237*BF238</f>
        <v>5094317.01</v>
      </c>
      <c r="BG127" s="25">
        <f t="shared" ref="BG127" ca="1" si="631">+BF127+BG153+BG236*BG237*BG238</f>
        <v>5217317.01</v>
      </c>
      <c r="BH127" s="25">
        <f t="shared" ref="BH127" ca="1" si="632">+BG127+BH153+BH236*BH237*BH238</f>
        <v>5340817.01</v>
      </c>
      <c r="BI127" s="25">
        <f t="shared" ref="BI127" ca="1" si="633">+BH127+BI153+BI236*BI237*BI238</f>
        <v>5464817.0099999998</v>
      </c>
      <c r="BJ127" s="25">
        <f t="shared" ref="BJ127" ca="1" si="634">+BI127+BJ153+BJ236*BJ237*BJ238</f>
        <v>5589317.0099999998</v>
      </c>
      <c r="BL127" s="19"/>
      <c r="BM127" s="19"/>
      <c r="BN127" s="25">
        <f>+R127</f>
        <v>726940.5</v>
      </c>
      <c r="BO127" s="25">
        <f>+V127</f>
        <v>894360.65</v>
      </c>
      <c r="BP127" s="25">
        <f>+Z127</f>
        <v>1077690.24</v>
      </c>
      <c r="BQ127" s="25">
        <f>+AD127</f>
        <v>1353218.6</v>
      </c>
      <c r="BR127" s="25">
        <f>+AH127</f>
        <v>1767576.7</v>
      </c>
      <c r="BS127" s="25">
        <f ca="1">+AM127</f>
        <v>2831317.01</v>
      </c>
      <c r="BT127" s="25">
        <f ca="1">+AP127</f>
        <v>3194317.01</v>
      </c>
      <c r="BU127" s="25">
        <f ca="1">+AT127</f>
        <v>3657317.01</v>
      </c>
      <c r="BV127" s="25">
        <f ca="1">+AX127</f>
        <v>4128317.01</v>
      </c>
      <c r="BW127" s="25">
        <f ca="1">+BB127</f>
        <v>4607317.01</v>
      </c>
      <c r="BX127" s="25">
        <f ca="1">+BF127</f>
        <v>5094317.01</v>
      </c>
      <c r="BY127" s="25">
        <f ca="1">+BJ127</f>
        <v>5589317.0099999998</v>
      </c>
    </row>
    <row r="128" spans="1:85" ht="12" customHeight="1">
      <c r="B128" s="2" t="s">
        <v>299</v>
      </c>
      <c r="C128" s="351">
        <f t="shared" ref="C128:N128" si="635">+C127/C126</f>
        <v>0.86098654708520184</v>
      </c>
      <c r="D128" s="351">
        <f t="shared" si="635"/>
        <v>0.88565022421524664</v>
      </c>
      <c r="E128" s="351">
        <f t="shared" si="635"/>
        <v>0.87892376681614348</v>
      </c>
      <c r="F128" s="351">
        <f t="shared" si="635"/>
        <v>0.87219730941704032</v>
      </c>
      <c r="G128" s="351">
        <f t="shared" si="635"/>
        <v>0.9035874439461884</v>
      </c>
      <c r="H128" s="351">
        <f t="shared" si="635"/>
        <v>0.85990338164251212</v>
      </c>
      <c r="I128" s="351">
        <f t="shared" si="635"/>
        <v>0.86634460547504022</v>
      </c>
      <c r="J128" s="351">
        <f t="shared" si="635"/>
        <v>0.88106416275430355</v>
      </c>
      <c r="K128" s="351">
        <f t="shared" si="635"/>
        <v>0.89681335356600911</v>
      </c>
      <c r="L128" s="351">
        <f t="shared" si="635"/>
        <v>0.89985052316890879</v>
      </c>
      <c r="M128" s="351">
        <f t="shared" si="635"/>
        <v>0.86005434782608692</v>
      </c>
      <c r="N128" s="351">
        <f t="shared" si="635"/>
        <v>0.87942332896461339</v>
      </c>
      <c r="O128" s="15">
        <v>0.85</v>
      </c>
      <c r="P128" s="15">
        <v>0.85</v>
      </c>
      <c r="Q128" s="15">
        <v>0.78</v>
      </c>
      <c r="R128" s="15">
        <v>0.78</v>
      </c>
      <c r="S128" s="15">
        <v>0.81</v>
      </c>
      <c r="T128" s="15">
        <v>0.81</v>
      </c>
      <c r="U128" s="15">
        <v>0.85</v>
      </c>
      <c r="V128" s="15">
        <v>0.85</v>
      </c>
      <c r="W128" s="15">
        <v>0.89</v>
      </c>
      <c r="X128" s="15">
        <v>0.86</v>
      </c>
      <c r="Y128" s="15">
        <v>0.88</v>
      </c>
      <c r="Z128" s="15">
        <v>0.88</v>
      </c>
      <c r="AA128" s="15">
        <v>0.89</v>
      </c>
      <c r="AB128" s="15">
        <v>0.84</v>
      </c>
      <c r="AC128" s="15">
        <v>0.89</v>
      </c>
      <c r="AD128" s="15">
        <v>0.86</v>
      </c>
      <c r="AE128" s="15">
        <v>0.89</v>
      </c>
      <c r="AF128" s="510">
        <v>0.84</v>
      </c>
      <c r="AG128" s="510">
        <v>0.85</v>
      </c>
      <c r="AH128" s="510">
        <v>0.85</v>
      </c>
      <c r="AI128" s="510">
        <v>0.88</v>
      </c>
      <c r="AJ128" s="510">
        <v>0.89</v>
      </c>
      <c r="AK128" s="510">
        <v>0.82</v>
      </c>
      <c r="AL128" s="510">
        <v>0.83</v>
      </c>
      <c r="AM128" s="16">
        <f t="shared" ref="AM128:AX128" ca="1" si="636">+AM127/AM126</f>
        <v>0.83912082372226215</v>
      </c>
      <c r="AN128" s="16">
        <f t="shared" ca="1" si="636"/>
        <v>0.83759758318821542</v>
      </c>
      <c r="AO128" s="16">
        <f t="shared" ca="1" si="636"/>
        <v>0.83619256106229167</v>
      </c>
      <c r="AP128" s="16">
        <f t="shared" ca="1" si="636"/>
        <v>0.83489248362921065</v>
      </c>
      <c r="AQ128" s="16">
        <f t="shared" ca="1" si="636"/>
        <v>0.83575533781585942</v>
      </c>
      <c r="AR128" s="16">
        <f t="shared" ca="1" si="636"/>
        <v>0.83814802950047129</v>
      </c>
      <c r="AS128" s="16">
        <f t="shared" ca="1" si="636"/>
        <v>0.84040599094944435</v>
      </c>
      <c r="AT128" s="16">
        <f t="shared" ca="1" si="636"/>
        <v>0.84254019400012248</v>
      </c>
      <c r="AU128" s="16">
        <f t="shared" ca="1" si="636"/>
        <v>0.84456045148638204</v>
      </c>
      <c r="AV128" s="16">
        <f t="shared" ca="1" si="636"/>
        <v>0.84647556633009047</v>
      </c>
      <c r="AW128" s="16">
        <f t="shared" ca="1" si="636"/>
        <v>0.84829345819541757</v>
      </c>
      <c r="AX128" s="16">
        <f t="shared" ca="1" si="636"/>
        <v>0.85002127154899942</v>
      </c>
      <c r="AY128" s="16">
        <f t="shared" ref="AY128:BJ128" ca="1" si="637">+AY127/AY126</f>
        <v>0.85166546823466749</v>
      </c>
      <c r="AZ128" s="16">
        <f t="shared" ca="1" si="637"/>
        <v>0.85323190709132446</v>
      </c>
      <c r="BA128" s="16">
        <f t="shared" ca="1" si="637"/>
        <v>0.85472591268143416</v>
      </c>
      <c r="BB128" s="16">
        <f t="shared" ca="1" si="637"/>
        <v>0.85615233482897268</v>
      </c>
      <c r="BC128" s="16">
        <f t="shared" ca="1" si="637"/>
        <v>0.8575156003693889</v>
      </c>
      <c r="BD128" s="16">
        <f t="shared" ca="1" si="637"/>
        <v>0.85881975827473067</v>
      </c>
      <c r="BE128" s="16">
        <f t="shared" ca="1" si="637"/>
        <v>0.86006851912269777</v>
      </c>
      <c r="BF128" s="16">
        <f t="shared" ca="1" si="637"/>
        <v>0.86126528971979677</v>
      </c>
      <c r="BG128" s="16">
        <f t="shared" ca="1" si="637"/>
        <v>0.86241320355880446</v>
      </c>
      <c r="BH128" s="16">
        <f t="shared" ca="1" si="637"/>
        <v>0.8635151476837728</v>
      </c>
      <c r="BI128" s="16">
        <f t="shared" ca="1" si="637"/>
        <v>0.86457378644739558</v>
      </c>
      <c r="BJ128" s="16">
        <f t="shared" ca="1" si="637"/>
        <v>0.86559158257219593</v>
      </c>
      <c r="BL128" s="16"/>
      <c r="BM128" s="16"/>
      <c r="BN128" s="16">
        <f>+R128</f>
        <v>0.78</v>
      </c>
      <c r="BO128" s="16">
        <f>+V128</f>
        <v>0.85</v>
      </c>
      <c r="BP128" s="16">
        <f>+Z128</f>
        <v>0.88</v>
      </c>
      <c r="BQ128" s="16">
        <f>+AD128</f>
        <v>0.86</v>
      </c>
      <c r="BR128" s="16">
        <f>+AH128</f>
        <v>0.85</v>
      </c>
      <c r="BS128" s="16">
        <f ca="1">+AM128</f>
        <v>0.83912082372226215</v>
      </c>
      <c r="BT128" s="16">
        <f ca="1">+AP128</f>
        <v>0.83489248362921065</v>
      </c>
      <c r="BU128" s="16">
        <f ca="1">+AT128</f>
        <v>0.84254019400012248</v>
      </c>
      <c r="BV128" s="16">
        <f ca="1">+AX128</f>
        <v>0.85002127154899942</v>
      </c>
      <c r="BW128" s="16">
        <f ca="1">+BW127/BW126</f>
        <v>0.85615233482897268</v>
      </c>
      <c r="BX128" s="16">
        <f t="shared" ref="BX128:BY128" ca="1" si="638">+BX127/BX126</f>
        <v>0.86126528971979677</v>
      </c>
      <c r="BY128" s="16">
        <f t="shared" ca="1" si="638"/>
        <v>0.86559158257219593</v>
      </c>
    </row>
    <row r="129" spans="2:85" ht="12" customHeight="1">
      <c r="B129" s="2"/>
      <c r="C129" s="2"/>
      <c r="D129" s="2"/>
      <c r="E129" s="2"/>
      <c r="F129" s="2"/>
      <c r="G129" s="2"/>
      <c r="H129" s="2"/>
      <c r="I129" s="2"/>
      <c r="J129" s="2"/>
      <c r="K129" s="2"/>
      <c r="L129" s="2"/>
      <c r="M129" s="2"/>
      <c r="N129" s="2"/>
      <c r="P129" s="15"/>
      <c r="Q129" s="6"/>
      <c r="R129" s="6"/>
      <c r="S129" s="6"/>
      <c r="T129" s="6"/>
      <c r="U129" s="6"/>
      <c r="V129" s="6"/>
      <c r="W129" s="6"/>
      <c r="X129" s="6"/>
      <c r="Y129" s="6"/>
      <c r="Z129" s="6"/>
      <c r="AA129" s="6"/>
      <c r="AB129" s="6"/>
      <c r="AC129" s="6"/>
      <c r="AD129" s="6"/>
      <c r="AE129" s="6"/>
      <c r="AF129" s="6"/>
      <c r="AG129" s="6"/>
      <c r="AH129" s="6"/>
      <c r="AI129" s="6"/>
      <c r="AJ129" s="6"/>
      <c r="AK129" s="6"/>
      <c r="AL129" s="6"/>
      <c r="AM129" s="6"/>
      <c r="AN129" s="6"/>
      <c r="AO129" s="6"/>
      <c r="AP129" s="6"/>
      <c r="AQ129" s="6"/>
      <c r="AR129" s="6"/>
      <c r="AS129" s="6"/>
      <c r="AT129" s="6"/>
      <c r="AU129" s="6"/>
      <c r="AV129" s="6"/>
      <c r="AW129" s="6"/>
      <c r="AX129" s="6"/>
      <c r="AY129" s="6"/>
      <c r="AZ129" s="6"/>
      <c r="BA129" s="6"/>
      <c r="BB129" s="6"/>
      <c r="BC129" s="6"/>
      <c r="BD129" s="6"/>
      <c r="BE129" s="6"/>
      <c r="BF129" s="6"/>
      <c r="BG129" s="6"/>
      <c r="BH129" s="6"/>
      <c r="BI129" s="6"/>
      <c r="BJ129" s="6"/>
      <c r="BL129" s="6"/>
      <c r="BM129" s="6"/>
      <c r="BN129" s="6"/>
      <c r="BO129" s="6"/>
      <c r="BP129" s="6"/>
      <c r="BQ129" s="6"/>
      <c r="BR129" s="6"/>
      <c r="BS129" s="6"/>
      <c r="BT129" s="6"/>
      <c r="BU129" s="6"/>
      <c r="BV129" s="6"/>
      <c r="BW129" s="6"/>
      <c r="BX129" s="6"/>
      <c r="BY129" s="6"/>
    </row>
    <row r="130" spans="2:85" s="168" customFormat="1" ht="12" hidden="1" customHeight="1" outlineLevel="1">
      <c r="B130" s="334" t="s">
        <v>449</v>
      </c>
      <c r="C130" s="353"/>
      <c r="D130" s="353">
        <f t="shared" ref="D130:Y130" si="639">+D9/((AVERAGE(C127:D127))/1000000)</f>
        <v>47.240051347881895</v>
      </c>
      <c r="E130" s="353">
        <f t="shared" si="639"/>
        <v>45.489199491740784</v>
      </c>
      <c r="F130" s="353">
        <f t="shared" si="639"/>
        <v>47.631241997439183</v>
      </c>
      <c r="G130" s="353">
        <f t="shared" si="639"/>
        <v>50.505050505050505</v>
      </c>
      <c r="H130" s="353">
        <f t="shared" si="639"/>
        <v>52.721451440768405</v>
      </c>
      <c r="I130" s="353">
        <f t="shared" si="639"/>
        <v>74.626865671641781</v>
      </c>
      <c r="J130" s="353">
        <f t="shared" si="639"/>
        <v>73.751135331516807</v>
      </c>
      <c r="K130" s="353">
        <f t="shared" si="639"/>
        <v>75.216637781629117</v>
      </c>
      <c r="L130" s="353">
        <f t="shared" si="639"/>
        <v>75.60771165129924</v>
      </c>
      <c r="M130" s="353">
        <f t="shared" si="639"/>
        <v>76.275303643724698</v>
      </c>
      <c r="N130" s="353">
        <f t="shared" si="639"/>
        <v>75.306748466257673</v>
      </c>
      <c r="O130" s="353">
        <f t="shared" si="639"/>
        <v>76.723392767332896</v>
      </c>
      <c r="P130" s="353">
        <f t="shared" si="639"/>
        <v>78.995213072947081</v>
      </c>
      <c r="Q130" s="353">
        <f t="shared" si="639"/>
        <v>82.249413236747671</v>
      </c>
      <c r="R130" s="353">
        <f t="shared" si="639"/>
        <v>81.367659037859426</v>
      </c>
      <c r="S130" s="353">
        <f t="shared" si="639"/>
        <v>81.602222295994622</v>
      </c>
      <c r="T130" s="353">
        <f t="shared" si="639"/>
        <v>83.041586109962921</v>
      </c>
      <c r="U130" s="353">
        <f t="shared" si="639"/>
        <v>82.874220383792348</v>
      </c>
      <c r="V130" s="353">
        <f t="shared" si="639"/>
        <v>83.216737821005978</v>
      </c>
      <c r="W130" s="353">
        <f t="shared" si="639"/>
        <v>81.544984311639382</v>
      </c>
      <c r="X130" s="353">
        <f t="shared" si="639"/>
        <v>80.358373164701916</v>
      </c>
      <c r="Y130" s="353">
        <f t="shared" si="639"/>
        <v>81.41803487049944</v>
      </c>
      <c r="Z130" s="353">
        <f t="shared" ref="Z130:AL130" si="640">+Z9/((AVERAGE(Y127:Z127))/1000000)</f>
        <v>81.450688309867289</v>
      </c>
      <c r="AA130" s="353">
        <f t="shared" si="640"/>
        <v>77.874852522226305</v>
      </c>
      <c r="AB130" s="353">
        <f t="shared" si="640"/>
        <v>78.836009937531202</v>
      </c>
      <c r="AC130" s="353">
        <f t="shared" si="640"/>
        <v>89.587129977358629</v>
      </c>
      <c r="AD130" s="353">
        <f t="shared" si="640"/>
        <v>83.969257794915109</v>
      </c>
      <c r="AE130" s="353">
        <f t="shared" si="640"/>
        <v>84.630482872582718</v>
      </c>
      <c r="AF130" s="353">
        <f t="shared" si="640"/>
        <v>83.519557015864592</v>
      </c>
      <c r="AG130" s="353">
        <f t="shared" si="640"/>
        <v>83.812622683968513</v>
      </c>
      <c r="AH130" s="353">
        <f t="shared" si="640"/>
        <v>78.19589326152439</v>
      </c>
      <c r="AI130" s="353">
        <f t="shared" si="640"/>
        <v>75.653328437605296</v>
      </c>
      <c r="AJ130" s="353">
        <f t="shared" si="640"/>
        <v>74.651171546480086</v>
      </c>
      <c r="AK130" s="353">
        <f t="shared" si="640"/>
        <v>72.154461867382565</v>
      </c>
      <c r="AL130" s="353">
        <f t="shared" si="640"/>
        <v>68.393902705171925</v>
      </c>
      <c r="AM130" s="353">
        <f t="shared" ref="AM130:AX130" ca="1" si="641">+AM9/((AVERAGE(AL127:AM127))/1000000)</f>
        <v>67.572648156510397</v>
      </c>
      <c r="AN130" s="353">
        <f t="shared" ca="1" si="641"/>
        <v>68.983805125219831</v>
      </c>
      <c r="AO130" s="353">
        <f t="shared" ca="1" si="641"/>
        <v>69.377615070780138</v>
      </c>
      <c r="AP130" s="353">
        <f t="shared" ca="1" si="641"/>
        <v>69.599117632274044</v>
      </c>
      <c r="AQ130" s="353">
        <f t="shared" ca="1" si="641"/>
        <v>69.50967022499438</v>
      </c>
      <c r="AR130" s="353">
        <f t="shared" ca="1" si="641"/>
        <v>69.471618724089751</v>
      </c>
      <c r="AS130" s="353">
        <f t="shared" ca="1" si="641"/>
        <v>69.41019123825258</v>
      </c>
      <c r="AT130" s="353">
        <f t="shared" ca="1" si="641"/>
        <v>69.327913142653628</v>
      </c>
      <c r="AU130" s="353">
        <f t="shared" ca="1" si="641"/>
        <v>69.227007691914409</v>
      </c>
      <c r="AV130" s="353">
        <f t="shared" ca="1" si="641"/>
        <v>69.10943898762261</v>
      </c>
      <c r="AW130" s="353">
        <f t="shared" ca="1" si="641"/>
        <v>68.976947834961692</v>
      </c>
      <c r="AX130" s="353">
        <f t="shared" ca="1" si="641"/>
        <v>68.831081824123956</v>
      </c>
      <c r="AY130" s="353">
        <f t="shared" ref="AY130" ca="1" si="642">+AY9/((AVERAGE(AX127:AY127))/1000000)</f>
        <v>69.210642322412966</v>
      </c>
      <c r="AZ130" s="353">
        <f t="shared" ref="AZ130" ca="1" si="643">+AZ9/((AVERAGE(AY127:AZ127))/1000000)</f>
        <v>69.54348979663699</v>
      </c>
      <c r="BA130" s="353">
        <f t="shared" ref="BA130" ca="1" si="644">+BA9/((AVERAGE(AZ127:BA127))/1000000)</f>
        <v>69.833563691126344</v>
      </c>
      <c r="BB130" s="353">
        <f t="shared" ref="BB130" ca="1" si="645">+BB9/((AVERAGE(BA127:BB127))/1000000)</f>
        <v>70.084413447424254</v>
      </c>
      <c r="BC130" s="353">
        <f t="shared" ref="BC130" ca="1" si="646">+BC9/((AVERAGE(BB127:BC127))/1000000)</f>
        <v>70.299244790098399</v>
      </c>
      <c r="BD130" s="353">
        <f t="shared" ref="BD130" ca="1" si="647">+BD9/((AVERAGE(BC127:BD127))/1000000)</f>
        <v>70.48095959119577</v>
      </c>
      <c r="BE130" s="353">
        <f t="shared" ref="BE130" ca="1" si="648">+BE9/((AVERAGE(BD127:BE127))/1000000)</f>
        <v>70.632190328787331</v>
      </c>
      <c r="BF130" s="353">
        <f t="shared" ref="BF130" ca="1" si="649">+BF9/((AVERAGE(BE127:BF127))/1000000)</f>
        <v>70.755329975592105</v>
      </c>
      <c r="BG130" s="353">
        <f t="shared" ref="BG130" ca="1" si="650">+BG9/((AVERAGE(BF127:BG127))/1000000)</f>
        <v>70.852558009125033</v>
      </c>
      <c r="BH130" s="353">
        <f t="shared" ref="BH130" ca="1" si="651">+BH9/((AVERAGE(BG127:BH127))/1000000)</f>
        <v>70.925863117785468</v>
      </c>
      <c r="BI130" s="353">
        <f t="shared" ref="BI130" ca="1" si="652">+BI9/((AVERAGE(BH127:BI127))/1000000)</f>
        <v>70.977063082099377</v>
      </c>
      <c r="BJ130" s="353">
        <f t="shared" ref="BJ130" ca="1" si="653">+BJ9/((AVERAGE(BI127:BJ127))/1000000)</f>
        <v>71.007822232514073</v>
      </c>
      <c r="BL130" s="354"/>
      <c r="BM130" s="354"/>
      <c r="BN130" s="354"/>
      <c r="BO130" s="354"/>
      <c r="BP130" s="354"/>
      <c r="BQ130" s="354"/>
      <c r="BR130" s="354"/>
      <c r="BS130" s="354"/>
      <c r="BT130" s="354"/>
      <c r="BU130" s="354"/>
      <c r="BV130" s="354"/>
      <c r="BW130" s="354"/>
      <c r="BX130" s="354"/>
      <c r="BY130" s="354"/>
      <c r="CB130"/>
      <c r="CC130"/>
      <c r="CD130"/>
      <c r="CE130"/>
      <c r="CF130"/>
      <c r="CG130"/>
    </row>
    <row r="131" spans="2:85" s="168" customFormat="1" ht="12" hidden="1" customHeight="1" outlineLevel="1">
      <c r="B131" s="334"/>
      <c r="C131" s="353"/>
      <c r="D131" s="353"/>
      <c r="E131" s="353"/>
      <c r="F131" s="353"/>
      <c r="G131" s="353"/>
      <c r="H131" s="353"/>
      <c r="I131" s="353"/>
      <c r="J131" s="353"/>
      <c r="K131" s="353"/>
      <c r="L131" s="353"/>
      <c r="M131" s="353"/>
      <c r="N131" s="353"/>
      <c r="O131" s="353"/>
      <c r="P131" s="353"/>
      <c r="Q131" s="353"/>
      <c r="R131" s="353"/>
      <c r="S131" s="353"/>
      <c r="T131" s="353"/>
      <c r="U131" s="353"/>
      <c r="V131" s="353"/>
      <c r="W131" s="353"/>
      <c r="X131" s="353"/>
      <c r="Y131" s="353"/>
      <c r="Z131" s="353"/>
      <c r="AA131" s="353"/>
      <c r="AB131" s="353"/>
      <c r="AC131" s="353"/>
      <c r="AD131" s="353"/>
      <c r="AE131" s="353"/>
      <c r="AF131" s="353"/>
      <c r="AG131" s="353"/>
      <c r="AH131" s="353"/>
      <c r="AI131" s="353"/>
      <c r="AJ131" s="353"/>
      <c r="AK131" s="353"/>
      <c r="AL131" s="353"/>
      <c r="AM131" s="353"/>
      <c r="AN131" s="353"/>
      <c r="AO131" s="353"/>
      <c r="AP131" s="353"/>
      <c r="AQ131" s="353"/>
      <c r="AR131" s="353"/>
      <c r="AS131" s="353"/>
      <c r="AT131" s="353"/>
      <c r="AU131" s="353"/>
      <c r="AV131" s="353"/>
      <c r="AW131" s="353"/>
      <c r="AX131" s="353"/>
      <c r="AY131" s="353"/>
      <c r="AZ131" s="353"/>
      <c r="BA131" s="353"/>
      <c r="BB131" s="353"/>
      <c r="BC131" s="353"/>
      <c r="BD131" s="353"/>
      <c r="BE131" s="353"/>
      <c r="BF131" s="353"/>
      <c r="BG131" s="353"/>
      <c r="BH131" s="353"/>
      <c r="BI131" s="353"/>
      <c r="BJ131" s="353"/>
      <c r="BL131" s="354"/>
      <c r="BM131" s="354"/>
      <c r="BN131" s="354"/>
      <c r="BO131" s="354"/>
      <c r="BP131" s="354"/>
      <c r="BQ131" s="354"/>
      <c r="BR131" s="354"/>
      <c r="BS131" s="354"/>
      <c r="BT131" s="354"/>
      <c r="BU131" s="354"/>
      <c r="BV131" s="354"/>
      <c r="BW131" s="354"/>
      <c r="BX131" s="354"/>
      <c r="BY131" s="354"/>
      <c r="CB131"/>
      <c r="CC131"/>
      <c r="CD131"/>
      <c r="CE131"/>
      <c r="CF131"/>
      <c r="CG131"/>
    </row>
    <row r="132" spans="2:85" s="168" customFormat="1" ht="12" hidden="1" customHeight="1" outlineLevel="1">
      <c r="B132" s="334" t="s">
        <v>452</v>
      </c>
      <c r="C132" s="353"/>
      <c r="D132" s="353">
        <f t="shared" ref="D132:V132" si="654">+D9*4/((AVERAGE(D127))/1000000)</f>
        <v>186.3291139240506</v>
      </c>
      <c r="E132" s="353">
        <f t="shared" si="654"/>
        <v>182.65306122448976</v>
      </c>
      <c r="F132" s="353">
        <f t="shared" si="654"/>
        <v>191.25964010282777</v>
      </c>
      <c r="G132" s="353">
        <f t="shared" si="654"/>
        <v>198.51116625310172</v>
      </c>
      <c r="H132" s="353">
        <f t="shared" si="654"/>
        <v>185.01872659176027</v>
      </c>
      <c r="I132" s="353">
        <f t="shared" si="654"/>
        <v>297.3977695167286</v>
      </c>
      <c r="J132" s="353">
        <f t="shared" si="654"/>
        <v>288.45470692717589</v>
      </c>
      <c r="K132" s="353">
        <f t="shared" si="654"/>
        <v>293.7394247038917</v>
      </c>
      <c r="L132" s="353">
        <f t="shared" si="654"/>
        <v>299.66777408637876</v>
      </c>
      <c r="M132" s="353">
        <f t="shared" si="654"/>
        <v>297.63033175355451</v>
      </c>
      <c r="N132" s="353">
        <f t="shared" si="654"/>
        <v>292.69746646795824</v>
      </c>
      <c r="O132" s="353">
        <f t="shared" si="654"/>
        <v>303.29246234549134</v>
      </c>
      <c r="P132" s="353">
        <f t="shared" si="654"/>
        <v>317.62561909424056</v>
      </c>
      <c r="Q132" s="353">
        <f t="shared" si="654"/>
        <v>324.60871553791145</v>
      </c>
      <c r="R132" s="353">
        <f t="shared" si="654"/>
        <v>319.14578978609666</v>
      </c>
      <c r="S132" s="353">
        <f t="shared" si="654"/>
        <v>322.22669908235088</v>
      </c>
      <c r="T132" s="353">
        <f t="shared" si="654"/>
        <v>323.78603623081739</v>
      </c>
      <c r="U132" s="353">
        <f t="shared" si="654"/>
        <v>320.18193923646453</v>
      </c>
      <c r="V132" s="353">
        <f t="shared" si="654"/>
        <v>323.35948590761456</v>
      </c>
      <c r="W132" s="353">
        <f t="shared" ref="W132:AB132" si="655">+W9*4/((AVERAGE(W127))/1000000)</f>
        <v>308.01922385733292</v>
      </c>
      <c r="X132" s="353">
        <f t="shared" si="655"/>
        <v>318.22064414557752</v>
      </c>
      <c r="Y132" s="353">
        <f t="shared" si="655"/>
        <v>321.17679176502708</v>
      </c>
      <c r="Z132" s="353">
        <f t="shared" si="655"/>
        <v>322.54166095073856</v>
      </c>
      <c r="AA132" s="353">
        <f t="shared" si="655"/>
        <v>305.17850623507377</v>
      </c>
      <c r="AB132" s="353">
        <f t="shared" si="655"/>
        <v>313.42576684837627</v>
      </c>
      <c r="AC132" s="353">
        <f t="shared" ref="AC132:AH132" si="656">+AC9*4/((AVERAGE(AC127))/1000000)</f>
        <v>330.61092677437728</v>
      </c>
      <c r="AD132" s="353">
        <f t="shared" si="656"/>
        <v>334.90523999596218</v>
      </c>
      <c r="AE132" s="353">
        <f t="shared" si="656"/>
        <v>329.36117143535552</v>
      </c>
      <c r="AF132" s="353">
        <f t="shared" si="656"/>
        <v>308.88128422059185</v>
      </c>
      <c r="AG132" s="353">
        <f t="shared" si="656"/>
        <v>329.3115285055855</v>
      </c>
      <c r="AH132" s="353">
        <f t="shared" si="656"/>
        <v>310.93417332328494</v>
      </c>
      <c r="AI132" s="353">
        <f t="shared" ref="AI132:AJ132" si="657">+AI9*4/((AVERAGE(AI127))/1000000)</f>
        <v>274.02357123963128</v>
      </c>
      <c r="AJ132" s="353">
        <f t="shared" si="657"/>
        <v>291.26267513449932</v>
      </c>
      <c r="AK132" s="353">
        <f t="shared" ref="AK132:AL132" si="658">+AK9*4/((AVERAGE(AK127))/1000000)</f>
        <v>273.16664277822042</v>
      </c>
      <c r="AL132" s="353">
        <f t="shared" si="658"/>
        <v>266.29125157150105</v>
      </c>
      <c r="AM132" s="353">
        <f t="shared" ref="AM132:AX132" ca="1" si="659">+AM9*4/((AVERAGE(AM127))/1000000)</f>
        <v>264.56271563442118</v>
      </c>
      <c r="AN132" s="353">
        <f t="shared" ca="1" si="659"/>
        <v>270.30306343326424</v>
      </c>
      <c r="AO132" s="353">
        <f t="shared" ca="1" si="659"/>
        <v>272.0466195166544</v>
      </c>
      <c r="AP132" s="353">
        <f t="shared" ca="1" si="659"/>
        <v>273.10188469691457</v>
      </c>
      <c r="AQ132" s="353">
        <f t="shared" ca="1" si="659"/>
        <v>273.20770698498575</v>
      </c>
      <c r="AR132" s="353">
        <f t="shared" ca="1" si="659"/>
        <v>273.20069347259044</v>
      </c>
      <c r="AS132" s="353">
        <f t="shared" ca="1" si="659"/>
        <v>273.09289808448932</v>
      </c>
      <c r="AT132" s="353">
        <f t="shared" ca="1" si="659"/>
        <v>272.8949165540015</v>
      </c>
      <c r="AU132" s="353">
        <f t="shared" ca="1" si="659"/>
        <v>272.61609668872666</v>
      </c>
      <c r="AV132" s="353">
        <f t="shared" ca="1" si="659"/>
        <v>272.26471335358497</v>
      </c>
      <c r="AW132" s="353">
        <f t="shared" ca="1" si="659"/>
        <v>271.84811488866353</v>
      </c>
      <c r="AX132" s="353">
        <f t="shared" ca="1" si="659"/>
        <v>271.37284625644912</v>
      </c>
      <c r="AY132" s="353">
        <f t="shared" ref="AY132:BJ132" ca="1" si="660">+AY9*4/((AVERAGE(AY127))/1000000)</f>
        <v>272.96432501592523</v>
      </c>
      <c r="AZ132" s="353">
        <f t="shared" ca="1" si="660"/>
        <v>274.36777861535973</v>
      </c>
      <c r="BA132" s="353">
        <f t="shared" ca="1" si="660"/>
        <v>275.59885498142609</v>
      </c>
      <c r="BB132" s="353">
        <f t="shared" ca="1" si="660"/>
        <v>276.67167126577488</v>
      </c>
      <c r="BC132" s="353">
        <f t="shared" ca="1" si="660"/>
        <v>277.59899340706443</v>
      </c>
      <c r="BD132" s="353">
        <f t="shared" ca="1" si="660"/>
        <v>278.39239106577242</v>
      </c>
      <c r="BE132" s="353">
        <f t="shared" ca="1" si="660"/>
        <v>279.06237178279923</v>
      </c>
      <c r="BF132" s="353">
        <f t="shared" ca="1" si="660"/>
        <v>279.61849753972552</v>
      </c>
      <c r="BG132" s="353">
        <f t="shared" ca="1" si="660"/>
        <v>280.06948635498657</v>
      </c>
      <c r="BH132" s="353">
        <f t="shared" ca="1" si="660"/>
        <v>280.42330110903913</v>
      </c>
      <c r="BI132" s="353">
        <f t="shared" ca="1" si="660"/>
        <v>280.68722743183639</v>
      </c>
      <c r="BJ132" s="353">
        <f t="shared" ca="1" si="660"/>
        <v>280.86794219122174</v>
      </c>
      <c r="BL132" s="354"/>
      <c r="BM132" s="354"/>
      <c r="BN132" s="354"/>
      <c r="BO132" s="354"/>
      <c r="BP132" s="354"/>
      <c r="BQ132" s="354"/>
      <c r="BR132" s="354"/>
      <c r="BS132" s="354"/>
      <c r="BT132" s="354"/>
      <c r="BU132" s="354"/>
      <c r="BV132" s="354"/>
      <c r="BW132" s="354"/>
      <c r="BX132" s="354"/>
      <c r="BY132" s="354"/>
      <c r="CB132"/>
      <c r="CC132"/>
      <c r="CD132"/>
      <c r="CE132"/>
      <c r="CF132"/>
      <c r="CG132"/>
    </row>
    <row r="133" spans="2:85" ht="12" hidden="1" customHeight="1" outlineLevel="1">
      <c r="B133" s="2"/>
      <c r="C133" s="2"/>
      <c r="D133" s="2"/>
      <c r="E133" s="2"/>
      <c r="F133" s="2"/>
      <c r="G133" s="2"/>
      <c r="H133" s="2"/>
      <c r="I133" s="2"/>
      <c r="J133" s="2"/>
      <c r="K133" s="2"/>
      <c r="L133" s="2"/>
      <c r="M133" s="2"/>
      <c r="N133" s="2"/>
      <c r="P133" s="15"/>
      <c r="Q133" s="6"/>
      <c r="R133" s="6"/>
      <c r="S133" s="6"/>
      <c r="T133" s="6"/>
      <c r="U133" s="6"/>
      <c r="V133" s="6"/>
      <c r="W133" s="6"/>
      <c r="X133" s="6"/>
      <c r="Y133" s="6"/>
      <c r="Z133" s="6"/>
      <c r="AA133" s="6"/>
      <c r="AB133" s="6"/>
      <c r="AC133" s="6"/>
      <c r="AD133" s="6"/>
      <c r="AE133" s="6"/>
      <c r="AF133" s="6"/>
      <c r="AG133" s="6"/>
      <c r="AH133" s="6"/>
      <c r="AI133" s="6"/>
      <c r="AJ133" s="6"/>
      <c r="AK133" s="6"/>
      <c r="AL133" s="6"/>
      <c r="AM133" s="6"/>
      <c r="AN133" s="6"/>
      <c r="AO133" s="6"/>
      <c r="AP133" s="6"/>
      <c r="AQ133" s="6"/>
      <c r="AR133" s="6"/>
      <c r="AS133" s="6"/>
      <c r="AT133" s="6"/>
      <c r="AU133" s="6"/>
      <c r="AV133" s="6"/>
      <c r="AW133" s="6"/>
      <c r="AX133" s="6"/>
      <c r="AY133" s="6"/>
      <c r="AZ133" s="6"/>
      <c r="BA133" s="6"/>
      <c r="BB133" s="6"/>
      <c r="BC133" s="6"/>
      <c r="BD133" s="6"/>
      <c r="BE133" s="6"/>
      <c r="BF133" s="6"/>
      <c r="BG133" s="6"/>
      <c r="BH133" s="6"/>
      <c r="BI133" s="6"/>
      <c r="BJ133" s="6"/>
      <c r="BL133" s="6"/>
      <c r="BM133" s="6"/>
      <c r="BN133" s="6"/>
      <c r="BO133" s="6"/>
      <c r="BP133" s="6"/>
      <c r="BQ133" s="6"/>
      <c r="BR133" s="6"/>
      <c r="BS133" s="6"/>
      <c r="BT133" s="6"/>
      <c r="BU133" s="6"/>
      <c r="BV133" s="6"/>
      <c r="BW133" s="6"/>
      <c r="BX133" s="6"/>
      <c r="BY133" s="6"/>
    </row>
    <row r="134" spans="2:85" ht="12" customHeight="1" collapsed="1">
      <c r="B134" s="2" t="s">
        <v>305</v>
      </c>
      <c r="C134" s="2"/>
      <c r="D134" s="2"/>
      <c r="E134" s="2"/>
      <c r="F134" s="2"/>
      <c r="G134" s="2"/>
      <c r="H134" s="2"/>
      <c r="I134" s="2"/>
      <c r="J134" s="2"/>
      <c r="K134" s="2"/>
      <c r="L134" s="2"/>
      <c r="M134" s="2"/>
      <c r="N134" s="2"/>
      <c r="O134" s="25">
        <f t="shared" ref="O134:T134" si="661">+O126</f>
        <v>808383</v>
      </c>
      <c r="P134" s="25">
        <f t="shared" si="661"/>
        <v>800054</v>
      </c>
      <c r="Q134" s="25">
        <f t="shared" si="661"/>
        <v>895753</v>
      </c>
      <c r="R134" s="25">
        <f t="shared" si="661"/>
        <v>931975</v>
      </c>
      <c r="S134" s="25">
        <f t="shared" si="661"/>
        <v>921060</v>
      </c>
      <c r="T134" s="25">
        <f t="shared" si="661"/>
        <v>970005</v>
      </c>
      <c r="U134" s="25">
        <f t="shared" ref="U134:AA134" si="662">+U126</f>
        <v>992083</v>
      </c>
      <c r="V134" s="25">
        <f t="shared" si="662"/>
        <v>1052189</v>
      </c>
      <c r="W134" s="25">
        <f t="shared" si="662"/>
        <v>1130821</v>
      </c>
      <c r="X134" s="25">
        <f t="shared" si="662"/>
        <v>1194140</v>
      </c>
      <c r="Y134" s="25">
        <f t="shared" si="662"/>
        <v>1200132</v>
      </c>
      <c r="Z134" s="25">
        <f t="shared" si="662"/>
        <v>1224648</v>
      </c>
      <c r="AA134" s="25">
        <f t="shared" si="662"/>
        <v>1262109</v>
      </c>
      <c r="AB134" s="25">
        <f t="shared" ref="AB134:AG134" si="663">+AB126</f>
        <v>1353704</v>
      </c>
      <c r="AC134" s="25">
        <f t="shared" si="663"/>
        <v>1511672</v>
      </c>
      <c r="AD134" s="25">
        <f t="shared" si="663"/>
        <v>1573510</v>
      </c>
      <c r="AE134" s="25">
        <f t="shared" si="663"/>
        <v>1607470</v>
      </c>
      <c r="AF134" s="25">
        <f t="shared" si="663"/>
        <v>2005702</v>
      </c>
      <c r="AG134" s="25">
        <f t="shared" si="663"/>
        <v>2054911</v>
      </c>
      <c r="AH134" s="25">
        <f>+AH126</f>
        <v>2079502</v>
      </c>
      <c r="AI134" s="25">
        <f>+AI126</f>
        <v>2476562</v>
      </c>
      <c r="AJ134" s="25">
        <f>+AJ126</f>
        <v>2575381</v>
      </c>
      <c r="AK134" s="25">
        <f>+AK126</f>
        <v>3130404</v>
      </c>
      <c r="AL134" s="25">
        <f>+AL126</f>
        <v>3266647</v>
      </c>
      <c r="AM134" s="25">
        <f t="shared" ref="AM134:AX134" si="664">+AM126</f>
        <v>3374147</v>
      </c>
      <c r="AN134" s="25">
        <f t="shared" ca="1" si="664"/>
        <v>3524147</v>
      </c>
      <c r="AO134" s="25">
        <f t="shared" ca="1" si="664"/>
        <v>3674772</v>
      </c>
      <c r="AP134" s="25">
        <f t="shared" ca="1" si="664"/>
        <v>3826022</v>
      </c>
      <c r="AQ134" s="25">
        <f t="shared" ca="1" si="664"/>
        <v>3959672</v>
      </c>
      <c r="AR134" s="25">
        <f t="shared" ca="1" si="664"/>
        <v>4086172</v>
      </c>
      <c r="AS134" s="25">
        <f t="shared" ca="1" si="664"/>
        <v>4213222</v>
      </c>
      <c r="AT134" s="25">
        <f t="shared" ca="1" si="664"/>
        <v>4340822</v>
      </c>
      <c r="AU134" s="25">
        <f t="shared" ca="1" si="664"/>
        <v>4468972</v>
      </c>
      <c r="AV134" s="25">
        <f t="shared" ca="1" si="664"/>
        <v>4597672</v>
      </c>
      <c r="AW134" s="25">
        <f t="shared" ca="1" si="664"/>
        <v>4726922</v>
      </c>
      <c r="AX134" s="25">
        <f t="shared" ca="1" si="664"/>
        <v>4856722</v>
      </c>
      <c r="AY134" s="25">
        <f t="shared" ref="AY134:BJ134" ca="1" si="665">+AY126</f>
        <v>4987072</v>
      </c>
      <c r="AZ134" s="25">
        <f t="shared" ca="1" si="665"/>
        <v>5117972</v>
      </c>
      <c r="BA134" s="25">
        <f t="shared" ca="1" si="665"/>
        <v>5249422</v>
      </c>
      <c r="BB134" s="25">
        <f t="shared" ca="1" si="665"/>
        <v>5381422</v>
      </c>
      <c r="BC134" s="25">
        <f t="shared" ca="1" si="665"/>
        <v>5513972</v>
      </c>
      <c r="BD134" s="25">
        <f t="shared" ca="1" si="665"/>
        <v>5647072</v>
      </c>
      <c r="BE134" s="25">
        <f t="shared" ca="1" si="665"/>
        <v>5780722</v>
      </c>
      <c r="BF134" s="25">
        <f t="shared" ca="1" si="665"/>
        <v>5914922</v>
      </c>
      <c r="BG134" s="25">
        <f t="shared" ca="1" si="665"/>
        <v>6049672</v>
      </c>
      <c r="BH134" s="25">
        <f t="shared" ca="1" si="665"/>
        <v>6184972</v>
      </c>
      <c r="BI134" s="25">
        <f t="shared" ca="1" si="665"/>
        <v>6320822</v>
      </c>
      <c r="BJ134" s="25">
        <f t="shared" ca="1" si="665"/>
        <v>6457222</v>
      </c>
      <c r="BK134" s="207"/>
      <c r="BL134" s="6"/>
      <c r="BM134" s="6"/>
      <c r="BN134" s="6"/>
      <c r="BO134" s="25">
        <f>+V134</f>
        <v>1052189</v>
      </c>
      <c r="BP134" s="25">
        <f>+Z134</f>
        <v>1224648</v>
      </c>
      <c r="BQ134" s="25">
        <f>+AD134</f>
        <v>1573510</v>
      </c>
      <c r="BR134" s="25">
        <f>+AH134</f>
        <v>2079502</v>
      </c>
      <c r="BS134" s="25">
        <f>+AM134</f>
        <v>3374147</v>
      </c>
      <c r="BT134" s="25">
        <f ca="1">+AP134</f>
        <v>3826022</v>
      </c>
      <c r="BU134" s="25">
        <f ca="1">+AT134</f>
        <v>4340822</v>
      </c>
      <c r="BV134" s="25">
        <f ca="1">+AX134</f>
        <v>4856722</v>
      </c>
      <c r="BW134" s="25">
        <f ca="1">+BB134</f>
        <v>5381422</v>
      </c>
      <c r="BX134" s="25">
        <f ca="1">+BF134</f>
        <v>5914922</v>
      </c>
      <c r="BY134" s="25">
        <f ca="1">+BJ134</f>
        <v>6457222</v>
      </c>
      <c r="BZ134" s="207"/>
    </row>
    <row r="135" spans="2:85" ht="12" customHeight="1">
      <c r="B135" s="2" t="s">
        <v>304</v>
      </c>
      <c r="C135" s="2"/>
      <c r="D135" s="2"/>
      <c r="E135" s="2"/>
      <c r="F135" s="2"/>
      <c r="G135" s="2"/>
      <c r="H135" s="2"/>
      <c r="I135" s="2"/>
      <c r="J135" s="2"/>
      <c r="K135" s="2"/>
      <c r="L135" s="2"/>
      <c r="M135" s="2"/>
      <c r="N135" s="2"/>
      <c r="O135" s="14">
        <v>207582</v>
      </c>
      <c r="P135" s="14">
        <v>207582</v>
      </c>
      <c r="Q135" s="14">
        <v>191393</v>
      </c>
      <c r="R135" s="14">
        <v>215723</v>
      </c>
      <c r="S135" s="14">
        <v>221930</v>
      </c>
      <c r="T135" s="14">
        <v>261130</v>
      </c>
      <c r="U135" s="14">
        <v>262336</v>
      </c>
      <c r="V135" s="14">
        <v>265437</v>
      </c>
      <c r="W135" s="14">
        <v>264278</v>
      </c>
      <c r="X135" s="14">
        <v>264373</v>
      </c>
      <c r="Y135" s="14">
        <v>261602</v>
      </c>
      <c r="Z135" s="14">
        <v>271704</v>
      </c>
      <c r="AA135" s="14">
        <v>293282</v>
      </c>
      <c r="AB135" s="14">
        <v>292973</v>
      </c>
      <c r="AC135" s="14">
        <v>377219</v>
      </c>
      <c r="AD135" s="14">
        <v>395902</v>
      </c>
      <c r="AE135" s="14">
        <v>438098</v>
      </c>
      <c r="AF135" s="509">
        <v>458004</v>
      </c>
      <c r="AG135" s="509">
        <v>464161</v>
      </c>
      <c r="AH135" s="509">
        <v>448435</v>
      </c>
      <c r="AI135" s="509">
        <v>532807</v>
      </c>
      <c r="AJ135" s="509">
        <v>532807</v>
      </c>
      <c r="AK135" s="509">
        <v>522827</v>
      </c>
      <c r="AL135" s="509">
        <v>524804</v>
      </c>
      <c r="AM135" s="14"/>
      <c r="AN135" s="14"/>
      <c r="AO135" s="14"/>
      <c r="AP135" s="14"/>
      <c r="AQ135" s="14"/>
      <c r="AR135" s="14"/>
      <c r="AS135" s="14"/>
      <c r="AT135" s="14"/>
      <c r="AU135" s="14"/>
      <c r="AV135" s="14"/>
      <c r="AW135" s="14"/>
      <c r="AX135" s="14"/>
      <c r="AY135" s="14"/>
      <c r="AZ135" s="14"/>
      <c r="BA135" s="14"/>
      <c r="BB135" s="14"/>
      <c r="BC135" s="14"/>
      <c r="BD135" s="14"/>
      <c r="BE135" s="14"/>
      <c r="BF135" s="14"/>
      <c r="BG135" s="14"/>
      <c r="BH135" s="14"/>
      <c r="BI135" s="14"/>
      <c r="BJ135" s="14"/>
      <c r="BK135" s="207"/>
      <c r="BL135" s="6"/>
      <c r="BM135" s="6"/>
      <c r="BN135" s="6"/>
      <c r="BO135" s="6"/>
      <c r="BP135" s="6"/>
      <c r="BQ135" s="6"/>
      <c r="BR135" s="6"/>
      <c r="BS135" s="6"/>
      <c r="BT135" s="6"/>
      <c r="BU135" s="6"/>
      <c r="BV135" s="6"/>
      <c r="BW135" s="6"/>
      <c r="BX135" s="6"/>
      <c r="BY135" s="6"/>
      <c r="BZ135" s="207"/>
    </row>
    <row r="136" spans="2:85" ht="12" customHeight="1">
      <c r="B136" s="2" t="s">
        <v>249</v>
      </c>
      <c r="C136" s="2"/>
      <c r="D136" s="2"/>
      <c r="E136" s="2"/>
      <c r="F136" s="2"/>
      <c r="G136" s="2"/>
      <c r="H136" s="2"/>
      <c r="I136" s="2"/>
      <c r="J136" s="2"/>
      <c r="K136" s="2"/>
      <c r="L136" s="2"/>
      <c r="M136" s="2"/>
      <c r="N136" s="2"/>
      <c r="O136" s="14">
        <v>466089</v>
      </c>
      <c r="P136" s="14">
        <v>466270</v>
      </c>
      <c r="Q136" s="14">
        <v>541571</v>
      </c>
      <c r="R136" s="14">
        <v>568416</v>
      </c>
      <c r="S136" s="14">
        <v>566480</v>
      </c>
      <c r="T136" s="14">
        <v>618069</v>
      </c>
      <c r="U136" s="14">
        <v>643550</v>
      </c>
      <c r="V136" s="14">
        <v>657674</v>
      </c>
      <c r="W136" s="14">
        <v>664521</v>
      </c>
      <c r="X136" s="14">
        <v>711548</v>
      </c>
      <c r="Y136" s="14">
        <v>715996</v>
      </c>
      <c r="Z136" s="14">
        <v>738697</v>
      </c>
      <c r="AA136" s="14">
        <v>784658</v>
      </c>
      <c r="AB136" s="14">
        <v>790255</v>
      </c>
      <c r="AC136" s="14">
        <v>961345</v>
      </c>
      <c r="AD136" s="14">
        <v>984946</v>
      </c>
      <c r="AE136" s="14">
        <v>1178674</v>
      </c>
      <c r="AF136" s="509">
        <v>1311620</v>
      </c>
      <c r="AG136" s="509">
        <v>1291309</v>
      </c>
      <c r="AH136" s="509">
        <v>1376032</v>
      </c>
      <c r="AI136" s="509">
        <v>1635899</v>
      </c>
      <c r="AJ136" s="509">
        <v>1675123</v>
      </c>
      <c r="AK136" s="509">
        <v>1629578</v>
      </c>
      <c r="AL136" s="509">
        <v>1661569</v>
      </c>
      <c r="AM136" s="14"/>
      <c r="AN136" s="14"/>
      <c r="AO136" s="14"/>
      <c r="AP136" s="14"/>
      <c r="AQ136" s="14"/>
      <c r="AR136" s="14"/>
      <c r="AS136" s="14"/>
      <c r="AT136" s="14"/>
      <c r="AU136" s="14"/>
      <c r="AV136" s="14"/>
      <c r="AW136" s="14"/>
      <c r="AX136" s="14"/>
      <c r="AY136" s="14"/>
      <c r="AZ136" s="14"/>
      <c r="BA136" s="14"/>
      <c r="BB136" s="14"/>
      <c r="BC136" s="14"/>
      <c r="BD136" s="14"/>
      <c r="BE136" s="14"/>
      <c r="BF136" s="14"/>
      <c r="BG136" s="14"/>
      <c r="BH136" s="14"/>
      <c r="BI136" s="14"/>
      <c r="BJ136" s="14"/>
      <c r="BL136" s="6"/>
      <c r="BM136" s="6"/>
      <c r="BN136" s="6"/>
      <c r="BO136" s="6"/>
      <c r="BP136" s="6"/>
      <c r="BQ136" s="6"/>
      <c r="BR136" s="6"/>
      <c r="BS136" s="6"/>
      <c r="BT136" s="6"/>
      <c r="BU136" s="6"/>
      <c r="BV136" s="6"/>
      <c r="BW136" s="6"/>
      <c r="BX136" s="6"/>
      <c r="BY136" s="6"/>
    </row>
    <row r="137" spans="2:85" ht="12" customHeight="1">
      <c r="B137" s="8" t="s">
        <v>303</v>
      </c>
      <c r="C137" s="2"/>
      <c r="D137" s="2"/>
      <c r="E137" s="2"/>
      <c r="F137" s="2"/>
      <c r="G137" s="2"/>
      <c r="H137" s="2"/>
      <c r="I137" s="2"/>
      <c r="J137" s="2"/>
      <c r="K137" s="2"/>
      <c r="L137" s="2"/>
      <c r="M137" s="2"/>
      <c r="N137" s="2"/>
      <c r="O137" s="25">
        <f t="shared" ref="O137:W137" si="666">SUM(O134:O136)</f>
        <v>1482054</v>
      </c>
      <c r="P137" s="25">
        <f t="shared" si="666"/>
        <v>1473906</v>
      </c>
      <c r="Q137" s="25">
        <f t="shared" si="666"/>
        <v>1628717</v>
      </c>
      <c r="R137" s="25">
        <f t="shared" si="666"/>
        <v>1716114</v>
      </c>
      <c r="S137" s="25">
        <f t="shared" si="666"/>
        <v>1709470</v>
      </c>
      <c r="T137" s="25">
        <f t="shared" si="666"/>
        <v>1849204</v>
      </c>
      <c r="U137" s="25">
        <f t="shared" si="666"/>
        <v>1897969</v>
      </c>
      <c r="V137" s="25">
        <f t="shared" si="666"/>
        <v>1975300</v>
      </c>
      <c r="W137" s="25">
        <f t="shared" si="666"/>
        <v>2059620</v>
      </c>
      <c r="X137" s="25">
        <f t="shared" ref="X137:AC137" si="667">SUM(X134:X136)</f>
        <v>2170061</v>
      </c>
      <c r="Y137" s="25">
        <f t="shared" si="667"/>
        <v>2177730</v>
      </c>
      <c r="Z137" s="25">
        <f t="shared" si="667"/>
        <v>2235049</v>
      </c>
      <c r="AA137" s="25">
        <f t="shared" si="667"/>
        <v>2340049</v>
      </c>
      <c r="AB137" s="25">
        <f t="shared" si="667"/>
        <v>2436932</v>
      </c>
      <c r="AC137" s="25">
        <f t="shared" si="667"/>
        <v>2850236</v>
      </c>
      <c r="AD137" s="25">
        <f t="shared" ref="AD137:AI137" si="668">SUM(AD134:AD136)</f>
        <v>2954358</v>
      </c>
      <c r="AE137" s="25">
        <f t="shared" si="668"/>
        <v>3224242</v>
      </c>
      <c r="AF137" s="25">
        <f t="shared" si="668"/>
        <v>3775326</v>
      </c>
      <c r="AG137" s="25">
        <f t="shared" si="668"/>
        <v>3810381</v>
      </c>
      <c r="AH137" s="25">
        <f t="shared" si="668"/>
        <v>3903969</v>
      </c>
      <c r="AI137" s="25">
        <f t="shared" si="668"/>
        <v>4645268</v>
      </c>
      <c r="AJ137" s="25">
        <f t="shared" ref="AJ137:AK137" si="669">SUM(AJ134:AJ136)</f>
        <v>4783311</v>
      </c>
      <c r="AK137" s="25">
        <f t="shared" si="669"/>
        <v>5282809</v>
      </c>
      <c r="AL137" s="25">
        <f t="shared" ref="AL137" si="670">SUM(AL134:AL136)</f>
        <v>5453020</v>
      </c>
      <c r="AM137" s="209"/>
      <c r="AN137" s="209"/>
      <c r="AO137" s="209"/>
      <c r="AP137" s="209"/>
      <c r="AQ137" s="209"/>
      <c r="AR137" s="209"/>
      <c r="AS137" s="209"/>
      <c r="AT137" s="209"/>
      <c r="AU137" s="209"/>
      <c r="AV137" s="209"/>
      <c r="AW137" s="209"/>
      <c r="AX137" s="209"/>
      <c r="AY137" s="209"/>
      <c r="AZ137" s="209"/>
      <c r="BA137" s="209"/>
      <c r="BB137" s="209"/>
      <c r="BC137" s="209"/>
      <c r="BD137" s="209"/>
      <c r="BE137" s="209"/>
      <c r="BF137" s="209"/>
      <c r="BG137" s="209"/>
      <c r="BH137" s="209"/>
      <c r="BI137" s="209"/>
      <c r="BJ137" s="209"/>
      <c r="BL137" s="6"/>
      <c r="BM137" s="6"/>
      <c r="BN137" s="6"/>
      <c r="BO137" s="6"/>
      <c r="BP137" s="6"/>
      <c r="BQ137" s="6"/>
      <c r="BR137" s="6"/>
      <c r="BS137" s="6"/>
      <c r="BT137" s="6"/>
      <c r="BU137" s="6"/>
      <c r="BV137" s="6"/>
      <c r="BW137" s="6"/>
      <c r="BX137" s="6"/>
      <c r="BY137" s="6"/>
    </row>
    <row r="138" spans="2:85" ht="12" customHeight="1">
      <c r="B138" s="2" t="s">
        <v>306</v>
      </c>
      <c r="C138" s="2"/>
      <c r="D138" s="2"/>
      <c r="E138" s="2"/>
      <c r="F138" s="2"/>
      <c r="G138" s="2"/>
      <c r="H138" s="2"/>
      <c r="I138" s="2"/>
      <c r="J138" s="2"/>
      <c r="K138" s="2"/>
      <c r="L138" s="2"/>
      <c r="M138" s="2"/>
      <c r="N138" s="2"/>
      <c r="O138" s="15">
        <v>0.86</v>
      </c>
      <c r="P138" s="15">
        <v>0.85</v>
      </c>
      <c r="Q138" s="15">
        <v>0.79</v>
      </c>
      <c r="R138" s="15">
        <v>0.76</v>
      </c>
      <c r="S138" s="15">
        <v>0.76</v>
      </c>
      <c r="T138" s="15">
        <v>0.75</v>
      </c>
      <c r="U138" s="15">
        <v>0.8</v>
      </c>
      <c r="V138" s="15">
        <v>0.82</v>
      </c>
      <c r="W138" s="445">
        <f>+((0.72*264278)+(0.84*1130821)+664521)/W137</f>
        <v>0.87622512890727422</v>
      </c>
      <c r="X138" s="445">
        <f>+((0.75*X135)+(0.86*X134)+X136)/X137</f>
        <v>0.89250401256001555</v>
      </c>
      <c r="Y138" s="445">
        <f>+((0.75*Y135)+(0.88*Y134)+Y136)/Y137</f>
        <v>0.90383732602296885</v>
      </c>
      <c r="Z138" s="445">
        <f>+((0.75*Z135)+(0.88*Z134)+Z136)/Z137</f>
        <v>0.90385724876725293</v>
      </c>
      <c r="AA138" s="445">
        <f>+((0.75*AA135)+(0.89*AA134)+AA136)/AA137</f>
        <v>0.90933844120358154</v>
      </c>
      <c r="AB138" s="445">
        <f>+((0.75*AB135)+(0.84*AB134)+AB136)/AB137</f>
        <v>0.88106525335955199</v>
      </c>
      <c r="AC138" s="445">
        <f>+((0.77*AC135)+(0.89*AC134)+AC136)/AC137</f>
        <v>0.91121988144139643</v>
      </c>
      <c r="AD138" s="445">
        <f>+((0.74*AD135)+(0.84*AD134)+AD136)/AD137</f>
        <v>0.87994138828131185</v>
      </c>
      <c r="AE138" s="445">
        <f>+((0.74*AE135)+(0.84*AE134)+AE136)/AE137</f>
        <v>0.8849029694421201</v>
      </c>
      <c r="AF138" s="511">
        <f>+((0.74*AF135)+(0.82*AF134)+AF136)/AF137</f>
        <v>0.87283021386762349</v>
      </c>
      <c r="AG138" s="511">
        <f>+((0.74*AG135)+(0.84*AG134)+AG136)/AG137</f>
        <v>0.88204129193379877</v>
      </c>
      <c r="AH138" s="511">
        <f>+((0.74*AH135)+(0.84*AH134)+AH136)/AH137</f>
        <v>0.88490855844398353</v>
      </c>
      <c r="AI138" s="511">
        <f>+((0.77*AI135)+(0.87*AI134)+AI136)/AI137</f>
        <v>0.90431151227442641</v>
      </c>
      <c r="AJ138" s="511">
        <f>+((0.78*AJ135)+(0.87*AJ134)+AJ136)/AJ137</f>
        <v>0.90550121662588945</v>
      </c>
      <c r="AK138" s="511">
        <f>+((0.75*AK135)+(0.79*AK134)+AK136)/AK137</f>
        <v>0.85081959427266818</v>
      </c>
      <c r="AL138" s="511">
        <f>+((0.75*AL135)+(0.8*AL134)+AL136)/AL137</f>
        <v>0.85612919079702621</v>
      </c>
      <c r="AM138" s="15"/>
      <c r="AN138" s="15"/>
      <c r="AO138" s="15"/>
      <c r="AP138" s="15"/>
      <c r="AQ138" s="15"/>
      <c r="AR138" s="15"/>
      <c r="AS138" s="15"/>
      <c r="AT138" s="15"/>
      <c r="AU138" s="15"/>
      <c r="AV138" s="15"/>
      <c r="AW138" s="15"/>
      <c r="AX138" s="15"/>
      <c r="AY138" s="15"/>
      <c r="AZ138" s="15"/>
      <c r="BA138" s="15"/>
      <c r="BB138" s="15"/>
      <c r="BC138" s="15"/>
      <c r="BD138" s="15"/>
      <c r="BE138" s="15"/>
      <c r="BF138" s="15"/>
      <c r="BG138" s="15"/>
      <c r="BH138" s="15"/>
      <c r="BI138" s="15"/>
      <c r="BJ138" s="15"/>
      <c r="BL138" s="6"/>
      <c r="BM138" s="6"/>
      <c r="BN138" s="6"/>
      <c r="BO138" s="6"/>
      <c r="BP138" s="6"/>
      <c r="BQ138" s="6"/>
      <c r="BR138" s="6"/>
      <c r="BS138" s="6"/>
      <c r="BT138" s="6"/>
      <c r="BU138" s="6"/>
      <c r="BV138" s="6"/>
      <c r="BW138" s="6"/>
      <c r="BX138" s="6"/>
      <c r="BY138" s="6"/>
    </row>
    <row r="139" spans="2:85" ht="12" customHeight="1">
      <c r="B139" s="8" t="s">
        <v>307</v>
      </c>
      <c r="C139" s="2"/>
      <c r="D139" s="2"/>
      <c r="E139" s="2"/>
      <c r="F139" s="2"/>
      <c r="G139" s="2"/>
      <c r="H139" s="2"/>
      <c r="I139" s="2"/>
      <c r="J139" s="2"/>
      <c r="K139" s="2"/>
      <c r="L139" s="2"/>
      <c r="M139" s="2"/>
      <c r="N139" s="2"/>
      <c r="O139" s="14">
        <v>170000</v>
      </c>
      <c r="P139" s="14">
        <v>200000</v>
      </c>
      <c r="Q139" s="14">
        <v>762000</v>
      </c>
      <c r="R139" s="14">
        <v>803000</v>
      </c>
      <c r="S139" s="14">
        <v>820000</v>
      </c>
      <c r="T139" s="14">
        <v>806000</v>
      </c>
      <c r="U139" s="14">
        <v>787000</v>
      </c>
      <c r="V139" s="14">
        <v>626000</v>
      </c>
      <c r="W139" s="14">
        <v>569000</v>
      </c>
      <c r="X139" s="14">
        <v>551000</v>
      </c>
      <c r="Y139" s="14">
        <v>551000</v>
      </c>
      <c r="Z139" s="14">
        <v>489000</v>
      </c>
      <c r="AA139" s="14">
        <v>499000</v>
      </c>
      <c r="AB139" s="14">
        <v>499000</v>
      </c>
      <c r="AC139" s="14">
        <v>499000</v>
      </c>
      <c r="AD139" s="14">
        <v>574000</v>
      </c>
      <c r="AE139" s="14">
        <v>637000</v>
      </c>
      <c r="AF139" s="509">
        <v>851000</v>
      </c>
      <c r="AG139" s="509">
        <v>230000</v>
      </c>
      <c r="AH139" s="509">
        <v>916000</v>
      </c>
      <c r="AI139" s="509">
        <v>916000</v>
      </c>
      <c r="AJ139" s="509">
        <v>1323000</v>
      </c>
      <c r="AK139" s="509">
        <v>813000</v>
      </c>
      <c r="AL139" s="509">
        <v>1534000</v>
      </c>
      <c r="AM139" s="25"/>
      <c r="AN139" s="25"/>
      <c r="AO139" s="25"/>
      <c r="AP139" s="25"/>
      <c r="AQ139" s="25"/>
      <c r="AR139" s="25"/>
      <c r="AS139" s="25"/>
      <c r="AT139" s="25"/>
      <c r="AU139" s="25"/>
      <c r="AV139" s="25"/>
      <c r="AW139" s="25"/>
      <c r="AX139" s="25"/>
      <c r="AY139" s="25"/>
      <c r="AZ139" s="25"/>
      <c r="BA139" s="25"/>
      <c r="BB139" s="25"/>
      <c r="BC139" s="25"/>
      <c r="BD139" s="25"/>
      <c r="BE139" s="25"/>
      <c r="BF139" s="25"/>
      <c r="BG139" s="25"/>
      <c r="BH139" s="25"/>
      <c r="BI139" s="25"/>
      <c r="BJ139" s="25"/>
      <c r="BL139" s="6"/>
      <c r="BM139" s="6"/>
      <c r="BN139" s="6"/>
      <c r="BO139" s="6"/>
      <c r="BP139" s="6"/>
      <c r="BQ139" s="6"/>
      <c r="BR139" s="6"/>
      <c r="BS139" s="6"/>
      <c r="BT139" s="6"/>
      <c r="BU139" s="6"/>
      <c r="BV139" s="6"/>
      <c r="BW139" s="6"/>
      <c r="BX139" s="6"/>
      <c r="BY139" s="6"/>
    </row>
    <row r="140" spans="2:85" ht="12" customHeight="1">
      <c r="B140" s="8" t="s">
        <v>338</v>
      </c>
      <c r="C140" s="2"/>
      <c r="D140" s="2"/>
      <c r="E140" s="2"/>
      <c r="F140" s="2"/>
      <c r="G140" s="2"/>
      <c r="H140" s="2"/>
      <c r="I140" s="2"/>
      <c r="J140" s="2"/>
      <c r="K140" s="2"/>
      <c r="L140" s="2"/>
      <c r="M140" s="2"/>
      <c r="N140" s="2"/>
      <c r="O140" s="14">
        <v>395000</v>
      </c>
      <c r="P140" s="14">
        <v>390000</v>
      </c>
      <c r="Q140" s="14">
        <v>379000</v>
      </c>
      <c r="R140" s="14">
        <v>238000</v>
      </c>
      <c r="S140" s="14">
        <v>85000</v>
      </c>
      <c r="T140" s="14">
        <v>120000</v>
      </c>
      <c r="U140" s="14">
        <v>96000</v>
      </c>
      <c r="V140" s="14">
        <v>711000</v>
      </c>
      <c r="W140" s="14">
        <v>761000</v>
      </c>
      <c r="X140" s="14">
        <v>706000</v>
      </c>
      <c r="Y140" s="14">
        <v>712000</v>
      </c>
      <c r="Z140" s="14">
        <v>708000</v>
      </c>
      <c r="AA140" s="14">
        <v>904000</v>
      </c>
      <c r="AB140" s="14">
        <v>790000</v>
      </c>
      <c r="AC140" s="14">
        <v>790000</v>
      </c>
      <c r="AD140" s="14">
        <v>839000</v>
      </c>
      <c r="AE140" s="14">
        <v>852000</v>
      </c>
      <c r="AF140" s="509">
        <v>386000</v>
      </c>
      <c r="AG140" s="509">
        <v>748000</v>
      </c>
      <c r="AH140" s="509">
        <v>1657000</v>
      </c>
      <c r="AI140" s="509">
        <v>1784000</v>
      </c>
      <c r="AJ140" s="509">
        <v>1447000</v>
      </c>
      <c r="AK140" s="509">
        <v>928000</v>
      </c>
      <c r="AL140" s="509">
        <v>645000</v>
      </c>
      <c r="AM140" s="6"/>
      <c r="AN140" s="6"/>
      <c r="AO140" s="6"/>
      <c r="AP140" s="6"/>
      <c r="AQ140" s="6"/>
      <c r="AR140" s="6"/>
      <c r="AS140" s="6"/>
      <c r="AT140" s="6"/>
      <c r="AU140" s="6"/>
      <c r="AV140" s="6"/>
      <c r="AW140" s="6"/>
      <c r="AX140" s="6"/>
      <c r="AY140" s="6"/>
      <c r="AZ140" s="6"/>
      <c r="BA140" s="6"/>
      <c r="BB140" s="6"/>
      <c r="BC140" s="6"/>
      <c r="BD140" s="6"/>
      <c r="BE140" s="6"/>
      <c r="BF140" s="6"/>
      <c r="BG140" s="6"/>
      <c r="BH140" s="6"/>
      <c r="BI140" s="6"/>
      <c r="BJ140" s="6"/>
      <c r="BL140" s="6"/>
      <c r="BM140" s="6"/>
      <c r="BN140" s="6"/>
      <c r="BO140" s="6"/>
      <c r="BP140" s="6"/>
      <c r="BQ140" s="6"/>
      <c r="BR140" s="6"/>
      <c r="BS140" s="6"/>
      <c r="BT140" s="6"/>
      <c r="BU140" s="6"/>
      <c r="BV140" s="6"/>
      <c r="BW140" s="6"/>
      <c r="BX140" s="6"/>
      <c r="BY140" s="6"/>
    </row>
    <row r="141" spans="2:85" ht="12" customHeight="1">
      <c r="B141" s="2"/>
      <c r="C141" s="2"/>
      <c r="D141" s="2"/>
      <c r="E141" s="2"/>
      <c r="F141" s="2"/>
      <c r="G141" s="2"/>
      <c r="H141" s="2"/>
      <c r="I141" s="2"/>
      <c r="J141" s="2"/>
      <c r="K141" s="2"/>
      <c r="L141" s="2"/>
      <c r="M141" s="2"/>
      <c r="N141" s="2"/>
      <c r="P141" s="15"/>
      <c r="Q141" s="6"/>
      <c r="R141" s="6"/>
      <c r="S141" s="6"/>
      <c r="T141" s="6"/>
      <c r="U141" s="6"/>
      <c r="V141" s="6"/>
      <c r="W141" s="6"/>
      <c r="X141" s="6"/>
      <c r="Y141" s="6"/>
      <c r="Z141" s="6"/>
      <c r="AA141" s="6"/>
      <c r="AB141" s="6"/>
      <c r="AC141" s="6"/>
      <c r="AD141" s="6"/>
      <c r="AE141" s="6"/>
      <c r="AF141" s="6"/>
      <c r="AG141" s="6"/>
      <c r="AH141" s="6"/>
      <c r="AI141" s="6"/>
      <c r="AJ141" s="6"/>
      <c r="AK141" s="6"/>
      <c r="AL141" s="6"/>
      <c r="AM141" s="6"/>
      <c r="AN141" s="6"/>
      <c r="AO141" s="6"/>
      <c r="AP141" s="6"/>
      <c r="AQ141" s="6"/>
      <c r="AR141" s="6"/>
      <c r="AS141" s="6"/>
      <c r="AT141" s="6"/>
      <c r="AU141" s="6"/>
      <c r="AV141" s="6"/>
      <c r="AW141" s="6"/>
      <c r="AX141" s="6"/>
      <c r="AY141" s="6"/>
      <c r="AZ141" s="6"/>
      <c r="BA141" s="6"/>
      <c r="BB141" s="6"/>
      <c r="BC141" s="6"/>
      <c r="BD141" s="6"/>
      <c r="BE141" s="6"/>
      <c r="BF141" s="6"/>
      <c r="BG141" s="6"/>
      <c r="BH141" s="6"/>
      <c r="BI141" s="6"/>
      <c r="BJ141" s="6"/>
      <c r="BL141" s="6"/>
      <c r="BM141" s="6"/>
      <c r="BN141" s="6"/>
      <c r="BO141" s="6"/>
      <c r="BP141" s="6"/>
      <c r="BQ141" s="6"/>
      <c r="BR141" s="6"/>
      <c r="BS141" s="6"/>
      <c r="BT141" s="6"/>
      <c r="BU141" s="6"/>
      <c r="BV141" s="6"/>
      <c r="BW141" s="6"/>
      <c r="BX141" s="6"/>
      <c r="BY141" s="6"/>
    </row>
    <row r="142" spans="2:85" s="168" customFormat="1" ht="12" hidden="1" customHeight="1" outlineLevel="1">
      <c r="B142" s="334" t="s">
        <v>450</v>
      </c>
      <c r="C142" s="353"/>
      <c r="D142" s="353"/>
      <c r="E142" s="353"/>
      <c r="F142" s="353"/>
      <c r="G142" s="353"/>
      <c r="H142" s="353"/>
      <c r="I142" s="353"/>
      <c r="J142" s="353"/>
      <c r="K142" s="353"/>
      <c r="L142" s="353"/>
      <c r="M142" s="353"/>
      <c r="N142" s="353"/>
      <c r="O142" s="353"/>
      <c r="P142" s="353">
        <f t="shared" ref="P142:AL142" si="671">+(P9*4)/((AVERAGE(O137:P137))/1000000)</f>
        <v>146.14541468761416</v>
      </c>
      <c r="Q142" s="353">
        <f t="shared" si="671"/>
        <v>146.1988775303993</v>
      </c>
      <c r="R142" s="353">
        <f t="shared" si="671"/>
        <v>138.7215079027909</v>
      </c>
      <c r="S142" s="353">
        <f t="shared" si="671"/>
        <v>140.35562987216193</v>
      </c>
      <c r="T142" s="353">
        <f t="shared" si="671"/>
        <v>142.97460233783707</v>
      </c>
      <c r="U142" s="353">
        <f t="shared" si="671"/>
        <v>144.10863869909394</v>
      </c>
      <c r="V142" s="353">
        <f t="shared" si="671"/>
        <v>149.33122383185881</v>
      </c>
      <c r="W142" s="353">
        <f t="shared" si="671"/>
        <v>153.6585607645257</v>
      </c>
      <c r="X142" s="353">
        <f t="shared" si="671"/>
        <v>154.52701988636969</v>
      </c>
      <c r="Y142" s="353">
        <f t="shared" si="671"/>
        <v>156.03325918840164</v>
      </c>
      <c r="Z142" s="353">
        <f t="shared" si="671"/>
        <v>157.54244660790854</v>
      </c>
      <c r="AA142" s="353">
        <f t="shared" si="671"/>
        <v>149.85471349466178</v>
      </c>
      <c r="AB142" s="353">
        <f t="shared" si="671"/>
        <v>149.21558197531033</v>
      </c>
      <c r="AC142" s="353">
        <f t="shared" si="671"/>
        <v>168.25642763763133</v>
      </c>
      <c r="AD142" s="353">
        <f t="shared" si="671"/>
        <v>156.15217877426053</v>
      </c>
      <c r="AE142" s="353">
        <f t="shared" si="671"/>
        <v>152.52646230537661</v>
      </c>
      <c r="AF142" s="353">
        <f t="shared" si="671"/>
        <v>148.69489088469459</v>
      </c>
      <c r="AG142" s="353">
        <f t="shared" si="671"/>
        <v>151.65362964849552</v>
      </c>
      <c r="AH142" s="353">
        <f t="shared" si="671"/>
        <v>142.48770149137647</v>
      </c>
      <c r="AI142" s="353">
        <f t="shared" si="671"/>
        <v>139.70837397536178</v>
      </c>
      <c r="AJ142" s="353">
        <f t="shared" si="671"/>
        <v>141.61200749338795</v>
      </c>
      <c r="AK142" s="353">
        <f t="shared" si="671"/>
        <v>139.31882393613429</v>
      </c>
      <c r="AL142" s="353">
        <f t="shared" si="671"/>
        <v>134.50288748078978</v>
      </c>
      <c r="AM142" s="353"/>
      <c r="AN142" s="353"/>
      <c r="AO142" s="353"/>
      <c r="AP142" s="353"/>
      <c r="AQ142" s="353"/>
      <c r="AR142" s="353"/>
      <c r="AS142" s="353"/>
      <c r="AT142" s="353"/>
      <c r="AU142" s="353"/>
      <c r="AV142" s="353"/>
      <c r="AW142" s="353"/>
      <c r="AX142" s="353"/>
      <c r="AY142" s="353"/>
      <c r="AZ142" s="353"/>
      <c r="BA142" s="353"/>
      <c r="BB142" s="353"/>
      <c r="BC142" s="353"/>
      <c r="BD142" s="353"/>
      <c r="BE142" s="353"/>
      <c r="BF142" s="353"/>
      <c r="BG142" s="353"/>
      <c r="BH142" s="353"/>
      <c r="BI142" s="353"/>
      <c r="BJ142" s="353"/>
      <c r="BL142" s="354"/>
      <c r="BM142" s="354"/>
      <c r="BN142" s="354"/>
      <c r="BO142" s="354"/>
      <c r="BP142" s="354"/>
      <c r="BQ142" s="354"/>
      <c r="BR142" s="354"/>
      <c r="BS142" s="354"/>
      <c r="BT142" s="354"/>
      <c r="BU142" s="354"/>
      <c r="BV142" s="354"/>
      <c r="BW142" s="354"/>
      <c r="BX142" s="354"/>
      <c r="BY142" s="354"/>
      <c r="CB142"/>
      <c r="CC142"/>
      <c r="CD142"/>
      <c r="CE142"/>
      <c r="CF142"/>
      <c r="CG142"/>
    </row>
    <row r="143" spans="2:85" s="168" customFormat="1" ht="12" hidden="1" customHeight="1" outlineLevel="1">
      <c r="B143" s="334"/>
      <c r="C143" s="353"/>
      <c r="D143" s="353"/>
      <c r="E143" s="353"/>
      <c r="F143" s="353"/>
      <c r="G143" s="353"/>
      <c r="H143" s="353"/>
      <c r="I143" s="353"/>
      <c r="J143" s="353"/>
      <c r="K143" s="353"/>
      <c r="L143" s="353"/>
      <c r="M143" s="353"/>
      <c r="N143" s="353"/>
      <c r="O143" s="353"/>
      <c r="P143" s="353"/>
      <c r="Q143" s="353"/>
      <c r="R143" s="353"/>
      <c r="S143" s="353"/>
      <c r="T143" s="353"/>
      <c r="U143" s="353"/>
      <c r="V143" s="353"/>
      <c r="W143" s="353"/>
      <c r="X143" s="353"/>
      <c r="Y143" s="353"/>
      <c r="Z143" s="353"/>
      <c r="AA143" s="353"/>
      <c r="AB143" s="353"/>
      <c r="AC143" s="353"/>
      <c r="AD143" s="353"/>
      <c r="AE143" s="353"/>
      <c r="AF143" s="353"/>
      <c r="AG143" s="353"/>
      <c r="AH143" s="353"/>
      <c r="AI143" s="353"/>
      <c r="AJ143" s="353"/>
      <c r="AK143" s="353"/>
      <c r="AL143" s="353"/>
      <c r="AM143" s="353"/>
      <c r="AN143" s="353"/>
      <c r="AO143" s="353"/>
      <c r="AP143" s="353"/>
      <c r="AQ143" s="353"/>
      <c r="AR143" s="353"/>
      <c r="AS143" s="353"/>
      <c r="AT143" s="353"/>
      <c r="AU143" s="353"/>
      <c r="AV143" s="353"/>
      <c r="AW143" s="353"/>
      <c r="AX143" s="353"/>
      <c r="AY143" s="353"/>
      <c r="AZ143" s="353"/>
      <c r="BA143" s="353"/>
      <c r="BB143" s="353"/>
      <c r="BC143" s="353"/>
      <c r="BD143" s="353"/>
      <c r="BE143" s="353"/>
      <c r="BF143" s="353"/>
      <c r="BG143" s="353"/>
      <c r="BH143" s="353"/>
      <c r="BI143" s="353"/>
      <c r="BJ143" s="353"/>
      <c r="BL143" s="354"/>
      <c r="BM143" s="354"/>
      <c r="BN143" s="354"/>
      <c r="BO143" s="354"/>
      <c r="BP143" s="354"/>
      <c r="BQ143" s="354"/>
      <c r="BR143" s="354"/>
      <c r="BS143" s="354"/>
      <c r="BT143" s="354"/>
      <c r="BU143" s="354"/>
      <c r="BV143" s="354"/>
      <c r="BW143" s="354"/>
      <c r="BX143" s="354"/>
      <c r="BY143" s="354"/>
      <c r="CB143"/>
      <c r="CC143"/>
      <c r="CD143"/>
      <c r="CE143"/>
      <c r="CF143"/>
      <c r="CG143"/>
    </row>
    <row r="144" spans="2:85" s="168" customFormat="1" ht="12" hidden="1" customHeight="1" outlineLevel="1">
      <c r="B144" s="334" t="s">
        <v>451</v>
      </c>
      <c r="C144" s="353"/>
      <c r="D144" s="353"/>
      <c r="E144" s="353"/>
      <c r="F144" s="353"/>
      <c r="G144" s="353"/>
      <c r="H144" s="353"/>
      <c r="I144" s="353"/>
      <c r="J144" s="353"/>
      <c r="K144" s="353"/>
      <c r="L144" s="353"/>
      <c r="M144" s="353"/>
      <c r="N144" s="353"/>
      <c r="O144" s="353"/>
      <c r="P144" s="353">
        <f t="shared" ref="P144:V144" si="672">+(P9*4)/((AVERAGE(P137))/1000000)</f>
        <v>146.54937289080851</v>
      </c>
      <c r="Q144" s="353">
        <f t="shared" si="672"/>
        <v>139.2507108355841</v>
      </c>
      <c r="R144" s="353">
        <f t="shared" si="672"/>
        <v>135.18915410048518</v>
      </c>
      <c r="S144" s="353">
        <f t="shared" si="672"/>
        <v>140.62838189614325</v>
      </c>
      <c r="T144" s="353">
        <f t="shared" si="672"/>
        <v>137.57270695931871</v>
      </c>
      <c r="U144" s="353">
        <f t="shared" si="672"/>
        <v>142.2573287551061</v>
      </c>
      <c r="V144" s="353">
        <f t="shared" si="672"/>
        <v>146.40814053561482</v>
      </c>
      <c r="W144" s="353">
        <f t="shared" ref="W144:AB144" si="673">+(W9*4)/((AVERAGE(W137))/1000000)</f>
        <v>150.51320146434782</v>
      </c>
      <c r="X144" s="353">
        <f t="shared" si="673"/>
        <v>150.59484502970193</v>
      </c>
      <c r="Y144" s="353">
        <f t="shared" si="673"/>
        <v>155.75851919200269</v>
      </c>
      <c r="Z144" s="353">
        <f t="shared" si="673"/>
        <v>155.52231740780627</v>
      </c>
      <c r="AA144" s="353">
        <f t="shared" si="673"/>
        <v>146.49265891440734</v>
      </c>
      <c r="AB144" s="353">
        <f t="shared" si="673"/>
        <v>146.24946449059718</v>
      </c>
      <c r="AC144" s="353">
        <f t="shared" ref="AC144:AH144" si="674">+(AC9*4)/((AVERAGE(AC137))/1000000)</f>
        <v>156.05725280292577</v>
      </c>
      <c r="AD144" s="353">
        <f t="shared" si="674"/>
        <v>153.400501902613</v>
      </c>
      <c r="AE144" s="353">
        <f t="shared" si="674"/>
        <v>146.142876372183</v>
      </c>
      <c r="AF144" s="353">
        <f t="shared" si="674"/>
        <v>137.84240089465121</v>
      </c>
      <c r="AG144" s="353">
        <f t="shared" si="674"/>
        <v>150.95603300562334</v>
      </c>
      <c r="AH144" s="353">
        <f t="shared" si="674"/>
        <v>140.77980639702827</v>
      </c>
      <c r="AI144" s="353">
        <f t="shared" ref="AI144:AJ144" si="675">+(AI9*4)/((AVERAGE(AI137))/1000000)</f>
        <v>128.56093555850816</v>
      </c>
      <c r="AJ144" s="353">
        <f t="shared" si="675"/>
        <v>139.56859589518641</v>
      </c>
      <c r="AK144" s="353">
        <f t="shared" ref="AK144:AL144" si="676">+(AK9*4)/((AVERAGE(AK137))/1000000)</f>
        <v>132.73241565235466</v>
      </c>
      <c r="AL144" s="353">
        <f t="shared" si="676"/>
        <v>132.40369556686019</v>
      </c>
      <c r="AM144" s="353"/>
      <c r="AN144" s="353"/>
      <c r="AO144" s="353"/>
      <c r="AP144" s="353"/>
      <c r="AQ144" s="353"/>
      <c r="AR144" s="353"/>
      <c r="AS144" s="353"/>
      <c r="AT144" s="353"/>
      <c r="AU144" s="353"/>
      <c r="AV144" s="353"/>
      <c r="AW144" s="353"/>
      <c r="AX144" s="353"/>
      <c r="AY144" s="353"/>
      <c r="AZ144" s="353"/>
      <c r="BA144" s="353"/>
      <c r="BB144" s="353"/>
      <c r="BC144" s="353"/>
      <c r="BD144" s="353"/>
      <c r="BE144" s="353"/>
      <c r="BF144" s="353"/>
      <c r="BG144" s="353"/>
      <c r="BH144" s="353"/>
      <c r="BI144" s="353"/>
      <c r="BJ144" s="353"/>
      <c r="BL144" s="354"/>
      <c r="BM144" s="354"/>
      <c r="BN144" s="354"/>
      <c r="BO144" s="354"/>
      <c r="BP144" s="354"/>
      <c r="BQ144" s="354"/>
      <c r="BR144" s="354"/>
      <c r="BS144" s="354"/>
      <c r="BT144" s="354"/>
      <c r="BU144" s="354"/>
      <c r="BV144" s="354"/>
      <c r="BW144" s="354"/>
      <c r="BX144" s="354"/>
      <c r="BY144" s="354"/>
      <c r="CB144"/>
      <c r="CC144"/>
      <c r="CD144"/>
      <c r="CE144"/>
      <c r="CF144"/>
      <c r="CG144"/>
    </row>
    <row r="145" spans="1:78" ht="12" hidden="1" customHeight="1" outlineLevel="1">
      <c r="B145" s="2"/>
      <c r="C145" s="2"/>
      <c r="D145" s="2"/>
      <c r="E145" s="2"/>
      <c r="F145" s="2"/>
      <c r="G145" s="2"/>
      <c r="H145" s="2"/>
      <c r="I145" s="2"/>
      <c r="J145" s="2"/>
      <c r="K145" s="2"/>
      <c r="L145" s="2"/>
      <c r="M145" s="2"/>
      <c r="N145" s="2"/>
      <c r="P145" s="15"/>
      <c r="Q145" s="6"/>
      <c r="R145" s="6"/>
      <c r="S145" s="6"/>
      <c r="T145" s="6"/>
      <c r="U145" s="6"/>
      <c r="V145" s="6"/>
      <c r="W145" s="6"/>
      <c r="X145" s="6"/>
      <c r="Y145" s="6"/>
      <c r="Z145" s="6"/>
      <c r="AA145" s="6"/>
      <c r="AB145" s="6"/>
      <c r="AC145" s="6"/>
      <c r="AD145" s="6"/>
      <c r="AE145" s="6"/>
      <c r="AF145" s="6"/>
      <c r="AG145" s="6"/>
      <c r="AH145" s="6"/>
      <c r="AI145" s="6"/>
      <c r="AJ145" s="6"/>
      <c r="AK145" s="6"/>
      <c r="AL145" s="6"/>
      <c r="AM145" s="6"/>
      <c r="AN145" s="6"/>
      <c r="AO145" s="6"/>
      <c r="AP145" s="6"/>
      <c r="AQ145" s="6"/>
      <c r="AR145" s="6"/>
      <c r="AS145" s="6"/>
      <c r="AT145" s="6"/>
      <c r="AU145" s="6"/>
      <c r="AV145" s="6"/>
      <c r="AW145" s="6"/>
      <c r="AX145" s="6"/>
      <c r="AY145" s="6"/>
      <c r="AZ145" s="6"/>
      <c r="BA145" s="6"/>
      <c r="BB145" s="6"/>
      <c r="BC145" s="6"/>
      <c r="BD145" s="6"/>
      <c r="BE145" s="6"/>
      <c r="BF145" s="6"/>
      <c r="BG145" s="6"/>
      <c r="BH145" s="6"/>
      <c r="BI145" s="6"/>
      <c r="BJ145" s="6"/>
      <c r="BL145" s="6"/>
      <c r="BM145" s="6"/>
      <c r="BN145" s="6"/>
      <c r="BO145" s="6"/>
      <c r="BP145" s="6"/>
      <c r="BQ145" s="6"/>
      <c r="BR145" s="6"/>
      <c r="BS145" s="6"/>
      <c r="BT145" s="6"/>
      <c r="BU145" s="6"/>
      <c r="BV145" s="6"/>
      <c r="BW145" s="6"/>
      <c r="BX145" s="6"/>
      <c r="BY145" s="6"/>
    </row>
    <row r="146" spans="1:78" ht="12" customHeight="1" collapsed="1">
      <c r="B146" s="2" t="s">
        <v>411</v>
      </c>
      <c r="C146" s="2"/>
      <c r="D146" s="2"/>
      <c r="E146" s="2"/>
      <c r="F146" s="2"/>
      <c r="G146" s="2"/>
      <c r="H146" s="2"/>
      <c r="I146" s="2"/>
      <c r="J146" s="2"/>
      <c r="K146" s="2"/>
      <c r="L146" s="2"/>
      <c r="M146" s="2"/>
      <c r="N146" s="2"/>
      <c r="O146" s="321">
        <v>-5.0000000000000001E-3</v>
      </c>
      <c r="P146" s="321">
        <v>-1.7999999999999999E-2</v>
      </c>
      <c r="Q146" s="321">
        <v>-1.4999999999999999E-2</v>
      </c>
      <c r="R146" s="321">
        <v>-6.0000000000000001E-3</v>
      </c>
      <c r="S146" s="321">
        <v>-4.0000000000000001E-3</v>
      </c>
      <c r="T146" s="321">
        <v>-1.2E-2</v>
      </c>
      <c r="U146" s="321">
        <v>-0.01</v>
      </c>
      <c r="V146" s="321">
        <v>-1.0999999999999999E-2</v>
      </c>
      <c r="W146" s="321">
        <v>-1.2999999999999999E-2</v>
      </c>
      <c r="X146" s="321">
        <v>-1.4E-2</v>
      </c>
      <c r="Y146" s="321">
        <v>-2.9000000000000001E-2</v>
      </c>
      <c r="Z146" s="321">
        <v>-1.7000000000000001E-2</v>
      </c>
      <c r="AA146" s="321">
        <v>-3.1E-2</v>
      </c>
      <c r="AB146" s="321">
        <v>-6.0000000000000001E-3</v>
      </c>
      <c r="AC146" s="321">
        <v>-7.0000000000000001E-3</v>
      </c>
      <c r="AD146" s="321">
        <v>-4.0000000000000001E-3</v>
      </c>
      <c r="AE146" s="321">
        <v>-1.2999999999999999E-2</v>
      </c>
      <c r="AF146" s="321">
        <v>-2.7E-2</v>
      </c>
      <c r="AG146" s="321">
        <v>-3.7999999999999999E-2</v>
      </c>
      <c r="AH146" s="321">
        <v>-2.1999999999999999E-2</v>
      </c>
      <c r="AI146" s="321">
        <v>-1.4E-2</v>
      </c>
      <c r="AJ146" s="321">
        <v>-8.0000000000000002E-3</v>
      </c>
      <c r="AK146" s="321">
        <v>-6.0000000000000001E-3</v>
      </c>
      <c r="AL146" s="321">
        <v>-1.0999999999999999E-2</v>
      </c>
      <c r="AM146" s="6"/>
      <c r="AN146" s="6"/>
      <c r="AO146" s="6"/>
      <c r="AP146" s="6"/>
      <c r="AQ146" s="6"/>
      <c r="AR146" s="6"/>
      <c r="AS146" s="6"/>
      <c r="AT146" s="6"/>
      <c r="AU146" s="6"/>
      <c r="AV146" s="6"/>
      <c r="AW146" s="6"/>
      <c r="AX146" s="6"/>
      <c r="AY146" s="6"/>
      <c r="AZ146" s="6"/>
      <c r="BA146" s="6"/>
      <c r="BB146" s="6"/>
      <c r="BC146" s="6"/>
      <c r="BD146" s="6"/>
      <c r="BE146" s="6"/>
      <c r="BF146" s="6"/>
      <c r="BG146" s="6"/>
      <c r="BH146" s="6"/>
      <c r="BI146" s="6"/>
      <c r="BJ146" s="6"/>
      <c r="BL146" s="6"/>
      <c r="BM146" s="6"/>
      <c r="BN146" s="6"/>
      <c r="BO146" s="321"/>
      <c r="BP146" s="6"/>
      <c r="BQ146" s="6"/>
      <c r="BR146" s="6"/>
      <c r="BS146" s="6"/>
      <c r="BT146" s="6"/>
      <c r="BU146" s="6"/>
      <c r="BV146" s="6"/>
      <c r="BW146" s="6"/>
      <c r="BX146" s="6"/>
      <c r="BY146" s="6"/>
    </row>
    <row r="147" spans="1:78" ht="12" customHeight="1">
      <c r="B147" s="2" t="s">
        <v>160</v>
      </c>
      <c r="C147" s="2"/>
      <c r="D147" s="2"/>
      <c r="E147" s="2"/>
      <c r="F147" s="2"/>
      <c r="G147" s="2"/>
      <c r="H147" s="2"/>
      <c r="I147" s="2"/>
      <c r="J147" s="2"/>
      <c r="K147" s="2"/>
      <c r="L147" s="2"/>
      <c r="M147" s="2"/>
      <c r="N147" s="2"/>
      <c r="O147" s="118">
        <f t="shared" ref="O147:W147" si="677">+(1-O146)^4-1</f>
        <v>2.0150500624999346E-2</v>
      </c>
      <c r="P147" s="118">
        <f t="shared" si="677"/>
        <v>7.3967432976000058E-2</v>
      </c>
      <c r="Q147" s="118">
        <f t="shared" si="677"/>
        <v>6.136355062499943E-2</v>
      </c>
      <c r="R147" s="118">
        <f t="shared" si="677"/>
        <v>2.4216865295999979E-2</v>
      </c>
      <c r="S147" s="118">
        <f t="shared" si="677"/>
        <v>1.6096256256000085E-2</v>
      </c>
      <c r="T147" s="118">
        <f t="shared" si="677"/>
        <v>4.8870932735999961E-2</v>
      </c>
      <c r="U147" s="118">
        <f t="shared" si="677"/>
        <v>4.0604010000000024E-2</v>
      </c>
      <c r="V147" s="118">
        <f t="shared" si="677"/>
        <v>4.4731338640999763E-2</v>
      </c>
      <c r="W147" s="118">
        <f t="shared" si="677"/>
        <v>5.302281656099983E-2</v>
      </c>
      <c r="X147" s="118">
        <f t="shared" ref="X147:AC147" si="678">+(1-X146)^4-1</f>
        <v>5.718701441600027E-2</v>
      </c>
      <c r="Y147" s="118">
        <f t="shared" si="678"/>
        <v>0.12114426328099981</v>
      </c>
      <c r="Z147" s="118">
        <f t="shared" si="678"/>
        <v>6.9753735520999616E-2</v>
      </c>
      <c r="AA147" s="118">
        <f t="shared" si="678"/>
        <v>0.12988608752099973</v>
      </c>
      <c r="AB147" s="118">
        <f t="shared" si="678"/>
        <v>2.4216865295999979E-2</v>
      </c>
      <c r="AC147" s="118">
        <f t="shared" si="678"/>
        <v>2.8295374400999496E-2</v>
      </c>
      <c r="AD147" s="118">
        <f t="shared" ref="AD147:AI147" si="679">+(1-AD146)^4-1</f>
        <v>1.6096256256000085E-2</v>
      </c>
      <c r="AE147" s="118">
        <f t="shared" si="679"/>
        <v>5.302281656099983E-2</v>
      </c>
      <c r="AF147" s="118">
        <f t="shared" si="679"/>
        <v>0.1124532634409996</v>
      </c>
      <c r="AG147" s="118">
        <f t="shared" si="679"/>
        <v>0.16088557313600016</v>
      </c>
      <c r="AH147" s="118">
        <f t="shared" si="679"/>
        <v>9.0946826256000035E-2</v>
      </c>
      <c r="AI147" s="118">
        <f t="shared" si="679"/>
        <v>5.718701441600027E-2</v>
      </c>
      <c r="AJ147" s="118">
        <f t="shared" ref="AJ147:AK147" si="680">+(1-AJ146)^4-1</f>
        <v>3.2386052096000206E-2</v>
      </c>
      <c r="AK147" s="118">
        <f t="shared" si="680"/>
        <v>2.4216865295999979E-2</v>
      </c>
      <c r="AL147" s="118">
        <f t="shared" ref="AL147" si="681">+(1-AL146)^4-1</f>
        <v>4.4731338640999763E-2</v>
      </c>
      <c r="AM147" s="423">
        <f ca="1">+OFFSET(Model!AM147,Estimates!$B$3,0)</f>
        <v>5.5E-2</v>
      </c>
      <c r="AN147" s="423">
        <f ca="1">+OFFSET(Model!AN147,Estimates!$B$3,0)</f>
        <v>5.5E-2</v>
      </c>
      <c r="AO147" s="423">
        <f ca="1">+OFFSET(Model!AO147,Estimates!$B$3,0)</f>
        <v>5.5E-2</v>
      </c>
      <c r="AP147" s="423">
        <f ca="1">+OFFSET(Model!AP147,Estimates!$B$3,0)</f>
        <v>5.5E-2</v>
      </c>
      <c r="AQ147" s="423">
        <f ca="1">+OFFSET(Model!AQ147,Estimates!$B$3,0)</f>
        <v>0.06</v>
      </c>
      <c r="AR147" s="423">
        <f ca="1">+OFFSET(Model!AR147,Estimates!$B$3,0)</f>
        <v>0.06</v>
      </c>
      <c r="AS147" s="423">
        <f ca="1">+OFFSET(Model!AS147,Estimates!$B$3,0)</f>
        <v>0.06</v>
      </c>
      <c r="AT147" s="423">
        <f ca="1">+OFFSET(Model!AT147,Estimates!$B$3,0)</f>
        <v>0.06</v>
      </c>
      <c r="AU147" s="423">
        <f ca="1">+OFFSET(Model!AU147,Estimates!$B$3,0)</f>
        <v>0.06</v>
      </c>
      <c r="AV147" s="423">
        <f ca="1">+OFFSET(Model!AV147,Estimates!$B$3,0)</f>
        <v>0.06</v>
      </c>
      <c r="AW147" s="423">
        <f ca="1">+OFFSET(Model!AW147,Estimates!$B$3,0)</f>
        <v>0.06</v>
      </c>
      <c r="AX147" s="423">
        <f ca="1">+OFFSET(Model!AX147,Estimates!$B$3,0)</f>
        <v>0.06</v>
      </c>
      <c r="AY147" s="423">
        <f ca="1">+OFFSET(Model!AY147,Estimates!$B$3,0)</f>
        <v>0.06</v>
      </c>
      <c r="AZ147" s="423">
        <f ca="1">+OFFSET(Model!AZ147,Estimates!$B$3,0)</f>
        <v>0.06</v>
      </c>
      <c r="BA147" s="423">
        <f ca="1">+OFFSET(Model!BA147,Estimates!$B$3,0)</f>
        <v>0.06</v>
      </c>
      <c r="BB147" s="423">
        <f ca="1">+OFFSET(Model!BB147,Estimates!$B$3,0)</f>
        <v>0.06</v>
      </c>
      <c r="BC147" s="423">
        <f ca="1">+OFFSET(Model!BC147,Estimates!$B$3,0)</f>
        <v>0.06</v>
      </c>
      <c r="BD147" s="423">
        <f ca="1">+OFFSET(Model!BD147,Estimates!$B$3,0)</f>
        <v>0.06</v>
      </c>
      <c r="BE147" s="423">
        <f ca="1">+OFFSET(Model!BE147,Estimates!$B$3,0)</f>
        <v>0.06</v>
      </c>
      <c r="BF147" s="423">
        <f ca="1">+OFFSET(Model!BF147,Estimates!$B$3,0)</f>
        <v>0.06</v>
      </c>
      <c r="BG147" s="423">
        <f ca="1">+OFFSET(Model!BG147,Estimates!$B$3,0)</f>
        <v>0.06</v>
      </c>
      <c r="BH147" s="423">
        <f ca="1">+OFFSET(Model!BH147,Estimates!$B$3,0)</f>
        <v>0.06</v>
      </c>
      <c r="BI147" s="423">
        <f ca="1">+OFFSET(Model!BI147,Estimates!$B$3,0)</f>
        <v>0.06</v>
      </c>
      <c r="BJ147" s="423">
        <f ca="1">+OFFSET(Model!BJ147,Estimates!$B$3,0)</f>
        <v>0.06</v>
      </c>
      <c r="BL147" s="6"/>
      <c r="BM147" s="6"/>
      <c r="BN147" s="6"/>
      <c r="BO147" s="118"/>
      <c r="BP147" s="299"/>
      <c r="BQ147" s="6"/>
      <c r="BR147" s="6"/>
      <c r="BS147" s="6"/>
      <c r="BT147" s="6"/>
      <c r="BU147" s="6"/>
      <c r="BV147" s="6"/>
      <c r="BW147" s="6"/>
      <c r="BX147" s="6"/>
      <c r="BY147" s="6"/>
    </row>
    <row r="148" spans="1:78" ht="12" customHeight="1">
      <c r="B148" s="126" t="s">
        <v>197</v>
      </c>
      <c r="C148" s="126"/>
      <c r="D148" s="126"/>
      <c r="E148" s="126"/>
      <c r="F148" s="126"/>
      <c r="G148" s="126"/>
      <c r="H148" s="126"/>
      <c r="I148" s="126"/>
      <c r="J148" s="126"/>
      <c r="K148" s="126"/>
      <c r="L148" s="126"/>
      <c r="M148" s="126"/>
      <c r="N148" s="126"/>
      <c r="O148" s="279"/>
      <c r="P148" s="279"/>
      <c r="Q148" s="279"/>
      <c r="R148" s="279"/>
      <c r="S148" s="279"/>
      <c r="T148" s="279"/>
      <c r="U148" s="279"/>
      <c r="V148" s="279"/>
      <c r="W148" s="279"/>
      <c r="X148" s="279"/>
      <c r="Y148" s="279"/>
      <c r="Z148" s="279"/>
      <c r="AA148" s="279"/>
      <c r="AB148" s="279"/>
      <c r="AC148" s="279"/>
      <c r="AD148" s="279"/>
      <c r="AE148" s="279"/>
      <c r="AF148" s="279"/>
      <c r="AG148" s="279"/>
      <c r="AH148" s="279"/>
      <c r="AI148" s="279"/>
      <c r="AJ148" s="279"/>
      <c r="AK148" s="279"/>
      <c r="AL148" s="279"/>
      <c r="AM148" s="423">
        <f t="shared" ref="AM148:BJ148" si="682">+AM149-0.01</f>
        <v>4.4999999999999998E-2</v>
      </c>
      <c r="AN148" s="423">
        <f t="shared" si="682"/>
        <v>4.4999999999999998E-2</v>
      </c>
      <c r="AO148" s="423">
        <f t="shared" si="682"/>
        <v>4.4999999999999998E-2</v>
      </c>
      <c r="AP148" s="423">
        <f t="shared" si="682"/>
        <v>4.4999999999999998E-2</v>
      </c>
      <c r="AQ148" s="423">
        <f t="shared" si="682"/>
        <v>4.9999999999999996E-2</v>
      </c>
      <c r="AR148" s="423">
        <f t="shared" si="682"/>
        <v>4.9999999999999996E-2</v>
      </c>
      <c r="AS148" s="423">
        <f t="shared" si="682"/>
        <v>4.9999999999999996E-2</v>
      </c>
      <c r="AT148" s="423">
        <f t="shared" si="682"/>
        <v>4.9999999999999996E-2</v>
      </c>
      <c r="AU148" s="423">
        <f t="shared" si="682"/>
        <v>4.9999999999999996E-2</v>
      </c>
      <c r="AV148" s="423">
        <f t="shared" si="682"/>
        <v>4.9999999999999996E-2</v>
      </c>
      <c r="AW148" s="423">
        <f t="shared" si="682"/>
        <v>4.9999999999999996E-2</v>
      </c>
      <c r="AX148" s="423">
        <f t="shared" si="682"/>
        <v>4.9999999999999996E-2</v>
      </c>
      <c r="AY148" s="423">
        <f t="shared" si="682"/>
        <v>4.9999999999999996E-2</v>
      </c>
      <c r="AZ148" s="423">
        <f t="shared" si="682"/>
        <v>4.9999999999999996E-2</v>
      </c>
      <c r="BA148" s="423">
        <f t="shared" si="682"/>
        <v>4.9999999999999996E-2</v>
      </c>
      <c r="BB148" s="423">
        <f t="shared" si="682"/>
        <v>4.9999999999999996E-2</v>
      </c>
      <c r="BC148" s="423">
        <f t="shared" si="682"/>
        <v>4.9999999999999996E-2</v>
      </c>
      <c r="BD148" s="423">
        <f t="shared" si="682"/>
        <v>4.9999999999999996E-2</v>
      </c>
      <c r="BE148" s="423">
        <f t="shared" si="682"/>
        <v>4.9999999999999996E-2</v>
      </c>
      <c r="BF148" s="423">
        <f t="shared" si="682"/>
        <v>4.9999999999999996E-2</v>
      </c>
      <c r="BG148" s="423">
        <f t="shared" si="682"/>
        <v>4.9999999999999996E-2</v>
      </c>
      <c r="BH148" s="423">
        <f t="shared" si="682"/>
        <v>4.9999999999999996E-2</v>
      </c>
      <c r="BI148" s="423">
        <f t="shared" si="682"/>
        <v>4.9999999999999996E-2</v>
      </c>
      <c r="BJ148" s="423">
        <f t="shared" si="682"/>
        <v>4.9999999999999996E-2</v>
      </c>
      <c r="BL148" s="6"/>
      <c r="BM148" s="6"/>
      <c r="BN148" s="6"/>
      <c r="BO148" s="299"/>
      <c r="BP148" s="299"/>
      <c r="BQ148" s="6"/>
      <c r="BR148" s="6"/>
      <c r="BS148" s="6"/>
      <c r="BT148" s="6"/>
      <c r="BU148" s="6"/>
      <c r="BV148" s="6"/>
      <c r="BW148" s="6"/>
      <c r="BX148" s="6"/>
      <c r="BY148" s="6"/>
    </row>
    <row r="149" spans="1:78" ht="12" customHeight="1">
      <c r="B149" s="126" t="s">
        <v>198</v>
      </c>
      <c r="C149" s="126"/>
      <c r="D149" s="126"/>
      <c r="E149" s="126"/>
      <c r="F149" s="126"/>
      <c r="G149" s="126"/>
      <c r="H149" s="126"/>
      <c r="I149" s="126"/>
      <c r="J149" s="126"/>
      <c r="K149" s="126"/>
      <c r="L149" s="126"/>
      <c r="M149" s="126"/>
      <c r="N149" s="126"/>
      <c r="O149" s="279"/>
      <c r="P149" s="279"/>
      <c r="Q149" s="279"/>
      <c r="R149" s="279"/>
      <c r="S149" s="279"/>
      <c r="T149" s="279"/>
      <c r="U149" s="279"/>
      <c r="V149" s="279"/>
      <c r="W149" s="279"/>
      <c r="X149" s="279"/>
      <c r="Y149" s="279"/>
      <c r="Z149" s="279"/>
      <c r="AA149" s="279"/>
      <c r="AB149" s="279"/>
      <c r="AC149" s="279"/>
      <c r="AD149" s="279"/>
      <c r="AE149" s="279"/>
      <c r="AF149" s="279"/>
      <c r="AG149" s="279"/>
      <c r="AH149" s="279"/>
      <c r="AI149" s="279"/>
      <c r="AJ149" s="279"/>
      <c r="AK149" s="279"/>
      <c r="AL149" s="279"/>
      <c r="AM149" s="218">
        <v>5.5E-2</v>
      </c>
      <c r="AN149" s="218">
        <v>5.5E-2</v>
      </c>
      <c r="AO149" s="218">
        <v>5.5E-2</v>
      </c>
      <c r="AP149" s="218">
        <v>5.5E-2</v>
      </c>
      <c r="AQ149" s="218">
        <v>0.06</v>
      </c>
      <c r="AR149" s="218">
        <v>0.06</v>
      </c>
      <c r="AS149" s="218">
        <v>0.06</v>
      </c>
      <c r="AT149" s="218">
        <v>0.06</v>
      </c>
      <c r="AU149" s="218">
        <v>0.06</v>
      </c>
      <c r="AV149" s="218">
        <v>0.06</v>
      </c>
      <c r="AW149" s="218">
        <v>0.06</v>
      </c>
      <c r="AX149" s="218">
        <v>0.06</v>
      </c>
      <c r="AY149" s="218">
        <v>0.06</v>
      </c>
      <c r="AZ149" s="218">
        <v>0.06</v>
      </c>
      <c r="BA149" s="218">
        <v>0.06</v>
      </c>
      <c r="BB149" s="218">
        <v>0.06</v>
      </c>
      <c r="BC149" s="218">
        <v>0.06</v>
      </c>
      <c r="BD149" s="218">
        <v>0.06</v>
      </c>
      <c r="BE149" s="218">
        <v>0.06</v>
      </c>
      <c r="BF149" s="218">
        <v>0.06</v>
      </c>
      <c r="BG149" s="218">
        <v>0.06</v>
      </c>
      <c r="BH149" s="218">
        <v>0.06</v>
      </c>
      <c r="BI149" s="218">
        <v>0.06</v>
      </c>
      <c r="BJ149" s="218">
        <v>0.06</v>
      </c>
      <c r="BL149" s="6"/>
      <c r="BM149" s="6"/>
      <c r="BN149" s="6"/>
      <c r="BO149" s="299"/>
      <c r="BP149" s="299"/>
      <c r="BQ149" s="6"/>
      <c r="BR149" s="6"/>
      <c r="BS149" s="6"/>
      <c r="BT149" s="6"/>
      <c r="BU149" s="6"/>
      <c r="BV149" s="6"/>
      <c r="BW149" s="6"/>
      <c r="BX149" s="6"/>
      <c r="BY149" s="6"/>
    </row>
    <row r="150" spans="1:78" ht="12" customHeight="1">
      <c r="B150" s="126" t="s">
        <v>199</v>
      </c>
      <c r="C150" s="126"/>
      <c r="D150" s="126"/>
      <c r="E150" s="126"/>
      <c r="F150" s="126"/>
      <c r="G150" s="126"/>
      <c r="H150" s="126"/>
      <c r="I150" s="126"/>
      <c r="J150" s="126"/>
      <c r="K150" s="126"/>
      <c r="L150" s="126"/>
      <c r="M150" s="126"/>
      <c r="N150" s="126"/>
      <c r="O150" s="279"/>
      <c r="P150" s="279"/>
      <c r="Q150" s="279"/>
      <c r="R150" s="279"/>
      <c r="S150" s="279"/>
      <c r="T150" s="279"/>
      <c r="U150" s="279"/>
      <c r="V150" s="279"/>
      <c r="W150" s="279"/>
      <c r="X150" s="279"/>
      <c r="Y150" s="279"/>
      <c r="Z150" s="279"/>
      <c r="AA150" s="279"/>
      <c r="AB150" s="279"/>
      <c r="AC150" s="279"/>
      <c r="AD150" s="279"/>
      <c r="AE150" s="279"/>
      <c r="AF150" s="279"/>
      <c r="AG150" s="279"/>
      <c r="AH150" s="279"/>
      <c r="AI150" s="279"/>
      <c r="AJ150" s="279"/>
      <c r="AK150" s="279"/>
      <c r="AL150" s="279"/>
      <c r="AM150" s="423">
        <f t="shared" ref="AM150:AX150" si="683">+AM149+0.04</f>
        <v>9.5000000000000001E-2</v>
      </c>
      <c r="AN150" s="423">
        <f t="shared" si="683"/>
        <v>9.5000000000000001E-2</v>
      </c>
      <c r="AO150" s="423">
        <f t="shared" si="683"/>
        <v>9.5000000000000001E-2</v>
      </c>
      <c r="AP150" s="423">
        <f t="shared" si="683"/>
        <v>9.5000000000000001E-2</v>
      </c>
      <c r="AQ150" s="423">
        <f t="shared" si="683"/>
        <v>0.1</v>
      </c>
      <c r="AR150" s="423">
        <f t="shared" si="683"/>
        <v>0.1</v>
      </c>
      <c r="AS150" s="423">
        <f t="shared" si="683"/>
        <v>0.1</v>
      </c>
      <c r="AT150" s="423">
        <f t="shared" si="683"/>
        <v>0.1</v>
      </c>
      <c r="AU150" s="423">
        <f t="shared" si="683"/>
        <v>0.1</v>
      </c>
      <c r="AV150" s="423">
        <f t="shared" si="683"/>
        <v>0.1</v>
      </c>
      <c r="AW150" s="423">
        <f t="shared" si="683"/>
        <v>0.1</v>
      </c>
      <c r="AX150" s="423">
        <f t="shared" si="683"/>
        <v>0.1</v>
      </c>
      <c r="AY150" s="423">
        <f t="shared" ref="AY150:BJ150" si="684">+AY149+0.04</f>
        <v>0.1</v>
      </c>
      <c r="AZ150" s="423">
        <f t="shared" si="684"/>
        <v>0.1</v>
      </c>
      <c r="BA150" s="423">
        <f t="shared" si="684"/>
        <v>0.1</v>
      </c>
      <c r="BB150" s="423">
        <f t="shared" si="684"/>
        <v>0.1</v>
      </c>
      <c r="BC150" s="423">
        <f t="shared" si="684"/>
        <v>0.1</v>
      </c>
      <c r="BD150" s="423">
        <f t="shared" si="684"/>
        <v>0.1</v>
      </c>
      <c r="BE150" s="423">
        <f t="shared" si="684"/>
        <v>0.1</v>
      </c>
      <c r="BF150" s="423">
        <f t="shared" si="684"/>
        <v>0.1</v>
      </c>
      <c r="BG150" s="423">
        <f t="shared" si="684"/>
        <v>0.1</v>
      </c>
      <c r="BH150" s="423">
        <f t="shared" si="684"/>
        <v>0.1</v>
      </c>
      <c r="BI150" s="423">
        <f t="shared" si="684"/>
        <v>0.1</v>
      </c>
      <c r="BJ150" s="423">
        <f t="shared" si="684"/>
        <v>0.1</v>
      </c>
      <c r="BL150" s="6"/>
      <c r="BM150" s="6"/>
      <c r="BN150" s="6"/>
      <c r="BO150" s="299"/>
      <c r="BP150" s="299"/>
      <c r="BQ150" s="6"/>
      <c r="BR150" s="6"/>
      <c r="BS150" s="6"/>
      <c r="BT150" s="6"/>
      <c r="BU150" s="6"/>
      <c r="BV150" s="6"/>
      <c r="BW150" s="6"/>
      <c r="BX150" s="6"/>
      <c r="BY150" s="6"/>
    </row>
    <row r="151" spans="1:78" ht="12" customHeight="1">
      <c r="B151" s="2"/>
      <c r="C151" s="2"/>
      <c r="D151" s="2"/>
      <c r="E151" s="2"/>
      <c r="F151" s="2"/>
      <c r="G151" s="2"/>
      <c r="H151" s="2"/>
      <c r="I151" s="2"/>
      <c r="J151" s="2"/>
      <c r="K151" s="2"/>
      <c r="L151" s="2"/>
      <c r="M151" s="2"/>
      <c r="N151" s="2"/>
      <c r="P151" s="15"/>
      <c r="Q151" s="6"/>
      <c r="R151" s="6"/>
      <c r="S151" s="6"/>
      <c r="T151" s="6"/>
      <c r="U151" s="6"/>
      <c r="V151" s="6"/>
      <c r="W151" s="6"/>
      <c r="X151" s="6"/>
      <c r="Y151" s="6"/>
      <c r="Z151" s="6"/>
      <c r="AA151" s="6"/>
      <c r="AB151" s="6"/>
      <c r="AC151" s="6"/>
      <c r="AD151" s="6"/>
      <c r="AE151" s="6"/>
      <c r="AF151" s="6"/>
      <c r="AG151" s="6"/>
      <c r="AH151" s="6"/>
      <c r="AI151" s="6"/>
      <c r="AJ151" s="6"/>
      <c r="AK151" s="6"/>
      <c r="AL151" s="6"/>
      <c r="AM151" s="6"/>
      <c r="AN151" s="6"/>
      <c r="AO151" s="6"/>
      <c r="AP151" s="6"/>
      <c r="AQ151" s="6"/>
      <c r="AR151" s="6"/>
      <c r="AS151" s="6"/>
      <c r="AT151" s="6"/>
      <c r="AU151" s="6"/>
      <c r="AV151" s="6"/>
      <c r="AW151" s="6"/>
      <c r="AX151" s="6"/>
      <c r="AY151" s="6"/>
      <c r="AZ151" s="6"/>
      <c r="BA151" s="6"/>
      <c r="BB151" s="6"/>
      <c r="BC151" s="6"/>
      <c r="BD151" s="6"/>
      <c r="BE151" s="6"/>
      <c r="BF151" s="6"/>
      <c r="BG151" s="6"/>
      <c r="BH151" s="6"/>
      <c r="BI151" s="6"/>
      <c r="BJ151" s="6"/>
      <c r="BL151" s="6"/>
      <c r="BM151" s="6"/>
      <c r="BN151" s="6"/>
      <c r="BO151" s="6"/>
      <c r="BP151" s="6"/>
      <c r="BQ151" s="6"/>
      <c r="BR151" s="6"/>
      <c r="BS151" s="6"/>
      <c r="BT151" s="6"/>
      <c r="BU151" s="6"/>
      <c r="BV151" s="6"/>
      <c r="BW151" s="6"/>
      <c r="BX151" s="6"/>
      <c r="BY151" s="6"/>
    </row>
    <row r="152" spans="1:78" ht="12" customHeight="1">
      <c r="A152" s="206" t="s">
        <v>293</v>
      </c>
      <c r="B152" s="8" t="s">
        <v>156</v>
      </c>
      <c r="C152" s="8"/>
      <c r="D152" s="8"/>
      <c r="E152" s="8"/>
      <c r="F152" s="8"/>
      <c r="G152" s="8"/>
      <c r="H152" s="8"/>
      <c r="I152" s="8"/>
      <c r="J152" s="8"/>
      <c r="K152" s="8"/>
      <c r="L152" s="8"/>
      <c r="M152" s="8"/>
      <c r="N152" s="8"/>
      <c r="P152" s="15"/>
      <c r="Q152" s="6"/>
      <c r="R152" s="6"/>
      <c r="S152" s="6"/>
      <c r="T152" s="6"/>
      <c r="U152" s="6"/>
      <c r="V152" s="6"/>
      <c r="W152" s="6"/>
      <c r="X152" s="6"/>
      <c r="Y152" s="6"/>
      <c r="Z152" s="6"/>
      <c r="AA152" s="286"/>
      <c r="AB152" s="286"/>
      <c r="AC152" s="286"/>
      <c r="AD152" s="286"/>
      <c r="AE152" s="286"/>
      <c r="AF152" s="286"/>
      <c r="AG152" s="286"/>
      <c r="AH152" s="286"/>
      <c r="AI152" s="286"/>
      <c r="AJ152" s="286"/>
      <c r="AK152" s="286"/>
      <c r="AL152" s="286"/>
      <c r="AM152" s="6"/>
      <c r="AN152" s="6"/>
      <c r="AO152" s="6"/>
      <c r="AP152" s="6"/>
      <c r="AQ152" s="6"/>
      <c r="AR152" s="6"/>
      <c r="AS152" s="6"/>
      <c r="AT152" s="6"/>
      <c r="AU152" s="6"/>
      <c r="AV152" s="6"/>
      <c r="AW152" s="6"/>
      <c r="AX152" s="6"/>
      <c r="AY152" s="6"/>
      <c r="AZ152" s="6"/>
      <c r="BA152" s="6"/>
      <c r="BB152" s="6"/>
      <c r="BC152" s="6"/>
      <c r="BD152" s="6"/>
      <c r="BE152" s="6"/>
      <c r="BF152" s="6"/>
      <c r="BG152" s="6"/>
      <c r="BH152" s="6"/>
      <c r="BI152" s="6"/>
      <c r="BJ152" s="6"/>
      <c r="BL152" s="6"/>
      <c r="BM152" s="6"/>
      <c r="BN152" s="6"/>
      <c r="BO152" s="6"/>
      <c r="BP152" s="6"/>
      <c r="BQ152" s="6"/>
      <c r="BR152" s="6"/>
      <c r="BS152" s="6"/>
      <c r="BT152" s="6"/>
      <c r="BU152" s="6"/>
      <c r="BV152" s="6"/>
      <c r="BW152" s="6"/>
      <c r="BX152" s="6"/>
      <c r="BY152" s="6"/>
    </row>
    <row r="153" spans="1:78" ht="12" customHeight="1">
      <c r="A153" s="207"/>
      <c r="B153" s="208" t="s">
        <v>296</v>
      </c>
      <c r="C153" s="208"/>
      <c r="D153" s="208"/>
      <c r="E153" s="208"/>
      <c r="F153" s="208"/>
      <c r="G153" s="208"/>
      <c r="H153" s="208"/>
      <c r="I153" s="208"/>
      <c r="J153" s="208"/>
      <c r="K153" s="208"/>
      <c r="L153" s="208"/>
      <c r="M153" s="208"/>
      <c r="N153" s="208"/>
      <c r="O153" s="286">
        <v>15000</v>
      </c>
      <c r="P153" s="123"/>
      <c r="Q153" s="6"/>
      <c r="R153" s="286">
        <v>41000</v>
      </c>
      <c r="S153" s="286">
        <v>31000</v>
      </c>
      <c r="T153" s="286">
        <v>37000</v>
      </c>
      <c r="U153" s="286">
        <v>62000</v>
      </c>
      <c r="V153" s="286">
        <v>47000</v>
      </c>
      <c r="W153" s="286">
        <v>100000</v>
      </c>
      <c r="X153" s="286">
        <v>59000</v>
      </c>
      <c r="Y153" s="286">
        <v>33000</v>
      </c>
      <c r="Z153" s="286">
        <v>44000</v>
      </c>
      <c r="AA153" s="286">
        <v>60000</v>
      </c>
      <c r="AB153" s="286">
        <v>48000</v>
      </c>
      <c r="AC153" s="286">
        <v>29000</v>
      </c>
      <c r="AD153" s="286">
        <v>205000</v>
      </c>
      <c r="AE153" s="286">
        <v>181000</v>
      </c>
      <c r="AF153" s="286">
        <v>282000</v>
      </c>
      <c r="AG153" s="286">
        <v>105000</v>
      </c>
      <c r="AH153" s="286">
        <v>74000</v>
      </c>
      <c r="AI153" s="286">
        <v>148000</v>
      </c>
      <c r="AJ153" s="286">
        <v>136000</v>
      </c>
      <c r="AK153" s="286">
        <v>151000</v>
      </c>
      <c r="AL153" s="286">
        <v>86000</v>
      </c>
      <c r="AM153" s="209">
        <f ca="1">+OFFSET(AM153,Estimates!$B$3,0)</f>
        <v>120000</v>
      </c>
      <c r="AN153" s="209">
        <f ca="1">+OFFSET(AN153,Estimates!$B$3,0)</f>
        <v>120500</v>
      </c>
      <c r="AO153" s="209">
        <f ca="1">+OFFSET(AO153,Estimates!$B$3,0)</f>
        <v>121000</v>
      </c>
      <c r="AP153" s="209">
        <f ca="1">+OFFSET(AP153,Estimates!$B$3,0)</f>
        <v>121500</v>
      </c>
      <c r="AQ153" s="209">
        <f ca="1">+OFFSET(AQ153,Estimates!$B$3,0)</f>
        <v>115000</v>
      </c>
      <c r="AR153" s="209">
        <f ca="1">+OFFSET(AR153,Estimates!$B$3,0)</f>
        <v>115500</v>
      </c>
      <c r="AS153" s="209">
        <f ca="1">+OFFSET(AS153,Estimates!$B$3,0)</f>
        <v>116000</v>
      </c>
      <c r="AT153" s="209">
        <f ca="1">+OFFSET(AT153,Estimates!$B$3,0)</f>
        <v>116500</v>
      </c>
      <c r="AU153" s="209">
        <f ca="1">+OFFSET(AU153,Estimates!$B$3,0)</f>
        <v>117000</v>
      </c>
      <c r="AV153" s="209">
        <f ca="1">+OFFSET(AV153,Estimates!$B$3,0)</f>
        <v>117500</v>
      </c>
      <c r="AW153" s="209">
        <f ca="1">+OFFSET(AW153,Estimates!$B$3,0)</f>
        <v>118000</v>
      </c>
      <c r="AX153" s="209">
        <f ca="1">+OFFSET(AX153,Estimates!$B$3,0)</f>
        <v>118500</v>
      </c>
      <c r="AY153" s="209">
        <f ca="1">+OFFSET(AY153,Estimates!$B$3,0)</f>
        <v>119000</v>
      </c>
      <c r="AZ153" s="209">
        <f ca="1">+OFFSET(AZ153,Estimates!$B$3,0)</f>
        <v>119500</v>
      </c>
      <c r="BA153" s="209">
        <f ca="1">+OFFSET(BA153,Estimates!$B$3,0)</f>
        <v>120000</v>
      </c>
      <c r="BB153" s="209">
        <f ca="1">+OFFSET(BB153,Estimates!$B$3,0)</f>
        <v>120500</v>
      </c>
      <c r="BC153" s="209">
        <f ca="1">+OFFSET(BC153,Estimates!$B$3,0)</f>
        <v>121000</v>
      </c>
      <c r="BD153" s="209">
        <f ca="1">+OFFSET(BD153,Estimates!$B$3,0)</f>
        <v>121500</v>
      </c>
      <c r="BE153" s="209">
        <f ca="1">+OFFSET(BE153,Estimates!$B$3,0)</f>
        <v>122000</v>
      </c>
      <c r="BF153" s="209">
        <f ca="1">+OFFSET(BF153,Estimates!$B$3,0)</f>
        <v>122500</v>
      </c>
      <c r="BG153" s="209">
        <f ca="1">+OFFSET(BG153,Estimates!$B$3,0)</f>
        <v>123000</v>
      </c>
      <c r="BH153" s="209">
        <f ca="1">+OFFSET(BH153,Estimates!$B$3,0)</f>
        <v>123500</v>
      </c>
      <c r="BI153" s="209">
        <f ca="1">+OFFSET(BI153,Estimates!$B$3,0)</f>
        <v>124000</v>
      </c>
      <c r="BJ153" s="209">
        <f ca="1">+OFFSET(BJ153,Estimates!$B$3,0)</f>
        <v>124500</v>
      </c>
      <c r="BK153" s="207"/>
      <c r="BL153" s="6"/>
      <c r="BM153" s="6"/>
      <c r="BN153" s="6"/>
      <c r="BO153" s="209">
        <f>+SUM(S153:V153)</f>
        <v>177000</v>
      </c>
      <c r="BP153" s="209">
        <f>+SUM(W153:Z153)</f>
        <v>236000</v>
      </c>
      <c r="BQ153" s="209">
        <f>+SUM(AA153:AD153)</f>
        <v>342000</v>
      </c>
      <c r="BR153" s="209">
        <f>+SUM(AE153:AH153)</f>
        <v>642000</v>
      </c>
      <c r="BS153" s="209">
        <f>+SUM(AI153:AL153)</f>
        <v>521000</v>
      </c>
      <c r="BT153" s="209">
        <f ca="1">+SUM(AM153:AP153)</f>
        <v>483000</v>
      </c>
      <c r="BU153" s="209">
        <f ca="1">+SUM(AQ153:AT153)</f>
        <v>463000</v>
      </c>
      <c r="BV153" s="209">
        <f ca="1">+SUM(AU153:AX153)</f>
        <v>471000</v>
      </c>
      <c r="BW153" s="209">
        <f ca="1">SUM(AY153:BB153)</f>
        <v>479000</v>
      </c>
      <c r="BX153" s="209">
        <f ca="1">SUM(BC153:BF153)</f>
        <v>487000</v>
      </c>
      <c r="BY153" s="209">
        <f ca="1">SUM(BG153:BJ153)</f>
        <v>495000</v>
      </c>
      <c r="BZ153" s="207"/>
    </row>
    <row r="154" spans="1:78" ht="12" customHeight="1">
      <c r="B154" s="126" t="s">
        <v>197</v>
      </c>
      <c r="C154" s="126"/>
      <c r="D154" s="126"/>
      <c r="E154" s="126"/>
      <c r="F154" s="126"/>
      <c r="G154" s="126"/>
      <c r="H154" s="126"/>
      <c r="I154" s="126"/>
      <c r="J154" s="126"/>
      <c r="K154" s="126"/>
      <c r="L154" s="126"/>
      <c r="M154" s="126"/>
      <c r="N154" s="126"/>
      <c r="O154" s="127"/>
      <c r="P154" s="128"/>
      <c r="Q154" s="129"/>
      <c r="R154" s="129"/>
      <c r="S154" s="129"/>
      <c r="T154" s="129"/>
      <c r="U154" s="129"/>
      <c r="V154" s="129"/>
      <c r="W154" s="129"/>
      <c r="X154" s="129"/>
      <c r="Y154" s="129"/>
      <c r="Z154" s="129"/>
      <c r="AA154" s="129"/>
      <c r="AB154" s="129"/>
      <c r="AC154" s="129"/>
      <c r="AD154" s="129"/>
      <c r="AE154" s="129"/>
      <c r="AF154" s="129"/>
      <c r="AG154" s="129"/>
      <c r="AH154" s="129"/>
      <c r="AI154" s="129"/>
      <c r="AJ154" s="129"/>
      <c r="AK154" s="129"/>
      <c r="AL154" s="129"/>
      <c r="AM154" s="130">
        <f>+AM155+15000</f>
        <v>135000</v>
      </c>
      <c r="AN154" s="130">
        <f t="shared" ref="AN154:BJ154" si="685">+AN155+15000</f>
        <v>135500</v>
      </c>
      <c r="AO154" s="130">
        <f t="shared" si="685"/>
        <v>136000</v>
      </c>
      <c r="AP154" s="130">
        <f t="shared" si="685"/>
        <v>136500</v>
      </c>
      <c r="AQ154" s="130">
        <f t="shared" si="685"/>
        <v>130000</v>
      </c>
      <c r="AR154" s="130">
        <f t="shared" si="685"/>
        <v>130500</v>
      </c>
      <c r="AS154" s="130">
        <f t="shared" si="685"/>
        <v>131000</v>
      </c>
      <c r="AT154" s="130">
        <f t="shared" si="685"/>
        <v>131500</v>
      </c>
      <c r="AU154" s="130">
        <f t="shared" si="685"/>
        <v>132000</v>
      </c>
      <c r="AV154" s="130">
        <f t="shared" si="685"/>
        <v>132500</v>
      </c>
      <c r="AW154" s="130">
        <f t="shared" si="685"/>
        <v>133000</v>
      </c>
      <c r="AX154" s="130">
        <f t="shared" si="685"/>
        <v>133500</v>
      </c>
      <c r="AY154" s="130">
        <f t="shared" si="685"/>
        <v>134000</v>
      </c>
      <c r="AZ154" s="130">
        <f t="shared" si="685"/>
        <v>134500</v>
      </c>
      <c r="BA154" s="130">
        <f t="shared" si="685"/>
        <v>135000</v>
      </c>
      <c r="BB154" s="130">
        <f t="shared" si="685"/>
        <v>135500</v>
      </c>
      <c r="BC154" s="130">
        <f t="shared" si="685"/>
        <v>136000</v>
      </c>
      <c r="BD154" s="130">
        <f t="shared" si="685"/>
        <v>136500</v>
      </c>
      <c r="BE154" s="130">
        <f t="shared" si="685"/>
        <v>137000</v>
      </c>
      <c r="BF154" s="130">
        <f t="shared" si="685"/>
        <v>137500</v>
      </c>
      <c r="BG154" s="130">
        <f t="shared" si="685"/>
        <v>138000</v>
      </c>
      <c r="BH154" s="130">
        <f t="shared" si="685"/>
        <v>138500</v>
      </c>
      <c r="BI154" s="130">
        <f t="shared" si="685"/>
        <v>139000</v>
      </c>
      <c r="BJ154" s="130">
        <f t="shared" si="685"/>
        <v>139500</v>
      </c>
      <c r="BL154" s="347"/>
      <c r="BM154" s="6"/>
      <c r="BN154" s="6"/>
      <c r="BO154" s="130"/>
      <c r="BP154" s="130"/>
      <c r="BQ154" s="130">
        <f>+SUM(AA154:AD154)</f>
        <v>0</v>
      </c>
      <c r="BR154" s="130">
        <f>+SUM(AE154:AH154)</f>
        <v>0</v>
      </c>
      <c r="BS154" s="130">
        <f>+SUM(AI154:AL154)</f>
        <v>0</v>
      </c>
      <c r="BT154" s="130">
        <f>+SUM(AM154:AP154)</f>
        <v>543000</v>
      </c>
      <c r="BU154" s="130">
        <f>+SUM(AQ154:AT154)</f>
        <v>523000</v>
      </c>
      <c r="BV154" s="130">
        <f>+SUM(AU154:AX154)</f>
        <v>531000</v>
      </c>
      <c r="BW154" s="130">
        <f>SUM(AY154:BB154)</f>
        <v>539000</v>
      </c>
      <c r="BX154" s="130">
        <f>SUM(BC154:BF154)</f>
        <v>547000</v>
      </c>
      <c r="BY154" s="130">
        <f>SUM(BG154:BJ154)</f>
        <v>555000</v>
      </c>
    </row>
    <row r="155" spans="1:78" ht="12" customHeight="1">
      <c r="B155" s="126" t="s">
        <v>198</v>
      </c>
      <c r="C155" s="126"/>
      <c r="D155" s="126"/>
      <c r="E155" s="126"/>
      <c r="F155" s="126"/>
      <c r="G155" s="126"/>
      <c r="H155" s="126"/>
      <c r="I155" s="126"/>
      <c r="J155" s="126"/>
      <c r="K155" s="126"/>
      <c r="L155" s="126"/>
      <c r="M155" s="126"/>
      <c r="N155" s="126"/>
      <c r="O155" s="127"/>
      <c r="P155" s="128"/>
      <c r="Q155" s="129"/>
      <c r="R155" s="129"/>
      <c r="S155" s="129"/>
      <c r="T155" s="129"/>
      <c r="U155" s="129"/>
      <c r="V155" s="129"/>
      <c r="W155" s="129"/>
      <c r="X155" s="129"/>
      <c r="Y155" s="129"/>
      <c r="Z155" s="129"/>
      <c r="AA155" s="129"/>
      <c r="AB155" s="492"/>
      <c r="AC155" s="492"/>
      <c r="AD155" s="492"/>
      <c r="AE155" s="492"/>
      <c r="AF155" s="492"/>
      <c r="AG155" s="492"/>
      <c r="AH155" s="492"/>
      <c r="AI155" s="492"/>
      <c r="AJ155" s="492"/>
      <c r="AK155" s="492"/>
      <c r="AL155" s="492"/>
      <c r="AM155" s="139">
        <v>120000</v>
      </c>
      <c r="AN155" s="130">
        <f t="shared" ref="AN155:AX155" si="686">+AM155+500</f>
        <v>120500</v>
      </c>
      <c r="AO155" s="130">
        <f t="shared" si="686"/>
        <v>121000</v>
      </c>
      <c r="AP155" s="130">
        <f t="shared" si="686"/>
        <v>121500</v>
      </c>
      <c r="AQ155" s="139">
        <v>115000</v>
      </c>
      <c r="AR155" s="130">
        <f t="shared" si="686"/>
        <v>115500</v>
      </c>
      <c r="AS155" s="130">
        <f t="shared" si="686"/>
        <v>116000</v>
      </c>
      <c r="AT155" s="130">
        <f t="shared" si="686"/>
        <v>116500</v>
      </c>
      <c r="AU155" s="130">
        <f t="shared" si="686"/>
        <v>117000</v>
      </c>
      <c r="AV155" s="130">
        <f t="shared" si="686"/>
        <v>117500</v>
      </c>
      <c r="AW155" s="130">
        <f t="shared" si="686"/>
        <v>118000</v>
      </c>
      <c r="AX155" s="130">
        <f t="shared" si="686"/>
        <v>118500</v>
      </c>
      <c r="AY155" s="130">
        <f t="shared" ref="AY155" si="687">+AX155+500</f>
        <v>119000</v>
      </c>
      <c r="AZ155" s="130">
        <f t="shared" ref="AZ155" si="688">+AY155+500</f>
        <v>119500</v>
      </c>
      <c r="BA155" s="130">
        <f t="shared" ref="BA155" si="689">+AZ155+500</f>
        <v>120000</v>
      </c>
      <c r="BB155" s="130">
        <f t="shared" ref="BB155" si="690">+BA155+500</f>
        <v>120500</v>
      </c>
      <c r="BC155" s="130">
        <f t="shared" ref="BC155" si="691">+BB155+500</f>
        <v>121000</v>
      </c>
      <c r="BD155" s="130">
        <f t="shared" ref="BD155" si="692">+BC155+500</f>
        <v>121500</v>
      </c>
      <c r="BE155" s="130">
        <f t="shared" ref="BE155" si="693">+BD155+500</f>
        <v>122000</v>
      </c>
      <c r="BF155" s="130">
        <f t="shared" ref="BF155" si="694">+BE155+500</f>
        <v>122500</v>
      </c>
      <c r="BG155" s="130">
        <f t="shared" ref="BG155" si="695">+BF155+500</f>
        <v>123000</v>
      </c>
      <c r="BH155" s="130">
        <f t="shared" ref="BH155" si="696">+BG155+500</f>
        <v>123500</v>
      </c>
      <c r="BI155" s="130">
        <f t="shared" ref="BI155" si="697">+BH155+500</f>
        <v>124000</v>
      </c>
      <c r="BJ155" s="130">
        <f t="shared" ref="BJ155" si="698">+BI155+500</f>
        <v>124500</v>
      </c>
      <c r="BL155" s="6"/>
      <c r="BM155" s="6"/>
      <c r="BN155" s="6"/>
      <c r="BO155" s="130"/>
      <c r="BP155" s="130"/>
      <c r="BQ155" s="130">
        <f>+SUM(AA155:AD155)</f>
        <v>0</v>
      </c>
      <c r="BR155" s="130">
        <f>+SUM(AE155:AH155)</f>
        <v>0</v>
      </c>
      <c r="BS155" s="130">
        <f>+SUM(AI155:AL155)</f>
        <v>0</v>
      </c>
      <c r="BT155" s="130">
        <f>+SUM(AM155:AP155)</f>
        <v>483000</v>
      </c>
      <c r="BU155" s="130">
        <f>+SUM(AQ155:AT155)</f>
        <v>463000</v>
      </c>
      <c r="BV155" s="130">
        <f>+SUM(AU155:AX155)</f>
        <v>471000</v>
      </c>
      <c r="BW155" s="130">
        <f>SUM(AY155:BB155)</f>
        <v>479000</v>
      </c>
      <c r="BX155" s="130">
        <f>SUM(BC155:BF155)</f>
        <v>487000</v>
      </c>
      <c r="BY155" s="130">
        <f>SUM(BG155:BJ155)</f>
        <v>495000</v>
      </c>
    </row>
    <row r="156" spans="1:78" ht="12" customHeight="1">
      <c r="B156" s="126" t="s">
        <v>199</v>
      </c>
      <c r="C156" s="126"/>
      <c r="D156" s="126"/>
      <c r="E156" s="126"/>
      <c r="F156" s="126"/>
      <c r="G156" s="126"/>
      <c r="H156" s="126"/>
      <c r="I156" s="126"/>
      <c r="J156" s="126"/>
      <c r="K156" s="126"/>
      <c r="L156" s="126"/>
      <c r="M156" s="126"/>
      <c r="N156" s="126"/>
      <c r="O156" s="127"/>
      <c r="P156" s="128"/>
      <c r="Q156" s="129"/>
      <c r="R156" s="129"/>
      <c r="S156" s="129"/>
      <c r="T156" s="129"/>
      <c r="U156" s="129"/>
      <c r="V156" s="129"/>
      <c r="W156" s="129"/>
      <c r="X156" s="129"/>
      <c r="Y156" s="129"/>
      <c r="Z156" s="129"/>
      <c r="AA156" s="129"/>
      <c r="AB156" s="129"/>
      <c r="AC156" s="129"/>
      <c r="AD156" s="129"/>
      <c r="AE156" s="129"/>
      <c r="AF156" s="129"/>
      <c r="AG156" s="129"/>
      <c r="AH156" s="129"/>
      <c r="AI156" s="129"/>
      <c r="AJ156" s="129"/>
      <c r="AK156" s="129"/>
      <c r="AL156" s="129"/>
      <c r="AM156" s="130">
        <f t="shared" ref="AM156:AX156" si="699">+AM155-35000</f>
        <v>85000</v>
      </c>
      <c r="AN156" s="130">
        <f t="shared" si="699"/>
        <v>85500</v>
      </c>
      <c r="AO156" s="130">
        <f t="shared" si="699"/>
        <v>86000</v>
      </c>
      <c r="AP156" s="130">
        <f t="shared" si="699"/>
        <v>86500</v>
      </c>
      <c r="AQ156" s="130">
        <f t="shared" si="699"/>
        <v>80000</v>
      </c>
      <c r="AR156" s="130">
        <f t="shared" si="699"/>
        <v>80500</v>
      </c>
      <c r="AS156" s="130">
        <f t="shared" si="699"/>
        <v>81000</v>
      </c>
      <c r="AT156" s="130">
        <f t="shared" si="699"/>
        <v>81500</v>
      </c>
      <c r="AU156" s="130">
        <f t="shared" si="699"/>
        <v>82000</v>
      </c>
      <c r="AV156" s="130">
        <f t="shared" si="699"/>
        <v>82500</v>
      </c>
      <c r="AW156" s="130">
        <f t="shared" si="699"/>
        <v>83000</v>
      </c>
      <c r="AX156" s="130">
        <f t="shared" si="699"/>
        <v>83500</v>
      </c>
      <c r="AY156" s="130">
        <f t="shared" ref="AY156:BJ156" si="700">+AY155-35000</f>
        <v>84000</v>
      </c>
      <c r="AZ156" s="130">
        <f t="shared" si="700"/>
        <v>84500</v>
      </c>
      <c r="BA156" s="130">
        <f t="shared" si="700"/>
        <v>85000</v>
      </c>
      <c r="BB156" s="130">
        <f t="shared" si="700"/>
        <v>85500</v>
      </c>
      <c r="BC156" s="130">
        <f t="shared" si="700"/>
        <v>86000</v>
      </c>
      <c r="BD156" s="130">
        <f t="shared" si="700"/>
        <v>86500</v>
      </c>
      <c r="BE156" s="130">
        <f t="shared" si="700"/>
        <v>87000</v>
      </c>
      <c r="BF156" s="130">
        <f t="shared" si="700"/>
        <v>87500</v>
      </c>
      <c r="BG156" s="130">
        <f t="shared" si="700"/>
        <v>88000</v>
      </c>
      <c r="BH156" s="130">
        <f t="shared" si="700"/>
        <v>88500</v>
      </c>
      <c r="BI156" s="130">
        <f t="shared" si="700"/>
        <v>89000</v>
      </c>
      <c r="BJ156" s="130">
        <f t="shared" si="700"/>
        <v>89500</v>
      </c>
      <c r="BL156" s="6"/>
      <c r="BM156" s="6"/>
      <c r="BN156" s="6"/>
      <c r="BO156" s="130"/>
      <c r="BP156" s="130"/>
      <c r="BQ156" s="130">
        <f>+SUM(AA156:AD156)</f>
        <v>0</v>
      </c>
      <c r="BR156" s="130">
        <f>+SUM(AE156:AH156)</f>
        <v>0</v>
      </c>
      <c r="BS156" s="130">
        <f>+SUM(AI156:AL156)</f>
        <v>0</v>
      </c>
      <c r="BT156" s="130">
        <f>+SUM(AM156:AP156)</f>
        <v>343000</v>
      </c>
      <c r="BU156" s="130">
        <f>+SUM(AQ156:AT156)</f>
        <v>323000</v>
      </c>
      <c r="BV156" s="130">
        <f>+SUM(AU156:AX156)</f>
        <v>331000</v>
      </c>
      <c r="BW156" s="130">
        <f>SUM(AY156:BB156)</f>
        <v>339000</v>
      </c>
      <c r="BX156" s="130">
        <f>SUM(BC156:BF156)</f>
        <v>347000</v>
      </c>
      <c r="BY156" s="130">
        <f>SUM(BG156:BJ156)</f>
        <v>355000</v>
      </c>
    </row>
    <row r="157" spans="1:78" ht="12" customHeight="1">
      <c r="A157" s="207"/>
      <c r="B157" s="208" t="s">
        <v>292</v>
      </c>
      <c r="C157" s="208"/>
      <c r="D157" s="208"/>
      <c r="E157" s="208"/>
      <c r="F157" s="208"/>
      <c r="G157" s="208"/>
      <c r="H157" s="208"/>
      <c r="I157" s="208"/>
      <c r="J157" s="208"/>
      <c r="K157" s="208"/>
      <c r="L157" s="208"/>
      <c r="M157" s="208"/>
      <c r="N157" s="208"/>
      <c r="O157" s="207"/>
      <c r="P157" s="123"/>
      <c r="Q157" s="210"/>
      <c r="R157" s="210"/>
      <c r="S157" s="210"/>
      <c r="T157" s="210"/>
      <c r="U157" s="210"/>
      <c r="V157" s="210"/>
      <c r="W157" s="210"/>
      <c r="X157" s="210"/>
      <c r="Y157" s="26">
        <f t="shared" ref="Y157:AD157" si="701">+Y165*1000/Y153*3</f>
        <v>63.090909090909093</v>
      </c>
      <c r="Z157" s="26">
        <f t="shared" si="701"/>
        <v>64.772727272727266</v>
      </c>
      <c r="AA157" s="26">
        <f t="shared" si="701"/>
        <v>76.050000000000011</v>
      </c>
      <c r="AB157" s="26">
        <f t="shared" si="701"/>
        <v>69.9375</v>
      </c>
      <c r="AC157" s="26">
        <f t="shared" si="701"/>
        <v>115.0344827586207</v>
      </c>
      <c r="AD157" s="26">
        <f t="shared" si="701"/>
        <v>53.121951219512198</v>
      </c>
      <c r="AE157" s="26">
        <f t="shared" ref="AE157:AJ157" si="702">+AE165*1000/AE153*3</f>
        <v>59.834254143646405</v>
      </c>
      <c r="AF157" s="26">
        <f t="shared" si="702"/>
        <v>51.765957446808514</v>
      </c>
      <c r="AG157" s="26">
        <f t="shared" si="702"/>
        <v>64.285714285714278</v>
      </c>
      <c r="AH157" s="26">
        <f t="shared" si="702"/>
        <v>64.459459459459467</v>
      </c>
      <c r="AI157" s="26">
        <f t="shared" si="702"/>
        <v>53.351351351351347</v>
      </c>
      <c r="AJ157" s="26">
        <f t="shared" si="702"/>
        <v>54.419117647058826</v>
      </c>
      <c r="AK157" s="26">
        <f t="shared" ref="AK157:AL157" si="703">+AK165*1000/AK153*3</f>
        <v>44.264900662251655</v>
      </c>
      <c r="AL157" s="26">
        <f t="shared" si="703"/>
        <v>51.034883720930239</v>
      </c>
      <c r="AM157" s="211">
        <v>65</v>
      </c>
      <c r="AN157" s="211">
        <f t="shared" ref="AN157:AP157" si="704">+AM157+1</f>
        <v>66</v>
      </c>
      <c r="AO157" s="211">
        <f t="shared" si="704"/>
        <v>67</v>
      </c>
      <c r="AP157" s="211">
        <f t="shared" si="704"/>
        <v>68</v>
      </c>
      <c r="AQ157" s="211">
        <v>65</v>
      </c>
      <c r="AR157" s="211">
        <v>65</v>
      </c>
      <c r="AS157" s="211">
        <v>65</v>
      </c>
      <c r="AT157" s="211">
        <v>65</v>
      </c>
      <c r="AU157" s="211">
        <v>65</v>
      </c>
      <c r="AV157" s="211">
        <v>65</v>
      </c>
      <c r="AW157" s="211">
        <v>65</v>
      </c>
      <c r="AX157" s="211">
        <v>65</v>
      </c>
      <c r="AY157" s="211">
        <v>65</v>
      </c>
      <c r="AZ157" s="211">
        <v>65</v>
      </c>
      <c r="BA157" s="211">
        <v>65</v>
      </c>
      <c r="BB157" s="211">
        <v>65</v>
      </c>
      <c r="BC157" s="211">
        <v>65</v>
      </c>
      <c r="BD157" s="211">
        <v>65</v>
      </c>
      <c r="BE157" s="211">
        <v>65</v>
      </c>
      <c r="BF157" s="211">
        <v>65</v>
      </c>
      <c r="BG157" s="211">
        <v>65</v>
      </c>
      <c r="BH157" s="211">
        <v>65</v>
      </c>
      <c r="BI157" s="211">
        <v>65</v>
      </c>
      <c r="BJ157" s="211">
        <v>65</v>
      </c>
      <c r="BK157" s="207"/>
      <c r="BL157" s="6"/>
      <c r="BM157" s="6"/>
      <c r="BN157" s="6"/>
      <c r="BO157" s="212"/>
      <c r="BP157" s="212"/>
      <c r="BQ157" s="212">
        <f>+AVERAGE(AA157:AD157)</f>
        <v>78.535983494533227</v>
      </c>
      <c r="BR157" s="212">
        <f>+AVERAGE(AE157:AH157)</f>
        <v>60.086346333907173</v>
      </c>
      <c r="BS157" s="212">
        <f>+AVERAGE(AI157:AL157)</f>
        <v>50.767563345398017</v>
      </c>
      <c r="BT157" s="212">
        <f>+AVERAGE(AM157:AP157)</f>
        <v>66.5</v>
      </c>
      <c r="BU157" s="212">
        <f>+AVERAGE(AQ157:AT157)</f>
        <v>65</v>
      </c>
      <c r="BV157" s="212">
        <f>+AVERAGE(AU157:AX157)</f>
        <v>65</v>
      </c>
      <c r="BW157" s="212">
        <f>AVERAGE(AY157:BB157)</f>
        <v>65</v>
      </c>
      <c r="BX157" s="212">
        <f>AVERAGE(BC157:BF157)</f>
        <v>65</v>
      </c>
      <c r="BY157" s="212">
        <f>AVERAGE(BG157:BJ157)</f>
        <v>65</v>
      </c>
      <c r="BZ157" s="207"/>
    </row>
    <row r="158" spans="1:78" ht="12" customHeight="1">
      <c r="A158" s="207"/>
      <c r="B158" s="215" t="s">
        <v>594</v>
      </c>
      <c r="C158" s="208"/>
      <c r="D158" s="208"/>
      <c r="E158" s="208"/>
      <c r="F158" s="208"/>
      <c r="G158" s="208"/>
      <c r="H158" s="208"/>
      <c r="I158" s="208"/>
      <c r="J158" s="208"/>
      <c r="K158" s="208"/>
      <c r="L158" s="208"/>
      <c r="M158" s="208"/>
      <c r="N158" s="208"/>
      <c r="O158" s="207"/>
      <c r="P158" s="123"/>
      <c r="Q158" s="6"/>
      <c r="R158" s="6"/>
      <c r="S158" s="498"/>
      <c r="T158" s="498"/>
      <c r="U158" s="498"/>
      <c r="V158" s="498"/>
      <c r="W158" s="498"/>
      <c r="X158" s="498"/>
      <c r="Y158" s="498"/>
      <c r="Z158" s="498"/>
      <c r="AA158" s="499">
        <f t="shared" ref="AA158:AX158" si="705">+AVERAGE(W157:Z157)</f>
        <v>63.93181818181818</v>
      </c>
      <c r="AB158" s="499">
        <f t="shared" si="705"/>
        <v>67.971212121212133</v>
      </c>
      <c r="AC158" s="499">
        <f t="shared" si="705"/>
        <v>68.462784090909096</v>
      </c>
      <c r="AD158" s="499">
        <f t="shared" si="705"/>
        <v>81.44867750783699</v>
      </c>
      <c r="AE158" s="499">
        <f t="shared" si="705"/>
        <v>78.535983494533227</v>
      </c>
      <c r="AF158" s="499">
        <f t="shared" si="705"/>
        <v>74.482047030444818</v>
      </c>
      <c r="AG158" s="499">
        <f t="shared" si="705"/>
        <v>69.939161392146957</v>
      </c>
      <c r="AH158" s="499">
        <f t="shared" si="705"/>
        <v>57.251969273920352</v>
      </c>
      <c r="AI158" s="499">
        <f t="shared" si="705"/>
        <v>60.086346333907173</v>
      </c>
      <c r="AJ158" s="499">
        <f t="shared" si="705"/>
        <v>58.465620635833403</v>
      </c>
      <c r="AK158" s="499">
        <f t="shared" si="705"/>
        <v>59.128910685895988</v>
      </c>
      <c r="AL158" s="499">
        <f t="shared" si="705"/>
        <v>54.123707280030317</v>
      </c>
      <c r="AM158" s="499">
        <f t="shared" si="705"/>
        <v>50.767563345398017</v>
      </c>
      <c r="AN158" s="499">
        <f t="shared" si="705"/>
        <v>53.679725507560178</v>
      </c>
      <c r="AO158" s="499">
        <f t="shared" si="705"/>
        <v>56.574946095795475</v>
      </c>
      <c r="AP158" s="499">
        <f t="shared" si="705"/>
        <v>62.258720930232556</v>
      </c>
      <c r="AQ158" s="499">
        <f t="shared" si="705"/>
        <v>66.5</v>
      </c>
      <c r="AR158" s="499">
        <f t="shared" si="705"/>
        <v>66.5</v>
      </c>
      <c r="AS158" s="499">
        <f t="shared" si="705"/>
        <v>66.25</v>
      </c>
      <c r="AT158" s="499">
        <f t="shared" si="705"/>
        <v>65.75</v>
      </c>
      <c r="AU158" s="499">
        <f t="shared" si="705"/>
        <v>65</v>
      </c>
      <c r="AV158" s="499">
        <f t="shared" si="705"/>
        <v>65</v>
      </c>
      <c r="AW158" s="499">
        <f t="shared" si="705"/>
        <v>65</v>
      </c>
      <c r="AX158" s="499">
        <f t="shared" si="705"/>
        <v>65</v>
      </c>
      <c r="AY158" s="499">
        <f t="shared" ref="AY158" si="706">+AVERAGE(AU157:AX157)</f>
        <v>65</v>
      </c>
      <c r="AZ158" s="499">
        <f t="shared" ref="AZ158" si="707">+AVERAGE(AV157:AY157)</f>
        <v>65</v>
      </c>
      <c r="BA158" s="499">
        <f t="shared" ref="BA158" si="708">+AVERAGE(AW157:AZ157)</f>
        <v>65</v>
      </c>
      <c r="BB158" s="499">
        <f t="shared" ref="BB158" si="709">+AVERAGE(AX157:BA157)</f>
        <v>65</v>
      </c>
      <c r="BC158" s="499">
        <f t="shared" ref="BC158" si="710">+AVERAGE(AY157:BB157)</f>
        <v>65</v>
      </c>
      <c r="BD158" s="499">
        <f t="shared" ref="BD158" si="711">+AVERAGE(AZ157:BC157)</f>
        <v>65</v>
      </c>
      <c r="BE158" s="499">
        <f t="shared" ref="BE158" si="712">+AVERAGE(BA157:BD157)</f>
        <v>65</v>
      </c>
      <c r="BF158" s="499">
        <f t="shared" ref="BF158" si="713">+AVERAGE(BB157:BE157)</f>
        <v>65</v>
      </c>
      <c r="BG158" s="499">
        <f t="shared" ref="BG158" si="714">+AVERAGE(BC157:BF157)</f>
        <v>65</v>
      </c>
      <c r="BH158" s="499">
        <f t="shared" ref="BH158" si="715">+AVERAGE(BD157:BG157)</f>
        <v>65</v>
      </c>
      <c r="BI158" s="499">
        <f t="shared" ref="BI158" si="716">+AVERAGE(BE157:BH157)</f>
        <v>65</v>
      </c>
      <c r="BJ158" s="499">
        <f t="shared" ref="BJ158" si="717">+AVERAGE(BF157:BI157)</f>
        <v>65</v>
      </c>
      <c r="BK158" s="207"/>
      <c r="BL158" s="6"/>
      <c r="BM158" s="6"/>
      <c r="BN158" s="6"/>
      <c r="BO158" s="212"/>
      <c r="BP158" s="212"/>
      <c r="BQ158" s="212"/>
      <c r="BR158" s="212"/>
      <c r="BS158" s="212"/>
      <c r="BT158" s="212"/>
      <c r="BU158" s="212"/>
      <c r="BV158" s="212"/>
      <c r="BW158" s="212"/>
      <c r="BX158" s="212"/>
      <c r="BY158" s="212"/>
      <c r="BZ158" s="207"/>
    </row>
    <row r="159" spans="1:78" ht="12" customHeight="1">
      <c r="A159" s="207"/>
      <c r="B159" s="500" t="s">
        <v>391</v>
      </c>
      <c r="C159" s="208"/>
      <c r="D159" s="208"/>
      <c r="E159" s="208"/>
      <c r="F159" s="208"/>
      <c r="G159" s="208"/>
      <c r="H159" s="208"/>
      <c r="I159" s="208"/>
      <c r="J159" s="208"/>
      <c r="K159" s="208"/>
      <c r="L159" s="208"/>
      <c r="M159" s="208"/>
      <c r="N159" s="208"/>
      <c r="O159" s="207"/>
      <c r="P159" s="123"/>
      <c r="Q159" s="6"/>
      <c r="R159" s="6"/>
      <c r="S159" s="498"/>
      <c r="T159" s="498"/>
      <c r="U159" s="498"/>
      <c r="V159" s="498"/>
      <c r="W159" s="498"/>
      <c r="X159" s="498"/>
      <c r="Y159" s="498"/>
      <c r="Z159" s="498"/>
      <c r="AA159" s="79">
        <f t="shared" ref="AA159:AX159" si="718">+AA157/AA158-1</f>
        <v>0.18954852470671901</v>
      </c>
      <c r="AB159" s="79">
        <f t="shared" si="718"/>
        <v>2.8928245023516874E-2</v>
      </c>
      <c r="AC159" s="79">
        <f t="shared" si="718"/>
        <v>0.68024839021841177</v>
      </c>
      <c r="AD159" s="79">
        <f t="shared" ref="AD159:AI159" si="719">+AD157/AD158-1</f>
        <v>-0.34778620298161622</v>
      </c>
      <c r="AE159" s="79">
        <f t="shared" si="719"/>
        <v>-0.23812943467103354</v>
      </c>
      <c r="AF159" s="79">
        <f t="shared" si="719"/>
        <v>-0.30498744985286208</v>
      </c>
      <c r="AG159" s="79">
        <f t="shared" si="719"/>
        <v>-8.0833784590781055E-2</v>
      </c>
      <c r="AH159" s="79">
        <f t="shared" si="719"/>
        <v>0.12589069471226555</v>
      </c>
      <c r="AI159" s="79">
        <f t="shared" si="719"/>
        <v>-0.11208860903488183</v>
      </c>
      <c r="AJ159" s="79">
        <f t="shared" ref="AJ159:AK159" si="720">+AJ157/AJ158-1</f>
        <v>-6.9211665672364142E-2</v>
      </c>
      <c r="AK159" s="79">
        <f t="shared" si="720"/>
        <v>-0.25138311954713288</v>
      </c>
      <c r="AL159" s="79">
        <f t="shared" ref="AL159" si="721">+AL157/AL158-1</f>
        <v>-5.7069696706451234E-2</v>
      </c>
      <c r="AM159" s="79">
        <f t="shared" si="718"/>
        <v>0.28034508092837451</v>
      </c>
      <c r="AN159" s="79">
        <f t="shared" si="718"/>
        <v>0.22951448383812334</v>
      </c>
      <c r="AO159" s="79">
        <f t="shared" si="718"/>
        <v>0.18426979826993217</v>
      </c>
      <c r="AP159" s="79">
        <f t="shared" si="718"/>
        <v>9.2216463556987538E-2</v>
      </c>
      <c r="AQ159" s="79">
        <f t="shared" si="718"/>
        <v>-2.2556390977443663E-2</v>
      </c>
      <c r="AR159" s="79">
        <f t="shared" si="718"/>
        <v>-2.2556390977443663E-2</v>
      </c>
      <c r="AS159" s="79">
        <f t="shared" si="718"/>
        <v>-1.8867924528301883E-2</v>
      </c>
      <c r="AT159" s="79">
        <f t="shared" si="718"/>
        <v>-1.1406844106463865E-2</v>
      </c>
      <c r="AU159" s="79">
        <f t="shared" si="718"/>
        <v>0</v>
      </c>
      <c r="AV159" s="79">
        <f t="shared" si="718"/>
        <v>0</v>
      </c>
      <c r="AW159" s="79">
        <f t="shared" si="718"/>
        <v>0</v>
      </c>
      <c r="AX159" s="79">
        <f t="shared" si="718"/>
        <v>0</v>
      </c>
      <c r="AY159" s="79">
        <f t="shared" ref="AY159:BJ159" si="722">+AY157/AY158-1</f>
        <v>0</v>
      </c>
      <c r="AZ159" s="79">
        <f t="shared" si="722"/>
        <v>0</v>
      </c>
      <c r="BA159" s="79">
        <f t="shared" si="722"/>
        <v>0</v>
      </c>
      <c r="BB159" s="79">
        <f t="shared" si="722"/>
        <v>0</v>
      </c>
      <c r="BC159" s="79">
        <f t="shared" si="722"/>
        <v>0</v>
      </c>
      <c r="BD159" s="79">
        <f t="shared" si="722"/>
        <v>0</v>
      </c>
      <c r="BE159" s="79">
        <f t="shared" si="722"/>
        <v>0</v>
      </c>
      <c r="BF159" s="79">
        <f t="shared" si="722"/>
        <v>0</v>
      </c>
      <c r="BG159" s="79">
        <f t="shared" si="722"/>
        <v>0</v>
      </c>
      <c r="BH159" s="79">
        <f t="shared" si="722"/>
        <v>0</v>
      </c>
      <c r="BI159" s="79">
        <f t="shared" si="722"/>
        <v>0</v>
      </c>
      <c r="BJ159" s="79">
        <f t="shared" si="722"/>
        <v>0</v>
      </c>
      <c r="BK159" s="207"/>
      <c r="BL159" s="6"/>
      <c r="BM159" s="6"/>
      <c r="BN159" s="6"/>
      <c r="BO159" s="212"/>
      <c r="BP159" s="212"/>
      <c r="BQ159" s="212"/>
      <c r="BR159" s="212"/>
      <c r="BS159" s="212"/>
      <c r="BT159" s="212"/>
      <c r="BU159" s="212"/>
      <c r="BV159" s="212"/>
      <c r="BW159" s="212"/>
      <c r="BX159" s="212"/>
      <c r="BY159" s="212"/>
      <c r="BZ159" s="207"/>
    </row>
    <row r="160" spans="1:78" ht="12" customHeight="1">
      <c r="A160" s="207"/>
      <c r="B160" s="208" t="s">
        <v>297</v>
      </c>
      <c r="C160" s="208"/>
      <c r="D160" s="208"/>
      <c r="E160" s="208"/>
      <c r="F160" s="208"/>
      <c r="G160" s="208"/>
      <c r="H160" s="208"/>
      <c r="I160" s="208"/>
      <c r="J160" s="208"/>
      <c r="K160" s="208"/>
      <c r="L160" s="208"/>
      <c r="M160" s="208"/>
      <c r="N160" s="208"/>
      <c r="O160" s="207"/>
      <c r="P160" s="123"/>
      <c r="Q160" s="6"/>
      <c r="R160" s="6"/>
      <c r="S160" s="6"/>
      <c r="T160" s="6"/>
      <c r="U160" s="6"/>
      <c r="V160" s="6"/>
      <c r="W160" s="6"/>
      <c r="X160" s="6"/>
      <c r="Y160" s="6"/>
      <c r="Z160" s="6"/>
      <c r="AA160" s="6"/>
      <c r="AB160" s="6"/>
      <c r="AC160" s="6"/>
      <c r="AD160" s="6"/>
      <c r="AE160" s="6"/>
      <c r="AF160" s="6"/>
      <c r="AG160" s="6"/>
      <c r="AH160" s="6"/>
      <c r="AI160" s="6"/>
      <c r="AJ160" s="6"/>
      <c r="AK160" s="6"/>
      <c r="AL160" s="6"/>
      <c r="AM160" s="212">
        <f t="shared" ref="AM160:AX160" ca="1" si="723">+AL160+AM157*AM153/1000000</f>
        <v>7.8</v>
      </c>
      <c r="AN160" s="212">
        <f t="shared" ca="1" si="723"/>
        <v>15.753</v>
      </c>
      <c r="AO160" s="212">
        <f t="shared" ca="1" si="723"/>
        <v>23.86</v>
      </c>
      <c r="AP160" s="212">
        <f t="shared" ca="1" si="723"/>
        <v>32.122</v>
      </c>
      <c r="AQ160" s="212">
        <f t="shared" ca="1" si="723"/>
        <v>39.597000000000001</v>
      </c>
      <c r="AR160" s="212">
        <f t="shared" ca="1" si="723"/>
        <v>47.104500000000002</v>
      </c>
      <c r="AS160" s="212">
        <f t="shared" ca="1" si="723"/>
        <v>54.644500000000001</v>
      </c>
      <c r="AT160" s="212">
        <f t="shared" ca="1" si="723"/>
        <v>62.216999999999999</v>
      </c>
      <c r="AU160" s="212">
        <f t="shared" ca="1" si="723"/>
        <v>69.822000000000003</v>
      </c>
      <c r="AV160" s="212">
        <f t="shared" ca="1" si="723"/>
        <v>77.459500000000006</v>
      </c>
      <c r="AW160" s="212">
        <f t="shared" ca="1" si="723"/>
        <v>85.129500000000007</v>
      </c>
      <c r="AX160" s="212">
        <f t="shared" ca="1" si="723"/>
        <v>92.832000000000008</v>
      </c>
      <c r="AY160" s="212">
        <f t="shared" ref="AY160" ca="1" si="724">+AX160+AY157*AY153/1000000</f>
        <v>100.56700000000001</v>
      </c>
      <c r="AZ160" s="212">
        <f t="shared" ref="AZ160" ca="1" si="725">+AY160+AZ157*AZ153/1000000</f>
        <v>108.33450000000001</v>
      </c>
      <c r="BA160" s="212">
        <f t="shared" ref="BA160" ca="1" si="726">+AZ160+BA157*BA153/1000000</f>
        <v>116.1345</v>
      </c>
      <c r="BB160" s="212">
        <f t="shared" ref="BB160" ca="1" si="727">+BA160+BB157*BB153/1000000</f>
        <v>123.967</v>
      </c>
      <c r="BC160" s="212">
        <f t="shared" ref="BC160" ca="1" si="728">+BB160+BC157*BC153/1000000</f>
        <v>131.83199999999999</v>
      </c>
      <c r="BD160" s="212">
        <f t="shared" ref="BD160" ca="1" si="729">+BC160+BD157*BD153/1000000</f>
        <v>139.7295</v>
      </c>
      <c r="BE160" s="212">
        <f t="shared" ref="BE160" ca="1" si="730">+BD160+BE157*BE153/1000000</f>
        <v>147.65950000000001</v>
      </c>
      <c r="BF160" s="212">
        <f t="shared" ref="BF160" ca="1" si="731">+BE160+BF157*BF153/1000000</f>
        <v>155.62200000000001</v>
      </c>
      <c r="BG160" s="212">
        <f t="shared" ref="BG160" ca="1" si="732">+BF160+BG157*BG153/1000000</f>
        <v>163.61700000000002</v>
      </c>
      <c r="BH160" s="212">
        <f t="shared" ref="BH160" ca="1" si="733">+BG160+BH157*BH153/1000000</f>
        <v>171.64450000000002</v>
      </c>
      <c r="BI160" s="212">
        <f t="shared" ref="BI160" ca="1" si="734">+BH160+BI157*BI153/1000000</f>
        <v>179.70450000000002</v>
      </c>
      <c r="BJ160" s="212">
        <f t="shared" ref="BJ160" ca="1" si="735">+BI160+BJ157*BJ153/1000000</f>
        <v>187.79700000000003</v>
      </c>
      <c r="BK160" s="207"/>
      <c r="BL160" s="6"/>
      <c r="BM160" s="6"/>
      <c r="BN160" s="6"/>
      <c r="BO160" s="212"/>
      <c r="BP160" s="212"/>
      <c r="BQ160" s="212"/>
      <c r="BR160" s="212"/>
      <c r="BS160" s="212">
        <f>+SUM(AI160:AL160)</f>
        <v>0</v>
      </c>
      <c r="BT160" s="212">
        <f ca="1">+SUM(AM160:AP160)</f>
        <v>79.534999999999997</v>
      </c>
      <c r="BU160" s="212">
        <f ca="1">+SUM(AQ160:AT160)</f>
        <v>203.56299999999999</v>
      </c>
      <c r="BV160" s="212">
        <f ca="1">+SUM(AU160:AX160)</f>
        <v>325.24299999999999</v>
      </c>
      <c r="BW160" s="212">
        <f ca="1">SUM(AY160:BB160)</f>
        <v>449.00299999999999</v>
      </c>
      <c r="BX160" s="212">
        <f ca="1">SUM(BC160:BF160)</f>
        <v>574.84300000000007</v>
      </c>
      <c r="BY160" s="212">
        <f ca="1">SUM(BG160:BJ160)</f>
        <v>702.76300000000015</v>
      </c>
      <c r="BZ160" s="207"/>
    </row>
    <row r="161" spans="1:78" ht="12" customHeight="1">
      <c r="A161" s="207"/>
      <c r="B161" s="214" t="s">
        <v>124</v>
      </c>
      <c r="C161" s="208"/>
      <c r="D161" s="208"/>
      <c r="E161" s="208"/>
      <c r="F161" s="208"/>
      <c r="G161" s="208"/>
      <c r="H161" s="208"/>
      <c r="I161" s="208"/>
      <c r="J161" s="208"/>
      <c r="K161" s="208"/>
      <c r="L161" s="208"/>
      <c r="M161" s="208"/>
      <c r="N161" s="208"/>
      <c r="O161" s="207"/>
      <c r="P161" s="123"/>
      <c r="Q161" s="6"/>
      <c r="R161" s="6"/>
      <c r="S161" s="6"/>
      <c r="T161" s="6"/>
      <c r="U161" s="6"/>
      <c r="V161" s="6"/>
      <c r="W161" s="6"/>
      <c r="X161" s="6"/>
      <c r="Y161" s="6"/>
      <c r="Z161" s="6"/>
      <c r="AA161" s="6"/>
      <c r="AB161" s="6"/>
      <c r="AC161" s="6"/>
      <c r="AD161" s="6"/>
      <c r="AE161" s="6"/>
      <c r="AF161" s="6"/>
      <c r="AG161" s="6"/>
      <c r="AH161" s="6"/>
      <c r="AI161" s="6"/>
      <c r="AJ161" s="6"/>
      <c r="AK161" s="6"/>
      <c r="AL161" s="6"/>
      <c r="AM161" s="345">
        <v>0.65</v>
      </c>
      <c r="AN161" s="345">
        <v>0.65</v>
      </c>
      <c r="AO161" s="345">
        <v>0.65</v>
      </c>
      <c r="AP161" s="345">
        <v>0.65</v>
      </c>
      <c r="AQ161" s="345">
        <v>0.65</v>
      </c>
      <c r="AR161" s="345">
        <v>0.65</v>
      </c>
      <c r="AS161" s="345">
        <v>0.65</v>
      </c>
      <c r="AT161" s="345">
        <v>0.65</v>
      </c>
      <c r="AU161" s="345">
        <v>0.65</v>
      </c>
      <c r="AV161" s="345">
        <v>0.65</v>
      </c>
      <c r="AW161" s="345">
        <v>0.65</v>
      </c>
      <c r="AX161" s="345">
        <v>0.65</v>
      </c>
      <c r="AY161" s="345">
        <v>0.65</v>
      </c>
      <c r="AZ161" s="345">
        <v>0.65</v>
      </c>
      <c r="BA161" s="345">
        <v>0.65</v>
      </c>
      <c r="BB161" s="345">
        <v>0.65</v>
      </c>
      <c r="BC161" s="345">
        <v>0.65</v>
      </c>
      <c r="BD161" s="345">
        <v>0.65</v>
      </c>
      <c r="BE161" s="345">
        <v>0.65</v>
      </c>
      <c r="BF161" s="345">
        <v>0.65</v>
      </c>
      <c r="BG161" s="345">
        <v>0.65</v>
      </c>
      <c r="BH161" s="345">
        <v>0.65</v>
      </c>
      <c r="BI161" s="345">
        <v>0.65</v>
      </c>
      <c r="BJ161" s="345">
        <v>0.65</v>
      </c>
      <c r="BK161" s="207"/>
      <c r="BL161" s="6"/>
      <c r="BM161" s="6"/>
      <c r="BN161" s="6"/>
      <c r="BO161" s="213"/>
      <c r="BP161" s="213"/>
      <c r="BQ161" s="213"/>
      <c r="BR161" s="213"/>
      <c r="BS161" s="213"/>
      <c r="BT161" s="213">
        <f>+AVERAGE(AM161:AP161)</f>
        <v>0.65</v>
      </c>
      <c r="BU161" s="213">
        <f>+AVERAGE(AQ161:AT161)</f>
        <v>0.65</v>
      </c>
      <c r="BV161" s="213">
        <f>+AVERAGE(AU161:AX161)</f>
        <v>0.65</v>
      </c>
      <c r="BW161" s="213">
        <f>AVERAGE(AY161:BB161)</f>
        <v>0.65</v>
      </c>
      <c r="BX161" s="213">
        <f>AVERAGE(BC161:BF161)</f>
        <v>0.65</v>
      </c>
      <c r="BY161" s="213">
        <f>AVERAGE(BG161:BJ161)</f>
        <v>0.65</v>
      </c>
      <c r="BZ161" s="207"/>
    </row>
    <row r="162" spans="1:78" ht="12" customHeight="1">
      <c r="A162" s="207"/>
      <c r="B162" s="214" t="s">
        <v>298</v>
      </c>
      <c r="C162" s="208"/>
      <c r="D162" s="208"/>
      <c r="E162" s="208"/>
      <c r="F162" s="208"/>
      <c r="G162" s="208"/>
      <c r="H162" s="208"/>
      <c r="I162" s="208"/>
      <c r="J162" s="208"/>
      <c r="K162" s="208"/>
      <c r="L162" s="208"/>
      <c r="M162" s="208"/>
      <c r="N162" s="208"/>
      <c r="O162" s="207"/>
      <c r="P162" s="123"/>
      <c r="Q162" s="6"/>
      <c r="R162" s="6"/>
      <c r="S162" s="6"/>
      <c r="T162" s="6"/>
      <c r="U162" s="6"/>
      <c r="V162" s="6"/>
      <c r="W162" s="6"/>
      <c r="X162" s="6"/>
      <c r="Y162" s="6"/>
      <c r="Z162" s="6"/>
      <c r="AA162" s="6"/>
      <c r="AB162" s="6"/>
      <c r="AC162" s="6"/>
      <c r="AD162" s="6"/>
      <c r="AE162" s="6"/>
      <c r="AF162" s="6"/>
      <c r="AG162" s="6"/>
      <c r="AH162" s="6"/>
      <c r="AI162" s="6"/>
      <c r="AJ162" s="6"/>
      <c r="AK162" s="6"/>
      <c r="AL162" s="6"/>
      <c r="AM162" s="212">
        <f t="shared" ref="AM162:AX162" si="736">+AM161*AM157</f>
        <v>42.25</v>
      </c>
      <c r="AN162" s="212">
        <f t="shared" si="736"/>
        <v>42.9</v>
      </c>
      <c r="AO162" s="212">
        <f t="shared" si="736"/>
        <v>43.550000000000004</v>
      </c>
      <c r="AP162" s="212">
        <f t="shared" si="736"/>
        <v>44.2</v>
      </c>
      <c r="AQ162" s="212">
        <f t="shared" si="736"/>
        <v>42.25</v>
      </c>
      <c r="AR162" s="212">
        <f t="shared" si="736"/>
        <v>42.25</v>
      </c>
      <c r="AS162" s="212">
        <f t="shared" si="736"/>
        <v>42.25</v>
      </c>
      <c r="AT162" s="212">
        <f t="shared" si="736"/>
        <v>42.25</v>
      </c>
      <c r="AU162" s="212">
        <f t="shared" si="736"/>
        <v>42.25</v>
      </c>
      <c r="AV162" s="212">
        <f t="shared" si="736"/>
        <v>42.25</v>
      </c>
      <c r="AW162" s="212">
        <f t="shared" si="736"/>
        <v>42.25</v>
      </c>
      <c r="AX162" s="212">
        <f t="shared" si="736"/>
        <v>42.25</v>
      </c>
      <c r="AY162" s="212">
        <f t="shared" ref="AY162:BJ162" si="737">+AY161*AY157</f>
        <v>42.25</v>
      </c>
      <c r="AZ162" s="212">
        <f t="shared" si="737"/>
        <v>42.25</v>
      </c>
      <c r="BA162" s="212">
        <f t="shared" si="737"/>
        <v>42.25</v>
      </c>
      <c r="BB162" s="212">
        <f t="shared" si="737"/>
        <v>42.25</v>
      </c>
      <c r="BC162" s="212">
        <f t="shared" si="737"/>
        <v>42.25</v>
      </c>
      <c r="BD162" s="212">
        <f t="shared" si="737"/>
        <v>42.25</v>
      </c>
      <c r="BE162" s="212">
        <f t="shared" si="737"/>
        <v>42.25</v>
      </c>
      <c r="BF162" s="212">
        <f t="shared" si="737"/>
        <v>42.25</v>
      </c>
      <c r="BG162" s="212">
        <f t="shared" si="737"/>
        <v>42.25</v>
      </c>
      <c r="BH162" s="212">
        <f t="shared" si="737"/>
        <v>42.25</v>
      </c>
      <c r="BI162" s="212">
        <f t="shared" si="737"/>
        <v>42.25</v>
      </c>
      <c r="BJ162" s="212">
        <f t="shared" si="737"/>
        <v>42.25</v>
      </c>
      <c r="BK162" s="207"/>
      <c r="BL162" s="6"/>
      <c r="BM162" s="6"/>
      <c r="BN162" s="6"/>
      <c r="BO162" s="212"/>
      <c r="BP162" s="212"/>
      <c r="BQ162" s="212"/>
      <c r="BR162" s="212"/>
      <c r="BS162" s="212"/>
      <c r="BT162" s="212">
        <f>+BT161*BT157</f>
        <v>43.225000000000001</v>
      </c>
      <c r="BU162" s="212">
        <f>+BU161*BU157</f>
        <v>42.25</v>
      </c>
      <c r="BV162" s="212">
        <f>+BV161*BV157</f>
        <v>42.25</v>
      </c>
      <c r="BW162" s="212">
        <f t="shared" ref="BW162:BY162" si="738">+BW161*BW157</f>
        <v>42.25</v>
      </c>
      <c r="BX162" s="212">
        <f t="shared" si="738"/>
        <v>42.25</v>
      </c>
      <c r="BY162" s="212">
        <f t="shared" si="738"/>
        <v>42.25</v>
      </c>
      <c r="BZ162" s="207"/>
    </row>
    <row r="163" spans="1:78" ht="12" customHeight="1">
      <c r="A163" s="207"/>
      <c r="B163" s="208" t="s">
        <v>141</v>
      </c>
      <c r="C163" s="208"/>
      <c r="D163" s="208"/>
      <c r="E163" s="208"/>
      <c r="F163" s="208"/>
      <c r="G163" s="208"/>
      <c r="H163" s="208"/>
      <c r="I163" s="208"/>
      <c r="J163" s="208"/>
      <c r="K163" s="208"/>
      <c r="L163" s="208"/>
      <c r="M163" s="208"/>
      <c r="N163" s="208"/>
      <c r="O163" s="207"/>
      <c r="P163" s="123"/>
      <c r="Q163" s="6"/>
      <c r="R163" s="6"/>
      <c r="S163" s="6"/>
      <c r="T163" s="6"/>
      <c r="U163" s="6"/>
      <c r="V163" s="6"/>
      <c r="W163" s="6"/>
      <c r="X163" s="6"/>
      <c r="Y163" s="6"/>
      <c r="Z163" s="6"/>
      <c r="AA163" s="6"/>
      <c r="AB163" s="6"/>
      <c r="AC163" s="6"/>
      <c r="AD163" s="6"/>
      <c r="AE163" s="6"/>
      <c r="AF163" s="6"/>
      <c r="AG163" s="6"/>
      <c r="AH163" s="6"/>
      <c r="AI163" s="6"/>
      <c r="AJ163" s="6"/>
      <c r="AK163" s="6"/>
      <c r="AL163" s="6"/>
      <c r="AM163" s="122">
        <f t="shared" ref="AM163:AX163" si="739">+(AM162*4)/AM175</f>
        <v>0.10131877916981928</v>
      </c>
      <c r="AN163" s="122">
        <f t="shared" si="739"/>
        <v>0.10336536210108004</v>
      </c>
      <c r="AO163" s="122">
        <f t="shared" si="739"/>
        <v>0.13298976973015939</v>
      </c>
      <c r="AP163" s="122">
        <f t="shared" si="739"/>
        <v>0.11507403272352852</v>
      </c>
      <c r="AQ163" s="122">
        <f t="shared" si="739"/>
        <v>0.11369735396968686</v>
      </c>
      <c r="AR163" s="122">
        <f t="shared" si="739"/>
        <v>0.11765506692547163</v>
      </c>
      <c r="AS163" s="122">
        <f t="shared" si="739"/>
        <v>0.12189824631245064</v>
      </c>
      <c r="AT163" s="122">
        <f t="shared" si="739"/>
        <v>0.12645893335582892</v>
      </c>
      <c r="AU163" s="122">
        <f t="shared" si="739"/>
        <v>0.13137415080596199</v>
      </c>
      <c r="AV163" s="122">
        <f t="shared" si="739"/>
        <v>0.13668691020060558</v>
      </c>
      <c r="AW163" s="122">
        <f t="shared" si="739"/>
        <v>0.14244747382887496</v>
      </c>
      <c r="AX163" s="122">
        <f t="shared" si="739"/>
        <v>0.14871494984237627</v>
      </c>
      <c r="AY163" s="122">
        <f t="shared" ref="AY163:BJ163" si="740">+(AY162*4)/AY175</f>
        <v>0.15555932784163126</v>
      </c>
      <c r="AZ163" s="122">
        <f t="shared" si="740"/>
        <v>0.16306410368926441</v>
      </c>
      <c r="BA163" s="122">
        <f t="shared" si="740"/>
        <v>0.17132970262223576</v>
      </c>
      <c r="BB163" s="122">
        <f t="shared" si="740"/>
        <v>0.18047799904415629</v>
      </c>
      <c r="BC163" s="122">
        <f t="shared" si="740"/>
        <v>0.19065836602686548</v>
      </c>
      <c r="BD163" s="122">
        <f t="shared" si="740"/>
        <v>0.20205589464180734</v>
      </c>
      <c r="BE163" s="122">
        <f t="shared" si="740"/>
        <v>0.21490274883621094</v>
      </c>
      <c r="BF163" s="122">
        <f t="shared" si="740"/>
        <v>0.22949414612751953</v>
      </c>
      <c r="BG163" s="122">
        <f t="shared" si="740"/>
        <v>0.2462113228444148</v>
      </c>
      <c r="BH163" s="122">
        <f t="shared" si="740"/>
        <v>0.26555532518212799</v>
      </c>
      <c r="BI163" s="122">
        <f t="shared" si="740"/>
        <v>0.28819808756695331</v>
      </c>
      <c r="BJ163" s="122">
        <f t="shared" si="740"/>
        <v>0.31506207822018634</v>
      </c>
      <c r="BK163" s="207"/>
      <c r="BL163" s="6"/>
      <c r="BM163" s="6"/>
      <c r="BN163" s="6"/>
      <c r="BO163" s="122"/>
      <c r="BP163" s="122"/>
      <c r="BQ163" s="122"/>
      <c r="BR163" s="122"/>
      <c r="BS163" s="122"/>
      <c r="BT163" s="122">
        <f>+BT162/BT175</f>
        <v>2.8002672211502495E-2</v>
      </c>
      <c r="BU163" s="122">
        <f>+BU162/BU175</f>
        <v>2.9934769288172416E-2</v>
      </c>
      <c r="BV163" s="122">
        <f>+BV162/BV175</f>
        <v>3.487693773600848E-2</v>
      </c>
      <c r="BW163" s="122">
        <f t="shared" ref="BW163:BY163" si="741">+BW162/BW175</f>
        <v>4.1773686991406274E-2</v>
      </c>
      <c r="BX163" s="122">
        <f t="shared" si="741"/>
        <v>5.207035260725254E-2</v>
      </c>
      <c r="BY163" s="122">
        <f t="shared" si="741"/>
        <v>6.9103444871578948E-2</v>
      </c>
      <c r="BZ163" s="207"/>
    </row>
    <row r="164" spans="1:78" ht="12" customHeight="1">
      <c r="A164" s="207"/>
      <c r="B164" s="215" t="s">
        <v>142</v>
      </c>
      <c r="C164" s="208"/>
      <c r="D164" s="208"/>
      <c r="E164" s="208"/>
      <c r="F164" s="208"/>
      <c r="G164" s="208"/>
      <c r="H164" s="208"/>
      <c r="I164" s="208"/>
      <c r="J164" s="208"/>
      <c r="K164" s="208"/>
      <c r="L164" s="208"/>
      <c r="M164" s="208"/>
      <c r="N164" s="208"/>
      <c r="O164" s="207"/>
      <c r="P164" s="123"/>
      <c r="Q164" s="6"/>
      <c r="R164" s="6"/>
      <c r="S164" s="6"/>
      <c r="T164" s="6"/>
      <c r="U164" s="6"/>
      <c r="V164" s="6"/>
      <c r="W164" s="6"/>
      <c r="X164" s="6"/>
      <c r="Y164" s="6"/>
      <c r="Z164" s="6"/>
      <c r="AA164" s="6"/>
      <c r="AB164" s="6"/>
      <c r="AC164" s="6"/>
      <c r="AD164" s="6"/>
      <c r="AE164" s="6"/>
      <c r="AF164" s="6"/>
      <c r="AG164" s="6"/>
      <c r="AH164" s="6"/>
      <c r="AI164" s="6"/>
      <c r="AJ164" s="6"/>
      <c r="AK164" s="6"/>
      <c r="AL164" s="6"/>
      <c r="AM164" s="212">
        <f t="shared" ref="AM164:AX164" ca="1" si="742">+AM153*AM157/9/1000</f>
        <v>866.66666666666663</v>
      </c>
      <c r="AN164" s="212">
        <f t="shared" ca="1" si="742"/>
        <v>883.66666666666663</v>
      </c>
      <c r="AO164" s="212">
        <f t="shared" ca="1" si="742"/>
        <v>900.77777777777771</v>
      </c>
      <c r="AP164" s="212">
        <f t="shared" ca="1" si="742"/>
        <v>918</v>
      </c>
      <c r="AQ164" s="212">
        <f t="shared" ca="1" si="742"/>
        <v>830.55555555555554</v>
      </c>
      <c r="AR164" s="212">
        <f t="shared" ca="1" si="742"/>
        <v>834.16666666666663</v>
      </c>
      <c r="AS164" s="212">
        <f t="shared" ca="1" si="742"/>
        <v>837.77777777777771</v>
      </c>
      <c r="AT164" s="212">
        <f t="shared" ca="1" si="742"/>
        <v>841.38888888888891</v>
      </c>
      <c r="AU164" s="212">
        <f t="shared" ca="1" si="742"/>
        <v>845</v>
      </c>
      <c r="AV164" s="212">
        <f t="shared" ca="1" si="742"/>
        <v>848.61111111111109</v>
      </c>
      <c r="AW164" s="212">
        <f t="shared" ca="1" si="742"/>
        <v>852.22222222222229</v>
      </c>
      <c r="AX164" s="212">
        <f t="shared" ca="1" si="742"/>
        <v>855.83333333333337</v>
      </c>
      <c r="AY164" s="212">
        <f t="shared" ref="AY164:BJ164" ca="1" si="743">+AY153*AY157/9/1000</f>
        <v>859.44444444444446</v>
      </c>
      <c r="AZ164" s="212">
        <f t="shared" ca="1" si="743"/>
        <v>863.05555555555554</v>
      </c>
      <c r="BA164" s="212">
        <f t="shared" ca="1" si="743"/>
        <v>866.66666666666663</v>
      </c>
      <c r="BB164" s="212">
        <f t="shared" ca="1" si="743"/>
        <v>870.27777777777771</v>
      </c>
      <c r="BC164" s="212">
        <f t="shared" ca="1" si="743"/>
        <v>873.88888888888891</v>
      </c>
      <c r="BD164" s="212">
        <f t="shared" ca="1" si="743"/>
        <v>877.5</v>
      </c>
      <c r="BE164" s="212">
        <f t="shared" ca="1" si="743"/>
        <v>881.11111111111109</v>
      </c>
      <c r="BF164" s="212">
        <f t="shared" ca="1" si="743"/>
        <v>884.72222222222229</v>
      </c>
      <c r="BG164" s="212">
        <f t="shared" ca="1" si="743"/>
        <v>888.33333333333337</v>
      </c>
      <c r="BH164" s="212">
        <f t="shared" ca="1" si="743"/>
        <v>891.94444444444446</v>
      </c>
      <c r="BI164" s="212">
        <f t="shared" ca="1" si="743"/>
        <v>895.55555555555554</v>
      </c>
      <c r="BJ164" s="212">
        <f t="shared" ca="1" si="743"/>
        <v>899.16666666666663</v>
      </c>
      <c r="BK164" s="207"/>
      <c r="BL164" s="6"/>
      <c r="BM164" s="6"/>
      <c r="BN164" s="6"/>
      <c r="BO164" s="212"/>
      <c r="BP164" s="212"/>
      <c r="BQ164" s="212"/>
      <c r="BR164" s="212"/>
      <c r="BS164" s="212"/>
      <c r="BT164" s="212">
        <f ca="1">+SUM(AM164:AP164)</f>
        <v>3569.1111111111109</v>
      </c>
      <c r="BU164" s="212">
        <f ca="1">+SUM(AQ164:AT164)</f>
        <v>3343.8888888888887</v>
      </c>
      <c r="BV164" s="212">
        <f ca="1">+SUM(AU164:AX164)</f>
        <v>3401.666666666667</v>
      </c>
      <c r="BW164" s="212">
        <f ca="1">SUM(AY164:BB164)</f>
        <v>3459.4444444444443</v>
      </c>
      <c r="BX164" s="212">
        <f ca="1">SUM(BC164:BF164)</f>
        <v>3517.2222222222222</v>
      </c>
      <c r="BY164" s="212">
        <f ca="1">SUM(BG164:BJ164)</f>
        <v>3575</v>
      </c>
      <c r="BZ164" s="207"/>
    </row>
    <row r="165" spans="1:78" ht="12" customHeight="1">
      <c r="A165" s="207"/>
      <c r="B165" s="497" t="s">
        <v>593</v>
      </c>
      <c r="C165" s="208"/>
      <c r="D165" s="208"/>
      <c r="E165" s="208"/>
      <c r="F165" s="208"/>
      <c r="G165" s="208"/>
      <c r="H165" s="208"/>
      <c r="I165" s="208"/>
      <c r="J165" s="208"/>
      <c r="K165" s="208"/>
      <c r="L165" s="208"/>
      <c r="M165" s="208"/>
      <c r="N165" s="208"/>
      <c r="O165" s="207"/>
      <c r="P165" s="123"/>
      <c r="Q165" s="6"/>
      <c r="R165" s="6"/>
      <c r="S165" s="498"/>
      <c r="T165" s="498"/>
      <c r="U165" s="498"/>
      <c r="V165" s="498"/>
      <c r="W165" s="498">
        <v>1506</v>
      </c>
      <c r="X165" s="498">
        <v>1435</v>
      </c>
      <c r="Y165" s="498">
        <v>694</v>
      </c>
      <c r="Z165" s="498">
        <v>950</v>
      </c>
      <c r="AA165" s="498">
        <v>1521</v>
      </c>
      <c r="AB165" s="498">
        <v>1119</v>
      </c>
      <c r="AC165" s="498">
        <v>1112</v>
      </c>
      <c r="AD165" s="498">
        <v>3630</v>
      </c>
      <c r="AE165" s="498">
        <v>3610</v>
      </c>
      <c r="AF165" s="498">
        <v>4866</v>
      </c>
      <c r="AG165" s="498">
        <v>2250</v>
      </c>
      <c r="AH165" s="498">
        <v>1590</v>
      </c>
      <c r="AI165" s="498">
        <v>2632</v>
      </c>
      <c r="AJ165" s="498">
        <v>2467</v>
      </c>
      <c r="AK165" s="498">
        <v>2228</v>
      </c>
      <c r="AL165" s="498">
        <v>1463</v>
      </c>
      <c r="AM165" s="209">
        <f t="shared" ref="AM165:AX165" ca="1" si="744">AM157*AM153/3/1000</f>
        <v>2600</v>
      </c>
      <c r="AN165" s="209">
        <f t="shared" ca="1" si="744"/>
        <v>2651</v>
      </c>
      <c r="AO165" s="209">
        <f t="shared" ca="1" si="744"/>
        <v>2702.3333333333335</v>
      </c>
      <c r="AP165" s="209">
        <f t="shared" ca="1" si="744"/>
        <v>2754</v>
      </c>
      <c r="AQ165" s="209">
        <f t="shared" ca="1" si="744"/>
        <v>2491.6666666666665</v>
      </c>
      <c r="AR165" s="209">
        <f t="shared" ca="1" si="744"/>
        <v>2502.5</v>
      </c>
      <c r="AS165" s="209">
        <f t="shared" ca="1" si="744"/>
        <v>2513.3333333333335</v>
      </c>
      <c r="AT165" s="209">
        <f t="shared" ca="1" si="744"/>
        <v>2524.1666666666665</v>
      </c>
      <c r="AU165" s="209">
        <f t="shared" ca="1" si="744"/>
        <v>2535</v>
      </c>
      <c r="AV165" s="209">
        <f t="shared" ca="1" si="744"/>
        <v>2545.8333333333335</v>
      </c>
      <c r="AW165" s="209">
        <f t="shared" ca="1" si="744"/>
        <v>2556.6666666666665</v>
      </c>
      <c r="AX165" s="209">
        <f t="shared" ca="1" si="744"/>
        <v>2567.5</v>
      </c>
      <c r="AY165" s="209">
        <f t="shared" ref="AY165:BJ165" ca="1" si="745">AY157*AY153/3/1000</f>
        <v>2578.3333333333335</v>
      </c>
      <c r="AZ165" s="209">
        <f t="shared" ca="1" si="745"/>
        <v>2589.1666666666665</v>
      </c>
      <c r="BA165" s="209">
        <f t="shared" ca="1" si="745"/>
        <v>2600</v>
      </c>
      <c r="BB165" s="209">
        <f t="shared" ca="1" si="745"/>
        <v>2610.8333333333335</v>
      </c>
      <c r="BC165" s="209">
        <f t="shared" ca="1" si="745"/>
        <v>2621.6666666666665</v>
      </c>
      <c r="BD165" s="209">
        <f t="shared" ca="1" si="745"/>
        <v>2632.5</v>
      </c>
      <c r="BE165" s="209">
        <f t="shared" ca="1" si="745"/>
        <v>2643.3333333333335</v>
      </c>
      <c r="BF165" s="209">
        <f t="shared" ca="1" si="745"/>
        <v>2654.1666666666665</v>
      </c>
      <c r="BG165" s="209">
        <f t="shared" ca="1" si="745"/>
        <v>2665</v>
      </c>
      <c r="BH165" s="209">
        <f t="shared" ca="1" si="745"/>
        <v>2675.8333333333335</v>
      </c>
      <c r="BI165" s="209">
        <f t="shared" ca="1" si="745"/>
        <v>2686.6666666666665</v>
      </c>
      <c r="BJ165" s="209">
        <f t="shared" ca="1" si="745"/>
        <v>2697.5</v>
      </c>
      <c r="BK165" s="207"/>
      <c r="BL165" s="6"/>
      <c r="BM165" s="6"/>
      <c r="BN165" s="6"/>
      <c r="BO165" s="212"/>
      <c r="BP165" s="212"/>
      <c r="BQ165" s="212"/>
      <c r="BR165" s="212"/>
      <c r="BS165" s="212"/>
      <c r="BT165" s="212"/>
      <c r="BU165" s="212"/>
      <c r="BV165" s="212"/>
      <c r="BW165" s="212"/>
      <c r="BX165" s="212"/>
      <c r="BY165" s="212"/>
      <c r="BZ165" s="207"/>
    </row>
    <row r="166" spans="1:78" ht="12" customHeight="1">
      <c r="A166" s="207"/>
      <c r="B166" s="215" t="s">
        <v>594</v>
      </c>
      <c r="C166" s="208"/>
      <c r="D166" s="208"/>
      <c r="E166" s="208"/>
      <c r="F166" s="208"/>
      <c r="G166" s="208"/>
      <c r="H166" s="208"/>
      <c r="I166" s="208"/>
      <c r="J166" s="208"/>
      <c r="K166" s="208"/>
      <c r="L166" s="208"/>
      <c r="M166" s="208"/>
      <c r="N166" s="208"/>
      <c r="O166" s="207"/>
      <c r="P166" s="123"/>
      <c r="Q166" s="6"/>
      <c r="R166" s="6"/>
      <c r="S166" s="498"/>
      <c r="T166" s="498"/>
      <c r="U166" s="498"/>
      <c r="V166" s="498"/>
      <c r="W166" s="498"/>
      <c r="X166" s="498"/>
      <c r="Y166" s="498"/>
      <c r="Z166" s="498"/>
      <c r="AA166" s="499">
        <f t="shared" ref="AA166:AL166" si="746">+AVERAGE(W165:Z165)</f>
        <v>1146.25</v>
      </c>
      <c r="AB166" s="499">
        <f t="shared" si="746"/>
        <v>1150</v>
      </c>
      <c r="AC166" s="499">
        <f t="shared" si="746"/>
        <v>1071</v>
      </c>
      <c r="AD166" s="499">
        <f t="shared" si="746"/>
        <v>1175.5</v>
      </c>
      <c r="AE166" s="499">
        <f t="shared" si="746"/>
        <v>1845.5</v>
      </c>
      <c r="AF166" s="499">
        <f t="shared" si="746"/>
        <v>2367.75</v>
      </c>
      <c r="AG166" s="499">
        <f t="shared" si="746"/>
        <v>3304.5</v>
      </c>
      <c r="AH166" s="499">
        <f t="shared" si="746"/>
        <v>3589</v>
      </c>
      <c r="AI166" s="499">
        <f t="shared" si="746"/>
        <v>3079</v>
      </c>
      <c r="AJ166" s="499">
        <f t="shared" si="746"/>
        <v>2834.5</v>
      </c>
      <c r="AK166" s="499">
        <f t="shared" si="746"/>
        <v>2234.75</v>
      </c>
      <c r="AL166" s="499">
        <f t="shared" si="746"/>
        <v>2229.25</v>
      </c>
      <c r="AM166" s="499">
        <f t="shared" ref="AM166:AX166" si="747">+AVERAGE(AI165:AL165)</f>
        <v>2197.5</v>
      </c>
      <c r="AN166" s="499">
        <f t="shared" ca="1" si="747"/>
        <v>2189.5</v>
      </c>
      <c r="AO166" s="499">
        <f t="shared" ca="1" si="747"/>
        <v>2235.5</v>
      </c>
      <c r="AP166" s="499">
        <f t="shared" ca="1" si="747"/>
        <v>2354.0833333333335</v>
      </c>
      <c r="AQ166" s="499">
        <f t="shared" ca="1" si="747"/>
        <v>2676.8333333333335</v>
      </c>
      <c r="AR166" s="499">
        <f t="shared" ca="1" si="747"/>
        <v>2649.75</v>
      </c>
      <c r="AS166" s="499">
        <f t="shared" ca="1" si="747"/>
        <v>2612.625</v>
      </c>
      <c r="AT166" s="499">
        <f t="shared" ca="1" si="747"/>
        <v>2565.375</v>
      </c>
      <c r="AU166" s="499">
        <f t="shared" ca="1" si="747"/>
        <v>2507.9166666666665</v>
      </c>
      <c r="AV166" s="499">
        <f t="shared" ca="1" si="747"/>
        <v>2518.75</v>
      </c>
      <c r="AW166" s="499">
        <f t="shared" ca="1" si="747"/>
        <v>2529.5833333333335</v>
      </c>
      <c r="AX166" s="499">
        <f t="shared" ca="1" si="747"/>
        <v>2540.4166666666665</v>
      </c>
      <c r="AY166" s="499">
        <f t="shared" ref="AY166" ca="1" si="748">+AVERAGE(AU165:AX165)</f>
        <v>2551.25</v>
      </c>
      <c r="AZ166" s="499">
        <f t="shared" ref="AZ166" ca="1" si="749">+AVERAGE(AV165:AY165)</f>
        <v>2562.0833333333335</v>
      </c>
      <c r="BA166" s="499">
        <f t="shared" ref="BA166" ca="1" si="750">+AVERAGE(AW165:AZ165)</f>
        <v>2572.9166666666665</v>
      </c>
      <c r="BB166" s="499">
        <f t="shared" ref="BB166" ca="1" si="751">+AVERAGE(AX165:BA165)</f>
        <v>2583.75</v>
      </c>
      <c r="BC166" s="499">
        <f t="shared" ref="BC166" ca="1" si="752">+AVERAGE(AY165:BB165)</f>
        <v>2594.5833333333335</v>
      </c>
      <c r="BD166" s="499">
        <f t="shared" ref="BD166" ca="1" si="753">+AVERAGE(AZ165:BC165)</f>
        <v>2605.4166666666665</v>
      </c>
      <c r="BE166" s="499">
        <f t="shared" ref="BE166" ca="1" si="754">+AVERAGE(BA165:BD165)</f>
        <v>2616.25</v>
      </c>
      <c r="BF166" s="499">
        <f t="shared" ref="BF166" ca="1" si="755">+AVERAGE(BB165:BE165)</f>
        <v>2627.0833333333335</v>
      </c>
      <c r="BG166" s="499">
        <f t="shared" ref="BG166" ca="1" si="756">+AVERAGE(BC165:BF165)</f>
        <v>2637.9166666666665</v>
      </c>
      <c r="BH166" s="499">
        <f t="shared" ref="BH166" ca="1" si="757">+AVERAGE(BD165:BG165)</f>
        <v>2648.75</v>
      </c>
      <c r="BI166" s="499">
        <f t="shared" ref="BI166" ca="1" si="758">+AVERAGE(BE165:BH165)</f>
        <v>2659.5833333333335</v>
      </c>
      <c r="BJ166" s="499">
        <f t="shared" ref="BJ166" ca="1" si="759">+AVERAGE(BF165:BI165)</f>
        <v>2670.4166666666665</v>
      </c>
      <c r="BK166" s="207"/>
      <c r="BL166" s="6"/>
      <c r="BM166" s="6"/>
      <c r="BN166" s="6"/>
      <c r="BO166" s="212"/>
      <c r="BP166" s="212"/>
      <c r="BQ166" s="212"/>
      <c r="BR166" s="212"/>
      <c r="BS166" s="212"/>
      <c r="BT166" s="212"/>
      <c r="BU166" s="212"/>
      <c r="BV166" s="212"/>
      <c r="BW166" s="212"/>
      <c r="BX166" s="212"/>
      <c r="BY166" s="212"/>
      <c r="BZ166" s="207"/>
    </row>
    <row r="167" spans="1:78" ht="12" customHeight="1">
      <c r="A167" s="207"/>
      <c r="B167" s="500" t="s">
        <v>391</v>
      </c>
      <c r="C167" s="208"/>
      <c r="D167" s="208"/>
      <c r="E167" s="208"/>
      <c r="F167" s="208"/>
      <c r="G167" s="208"/>
      <c r="H167" s="208"/>
      <c r="I167" s="208"/>
      <c r="J167" s="208"/>
      <c r="K167" s="208"/>
      <c r="L167" s="208"/>
      <c r="M167" s="208"/>
      <c r="N167" s="208"/>
      <c r="O167" s="207"/>
      <c r="P167" s="123"/>
      <c r="Q167" s="6"/>
      <c r="R167" s="6"/>
      <c r="S167" s="498"/>
      <c r="T167" s="498"/>
      <c r="U167" s="498"/>
      <c r="V167" s="498"/>
      <c r="W167" s="498"/>
      <c r="X167" s="498"/>
      <c r="Y167" s="498"/>
      <c r="Z167" s="498"/>
      <c r="AA167" s="79">
        <f t="shared" ref="AA167:AF167" si="760">+AA165/AA166-1</f>
        <v>0.3269356597600872</v>
      </c>
      <c r="AB167" s="79">
        <f t="shared" si="760"/>
        <v>-2.6956521739130435E-2</v>
      </c>
      <c r="AC167" s="79">
        <f t="shared" si="760"/>
        <v>3.8281979458450133E-2</v>
      </c>
      <c r="AD167" s="79">
        <f t="shared" si="760"/>
        <v>2.0880476393024243</v>
      </c>
      <c r="AE167" s="79">
        <f t="shared" si="760"/>
        <v>0.9561094554321321</v>
      </c>
      <c r="AF167" s="79">
        <f t="shared" si="760"/>
        <v>1.0551156160912258</v>
      </c>
      <c r="AG167" s="79">
        <f t="shared" ref="AG167:AL167" si="761">+AG165/AG166-1</f>
        <v>-0.31911030413073083</v>
      </c>
      <c r="AH167" s="79">
        <f t="shared" si="761"/>
        <v>-0.55697966007244359</v>
      </c>
      <c r="AI167" s="79">
        <f t="shared" si="761"/>
        <v>-0.14517700552127311</v>
      </c>
      <c r="AJ167" s="79">
        <f t="shared" si="761"/>
        <v>-0.12965249603104601</v>
      </c>
      <c r="AK167" s="79">
        <f t="shared" si="761"/>
        <v>-3.0204720886005676E-3</v>
      </c>
      <c r="AL167" s="79">
        <f t="shared" si="761"/>
        <v>-0.34372546820679606</v>
      </c>
      <c r="AM167" s="79">
        <f t="shared" ref="AM167:AX167" ca="1" si="762">+AM165/AM166-1</f>
        <v>0.18316268486916942</v>
      </c>
      <c r="AN167" s="79">
        <f t="shared" ca="1" si="762"/>
        <v>0.2107787166019639</v>
      </c>
      <c r="AO167" s="79">
        <f t="shared" ca="1" si="762"/>
        <v>0.20882725713859696</v>
      </c>
      <c r="AP167" s="79">
        <f t="shared" ca="1" si="762"/>
        <v>0.16988211972105205</v>
      </c>
      <c r="AQ167" s="79">
        <f t="shared" ca="1" si="762"/>
        <v>-6.9173774982877911E-2</v>
      </c>
      <c r="AR167" s="79">
        <f t="shared" ca="1" si="762"/>
        <v>-5.5571280309463122E-2</v>
      </c>
      <c r="AS167" s="79">
        <f t="shared" ca="1" si="762"/>
        <v>-3.800456118527018E-2</v>
      </c>
      <c r="AT167" s="79">
        <f t="shared" ca="1" si="762"/>
        <v>-1.6063278597995834E-2</v>
      </c>
      <c r="AU167" s="79">
        <f t="shared" ca="1" si="762"/>
        <v>1.0799136069114423E-2</v>
      </c>
      <c r="AV167" s="79">
        <f t="shared" ca="1" si="762"/>
        <v>1.0752688172043001E-2</v>
      </c>
      <c r="AW167" s="79">
        <f t="shared" ca="1" si="762"/>
        <v>1.070663811563155E-2</v>
      </c>
      <c r="AX167" s="79">
        <f t="shared" ca="1" si="762"/>
        <v>1.0660980810234699E-2</v>
      </c>
      <c r="AY167" s="79">
        <f t="shared" ref="AY167:BJ167" ca="1" si="763">+AY165/AY166-1</f>
        <v>1.0615711252653925E-2</v>
      </c>
      <c r="AZ167" s="79">
        <f t="shared" ca="1" si="763"/>
        <v>1.0570824524312794E-2</v>
      </c>
      <c r="BA167" s="79">
        <f t="shared" ca="1" si="763"/>
        <v>1.0526315789473717E-2</v>
      </c>
      <c r="BB167" s="79">
        <f t="shared" ca="1" si="763"/>
        <v>1.048218029350112E-2</v>
      </c>
      <c r="BC167" s="79">
        <f t="shared" ca="1" si="763"/>
        <v>1.0438413361169019E-2</v>
      </c>
      <c r="BD167" s="79">
        <f t="shared" ca="1" si="763"/>
        <v>1.0395010395010562E-2</v>
      </c>
      <c r="BE167" s="79">
        <f t="shared" ca="1" si="763"/>
        <v>1.0351966873705987E-2</v>
      </c>
      <c r="BF167" s="79">
        <f t="shared" ca="1" si="763"/>
        <v>1.0309278350515427E-2</v>
      </c>
      <c r="BG167" s="79">
        <f t="shared" ca="1" si="763"/>
        <v>1.0266940451745477E-2</v>
      </c>
      <c r="BH167" s="79">
        <f t="shared" ca="1" si="763"/>
        <v>1.0224948875255713E-2</v>
      </c>
      <c r="BI167" s="79">
        <f t="shared" ca="1" si="763"/>
        <v>1.0183299389001865E-2</v>
      </c>
      <c r="BJ167" s="79">
        <f t="shared" ca="1" si="763"/>
        <v>1.0141987829614729E-2</v>
      </c>
      <c r="BK167" s="207"/>
      <c r="BL167" s="6"/>
      <c r="BM167" s="6"/>
      <c r="BN167" s="6"/>
      <c r="BO167" s="212"/>
      <c r="BP167" s="212"/>
      <c r="BQ167" s="212"/>
      <c r="BR167" s="212"/>
      <c r="BS167" s="212"/>
      <c r="BT167" s="212"/>
      <c r="BU167" s="212"/>
      <c r="BV167" s="212"/>
      <c r="BW167" s="212"/>
      <c r="BX167" s="212"/>
      <c r="BY167" s="212"/>
      <c r="BZ167" s="207"/>
    </row>
    <row r="168" spans="1:78" ht="12" customHeight="1">
      <c r="A168" s="207"/>
      <c r="B168" s="500" t="s">
        <v>675</v>
      </c>
      <c r="C168" s="208"/>
      <c r="D168" s="208"/>
      <c r="E168" s="208"/>
      <c r="F168" s="208"/>
      <c r="G168" s="208"/>
      <c r="H168" s="208"/>
      <c r="I168" s="208"/>
      <c r="J168" s="208"/>
      <c r="K168" s="208"/>
      <c r="L168" s="208"/>
      <c r="M168" s="208"/>
      <c r="N168" s="208"/>
      <c r="O168" s="207"/>
      <c r="P168" s="123"/>
      <c r="Q168" s="6"/>
      <c r="R168" s="6"/>
      <c r="S168" s="498"/>
      <c r="T168" s="498"/>
      <c r="U168" s="498"/>
      <c r="V168" s="498"/>
      <c r="W168" s="209">
        <f t="shared" ref="W168:AE168" si="764">+W165*12</f>
        <v>18072</v>
      </c>
      <c r="X168" s="209">
        <f t="shared" si="764"/>
        <v>17220</v>
      </c>
      <c r="Y168" s="209">
        <f t="shared" si="764"/>
        <v>8328</v>
      </c>
      <c r="Z168" s="209">
        <f t="shared" si="764"/>
        <v>11400</v>
      </c>
      <c r="AA168" s="209">
        <f t="shared" si="764"/>
        <v>18252</v>
      </c>
      <c r="AB168" s="209">
        <f t="shared" si="764"/>
        <v>13428</v>
      </c>
      <c r="AC168" s="209">
        <f t="shared" si="764"/>
        <v>13344</v>
      </c>
      <c r="AD168" s="209">
        <f t="shared" si="764"/>
        <v>43560</v>
      </c>
      <c r="AE168" s="209">
        <f t="shared" si="764"/>
        <v>43320</v>
      </c>
      <c r="AF168" s="209">
        <f t="shared" ref="AF168:AX168" si="765">+AF165*12</f>
        <v>58392</v>
      </c>
      <c r="AG168" s="209">
        <f t="shared" si="765"/>
        <v>27000</v>
      </c>
      <c r="AH168" s="209">
        <f t="shared" si="765"/>
        <v>19080</v>
      </c>
      <c r="AI168" s="209">
        <f t="shared" si="765"/>
        <v>31584</v>
      </c>
      <c r="AJ168" s="209">
        <f t="shared" ref="AJ168:AK168" si="766">+AJ165*12</f>
        <v>29604</v>
      </c>
      <c r="AK168" s="209">
        <f t="shared" si="766"/>
        <v>26736</v>
      </c>
      <c r="AL168" s="209">
        <f t="shared" ref="AL168" si="767">+AL165*12</f>
        <v>17556</v>
      </c>
      <c r="AM168" s="209">
        <f t="shared" ca="1" si="765"/>
        <v>31200</v>
      </c>
      <c r="AN168" s="209">
        <f t="shared" ca="1" si="765"/>
        <v>31812</v>
      </c>
      <c r="AO168" s="209">
        <f t="shared" ca="1" si="765"/>
        <v>32428</v>
      </c>
      <c r="AP168" s="209">
        <f t="shared" ca="1" si="765"/>
        <v>33048</v>
      </c>
      <c r="AQ168" s="209">
        <f t="shared" ca="1" si="765"/>
        <v>29900</v>
      </c>
      <c r="AR168" s="209">
        <f t="shared" ca="1" si="765"/>
        <v>30030</v>
      </c>
      <c r="AS168" s="209">
        <f t="shared" ca="1" si="765"/>
        <v>30160</v>
      </c>
      <c r="AT168" s="209">
        <f t="shared" ca="1" si="765"/>
        <v>30290</v>
      </c>
      <c r="AU168" s="209">
        <f t="shared" ca="1" si="765"/>
        <v>30420</v>
      </c>
      <c r="AV168" s="209">
        <f t="shared" ca="1" si="765"/>
        <v>30550</v>
      </c>
      <c r="AW168" s="209">
        <f t="shared" ca="1" si="765"/>
        <v>30680</v>
      </c>
      <c r="AX168" s="209">
        <f t="shared" ca="1" si="765"/>
        <v>30810</v>
      </c>
      <c r="AY168" s="209">
        <f t="shared" ref="AY168:BJ168" ca="1" si="768">+AY165*12</f>
        <v>30940</v>
      </c>
      <c r="AZ168" s="209">
        <f t="shared" ca="1" si="768"/>
        <v>31070</v>
      </c>
      <c r="BA168" s="209">
        <f t="shared" ca="1" si="768"/>
        <v>31200</v>
      </c>
      <c r="BB168" s="209">
        <f t="shared" ca="1" si="768"/>
        <v>31330</v>
      </c>
      <c r="BC168" s="209">
        <f t="shared" ca="1" si="768"/>
        <v>31460</v>
      </c>
      <c r="BD168" s="209">
        <f t="shared" ca="1" si="768"/>
        <v>31590</v>
      </c>
      <c r="BE168" s="209">
        <f t="shared" ca="1" si="768"/>
        <v>31720</v>
      </c>
      <c r="BF168" s="209">
        <f t="shared" ca="1" si="768"/>
        <v>31850</v>
      </c>
      <c r="BG168" s="209">
        <f t="shared" ca="1" si="768"/>
        <v>31980</v>
      </c>
      <c r="BH168" s="209">
        <f t="shared" ca="1" si="768"/>
        <v>32110</v>
      </c>
      <c r="BI168" s="209">
        <f t="shared" ca="1" si="768"/>
        <v>32240</v>
      </c>
      <c r="BJ168" s="209">
        <f t="shared" ca="1" si="768"/>
        <v>32370</v>
      </c>
      <c r="BK168" s="207"/>
      <c r="BL168" s="6"/>
      <c r="BM168" s="6"/>
      <c r="BN168" s="6"/>
      <c r="BO168" s="212"/>
      <c r="BP168" s="212"/>
      <c r="BQ168" s="212"/>
      <c r="BR168" s="212"/>
      <c r="BS168" s="212"/>
      <c r="BT168" s="212"/>
      <c r="BU168" s="212"/>
      <c r="BV168" s="212"/>
      <c r="BW168" s="212"/>
      <c r="BX168" s="212"/>
      <c r="BY168" s="212"/>
      <c r="BZ168" s="207"/>
    </row>
    <row r="169" spans="1:78" ht="12" customHeight="1">
      <c r="A169" s="207"/>
      <c r="B169" s="497" t="s">
        <v>591</v>
      </c>
      <c r="C169" s="208"/>
      <c r="D169" s="208"/>
      <c r="E169" s="208"/>
      <c r="F169" s="208"/>
      <c r="G169" s="208"/>
      <c r="H169" s="208"/>
      <c r="I169" s="208"/>
      <c r="J169" s="208"/>
      <c r="K169" s="208"/>
      <c r="L169" s="208"/>
      <c r="M169" s="208"/>
      <c r="N169" s="208"/>
      <c r="O169" s="207"/>
      <c r="P169" s="123"/>
      <c r="Q169" s="6"/>
      <c r="R169" s="6"/>
      <c r="S169" s="498">
        <v>3100</v>
      </c>
      <c r="T169" s="498">
        <v>3800</v>
      </c>
      <c r="U169" s="498">
        <v>12800</v>
      </c>
      <c r="V169" s="498">
        <v>7300</v>
      </c>
      <c r="W169" s="498">
        <v>16058</v>
      </c>
      <c r="X169" s="498">
        <v>17374</v>
      </c>
      <c r="Y169" s="498">
        <v>3410</v>
      </c>
      <c r="Z169" s="498">
        <v>5262</v>
      </c>
      <c r="AA169" s="498">
        <v>9759</v>
      </c>
      <c r="AB169" s="498">
        <v>4758</v>
      </c>
      <c r="AC169" s="498">
        <v>4815</v>
      </c>
      <c r="AD169" s="498">
        <v>30012</v>
      </c>
      <c r="AE169" s="498">
        <v>25468</v>
      </c>
      <c r="AF169" s="498">
        <v>40272</v>
      </c>
      <c r="AG169" s="498">
        <v>16930</v>
      </c>
      <c r="AH169" s="498">
        <v>9038</v>
      </c>
      <c r="AI169" s="498">
        <v>18259</v>
      </c>
      <c r="AJ169" s="498">
        <v>16673</v>
      </c>
      <c r="AK169" s="498">
        <v>14830</v>
      </c>
      <c r="AL169" s="498">
        <v>8600</v>
      </c>
      <c r="AM169" s="212"/>
      <c r="AN169" s="212"/>
      <c r="AO169" s="212"/>
      <c r="AP169" s="212"/>
      <c r="AQ169" s="212"/>
      <c r="AR169" s="212"/>
      <c r="AS169" s="212"/>
      <c r="AT169" s="212"/>
      <c r="AU169" s="212"/>
      <c r="AV169" s="212"/>
      <c r="AW169" s="212"/>
      <c r="AX169" s="212"/>
      <c r="AY169" s="212"/>
      <c r="AZ169" s="212"/>
      <c r="BA169" s="212"/>
      <c r="BB169" s="212"/>
      <c r="BC169" s="212"/>
      <c r="BD169" s="212"/>
      <c r="BE169" s="212"/>
      <c r="BF169" s="212"/>
      <c r="BG169" s="212"/>
      <c r="BH169" s="212"/>
      <c r="BI169" s="212"/>
      <c r="BJ169" s="212"/>
      <c r="BK169" s="207"/>
      <c r="BL169" s="6"/>
      <c r="BM169" s="6"/>
      <c r="BN169" s="6"/>
      <c r="BO169" s="212"/>
      <c r="BP169" s="212"/>
      <c r="BQ169" s="212"/>
      <c r="BR169" s="212"/>
      <c r="BS169" s="212"/>
      <c r="BT169" s="212"/>
      <c r="BU169" s="212"/>
      <c r="BV169" s="212"/>
      <c r="BW169" s="212"/>
      <c r="BX169" s="212"/>
      <c r="BY169" s="212"/>
      <c r="BZ169" s="207"/>
    </row>
    <row r="170" spans="1:78" ht="12" customHeight="1">
      <c r="A170" s="207"/>
      <c r="B170" s="497" t="s">
        <v>592</v>
      </c>
      <c r="C170" s="208"/>
      <c r="D170" s="208"/>
      <c r="E170" s="208"/>
      <c r="F170" s="208"/>
      <c r="G170" s="208"/>
      <c r="H170" s="208"/>
      <c r="I170" s="208"/>
      <c r="J170" s="208"/>
      <c r="K170" s="208"/>
      <c r="L170" s="208"/>
      <c r="M170" s="208"/>
      <c r="N170" s="208"/>
      <c r="O170" s="207"/>
      <c r="P170" s="123"/>
      <c r="Q170" s="6"/>
      <c r="R170" s="6"/>
      <c r="S170" s="498"/>
      <c r="T170" s="498"/>
      <c r="U170" s="498"/>
      <c r="V170" s="498"/>
      <c r="W170" s="498">
        <v>64</v>
      </c>
      <c r="X170" s="498">
        <v>91</v>
      </c>
      <c r="Y170" s="498">
        <v>79</v>
      </c>
      <c r="Z170" s="498">
        <v>69</v>
      </c>
      <c r="AA170" s="498">
        <v>83</v>
      </c>
      <c r="AB170" s="498">
        <v>90</v>
      </c>
      <c r="AC170" s="498">
        <v>57</v>
      </c>
      <c r="AD170" s="498">
        <v>107</v>
      </c>
      <c r="AE170" s="498">
        <v>144</v>
      </c>
      <c r="AF170" s="498">
        <v>112</v>
      </c>
      <c r="AG170" s="498">
        <v>63</v>
      </c>
      <c r="AH170" s="498">
        <v>63</v>
      </c>
      <c r="AI170" s="498">
        <v>103</v>
      </c>
      <c r="AJ170" s="498">
        <v>86</v>
      </c>
      <c r="AK170" s="498">
        <v>68</v>
      </c>
      <c r="AL170" s="498">
        <v>61</v>
      </c>
      <c r="AM170" s="212"/>
      <c r="AN170" s="212"/>
      <c r="AO170" s="212"/>
      <c r="AP170" s="212"/>
      <c r="AQ170" s="212"/>
      <c r="AR170" s="212"/>
      <c r="AS170" s="212"/>
      <c r="AT170" s="212"/>
      <c r="AU170" s="212"/>
      <c r="AV170" s="212"/>
      <c r="AW170" s="212"/>
      <c r="AX170" s="212"/>
      <c r="AY170" s="212"/>
      <c r="AZ170" s="212"/>
      <c r="BA170" s="212"/>
      <c r="BB170" s="212"/>
      <c r="BC170" s="212"/>
      <c r="BD170" s="212"/>
      <c r="BE170" s="212"/>
      <c r="BF170" s="212"/>
      <c r="BG170" s="212"/>
      <c r="BH170" s="212"/>
      <c r="BI170" s="212"/>
      <c r="BJ170" s="212"/>
      <c r="BK170" s="207"/>
      <c r="BL170" s="6"/>
      <c r="BM170" s="6"/>
      <c r="BN170" s="6"/>
      <c r="BO170" s="212"/>
      <c r="BP170" s="212"/>
      <c r="BQ170" s="212"/>
      <c r="BR170" s="212"/>
      <c r="BS170" s="212"/>
      <c r="BT170" s="212"/>
      <c r="BU170" s="212"/>
      <c r="BV170" s="212"/>
      <c r="BW170" s="212"/>
      <c r="BX170" s="212"/>
      <c r="BY170" s="212"/>
      <c r="BZ170" s="207"/>
    </row>
    <row r="171" spans="1:78" ht="12" customHeight="1">
      <c r="A171" s="207"/>
      <c r="B171" s="497" t="s">
        <v>595</v>
      </c>
      <c r="C171" s="208"/>
      <c r="D171" s="208"/>
      <c r="E171" s="208"/>
      <c r="F171" s="208"/>
      <c r="G171" s="208"/>
      <c r="H171" s="208"/>
      <c r="I171" s="208"/>
      <c r="J171" s="208"/>
      <c r="K171" s="208"/>
      <c r="L171" s="208"/>
      <c r="M171" s="208"/>
      <c r="N171" s="208"/>
      <c r="O171" s="207"/>
      <c r="P171" s="123"/>
      <c r="Q171" s="6"/>
      <c r="R171" s="6"/>
      <c r="S171" s="498"/>
      <c r="T171" s="498">
        <v>65</v>
      </c>
      <c r="U171" s="498">
        <v>57</v>
      </c>
      <c r="V171" s="498">
        <v>43</v>
      </c>
      <c r="W171" s="498">
        <v>270</v>
      </c>
      <c r="X171" s="498">
        <v>275</v>
      </c>
      <c r="Y171" s="498">
        <v>287</v>
      </c>
      <c r="Z171" s="498">
        <v>335</v>
      </c>
      <c r="AA171" s="498">
        <v>326</v>
      </c>
      <c r="AB171" s="498">
        <v>372</v>
      </c>
      <c r="AC171" s="498">
        <v>392</v>
      </c>
      <c r="AD171" s="498">
        <v>326</v>
      </c>
      <c r="AE171" s="498">
        <v>375</v>
      </c>
      <c r="AF171" s="498">
        <v>363</v>
      </c>
      <c r="AG171" s="498">
        <v>389</v>
      </c>
      <c r="AH171" s="498">
        <v>358</v>
      </c>
      <c r="AI171" s="498">
        <v>480</v>
      </c>
      <c r="AJ171" s="498">
        <v>451</v>
      </c>
      <c r="AK171" s="498">
        <v>411</v>
      </c>
      <c r="AL171" s="498">
        <v>395</v>
      </c>
      <c r="AM171" s="212"/>
      <c r="AN171" s="212"/>
      <c r="AO171" s="212"/>
      <c r="AP171" s="212"/>
      <c r="AQ171" s="212"/>
      <c r="AR171" s="212"/>
      <c r="AS171" s="212"/>
      <c r="AT171" s="212"/>
      <c r="AU171" s="212"/>
      <c r="AV171" s="212"/>
      <c r="AW171" s="212"/>
      <c r="AX171" s="212"/>
      <c r="AY171" s="212"/>
      <c r="AZ171" s="212"/>
      <c r="BA171" s="212"/>
      <c r="BB171" s="212"/>
      <c r="BC171" s="212"/>
      <c r="BD171" s="212"/>
      <c r="BE171" s="212"/>
      <c r="BF171" s="212"/>
      <c r="BG171" s="212"/>
      <c r="BH171" s="212"/>
      <c r="BI171" s="212"/>
      <c r="BJ171" s="212"/>
      <c r="BK171" s="207"/>
      <c r="BL171" s="6"/>
      <c r="BM171" s="6"/>
      <c r="BN171" s="6"/>
      <c r="BO171" s="212"/>
      <c r="BP171" s="212"/>
      <c r="BQ171" s="212"/>
      <c r="BR171" s="212"/>
      <c r="BS171" s="212"/>
      <c r="BT171" s="212"/>
      <c r="BU171" s="212"/>
      <c r="BV171" s="212"/>
      <c r="BW171" s="212"/>
      <c r="BX171" s="212"/>
      <c r="BY171" s="212"/>
      <c r="BZ171" s="207"/>
    </row>
    <row r="172" spans="1:78" ht="12" customHeight="1">
      <c r="A172" s="207"/>
      <c r="B172" s="497" t="s">
        <v>615</v>
      </c>
      <c r="C172" s="208"/>
      <c r="D172" s="208"/>
      <c r="E172" s="208"/>
      <c r="F172" s="208"/>
      <c r="G172" s="208"/>
      <c r="H172" s="208"/>
      <c r="I172" s="208"/>
      <c r="J172" s="208"/>
      <c r="K172" s="208"/>
      <c r="L172" s="208"/>
      <c r="M172" s="208"/>
      <c r="N172" s="208"/>
      <c r="O172" s="207"/>
      <c r="P172" s="123"/>
      <c r="Q172" s="6"/>
      <c r="R172" s="6"/>
      <c r="S172" s="498"/>
      <c r="T172" s="498"/>
      <c r="U172" s="498"/>
      <c r="V172" s="498"/>
      <c r="W172" s="498"/>
      <c r="X172" s="498"/>
      <c r="Y172" s="498"/>
      <c r="Z172" s="498"/>
      <c r="AA172" s="498"/>
      <c r="AB172" s="498"/>
      <c r="AC172" s="498"/>
      <c r="AD172" s="502">
        <v>41.5</v>
      </c>
      <c r="AE172" s="502">
        <v>74.2</v>
      </c>
      <c r="AF172" s="502">
        <v>82.4</v>
      </c>
      <c r="AG172" s="502">
        <v>67.599999999999994</v>
      </c>
      <c r="AH172" s="502">
        <v>58.7</v>
      </c>
      <c r="AI172" s="502">
        <v>44.1</v>
      </c>
      <c r="AJ172" s="502">
        <v>49.4</v>
      </c>
      <c r="AK172" s="502">
        <v>37.1</v>
      </c>
      <c r="AL172" s="502">
        <v>20.399999999999999</v>
      </c>
      <c r="AM172" s="212"/>
      <c r="AN172" s="212"/>
      <c r="AO172" s="212"/>
      <c r="AP172" s="212"/>
      <c r="AQ172" s="212"/>
      <c r="AR172" s="212"/>
      <c r="AS172" s="212"/>
      <c r="AT172" s="212"/>
      <c r="AU172" s="212"/>
      <c r="AV172" s="212"/>
      <c r="AW172" s="212"/>
      <c r="AX172" s="212"/>
      <c r="AY172" s="212"/>
      <c r="AZ172" s="212"/>
      <c r="BA172" s="212"/>
      <c r="BB172" s="212"/>
      <c r="BC172" s="212"/>
      <c r="BD172" s="212"/>
      <c r="BE172" s="212"/>
      <c r="BF172" s="212"/>
      <c r="BG172" s="212"/>
      <c r="BH172" s="212"/>
      <c r="BI172" s="212"/>
      <c r="BJ172" s="212"/>
      <c r="BK172" s="207"/>
      <c r="BL172" s="6"/>
      <c r="BM172" s="6"/>
      <c r="BN172" s="6"/>
      <c r="BO172" s="212"/>
      <c r="BP172" s="212"/>
      <c r="BQ172" s="212"/>
      <c r="BR172" s="212"/>
      <c r="BS172" s="212"/>
      <c r="BT172" s="212"/>
      <c r="BU172" s="212"/>
      <c r="BV172" s="212"/>
      <c r="BW172" s="212"/>
      <c r="BX172" s="212"/>
      <c r="BY172" s="212"/>
      <c r="BZ172" s="207"/>
    </row>
    <row r="173" spans="1:78" ht="12" customHeight="1">
      <c r="A173" s="207"/>
      <c r="B173" s="208"/>
      <c r="C173" s="208"/>
      <c r="D173" s="208"/>
      <c r="E173" s="208"/>
      <c r="F173" s="208"/>
      <c r="G173" s="208"/>
      <c r="H173" s="208"/>
      <c r="I173" s="208"/>
      <c r="J173" s="208"/>
      <c r="K173" s="208"/>
      <c r="L173" s="208"/>
      <c r="M173" s="208"/>
      <c r="N173" s="208"/>
      <c r="O173" s="207"/>
      <c r="P173" s="123"/>
      <c r="Q173" s="6"/>
      <c r="R173" s="6"/>
      <c r="S173" s="6"/>
      <c r="T173" s="6"/>
      <c r="U173" s="6"/>
      <c r="V173" s="6"/>
      <c r="W173" s="6"/>
      <c r="X173" s="6"/>
      <c r="Y173" s="6"/>
      <c r="Z173" s="6"/>
      <c r="AA173" s="6"/>
      <c r="AB173" s="6"/>
      <c r="AC173" s="6"/>
      <c r="AD173" s="6"/>
      <c r="AE173" s="6"/>
      <c r="AF173" s="6"/>
      <c r="AG173" s="6"/>
      <c r="AH173" s="6"/>
      <c r="AI173" s="6"/>
      <c r="AJ173" s="6"/>
      <c r="AK173" s="6"/>
      <c r="AL173" s="6"/>
      <c r="AM173" s="212"/>
      <c r="AN173" s="212"/>
      <c r="AO173" s="212"/>
      <c r="AP173" s="212"/>
      <c r="AQ173" s="212"/>
      <c r="AR173" s="212"/>
      <c r="AS173" s="212"/>
      <c r="AT173" s="212"/>
      <c r="AU173" s="212"/>
      <c r="AV173" s="212"/>
      <c r="AW173" s="212"/>
      <c r="AX173" s="212"/>
      <c r="AY173" s="212"/>
      <c r="AZ173" s="212"/>
      <c r="BA173" s="212"/>
      <c r="BB173" s="212"/>
      <c r="BC173" s="212"/>
      <c r="BD173" s="212"/>
      <c r="BE173" s="212"/>
      <c r="BF173" s="212"/>
      <c r="BG173" s="212"/>
      <c r="BH173" s="212"/>
      <c r="BI173" s="212"/>
      <c r="BJ173" s="212"/>
      <c r="BK173" s="207"/>
      <c r="BL173" s="6"/>
      <c r="BM173" s="6"/>
      <c r="BN173" s="6"/>
      <c r="BO173" s="6"/>
      <c r="BP173" s="6"/>
      <c r="BQ173" s="6"/>
      <c r="BR173" s="6"/>
      <c r="BS173" s="6"/>
      <c r="BT173" s="6"/>
      <c r="BU173" s="6"/>
      <c r="BV173" s="6"/>
      <c r="BW173" s="6"/>
      <c r="BX173" s="6"/>
      <c r="BY173" s="6"/>
      <c r="BZ173" s="207"/>
    </row>
    <row r="174" spans="1:78" ht="12" customHeight="1">
      <c r="A174" s="216"/>
      <c r="B174" s="217" t="s">
        <v>294</v>
      </c>
      <c r="C174" s="217"/>
      <c r="D174" s="217"/>
      <c r="E174" s="217"/>
      <c r="F174" s="217"/>
      <c r="G174" s="217"/>
      <c r="H174" s="217"/>
      <c r="I174" s="217"/>
      <c r="J174" s="217"/>
      <c r="K174" s="217"/>
      <c r="L174" s="217"/>
      <c r="M174" s="217"/>
      <c r="N174" s="217"/>
      <c r="O174" s="207"/>
      <c r="P174" s="123"/>
      <c r="Q174" s="6"/>
      <c r="R174" s="6"/>
      <c r="S174" s="209"/>
      <c r="T174" s="209">
        <f t="shared" ref="T174:AL174" si="769">+T126-S126</f>
        <v>48945</v>
      </c>
      <c r="U174" s="209">
        <f t="shared" si="769"/>
        <v>22078</v>
      </c>
      <c r="V174" s="209">
        <f t="shared" si="769"/>
        <v>60106</v>
      </c>
      <c r="W174" s="209">
        <f t="shared" si="769"/>
        <v>78632</v>
      </c>
      <c r="X174" s="209">
        <f t="shared" si="769"/>
        <v>63319</v>
      </c>
      <c r="Y174" s="209">
        <f t="shared" si="769"/>
        <v>5992</v>
      </c>
      <c r="Z174" s="209">
        <f t="shared" si="769"/>
        <v>24516</v>
      </c>
      <c r="AA174" s="209">
        <f t="shared" si="769"/>
        <v>37461</v>
      </c>
      <c r="AB174" s="209">
        <f t="shared" si="769"/>
        <v>91595</v>
      </c>
      <c r="AC174" s="209">
        <f t="shared" si="769"/>
        <v>157968</v>
      </c>
      <c r="AD174" s="209">
        <f t="shared" si="769"/>
        <v>61838</v>
      </c>
      <c r="AE174" s="209">
        <f t="shared" si="769"/>
        <v>33960</v>
      </c>
      <c r="AF174" s="209">
        <f t="shared" si="769"/>
        <v>398232</v>
      </c>
      <c r="AG174" s="209">
        <f t="shared" si="769"/>
        <v>49209</v>
      </c>
      <c r="AH174" s="209">
        <f t="shared" si="769"/>
        <v>24591</v>
      </c>
      <c r="AI174" s="209">
        <f t="shared" si="769"/>
        <v>397060</v>
      </c>
      <c r="AJ174" s="209">
        <f t="shared" si="769"/>
        <v>98819</v>
      </c>
      <c r="AK174" s="209">
        <f t="shared" si="769"/>
        <v>555023</v>
      </c>
      <c r="AL174" s="209">
        <f t="shared" si="769"/>
        <v>136243</v>
      </c>
      <c r="AM174" s="212">
        <f>+AL153*1.25</f>
        <v>107500</v>
      </c>
      <c r="AN174" s="212">
        <f t="shared" ref="AN174:AP174" ca="1" si="770">+AM153*1.25</f>
        <v>150000</v>
      </c>
      <c r="AO174" s="212">
        <f t="shared" ca="1" si="770"/>
        <v>150625</v>
      </c>
      <c r="AP174" s="212">
        <f t="shared" ca="1" si="770"/>
        <v>151250</v>
      </c>
      <c r="AQ174" s="212">
        <f t="shared" ref="AQ174:AX174" ca="1" si="771">+AP153*1.1</f>
        <v>133650</v>
      </c>
      <c r="AR174" s="212">
        <f t="shared" ca="1" si="771"/>
        <v>126500.00000000001</v>
      </c>
      <c r="AS174" s="212">
        <f t="shared" ca="1" si="771"/>
        <v>127050.00000000001</v>
      </c>
      <c r="AT174" s="212">
        <f t="shared" ca="1" si="771"/>
        <v>127600.00000000001</v>
      </c>
      <c r="AU174" s="212">
        <f t="shared" ca="1" si="771"/>
        <v>128150.00000000001</v>
      </c>
      <c r="AV174" s="212">
        <f t="shared" ca="1" si="771"/>
        <v>128700.00000000001</v>
      </c>
      <c r="AW174" s="212">
        <f t="shared" ca="1" si="771"/>
        <v>129250.00000000001</v>
      </c>
      <c r="AX174" s="212">
        <f t="shared" ca="1" si="771"/>
        <v>129800.00000000001</v>
      </c>
      <c r="AY174" s="212">
        <f t="shared" ref="AY174" ca="1" si="772">+AX153*1.1</f>
        <v>130350.00000000001</v>
      </c>
      <c r="AZ174" s="212">
        <f t="shared" ref="AZ174" ca="1" si="773">+AY153*1.1</f>
        <v>130900.00000000001</v>
      </c>
      <c r="BA174" s="212">
        <f t="shared" ref="BA174" ca="1" si="774">+AZ153*1.1</f>
        <v>131450</v>
      </c>
      <c r="BB174" s="212">
        <f t="shared" ref="BB174" ca="1" si="775">+BA153*1.1</f>
        <v>132000</v>
      </c>
      <c r="BC174" s="212">
        <f t="shared" ref="BC174" ca="1" si="776">+BB153*1.1</f>
        <v>132550</v>
      </c>
      <c r="BD174" s="212">
        <f t="shared" ref="BD174" ca="1" si="777">+BC153*1.1</f>
        <v>133100</v>
      </c>
      <c r="BE174" s="212">
        <f t="shared" ref="BE174" ca="1" si="778">+BD153*1.1</f>
        <v>133650</v>
      </c>
      <c r="BF174" s="212">
        <f t="shared" ref="BF174" ca="1" si="779">+BE153*1.1</f>
        <v>134200</v>
      </c>
      <c r="BG174" s="212">
        <f t="shared" ref="BG174" ca="1" si="780">+BF153*1.1</f>
        <v>134750</v>
      </c>
      <c r="BH174" s="212">
        <f t="shared" ref="BH174" ca="1" si="781">+BG153*1.1</f>
        <v>135300</v>
      </c>
      <c r="BI174" s="212">
        <f t="shared" ref="BI174" ca="1" si="782">+BH153*1.1</f>
        <v>135850</v>
      </c>
      <c r="BJ174" s="212">
        <f t="shared" ref="BJ174" ca="1" si="783">+BI153*1.1</f>
        <v>136400</v>
      </c>
      <c r="BK174" s="207"/>
      <c r="BL174" s="6"/>
      <c r="BM174" s="6"/>
      <c r="BN174" s="212"/>
      <c r="BO174" s="209"/>
      <c r="BP174" s="209"/>
      <c r="BQ174" s="209">
        <f>+SUM(AA174:AD174)</f>
        <v>348862</v>
      </c>
      <c r="BR174" s="209">
        <f>+SUM(AE174:AH174)</f>
        <v>505992</v>
      </c>
      <c r="BS174" s="209">
        <f>+SUM(AI174:AL174)</f>
        <v>1187145</v>
      </c>
      <c r="BT174" s="209">
        <f ca="1">+SUM(AM174:AP174)</f>
        <v>559375</v>
      </c>
      <c r="BU174" s="209">
        <f ca="1">+SUM(AQ174:AT174)</f>
        <v>514800</v>
      </c>
      <c r="BV174" s="209">
        <f ca="1">+SUM(AU174:AX174)</f>
        <v>515900.00000000006</v>
      </c>
      <c r="BW174" s="209">
        <f ca="1">SUM(AY174:BB174)</f>
        <v>524700</v>
      </c>
      <c r="BX174" s="209">
        <f ca="1">SUM(BC174:BF174)</f>
        <v>533500</v>
      </c>
      <c r="BY174" s="209">
        <f ca="1">SUM(BG174:BJ174)</f>
        <v>542300</v>
      </c>
      <c r="BZ174" s="207"/>
    </row>
    <row r="175" spans="1:78" ht="12" customHeight="1">
      <c r="A175" s="216"/>
      <c r="B175" s="217" t="s">
        <v>295</v>
      </c>
      <c r="C175" s="217"/>
      <c r="D175" s="217"/>
      <c r="E175" s="217"/>
      <c r="F175" s="217"/>
      <c r="G175" s="217"/>
      <c r="H175" s="217"/>
      <c r="I175" s="217"/>
      <c r="J175" s="217"/>
      <c r="K175" s="217"/>
      <c r="L175" s="217"/>
      <c r="M175" s="217"/>
      <c r="N175" s="217"/>
      <c r="O175" s="207"/>
      <c r="P175" s="123"/>
      <c r="Q175" s="6"/>
      <c r="R175" s="6"/>
      <c r="S175" s="6"/>
      <c r="T175" s="26">
        <f t="shared" ref="T175:Z175" si="784">+T180*1000000/T174</f>
        <v>994.99438144856492</v>
      </c>
      <c r="U175" s="26">
        <f t="shared" si="784"/>
        <v>2912.4014856418139</v>
      </c>
      <c r="V175" s="26">
        <f t="shared" si="784"/>
        <v>1048.1482713872163</v>
      </c>
      <c r="W175" s="26">
        <f t="shared" si="784"/>
        <v>817.73323837623354</v>
      </c>
      <c r="X175" s="26">
        <f t="shared" si="784"/>
        <v>1059.7135141110882</v>
      </c>
      <c r="Y175" s="26">
        <f t="shared" si="784"/>
        <v>13034.045393858478</v>
      </c>
      <c r="Z175" s="26">
        <f t="shared" si="784"/>
        <v>3642.5191711535322</v>
      </c>
      <c r="AA175" s="26">
        <f t="shared" ref="AA175:AF175" si="785">+AA180*1000000/AA174</f>
        <v>1313.365900536558</v>
      </c>
      <c r="AB175" s="26">
        <f t="shared" si="785"/>
        <v>461.81560128827994</v>
      </c>
      <c r="AC175" s="26">
        <f t="shared" si="785"/>
        <v>2944.2671933556157</v>
      </c>
      <c r="AD175" s="26">
        <f t="shared" si="785"/>
        <v>1233.8691419515508</v>
      </c>
      <c r="AE175" s="26">
        <f t="shared" si="785"/>
        <v>6171.9670200235569</v>
      </c>
      <c r="AF175" s="26">
        <f t="shared" si="785"/>
        <v>423.37130115108783</v>
      </c>
      <c r="AG175" s="26">
        <f t="shared" ref="AG175:AL175" si="786">+AG180*1000000/AG174</f>
        <v>3623.3209372269303</v>
      </c>
      <c r="AH175" s="26">
        <f t="shared" si="786"/>
        <v>7100.158594607783</v>
      </c>
      <c r="AI175" s="26">
        <f t="shared" si="786"/>
        <v>1699.4912607666352</v>
      </c>
      <c r="AJ175" s="26">
        <f t="shared" si="786"/>
        <v>3061.1522075714183</v>
      </c>
      <c r="AK175" s="26">
        <f t="shared" si="786"/>
        <v>403.76705109517985</v>
      </c>
      <c r="AL175" s="26">
        <f t="shared" si="786"/>
        <v>1507.6003904787769</v>
      </c>
      <c r="AM175" s="211">
        <f>+AVERAGE(AI175:AL175)</f>
        <v>1668.0027274780027</v>
      </c>
      <c r="AN175" s="211">
        <f t="shared" ref="AN175:AP175" si="787">+AVERAGE(AJ175:AM175)</f>
        <v>1660.1305941558444</v>
      </c>
      <c r="AO175" s="211">
        <f t="shared" si="787"/>
        <v>1309.8751908019508</v>
      </c>
      <c r="AP175" s="211">
        <f t="shared" si="787"/>
        <v>1536.4022257286438</v>
      </c>
      <c r="AQ175" s="211">
        <f t="shared" ref="AQ175:AX175" si="788">+AP175-50</f>
        <v>1486.4022257286438</v>
      </c>
      <c r="AR175" s="211">
        <f t="shared" si="788"/>
        <v>1436.4022257286438</v>
      </c>
      <c r="AS175" s="211">
        <f t="shared" si="788"/>
        <v>1386.4022257286438</v>
      </c>
      <c r="AT175" s="211">
        <f t="shared" si="788"/>
        <v>1336.4022257286438</v>
      </c>
      <c r="AU175" s="211">
        <f t="shared" si="788"/>
        <v>1286.4022257286438</v>
      </c>
      <c r="AV175" s="211">
        <f t="shared" si="788"/>
        <v>1236.4022257286438</v>
      </c>
      <c r="AW175" s="211">
        <f t="shared" si="788"/>
        <v>1186.4022257286438</v>
      </c>
      <c r="AX175" s="211">
        <f t="shared" si="788"/>
        <v>1136.4022257286438</v>
      </c>
      <c r="AY175" s="211">
        <f t="shared" ref="AY175" si="789">+AX175-50</f>
        <v>1086.4022257286438</v>
      </c>
      <c r="AZ175" s="211">
        <f t="shared" ref="AZ175" si="790">+AY175-50</f>
        <v>1036.4022257286438</v>
      </c>
      <c r="BA175" s="211">
        <f t="shared" ref="BA175" si="791">+AZ175-50</f>
        <v>986.40222572864377</v>
      </c>
      <c r="BB175" s="211">
        <f t="shared" ref="BB175" si="792">+BA175-50</f>
        <v>936.40222572864377</v>
      </c>
      <c r="BC175" s="211">
        <f t="shared" ref="BC175" si="793">+BB175-50</f>
        <v>886.40222572864377</v>
      </c>
      <c r="BD175" s="211">
        <f t="shared" ref="BD175" si="794">+BC175-50</f>
        <v>836.40222572864377</v>
      </c>
      <c r="BE175" s="211">
        <f t="shared" ref="BE175" si="795">+BD175-50</f>
        <v>786.40222572864377</v>
      </c>
      <c r="BF175" s="211">
        <f t="shared" ref="BF175" si="796">+BE175-50</f>
        <v>736.40222572864377</v>
      </c>
      <c r="BG175" s="211">
        <f t="shared" ref="BG175" si="797">+BF175-50</f>
        <v>686.40222572864377</v>
      </c>
      <c r="BH175" s="211">
        <f t="shared" ref="BH175" si="798">+BG175-50</f>
        <v>636.40222572864377</v>
      </c>
      <c r="BI175" s="211">
        <f t="shared" ref="BI175" si="799">+BH175-50</f>
        <v>586.40222572864377</v>
      </c>
      <c r="BJ175" s="211">
        <f t="shared" ref="BJ175" si="800">+BI175-50</f>
        <v>536.40222572864377</v>
      </c>
      <c r="BK175" s="207"/>
      <c r="BL175" s="6"/>
      <c r="BM175" s="6"/>
      <c r="BN175" s="212"/>
      <c r="BO175" s="212"/>
      <c r="BP175" s="212"/>
      <c r="BQ175" s="212">
        <f>+AVERAGE(AA175:AD175)</f>
        <v>1488.3294592830011</v>
      </c>
      <c r="BR175" s="212">
        <f>+AVERAGE(AE175:AH175)</f>
        <v>4329.7044632523393</v>
      </c>
      <c r="BS175" s="212">
        <f>+AVERAGE(AI175:AL175)</f>
        <v>1668.0027274780027</v>
      </c>
      <c r="BT175" s="212">
        <f>+AVERAGE(AM175:AP175)</f>
        <v>1543.6026845411102</v>
      </c>
      <c r="BU175" s="212">
        <f>+AVERAGE(AQ175:AT175)</f>
        <v>1411.4022257286438</v>
      </c>
      <c r="BV175" s="212">
        <f>+AVERAGE(AU175:AX175)</f>
        <v>1211.4022257286438</v>
      </c>
      <c r="BW175" s="212">
        <f>AVERAGE(AY175:BB175)</f>
        <v>1011.4022257286438</v>
      </c>
      <c r="BX175" s="212">
        <f>AVERAGE(BC175:BF175)</f>
        <v>811.40222572864377</v>
      </c>
      <c r="BY175" s="212">
        <f>AVERAGE(BG175:BJ175)</f>
        <v>611.40222572864377</v>
      </c>
      <c r="BZ175" s="207"/>
    </row>
    <row r="176" spans="1:78" ht="12" customHeight="1">
      <c r="B176" s="12" t="s">
        <v>97</v>
      </c>
      <c r="C176" s="12"/>
      <c r="D176" s="12"/>
      <c r="E176" s="12"/>
      <c r="F176" s="12"/>
      <c r="G176" s="12"/>
      <c r="H176" s="12"/>
      <c r="I176" s="12"/>
      <c r="J176" s="12"/>
      <c r="K176" s="12"/>
      <c r="L176" s="12"/>
      <c r="M176" s="12"/>
      <c r="N176" s="12"/>
      <c r="P176" s="22"/>
      <c r="Q176" s="22"/>
      <c r="R176" s="22"/>
      <c r="S176" s="29">
        <f t="shared" ref="S176:X176" si="801">-S381</f>
        <v>34.1</v>
      </c>
      <c r="T176" s="29">
        <f t="shared" si="801"/>
        <v>39.900000000000006</v>
      </c>
      <c r="U176" s="29">
        <f t="shared" si="801"/>
        <v>55.999999999999979</v>
      </c>
      <c r="V176" s="29">
        <f t="shared" si="801"/>
        <v>46.400000000000013</v>
      </c>
      <c r="W176" s="29">
        <f t="shared" si="801"/>
        <v>63.9</v>
      </c>
      <c r="X176" s="29">
        <f t="shared" si="801"/>
        <v>66.8</v>
      </c>
      <c r="Y176" s="29">
        <f t="shared" ref="Y176:AD176" si="802">-Y381</f>
        <v>76</v>
      </c>
      <c r="Z176" s="29">
        <f t="shared" si="802"/>
        <v>88.3</v>
      </c>
      <c r="AA176" s="29">
        <f t="shared" si="802"/>
        <v>31.7</v>
      </c>
      <c r="AB176" s="29">
        <f t="shared" si="802"/>
        <v>42</v>
      </c>
      <c r="AC176" s="29">
        <f t="shared" si="802"/>
        <v>65.5</v>
      </c>
      <c r="AD176" s="29">
        <f t="shared" si="802"/>
        <v>75.599999999999994</v>
      </c>
      <c r="AE176" s="29">
        <f t="shared" ref="AE176:AJ176" si="803">-AE381</f>
        <v>77.599999999999994</v>
      </c>
      <c r="AF176" s="29">
        <f t="shared" si="803"/>
        <v>167.66429404900816</v>
      </c>
      <c r="AG176" s="29">
        <f t="shared" si="803"/>
        <v>177.13220536756128</v>
      </c>
      <c r="AH176" s="29">
        <f t="shared" si="803"/>
        <v>173.41015169194864</v>
      </c>
      <c r="AI176" s="29">
        <f t="shared" si="803"/>
        <v>181.26289381563595</v>
      </c>
      <c r="AJ176" s="29">
        <f t="shared" si="803"/>
        <v>301.13372228704782</v>
      </c>
      <c r="AK176" s="29">
        <f t="shared" ref="AK176:AL176" si="804">-AK381</f>
        <v>222.58984830805133</v>
      </c>
      <c r="AL176" s="29">
        <f t="shared" si="804"/>
        <v>203.95705950991834</v>
      </c>
      <c r="AM176" s="29">
        <f t="shared" ref="AM176:AX176" si="805">AM175*AM174/1000000</f>
        <v>179.31029320388529</v>
      </c>
      <c r="AN176" s="29">
        <f t="shared" ca="1" si="805"/>
        <v>249.01958912337668</v>
      </c>
      <c r="AO176" s="29">
        <f t="shared" ca="1" si="805"/>
        <v>197.29995061454383</v>
      </c>
      <c r="AP176" s="29">
        <f t="shared" ca="1" si="805"/>
        <v>232.38083664145739</v>
      </c>
      <c r="AQ176" s="29">
        <f t="shared" ca="1" si="805"/>
        <v>198.65765746863323</v>
      </c>
      <c r="AR176" s="29">
        <f t="shared" ca="1" si="805"/>
        <v>181.70488155467348</v>
      </c>
      <c r="AS176" s="29">
        <f t="shared" ca="1" si="805"/>
        <v>176.14240277882422</v>
      </c>
      <c r="AT176" s="29">
        <f t="shared" ca="1" si="805"/>
        <v>170.52492400297496</v>
      </c>
      <c r="AU176" s="29">
        <f t="shared" ca="1" si="805"/>
        <v>164.85244522712571</v>
      </c>
      <c r="AV176" s="29">
        <f t="shared" ca="1" si="805"/>
        <v>159.12496645127649</v>
      </c>
      <c r="AW176" s="29">
        <f t="shared" ca="1" si="805"/>
        <v>153.34248767542724</v>
      </c>
      <c r="AX176" s="29">
        <f t="shared" ca="1" si="805"/>
        <v>147.50500889957797</v>
      </c>
      <c r="AY176" s="29">
        <f t="shared" ref="AY176:BJ176" ca="1" si="806">AY175*AY174/1000000</f>
        <v>141.61253012372873</v>
      </c>
      <c r="AZ176" s="29">
        <f t="shared" ca="1" si="806"/>
        <v>135.66505134787951</v>
      </c>
      <c r="BA176" s="29">
        <f t="shared" ca="1" si="806"/>
        <v>129.66257257203023</v>
      </c>
      <c r="BB176" s="29">
        <f t="shared" ca="1" si="806"/>
        <v>123.60509379618098</v>
      </c>
      <c r="BC176" s="29">
        <f t="shared" ca="1" si="806"/>
        <v>117.49261502033173</v>
      </c>
      <c r="BD176" s="29">
        <f t="shared" ca="1" si="806"/>
        <v>111.32513624448249</v>
      </c>
      <c r="BE176" s="29">
        <f t="shared" ca="1" si="806"/>
        <v>105.10265746863324</v>
      </c>
      <c r="BF176" s="29">
        <f t="shared" ca="1" si="806"/>
        <v>98.825178692783993</v>
      </c>
      <c r="BG176" s="29">
        <f t="shared" ca="1" si="806"/>
        <v>92.49269991693474</v>
      </c>
      <c r="BH176" s="29">
        <f t="shared" ca="1" si="806"/>
        <v>86.105221141085508</v>
      </c>
      <c r="BI176" s="29">
        <f t="shared" ca="1" si="806"/>
        <v>79.662742365236255</v>
      </c>
      <c r="BJ176" s="29">
        <f t="shared" ca="1" si="806"/>
        <v>73.16526358938701</v>
      </c>
      <c r="BL176" s="22"/>
      <c r="BM176" s="22"/>
      <c r="BN176" s="22"/>
      <c r="BO176" s="212"/>
      <c r="BP176" s="212"/>
      <c r="BQ176" s="212">
        <f>+SUM(AA176:AD176)</f>
        <v>214.79999999999998</v>
      </c>
      <c r="BR176" s="212">
        <f>+SUM(AE176:AH176)</f>
        <v>595.80665110851805</v>
      </c>
      <c r="BS176" s="212">
        <f>+SUM(AI176:AL176)</f>
        <v>908.94352392065343</v>
      </c>
      <c r="BT176" s="212">
        <f ca="1">+SUM(AM176:AP176)</f>
        <v>858.01066958326328</v>
      </c>
      <c r="BU176" s="212">
        <f ca="1">+SUM(AQ176:AT176)</f>
        <v>727.02986580510583</v>
      </c>
      <c r="BV176" s="212">
        <f ca="1">+SUM(AU176:AX176)</f>
        <v>624.82490825340744</v>
      </c>
      <c r="BW176" s="212">
        <f ca="1">SUM(AY176:BB176)</f>
        <v>530.54524783981947</v>
      </c>
      <c r="BX176" s="212">
        <f ca="1">SUM(BC176:BF176)</f>
        <v>432.74558742623145</v>
      </c>
      <c r="BY176" s="212">
        <f ca="1">SUM(BG176:BJ176)</f>
        <v>331.42592701264346</v>
      </c>
    </row>
    <row r="177" spans="1:79" ht="12" customHeight="1">
      <c r="B177" s="12" t="s">
        <v>98</v>
      </c>
      <c r="C177" s="12"/>
      <c r="D177" s="12"/>
      <c r="E177" s="12"/>
      <c r="F177" s="12"/>
      <c r="G177" s="12"/>
      <c r="H177" s="12"/>
      <c r="I177" s="12"/>
      <c r="J177" s="12"/>
      <c r="K177" s="12"/>
      <c r="L177" s="12"/>
      <c r="M177" s="12"/>
      <c r="N177" s="12"/>
      <c r="P177" s="22"/>
      <c r="Q177" s="22"/>
      <c r="R177" s="22"/>
      <c r="S177" s="22"/>
      <c r="T177" s="22"/>
      <c r="U177" s="22"/>
      <c r="V177" s="22"/>
      <c r="W177" s="22"/>
      <c r="X177" s="22"/>
      <c r="Y177" s="22"/>
      <c r="Z177" s="22"/>
      <c r="AA177" s="29">
        <f t="shared" ref="AA177:AX177" si="807">AA153*AA175/1000000</f>
        <v>78.801954032193478</v>
      </c>
      <c r="AB177" s="29">
        <f t="shared" si="807"/>
        <v>22.167148861837436</v>
      </c>
      <c r="AC177" s="29">
        <f t="shared" si="807"/>
        <v>85.383748607312853</v>
      </c>
      <c r="AD177" s="29">
        <f t="shared" si="807"/>
        <v>252.94317410006792</v>
      </c>
      <c r="AE177" s="29">
        <f t="shared" ref="AE177:AJ177" si="808">AE153*AE175/1000000</f>
        <v>1117.1260306242639</v>
      </c>
      <c r="AF177" s="29">
        <f t="shared" si="808"/>
        <v>119.39070692460677</v>
      </c>
      <c r="AG177" s="29">
        <f t="shared" si="808"/>
        <v>380.44869840882768</v>
      </c>
      <c r="AH177" s="29">
        <f t="shared" si="808"/>
        <v>525.41173600097602</v>
      </c>
      <c r="AI177" s="29">
        <f t="shared" si="808"/>
        <v>251.52470659346199</v>
      </c>
      <c r="AJ177" s="29">
        <f t="shared" si="808"/>
        <v>416.31670022971292</v>
      </c>
      <c r="AK177" s="29">
        <f t="shared" ref="AK177:AL177" si="809">AK153*AK175/1000000</f>
        <v>60.968824715372158</v>
      </c>
      <c r="AL177" s="29">
        <f t="shared" si="809"/>
        <v>129.65363358117483</v>
      </c>
      <c r="AM177" s="29">
        <f t="shared" ca="1" si="807"/>
        <v>200.16032729736034</v>
      </c>
      <c r="AN177" s="29">
        <f t="shared" ca="1" si="807"/>
        <v>200.04573659577923</v>
      </c>
      <c r="AO177" s="29">
        <f t="shared" ca="1" si="807"/>
        <v>158.49489808703603</v>
      </c>
      <c r="AP177" s="29">
        <f t="shared" ca="1" si="807"/>
        <v>186.67287042603022</v>
      </c>
      <c r="AQ177" s="29">
        <f t="shared" ca="1" si="807"/>
        <v>170.93625595879402</v>
      </c>
      <c r="AR177" s="29">
        <f t="shared" ca="1" si="807"/>
        <v>165.90445707165836</v>
      </c>
      <c r="AS177" s="29">
        <f t="shared" ca="1" si="807"/>
        <v>160.82265818452268</v>
      </c>
      <c r="AT177" s="29">
        <f t="shared" ca="1" si="807"/>
        <v>155.69085929738699</v>
      </c>
      <c r="AU177" s="29">
        <f t="shared" ca="1" si="807"/>
        <v>150.50906041025132</v>
      </c>
      <c r="AV177" s="29">
        <f t="shared" ca="1" si="807"/>
        <v>145.27726152311564</v>
      </c>
      <c r="AW177" s="29">
        <f t="shared" ca="1" si="807"/>
        <v>139.99546263597995</v>
      </c>
      <c r="AX177" s="29">
        <f t="shared" ca="1" si="807"/>
        <v>134.6636637488443</v>
      </c>
      <c r="AY177" s="29">
        <f t="shared" ref="AY177:BJ177" ca="1" si="810">AY153*AY175/1000000</f>
        <v>129.28186486170861</v>
      </c>
      <c r="AZ177" s="29">
        <f t="shared" ca="1" si="810"/>
        <v>123.85006597457293</v>
      </c>
      <c r="BA177" s="29">
        <f t="shared" ca="1" si="810"/>
        <v>118.36826708743726</v>
      </c>
      <c r="BB177" s="29">
        <f t="shared" ca="1" si="810"/>
        <v>112.83646820030157</v>
      </c>
      <c r="BC177" s="29">
        <f t="shared" ca="1" si="810"/>
        <v>107.25466931316591</v>
      </c>
      <c r="BD177" s="29">
        <f t="shared" ca="1" si="810"/>
        <v>101.62287042603022</v>
      </c>
      <c r="BE177" s="29">
        <f t="shared" ca="1" si="810"/>
        <v>95.941071538894533</v>
      </c>
      <c r="BF177" s="29">
        <f t="shared" ca="1" si="810"/>
        <v>90.209272651758866</v>
      </c>
      <c r="BG177" s="29">
        <f t="shared" ca="1" si="810"/>
        <v>84.427473764623187</v>
      </c>
      <c r="BH177" s="29">
        <f t="shared" ca="1" si="810"/>
        <v>78.595674877487511</v>
      </c>
      <c r="BI177" s="29">
        <f t="shared" ca="1" si="810"/>
        <v>72.713875990351823</v>
      </c>
      <c r="BJ177" s="29">
        <f t="shared" ca="1" si="810"/>
        <v>66.782077103216153</v>
      </c>
      <c r="BL177" s="22"/>
      <c r="BM177" s="22"/>
      <c r="BN177" s="22"/>
      <c r="BO177" s="212"/>
      <c r="BP177" s="212"/>
      <c r="BQ177" s="212">
        <f>+SUM(AA177:AD177)</f>
        <v>439.29602560141166</v>
      </c>
      <c r="BR177" s="212">
        <f>+SUM(AE177:AH177)</f>
        <v>2142.3771719586744</v>
      </c>
      <c r="BS177" s="212">
        <f>+SUM(AI177:AL177)</f>
        <v>858.46386511972196</v>
      </c>
      <c r="BT177" s="212">
        <f ca="1">+SUM(AM177:AP177)</f>
        <v>745.37383240620579</v>
      </c>
      <c r="BU177" s="212">
        <f ca="1">+SUM(AQ177:AT177)</f>
        <v>653.35423051236205</v>
      </c>
      <c r="BV177" s="212">
        <f ca="1">+SUM(AU177:AX177)</f>
        <v>570.44544831819121</v>
      </c>
      <c r="BW177" s="212">
        <f ca="1">SUM(AY177:BB177)</f>
        <v>484.33666612402038</v>
      </c>
      <c r="BX177" s="212">
        <f ca="1">SUM(BC177:BF177)</f>
        <v>395.02788392984951</v>
      </c>
      <c r="BY177" s="212">
        <f ca="1">SUM(BG177:BJ177)</f>
        <v>302.51910173567865</v>
      </c>
    </row>
    <row r="178" spans="1:79" ht="12" customHeight="1">
      <c r="B178" s="2" t="s">
        <v>99</v>
      </c>
      <c r="C178" s="2"/>
      <c r="D178" s="2"/>
      <c r="E178" s="2"/>
      <c r="F178" s="2"/>
      <c r="G178" s="2"/>
      <c r="H178" s="2"/>
      <c r="I178" s="2"/>
      <c r="J178" s="2"/>
      <c r="K178" s="2"/>
      <c r="L178" s="2"/>
      <c r="M178" s="2"/>
      <c r="N178" s="2"/>
      <c r="P178" s="7">
        <v>96</v>
      </c>
      <c r="Q178" s="7">
        <v>39</v>
      </c>
      <c r="R178" s="125">
        <v>39</v>
      </c>
      <c r="S178" s="125">
        <v>39</v>
      </c>
      <c r="T178" s="125">
        <v>39</v>
      </c>
      <c r="U178" s="125">
        <v>39</v>
      </c>
      <c r="V178" s="125">
        <v>39</v>
      </c>
      <c r="W178" s="125">
        <v>39</v>
      </c>
      <c r="X178" s="125">
        <v>39</v>
      </c>
      <c r="Y178" s="125">
        <v>39</v>
      </c>
      <c r="Z178" s="125">
        <v>39</v>
      </c>
      <c r="AA178" s="125">
        <v>39</v>
      </c>
      <c r="AB178" s="125">
        <v>39</v>
      </c>
      <c r="AC178" s="125">
        <v>39</v>
      </c>
      <c r="AD178" s="125">
        <v>39</v>
      </c>
      <c r="AE178" s="125">
        <v>39</v>
      </c>
      <c r="AF178" s="480">
        <v>39</v>
      </c>
      <c r="AG178" s="480">
        <v>39</v>
      </c>
      <c r="AH178" s="480">
        <v>39</v>
      </c>
      <c r="AI178" s="480">
        <v>39</v>
      </c>
      <c r="AJ178" s="480">
        <v>39</v>
      </c>
      <c r="AK178" s="480">
        <v>39</v>
      </c>
      <c r="AL178" s="480">
        <v>39</v>
      </c>
      <c r="AM178" s="29">
        <f t="shared" ref="AM178:AX178" ca="1" si="811">AL178+AM176-AM177</f>
        <v>18.149965906524955</v>
      </c>
      <c r="AN178" s="29">
        <f t="shared" ca="1" si="811"/>
        <v>67.123818434122398</v>
      </c>
      <c r="AO178" s="29">
        <f t="shared" ca="1" si="811"/>
        <v>105.92887096163022</v>
      </c>
      <c r="AP178" s="29">
        <f t="shared" ca="1" si="811"/>
        <v>151.63683717705743</v>
      </c>
      <c r="AQ178" s="29">
        <f t="shared" ca="1" si="811"/>
        <v>179.35823868689661</v>
      </c>
      <c r="AR178" s="29">
        <f t="shared" ca="1" si="811"/>
        <v>195.15866316991176</v>
      </c>
      <c r="AS178" s="29">
        <f t="shared" ca="1" si="811"/>
        <v>210.4784077642133</v>
      </c>
      <c r="AT178" s="29">
        <f t="shared" ca="1" si="811"/>
        <v>225.31247246980124</v>
      </c>
      <c r="AU178" s="29">
        <f t="shared" ca="1" si="811"/>
        <v>239.65585728667565</v>
      </c>
      <c r="AV178" s="29">
        <f t="shared" ca="1" si="811"/>
        <v>253.50356221483648</v>
      </c>
      <c r="AW178" s="29">
        <f t="shared" ca="1" si="811"/>
        <v>266.85058725428377</v>
      </c>
      <c r="AX178" s="29">
        <f t="shared" ca="1" si="811"/>
        <v>279.69193240501738</v>
      </c>
      <c r="AY178" s="29">
        <f t="shared" ref="AY178" ca="1" si="812">AX178+AY176-AY177</f>
        <v>292.02259766703753</v>
      </c>
      <c r="AZ178" s="29">
        <f t="shared" ref="AZ178" ca="1" si="813">AY178+AZ176-AZ177</f>
        <v>303.8375830403441</v>
      </c>
      <c r="BA178" s="29">
        <f t="shared" ref="BA178" ca="1" si="814">AZ178+BA176-BA177</f>
        <v>315.13188852493704</v>
      </c>
      <c r="BB178" s="29">
        <f t="shared" ref="BB178" ca="1" si="815">BA178+BB176-BB177</f>
        <v>325.90051412081647</v>
      </c>
      <c r="BC178" s="29">
        <f t="shared" ref="BC178" ca="1" si="816">BB178+BC176-BC177</f>
        <v>336.13845982798227</v>
      </c>
      <c r="BD178" s="29">
        <f t="shared" ref="BD178" ca="1" si="817">BC178+BD176-BD177</f>
        <v>345.84072564643458</v>
      </c>
      <c r="BE178" s="29">
        <f t="shared" ref="BE178" ca="1" si="818">BD178+BE176-BE177</f>
        <v>355.00231157617327</v>
      </c>
      <c r="BF178" s="29">
        <f t="shared" ref="BF178" ca="1" si="819">BE178+BF176-BF177</f>
        <v>363.61821761719841</v>
      </c>
      <c r="BG178" s="29">
        <f t="shared" ref="BG178" ca="1" si="820">BF178+BG176-BG177</f>
        <v>371.68344376950995</v>
      </c>
      <c r="BH178" s="29">
        <f t="shared" ref="BH178" ca="1" si="821">BG178+BH176-BH177</f>
        <v>379.19299003310795</v>
      </c>
      <c r="BI178" s="29">
        <f t="shared" ref="BI178" ca="1" si="822">BH178+BI176-BI177</f>
        <v>386.14185640799241</v>
      </c>
      <c r="BJ178" s="29">
        <f t="shared" ref="BJ178" ca="1" si="823">BI178+BJ176-BJ177</f>
        <v>392.52504289416322</v>
      </c>
      <c r="BL178" s="29"/>
      <c r="BM178" s="29"/>
      <c r="BN178" s="29"/>
      <c r="BO178" s="212"/>
      <c r="BP178" s="212"/>
      <c r="BQ178" s="212"/>
      <c r="BR178" s="212"/>
      <c r="BS178" s="212"/>
      <c r="BT178" s="212"/>
      <c r="BU178" s="212"/>
      <c r="BV178" s="212"/>
      <c r="BW178" s="212"/>
      <c r="BX178" s="212"/>
      <c r="BY178" s="212"/>
    </row>
    <row r="179" spans="1:79" ht="12" customHeight="1">
      <c r="B179" s="2" t="s">
        <v>126</v>
      </c>
      <c r="C179" s="2"/>
      <c r="D179" s="2"/>
      <c r="E179" s="2"/>
      <c r="F179" s="2"/>
      <c r="G179" s="2"/>
      <c r="H179" s="2"/>
      <c r="I179" s="2"/>
      <c r="J179" s="2"/>
      <c r="K179" s="2"/>
      <c r="L179" s="2"/>
      <c r="M179" s="2"/>
      <c r="N179" s="2"/>
      <c r="P179" s="7">
        <v>0</v>
      </c>
      <c r="Q179" s="7">
        <v>0</v>
      </c>
      <c r="R179" s="125">
        <v>0</v>
      </c>
      <c r="S179" s="125">
        <v>0</v>
      </c>
      <c r="T179" s="125">
        <v>0</v>
      </c>
      <c r="U179" s="125">
        <v>0</v>
      </c>
      <c r="V179" s="125">
        <v>0</v>
      </c>
      <c r="W179" s="125">
        <v>0</v>
      </c>
      <c r="X179" s="125">
        <v>0</v>
      </c>
      <c r="Y179" s="125">
        <v>0</v>
      </c>
      <c r="Z179" s="125">
        <v>0</v>
      </c>
      <c r="AA179" s="125">
        <v>0</v>
      </c>
      <c r="AB179" s="125">
        <v>0</v>
      </c>
      <c r="AC179" s="125">
        <v>0</v>
      </c>
      <c r="AD179" s="125">
        <v>0</v>
      </c>
      <c r="AE179" s="125">
        <v>0</v>
      </c>
      <c r="AF179" s="480">
        <v>0</v>
      </c>
      <c r="AG179" s="480">
        <v>0</v>
      </c>
      <c r="AH179" s="480">
        <v>0</v>
      </c>
      <c r="AI179" s="480">
        <v>0</v>
      </c>
      <c r="AJ179" s="480">
        <v>0</v>
      </c>
      <c r="AK179" s="480">
        <v>0</v>
      </c>
      <c r="AL179" s="480">
        <v>0</v>
      </c>
      <c r="AM179" s="29">
        <f t="shared" ref="AM179:AX179" ca="1" si="824">AL179+AM177</f>
        <v>200.16032729736034</v>
      </c>
      <c r="AN179" s="29">
        <f t="shared" ca="1" si="824"/>
        <v>400.20606389313957</v>
      </c>
      <c r="AO179" s="29">
        <f t="shared" ca="1" si="824"/>
        <v>558.70096198017563</v>
      </c>
      <c r="AP179" s="29">
        <f t="shared" ca="1" si="824"/>
        <v>745.37383240620579</v>
      </c>
      <c r="AQ179" s="29">
        <f t="shared" ca="1" si="824"/>
        <v>916.31008836499984</v>
      </c>
      <c r="AR179" s="29">
        <f t="shared" ca="1" si="824"/>
        <v>1082.2145454366582</v>
      </c>
      <c r="AS179" s="29">
        <f t="shared" ca="1" si="824"/>
        <v>1243.0372036211809</v>
      </c>
      <c r="AT179" s="29">
        <f t="shared" ca="1" si="824"/>
        <v>1398.728062918568</v>
      </c>
      <c r="AU179" s="29">
        <f t="shared" ca="1" si="824"/>
        <v>1549.2371233288193</v>
      </c>
      <c r="AV179" s="29">
        <f t="shared" ca="1" si="824"/>
        <v>1694.5143848519349</v>
      </c>
      <c r="AW179" s="29">
        <f t="shared" ca="1" si="824"/>
        <v>1834.5098474879148</v>
      </c>
      <c r="AX179" s="29">
        <f t="shared" ca="1" si="824"/>
        <v>1969.1735112367592</v>
      </c>
      <c r="AY179" s="29">
        <f t="shared" ref="AY179" ca="1" si="825">AX179+AY177</f>
        <v>2098.4553760984677</v>
      </c>
      <c r="AZ179" s="29">
        <f t="shared" ref="AZ179" ca="1" si="826">AY179+AZ177</f>
        <v>2222.3054420730405</v>
      </c>
      <c r="BA179" s="29">
        <f t="shared" ref="BA179" ca="1" si="827">AZ179+BA177</f>
        <v>2340.6737091604778</v>
      </c>
      <c r="BB179" s="29">
        <f t="shared" ref="BB179" ca="1" si="828">BA179+BB177</f>
        <v>2453.5101773607794</v>
      </c>
      <c r="BC179" s="29">
        <f t="shared" ref="BC179" ca="1" si="829">BB179+BC177</f>
        <v>2560.7648466739452</v>
      </c>
      <c r="BD179" s="29">
        <f t="shared" ref="BD179" ca="1" si="830">BC179+BD177</f>
        <v>2662.3877170999754</v>
      </c>
      <c r="BE179" s="29">
        <f t="shared" ref="BE179" ca="1" si="831">BD179+BE177</f>
        <v>2758.3287886388698</v>
      </c>
      <c r="BF179" s="29">
        <f t="shared" ref="BF179" ca="1" si="832">BE179+BF177</f>
        <v>2848.5380612906288</v>
      </c>
      <c r="BG179" s="29">
        <f t="shared" ref="BG179" ca="1" si="833">BF179+BG177</f>
        <v>2932.9655350552521</v>
      </c>
      <c r="BH179" s="29">
        <f t="shared" ref="BH179" ca="1" si="834">BG179+BH177</f>
        <v>3011.5612099327395</v>
      </c>
      <c r="BI179" s="29">
        <f t="shared" ref="BI179" ca="1" si="835">BH179+BI177</f>
        <v>3084.2750859230914</v>
      </c>
      <c r="BJ179" s="29">
        <f t="shared" ref="BJ179" ca="1" si="836">BI179+BJ177</f>
        <v>3151.0571630263075</v>
      </c>
      <c r="BL179" s="29"/>
      <c r="BM179" s="29"/>
      <c r="BN179" s="29"/>
      <c r="BO179" s="212"/>
      <c r="BP179" s="212"/>
      <c r="BQ179" s="212"/>
      <c r="BR179" s="212"/>
      <c r="BS179" s="212"/>
      <c r="BT179" s="212"/>
      <c r="BU179" s="212"/>
      <c r="BV179" s="212"/>
      <c r="BW179" s="212"/>
      <c r="BX179" s="212"/>
      <c r="BY179" s="212"/>
    </row>
    <row r="180" spans="1:79" ht="12" customHeight="1">
      <c r="B180" s="2" t="s">
        <v>387</v>
      </c>
      <c r="C180" s="2"/>
      <c r="D180" s="2"/>
      <c r="E180" s="2"/>
      <c r="F180" s="2"/>
      <c r="G180" s="2"/>
      <c r="H180" s="2"/>
      <c r="I180" s="2"/>
      <c r="J180" s="2"/>
      <c r="K180" s="2"/>
      <c r="L180" s="2"/>
      <c r="M180" s="2"/>
      <c r="N180" s="2"/>
      <c r="O180" s="29">
        <f t="shared" ref="O180:T180" si="837">-SUM(O380:O382)</f>
        <v>52.8</v>
      </c>
      <c r="P180" s="29">
        <f t="shared" si="837"/>
        <v>51.699999999999996</v>
      </c>
      <c r="Q180" s="29">
        <f t="shared" si="837"/>
        <v>41</v>
      </c>
      <c r="R180" s="29">
        <f t="shared" si="837"/>
        <v>82.800000000000011</v>
      </c>
      <c r="S180" s="29">
        <f t="shared" si="837"/>
        <v>52.599999999999994</v>
      </c>
      <c r="T180" s="29">
        <f t="shared" si="837"/>
        <v>48.70000000000001</v>
      </c>
      <c r="U180" s="29">
        <f t="shared" ref="U180:AA180" si="838">-SUM(U380:U382)</f>
        <v>64.299999999999969</v>
      </c>
      <c r="V180" s="29">
        <f t="shared" si="838"/>
        <v>63.000000000000021</v>
      </c>
      <c r="W180" s="29">
        <f t="shared" si="838"/>
        <v>64.3</v>
      </c>
      <c r="X180" s="29">
        <f t="shared" si="838"/>
        <v>67.099999999999994</v>
      </c>
      <c r="Y180" s="29">
        <f t="shared" si="838"/>
        <v>78.099999999999994</v>
      </c>
      <c r="Z180" s="29">
        <f t="shared" si="838"/>
        <v>89.3</v>
      </c>
      <c r="AA180" s="29">
        <f t="shared" si="838"/>
        <v>49.2</v>
      </c>
      <c r="AB180" s="29">
        <f t="shared" ref="AB180:AG180" si="839">-SUM(AB380:AB382)</f>
        <v>42.3</v>
      </c>
      <c r="AC180" s="29">
        <f t="shared" si="839"/>
        <v>465.09999999999997</v>
      </c>
      <c r="AD180" s="29">
        <f t="shared" si="839"/>
        <v>76.3</v>
      </c>
      <c r="AE180" s="29">
        <f t="shared" si="839"/>
        <v>209.6</v>
      </c>
      <c r="AF180" s="29">
        <f t="shared" si="839"/>
        <v>168.6</v>
      </c>
      <c r="AG180" s="29">
        <f t="shared" si="839"/>
        <v>178.3</v>
      </c>
      <c r="AH180" s="29">
        <f>-SUM(AH380:AH382)</f>
        <v>174.6</v>
      </c>
      <c r="AI180" s="29">
        <f>-SUM(AI380:AI382)</f>
        <v>674.80000000000007</v>
      </c>
      <c r="AJ180" s="29">
        <f>-SUM(AJ380:AJ382)</f>
        <v>302.5</v>
      </c>
      <c r="AK180" s="29">
        <f>-SUM(AK380:AK382)</f>
        <v>224.1</v>
      </c>
      <c r="AL180" s="29">
        <f>-SUM(AL380:AL382)</f>
        <v>205.4</v>
      </c>
      <c r="AM180" s="29">
        <f t="shared" ref="AM180:AX180" si="840">-SUM(AM380:AM382)</f>
        <v>180.87820452243838</v>
      </c>
      <c r="AN180" s="29">
        <f t="shared" ca="1" si="840"/>
        <v>692.77233124706402</v>
      </c>
      <c r="AO180" s="29">
        <f t="shared" ca="1" si="840"/>
        <v>199.14090744068153</v>
      </c>
      <c r="AP180" s="29">
        <f t="shared" ca="1" si="840"/>
        <v>384.27640256911201</v>
      </c>
      <c r="AQ180" s="29">
        <f t="shared" ca="1" si="840"/>
        <v>200.62427014450481</v>
      </c>
      <c r="AR180" s="29">
        <f t="shared" ca="1" si="840"/>
        <v>333.79967928643447</v>
      </c>
      <c r="AS180" s="29">
        <f t="shared" ca="1" si="840"/>
        <v>178.33713595259141</v>
      </c>
      <c r="AT180" s="29">
        <f t="shared" ca="1" si="840"/>
        <v>322.81528746906412</v>
      </c>
      <c r="AU180" s="29">
        <f t="shared" ca="1" si="840"/>
        <v>167.22618449430675</v>
      </c>
      <c r="AV180" s="29">
        <f t="shared" ca="1" si="840"/>
        <v>311.58148962494579</v>
      </c>
      <c r="AW180" s="29">
        <f t="shared" ca="1" si="840"/>
        <v>155.88121224066347</v>
      </c>
      <c r="AX180" s="29">
        <f t="shared" ca="1" si="840"/>
        <v>300.12536157819505</v>
      </c>
      <c r="AY180" s="29">
        <f t="shared" ref="AY180:BJ180" ca="1" si="841">-SUM(AY380:AY382)</f>
        <v>294.31394673352702</v>
      </c>
      <c r="AZ180" s="29">
        <f t="shared" ca="1" si="841"/>
        <v>288.44697666406103</v>
      </c>
      <c r="BA180" s="29">
        <f t="shared" ca="1" si="841"/>
        <v>282.52446019074461</v>
      </c>
      <c r="BB180" s="29">
        <f t="shared" ca="1" si="841"/>
        <v>276.54640600016978</v>
      </c>
      <c r="BC180" s="29">
        <f t="shared" ca="1" si="841"/>
        <v>270.5364581320207</v>
      </c>
      <c r="BD180" s="29">
        <f t="shared" ca="1" si="841"/>
        <v>264.47070944864856</v>
      </c>
      <c r="BE180" s="29">
        <f t="shared" ca="1" si="841"/>
        <v>258.34917283450392</v>
      </c>
      <c r="BF180" s="29">
        <f t="shared" ca="1" si="841"/>
        <v>252.17186097833573</v>
      </c>
      <c r="BG180" s="29">
        <f t="shared" ca="1" si="841"/>
        <v>245.93878637620239</v>
      </c>
      <c r="BH180" s="29">
        <f t="shared" ca="1" si="841"/>
        <v>239.6499613344368</v>
      </c>
      <c r="BI180" s="29">
        <f t="shared" ca="1" si="841"/>
        <v>233.30539797256588</v>
      </c>
      <c r="BJ180" s="29">
        <f t="shared" ca="1" si="841"/>
        <v>226.90510822618555</v>
      </c>
      <c r="BL180" s="29"/>
      <c r="BM180" s="29"/>
      <c r="BN180" s="29"/>
      <c r="BO180" s="29">
        <f t="shared" ref="BO180:BV180" si="842">-SUM(BO380:BO382)</f>
        <v>228.59999999999997</v>
      </c>
      <c r="BP180" s="29">
        <f t="shared" si="842"/>
        <v>298.8</v>
      </c>
      <c r="BQ180" s="29">
        <f t="shared" si="842"/>
        <v>632.9</v>
      </c>
      <c r="BR180" s="29">
        <f t="shared" si="842"/>
        <v>731.1</v>
      </c>
      <c r="BS180" s="29">
        <f>-SUM(BS380:BS382)</f>
        <v>1406.8</v>
      </c>
      <c r="BT180" s="29">
        <f t="shared" ca="1" si="842"/>
        <v>1457.067845779296</v>
      </c>
      <c r="BU180" s="29">
        <f t="shared" ca="1" si="842"/>
        <v>1035.5763728525949</v>
      </c>
      <c r="BV180" s="29">
        <f t="shared" ca="1" si="842"/>
        <v>934.81424793811118</v>
      </c>
      <c r="BW180" s="29">
        <f t="shared" ref="BW180:BY180" ca="1" si="843">-SUM(BW380:BW382)</f>
        <v>1141.8317895885025</v>
      </c>
      <c r="BX180" s="29">
        <f t="shared" ca="1" si="843"/>
        <v>1045.5282013935089</v>
      </c>
      <c r="BY180" s="29">
        <f t="shared" ca="1" si="843"/>
        <v>945.79925390939059</v>
      </c>
    </row>
    <row r="181" spans="1:79" ht="12" customHeight="1">
      <c r="A181" s="207"/>
      <c r="B181" s="300" t="s">
        <v>213</v>
      </c>
      <c r="C181" s="300"/>
      <c r="D181" s="300"/>
      <c r="E181" s="300"/>
      <c r="F181" s="300"/>
      <c r="G181" s="300"/>
      <c r="H181" s="300"/>
      <c r="I181" s="300"/>
      <c r="J181" s="300"/>
      <c r="K181" s="300"/>
      <c r="L181" s="300"/>
      <c r="M181" s="300"/>
      <c r="N181" s="300"/>
      <c r="O181" s="207"/>
      <c r="P181" s="125"/>
      <c r="Q181" s="125"/>
      <c r="R181" s="125"/>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2">
        <f t="shared" ref="AM181:AX181" ca="1" si="844">-SUM(AM381:AM382)/AM9</f>
        <v>0.9658931626008177</v>
      </c>
      <c r="AN181" s="122">
        <f t="shared" ca="1" si="844"/>
        <v>1.2571850555776825</v>
      </c>
      <c r="AO181" s="122">
        <f t="shared" ca="1" si="844"/>
        <v>0.95288489179662605</v>
      </c>
      <c r="AP181" s="122">
        <f t="shared" ca="1" si="844"/>
        <v>1.0742016782267259</v>
      </c>
      <c r="AQ181" s="122">
        <f t="shared" ca="1" si="844"/>
        <v>0.88758947397677135</v>
      </c>
      <c r="AR181" s="122">
        <f t="shared" ca="1" si="844"/>
        <v>0.78575213792113108</v>
      </c>
      <c r="AS181" s="122">
        <f t="shared" ca="1" si="844"/>
        <v>0.73771376980374537</v>
      </c>
      <c r="AT181" s="122">
        <f t="shared" ca="1" si="844"/>
        <v>0.69260256850193347</v>
      </c>
      <c r="AU181" s="122">
        <f t="shared" ca="1" si="844"/>
        <v>0.65009137258789573</v>
      </c>
      <c r="AV181" s="122">
        <f t="shared" ca="1" si="844"/>
        <v>0.60996909080712158</v>
      </c>
      <c r="AW181" s="122">
        <f t="shared" ca="1" si="844"/>
        <v>0.57200903187690255</v>
      </c>
      <c r="AX181" s="122">
        <f t="shared" ca="1" si="844"/>
        <v>0.5360121436988704</v>
      </c>
      <c r="AY181" s="122">
        <f t="shared" ref="AY181:BJ181" ca="1" si="845">-SUM(AY381:AY382)/AY9</f>
        <v>0.49790642178218436</v>
      </c>
      <c r="AZ181" s="122">
        <f t="shared" ca="1" si="845"/>
        <v>0.46221641754936366</v>
      </c>
      <c r="BA181" s="122">
        <f t="shared" ca="1" si="845"/>
        <v>0.42868695558886305</v>
      </c>
      <c r="BB181" s="122">
        <f t="shared" ca="1" si="845"/>
        <v>0.39709737666618855</v>
      </c>
      <c r="BC181" s="122">
        <f t="shared" ca="1" si="845"/>
        <v>0.36732792380934293</v>
      </c>
      <c r="BD181" s="122">
        <f t="shared" ca="1" si="845"/>
        <v>0.33913424983867879</v>
      </c>
      <c r="BE181" s="122">
        <f t="shared" ca="1" si="845"/>
        <v>0.3123698971520405</v>
      </c>
      <c r="BF181" s="122">
        <f t="shared" ca="1" si="845"/>
        <v>0.28690586776696908</v>
      </c>
      <c r="BG181" s="122">
        <f t="shared" ca="1" si="845"/>
        <v>0.26262809956417693</v>
      </c>
      <c r="BH181" s="122">
        <f t="shared" ca="1" si="845"/>
        <v>0.23943536800061044</v>
      </c>
      <c r="BI181" s="122">
        <f t="shared" ca="1" si="845"/>
        <v>0.21723753189544154</v>
      </c>
      <c r="BJ181" s="122">
        <f t="shared" ca="1" si="845"/>
        <v>0.19595405921547993</v>
      </c>
      <c r="BK181" s="207"/>
      <c r="BL181" s="212"/>
      <c r="BM181" s="212"/>
      <c r="BN181" s="212"/>
      <c r="BO181" s="122">
        <f t="shared" ref="BO181:BV181" si="846">-SUM(BO381:BO382)/BO9</f>
        <v>0.6853889943074003</v>
      </c>
      <c r="BP181" s="122">
        <f t="shared" si="846"/>
        <v>0.90299184043517688</v>
      </c>
      <c r="BQ181" s="122">
        <f t="shared" si="846"/>
        <v>0.54395191585274227</v>
      </c>
      <c r="BR181" s="122">
        <f t="shared" si="846"/>
        <v>1.134001134001134</v>
      </c>
      <c r="BS181" s="122">
        <f t="shared" si="846"/>
        <v>1.3608630952380953</v>
      </c>
      <c r="BT181" s="122">
        <f t="shared" ca="1" si="846"/>
        <v>1.0629753712582957</v>
      </c>
      <c r="BU181" s="122">
        <f t="shared" ca="1" si="846"/>
        <v>0.77330830985879673</v>
      </c>
      <c r="BV181" s="122">
        <f t="shared" ca="1" si="846"/>
        <v>0.59067346419437849</v>
      </c>
      <c r="BW181" s="122">
        <f t="shared" ref="BW181:BY181" ca="1" si="847">-SUM(BW381:BW382)/BW9</f>
        <v>0.44515012101109569</v>
      </c>
      <c r="BX181" s="122">
        <f t="shared" ca="1" si="847"/>
        <v>0.32552142955925917</v>
      </c>
      <c r="BY181" s="122">
        <f t="shared" ca="1" si="847"/>
        <v>0.22814999429714589</v>
      </c>
      <c r="BZ181" s="207"/>
      <c r="CA181" s="207"/>
    </row>
    <row r="182" spans="1:79" ht="12" customHeight="1">
      <c r="B182" s="2"/>
      <c r="C182" s="2"/>
      <c r="D182" s="2"/>
      <c r="E182" s="2"/>
      <c r="F182" s="2"/>
      <c r="G182" s="2"/>
      <c r="H182" s="2"/>
      <c r="I182" s="2"/>
      <c r="J182" s="2"/>
      <c r="K182" s="2"/>
      <c r="L182" s="2"/>
      <c r="M182" s="2"/>
      <c r="N182" s="2"/>
      <c r="P182" s="7"/>
      <c r="Q182" s="7"/>
      <c r="R182" s="7"/>
      <c r="S182" s="7"/>
      <c r="T182" s="7"/>
      <c r="U182" s="7"/>
      <c r="V182" s="7"/>
      <c r="W182" s="7"/>
      <c r="X182" s="7"/>
      <c r="Y182" s="7"/>
      <c r="Z182" s="7"/>
      <c r="AA182" s="7"/>
      <c r="AB182" s="7"/>
      <c r="AC182" s="7"/>
      <c r="AD182" s="7"/>
      <c r="AE182" s="7"/>
      <c r="AF182" s="7"/>
      <c r="AG182" s="7"/>
      <c r="AH182" s="7"/>
      <c r="AI182" s="7"/>
      <c r="AJ182" s="7"/>
      <c r="AK182" s="7"/>
      <c r="AL182" s="7"/>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07"/>
      <c r="BL182" s="212"/>
      <c r="BM182" s="212"/>
      <c r="BN182" s="212"/>
      <c r="BO182" s="212"/>
      <c r="BP182" s="212"/>
      <c r="BQ182" s="212"/>
      <c r="BR182" s="212"/>
      <c r="BS182" s="212"/>
      <c r="BT182" s="212"/>
      <c r="BU182" s="212"/>
      <c r="BV182" s="212"/>
      <c r="BW182" s="212"/>
      <c r="BX182" s="212"/>
      <c r="BY182" s="212"/>
      <c r="BZ182" s="207"/>
    </row>
    <row r="183" spans="1:79" ht="12" customHeight="1">
      <c r="B183" s="8" t="s">
        <v>174</v>
      </c>
      <c r="C183" s="8"/>
      <c r="D183" s="8"/>
      <c r="E183" s="8"/>
      <c r="F183" s="8"/>
      <c r="G183" s="8"/>
      <c r="H183" s="8"/>
      <c r="I183" s="8"/>
      <c r="J183" s="8"/>
      <c r="K183" s="8"/>
      <c r="L183" s="8"/>
      <c r="M183" s="8"/>
      <c r="N183" s="8"/>
      <c r="P183" s="7"/>
      <c r="Q183" s="7"/>
      <c r="R183" s="7"/>
      <c r="S183" s="7"/>
      <c r="T183" s="7"/>
      <c r="U183" s="7"/>
      <c r="V183" s="7"/>
      <c r="W183" s="7"/>
      <c r="X183" s="7"/>
      <c r="Y183" s="7"/>
      <c r="Z183" s="7"/>
      <c r="AA183" s="7"/>
      <c r="AB183" s="7"/>
      <c r="AC183" s="7"/>
      <c r="AD183" s="7"/>
      <c r="AE183" s="7"/>
      <c r="AF183" s="7"/>
      <c r="AG183" s="7"/>
      <c r="AH183" s="7"/>
      <c r="AI183" s="7"/>
      <c r="AJ183" s="7"/>
      <c r="AK183" s="7"/>
      <c r="AL183" s="7"/>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L183" s="29"/>
      <c r="BM183" s="29"/>
      <c r="BN183" s="29"/>
      <c r="BO183" s="29"/>
      <c r="BP183" s="29"/>
      <c r="BQ183" s="29"/>
      <c r="BR183" s="29"/>
      <c r="BS183" s="29"/>
      <c r="BT183" s="29"/>
      <c r="BU183" s="29"/>
      <c r="BV183" s="29"/>
      <c r="BW183" s="29"/>
      <c r="BX183" s="29"/>
      <c r="BY183" s="29"/>
    </row>
    <row r="184" spans="1:79" ht="12" customHeight="1">
      <c r="B184" s="69" t="s">
        <v>142</v>
      </c>
      <c r="C184" s="69"/>
      <c r="D184" s="69"/>
      <c r="E184" s="69"/>
      <c r="F184" s="69"/>
      <c r="G184" s="69"/>
      <c r="H184" s="69"/>
      <c r="I184" s="69"/>
      <c r="J184" s="69"/>
      <c r="K184" s="69"/>
      <c r="L184" s="69"/>
      <c r="M184" s="69"/>
      <c r="N184" s="69"/>
      <c r="Q184" s="6"/>
      <c r="R184" s="6"/>
      <c r="S184" s="6"/>
      <c r="T184" s="6"/>
      <c r="U184" s="6"/>
      <c r="V184" s="6"/>
      <c r="W184" s="6"/>
      <c r="X184" s="6"/>
      <c r="Y184" s="6"/>
      <c r="Z184" s="6"/>
      <c r="AA184" s="6"/>
      <c r="AB184" s="6"/>
      <c r="AC184" s="6"/>
      <c r="AD184" s="6"/>
      <c r="AE184" s="6"/>
      <c r="AF184" s="6"/>
      <c r="AG184" s="6"/>
      <c r="AH184" s="6"/>
      <c r="AI184" s="6"/>
      <c r="AJ184" s="6"/>
      <c r="AK184" s="6"/>
      <c r="AL184" s="6"/>
      <c r="AM184" s="119">
        <v>0</v>
      </c>
      <c r="AN184" s="119">
        <v>0</v>
      </c>
      <c r="AO184" s="119">
        <v>0</v>
      </c>
      <c r="AP184" s="119">
        <v>0</v>
      </c>
      <c r="AQ184" s="119">
        <v>0</v>
      </c>
      <c r="AR184" s="119">
        <v>0</v>
      </c>
      <c r="AS184" s="119">
        <v>0</v>
      </c>
      <c r="AT184" s="119">
        <v>0</v>
      </c>
      <c r="AU184" s="119">
        <v>0</v>
      </c>
      <c r="AV184" s="119">
        <v>0</v>
      </c>
      <c r="AW184" s="119">
        <v>0</v>
      </c>
      <c r="AX184" s="119">
        <v>0</v>
      </c>
      <c r="AY184" s="119">
        <v>0</v>
      </c>
      <c r="AZ184" s="119">
        <v>0</v>
      </c>
      <c r="BA184" s="119">
        <v>0</v>
      </c>
      <c r="BB184" s="119">
        <v>0</v>
      </c>
      <c r="BC184" s="119">
        <v>0</v>
      </c>
      <c r="BD184" s="119">
        <v>0</v>
      </c>
      <c r="BE184" s="119">
        <v>0</v>
      </c>
      <c r="BF184" s="119">
        <v>0</v>
      </c>
      <c r="BG184" s="119">
        <v>0</v>
      </c>
      <c r="BH184" s="119">
        <v>0</v>
      </c>
      <c r="BI184" s="119">
        <v>0</v>
      </c>
      <c r="BJ184" s="119">
        <v>0</v>
      </c>
      <c r="BL184" s="6"/>
      <c r="BM184" s="6"/>
      <c r="BN184" s="6"/>
      <c r="BO184" s="6"/>
      <c r="BP184" s="6"/>
      <c r="BQ184" s="6"/>
      <c r="BR184" s="6"/>
      <c r="BS184" s="6"/>
      <c r="BT184" s="6"/>
      <c r="BU184" s="6"/>
      <c r="BV184" s="6"/>
      <c r="BW184" s="6"/>
      <c r="BX184" s="6"/>
      <c r="BY184" s="6"/>
    </row>
    <row r="185" spans="1:79" ht="12" customHeight="1">
      <c r="B185" s="69" t="s">
        <v>171</v>
      </c>
      <c r="C185" s="69"/>
      <c r="D185" s="69"/>
      <c r="E185" s="69"/>
      <c r="F185" s="69"/>
      <c r="G185" s="69"/>
      <c r="H185" s="69"/>
      <c r="I185" s="69"/>
      <c r="J185" s="69"/>
      <c r="K185" s="69"/>
      <c r="L185" s="69"/>
      <c r="M185" s="69"/>
      <c r="N185" s="69"/>
      <c r="Q185" s="6"/>
      <c r="R185" s="6"/>
      <c r="S185" s="6"/>
      <c r="T185" s="6"/>
      <c r="U185" s="6"/>
      <c r="V185" s="6"/>
      <c r="W185" s="6"/>
      <c r="X185" s="6"/>
      <c r="Y185" s="6"/>
      <c r="Z185" s="6"/>
      <c r="AA185" s="6"/>
      <c r="AB185" s="6"/>
      <c r="AC185" s="6"/>
      <c r="AD185" s="6"/>
      <c r="AE185" s="6"/>
      <c r="AF185" s="6"/>
      <c r="AG185" s="6"/>
      <c r="AH185" s="6"/>
      <c r="AI185" s="6"/>
      <c r="AJ185" s="6"/>
      <c r="AK185" s="6"/>
      <c r="AL185" s="6"/>
      <c r="AM185" s="119">
        <v>0</v>
      </c>
      <c r="AN185" s="119">
        <v>0</v>
      </c>
      <c r="AO185" s="119">
        <v>0</v>
      </c>
      <c r="AP185" s="119">
        <v>0</v>
      </c>
      <c r="AQ185" s="119">
        <v>0</v>
      </c>
      <c r="AR185" s="119">
        <v>0</v>
      </c>
      <c r="AS185" s="119">
        <v>0</v>
      </c>
      <c r="AT185" s="119">
        <v>0</v>
      </c>
      <c r="AU185" s="119">
        <v>0</v>
      </c>
      <c r="AV185" s="119">
        <v>0</v>
      </c>
      <c r="AW185" s="119">
        <v>0</v>
      </c>
      <c r="AX185" s="119">
        <v>0</v>
      </c>
      <c r="AY185" s="119">
        <v>0</v>
      </c>
      <c r="AZ185" s="119">
        <v>0</v>
      </c>
      <c r="BA185" s="119">
        <v>0</v>
      </c>
      <c r="BB185" s="119">
        <v>0</v>
      </c>
      <c r="BC185" s="119">
        <v>0</v>
      </c>
      <c r="BD185" s="119">
        <v>0</v>
      </c>
      <c r="BE185" s="119">
        <v>0</v>
      </c>
      <c r="BF185" s="119">
        <v>0</v>
      </c>
      <c r="BG185" s="119">
        <v>0</v>
      </c>
      <c r="BH185" s="119">
        <v>0</v>
      </c>
      <c r="BI185" s="119">
        <v>0</v>
      </c>
      <c r="BJ185" s="119">
        <v>0</v>
      </c>
      <c r="BL185" s="6"/>
      <c r="BM185" s="6"/>
      <c r="BN185" s="6"/>
      <c r="BO185" s="6"/>
      <c r="BP185" s="6"/>
      <c r="BQ185" s="6"/>
      <c r="BR185" s="6"/>
      <c r="BS185" s="6"/>
      <c r="BT185" s="6"/>
      <c r="BU185" s="6"/>
      <c r="BV185" s="6"/>
      <c r="BW185" s="6"/>
      <c r="BX185" s="6"/>
      <c r="BY185" s="6"/>
    </row>
    <row r="186" spans="1:79" ht="12" customHeight="1">
      <c r="B186" s="69" t="s">
        <v>172</v>
      </c>
      <c r="C186" s="69"/>
      <c r="D186" s="69"/>
      <c r="E186" s="69"/>
      <c r="F186" s="69"/>
      <c r="G186" s="69"/>
      <c r="H186" s="69"/>
      <c r="I186" s="69"/>
      <c r="J186" s="69"/>
      <c r="K186" s="69"/>
      <c r="L186" s="69"/>
      <c r="M186" s="69"/>
      <c r="N186" s="69"/>
      <c r="Q186" s="6"/>
      <c r="R186" s="6"/>
      <c r="S186" s="6"/>
      <c r="T186" s="6"/>
      <c r="U186" s="6"/>
      <c r="V186" s="6"/>
      <c r="W186" s="6"/>
      <c r="X186" s="6"/>
      <c r="Y186" s="6"/>
      <c r="Z186" s="6"/>
      <c r="AA186" s="6"/>
      <c r="AB186" s="6"/>
      <c r="AC186" s="6"/>
      <c r="AD186" s="6"/>
      <c r="AE186" s="6"/>
      <c r="AF186" s="6"/>
      <c r="AG186" s="6"/>
      <c r="AH186" s="6"/>
      <c r="AI186" s="6"/>
      <c r="AJ186" s="6"/>
      <c r="AK186" s="6"/>
      <c r="AL186" s="6"/>
      <c r="AM186" s="25">
        <f ca="1">+OFFSET(AM186,Estimates!$B$3,0)</f>
        <v>1500</v>
      </c>
      <c r="AN186" s="25">
        <f ca="1">+OFFSET(AN186,Estimates!$B$3,0)</f>
        <v>1500</v>
      </c>
      <c r="AO186" s="25">
        <f ca="1">+OFFSET(AO186,Estimates!$B$3,0)</f>
        <v>1500</v>
      </c>
      <c r="AP186" s="25">
        <f ca="1">+OFFSET(AP186,Estimates!$B$3,0)</f>
        <v>1500</v>
      </c>
      <c r="AQ186" s="25">
        <f ca="1">+OFFSET(AQ186,Estimates!$B$3,0)</f>
        <v>1525</v>
      </c>
      <c r="AR186" s="25">
        <f ca="1">+OFFSET(AR186,Estimates!$B$3,0)</f>
        <v>1550</v>
      </c>
      <c r="AS186" s="25">
        <f ca="1">+OFFSET(AS186,Estimates!$B$3,0)</f>
        <v>1575</v>
      </c>
      <c r="AT186" s="25">
        <f ca="1">+OFFSET(AT186,Estimates!$B$3,0)</f>
        <v>1600</v>
      </c>
      <c r="AU186" s="25">
        <f ca="1">+OFFSET(AU186,Estimates!$B$3,0)</f>
        <v>1625</v>
      </c>
      <c r="AV186" s="25">
        <f ca="1">+OFFSET(AV186,Estimates!$B$3,0)</f>
        <v>1650</v>
      </c>
      <c r="AW186" s="25">
        <f ca="1">+OFFSET(AW186,Estimates!$B$3,0)</f>
        <v>1675</v>
      </c>
      <c r="AX186" s="25">
        <f ca="1">+OFFSET(AX186,Estimates!$B$3,0)</f>
        <v>1700</v>
      </c>
      <c r="AY186" s="25">
        <f ca="1">+OFFSET(AY186,Estimates!$B$3,0)</f>
        <v>1725</v>
      </c>
      <c r="AZ186" s="25">
        <f ca="1">+OFFSET(AZ186,Estimates!$B$3,0)</f>
        <v>1750</v>
      </c>
      <c r="BA186" s="25">
        <f ca="1">+OFFSET(BA186,Estimates!$B$3,0)</f>
        <v>1775</v>
      </c>
      <c r="BB186" s="25">
        <f ca="1">+OFFSET(BB186,Estimates!$B$3,0)</f>
        <v>1800</v>
      </c>
      <c r="BC186" s="25">
        <f ca="1">+OFFSET(BC186,Estimates!$B$3,0)</f>
        <v>1825</v>
      </c>
      <c r="BD186" s="25">
        <f ca="1">+OFFSET(BD186,Estimates!$B$3,0)</f>
        <v>1850</v>
      </c>
      <c r="BE186" s="25">
        <f ca="1">+OFFSET(BE186,Estimates!$B$3,0)</f>
        <v>1875</v>
      </c>
      <c r="BF186" s="25">
        <f ca="1">+OFFSET(BF186,Estimates!$B$3,0)</f>
        <v>1900</v>
      </c>
      <c r="BG186" s="25">
        <f ca="1">+OFFSET(BG186,Estimates!$B$3,0)</f>
        <v>1925</v>
      </c>
      <c r="BH186" s="25">
        <f ca="1">+OFFSET(BH186,Estimates!$B$3,0)</f>
        <v>1950</v>
      </c>
      <c r="BI186" s="25">
        <f ca="1">+OFFSET(BI186,Estimates!$B$3,0)</f>
        <v>1975</v>
      </c>
      <c r="BJ186" s="25">
        <f ca="1">+OFFSET(BJ186,Estimates!$B$3,0)</f>
        <v>2000</v>
      </c>
      <c r="BK186" s="25"/>
      <c r="BL186" s="6"/>
      <c r="BM186" s="6"/>
      <c r="BN186" s="6"/>
      <c r="BO186" s="212">
        <f>+SUM(S186:V186)</f>
        <v>0</v>
      </c>
      <c r="BP186" s="212">
        <f>+SUM(W186:Z186)</f>
        <v>0</v>
      </c>
      <c r="BQ186" s="212">
        <f>+SUM(AA186:AD186)</f>
        <v>0</v>
      </c>
      <c r="BR186" s="212">
        <f>+SUM(AE186:AH186)</f>
        <v>0</v>
      </c>
      <c r="BS186" s="212">
        <f>+SUM(AI186:AL186)</f>
        <v>0</v>
      </c>
      <c r="BT186" s="212">
        <f ca="1">+SUM(AM186:AP186)</f>
        <v>6000</v>
      </c>
      <c r="BU186" s="212">
        <f ca="1">+SUM(AQ186:AT186)</f>
        <v>6250</v>
      </c>
      <c r="BV186" s="212">
        <f ca="1">+SUM(AU186:AX186)</f>
        <v>6650</v>
      </c>
      <c r="BW186" s="212">
        <f ca="1">SUM(AY186:BB186)</f>
        <v>7050</v>
      </c>
      <c r="BX186" s="212">
        <f ca="1">SUM(BC186:BF186)</f>
        <v>7450</v>
      </c>
      <c r="BY186" s="212">
        <f ca="1">SUM(BG186:BJ186)</f>
        <v>7850</v>
      </c>
    </row>
    <row r="187" spans="1:79" ht="12" customHeight="1">
      <c r="B187" s="126" t="s">
        <v>197</v>
      </c>
      <c r="C187" s="126"/>
      <c r="D187" s="126"/>
      <c r="E187" s="126"/>
      <c r="F187" s="126"/>
      <c r="G187" s="126"/>
      <c r="H187" s="126"/>
      <c r="I187" s="126"/>
      <c r="J187" s="126"/>
      <c r="K187" s="126"/>
      <c r="L187" s="126"/>
      <c r="M187" s="126"/>
      <c r="N187" s="126"/>
      <c r="O187" s="127"/>
      <c r="P187" s="128"/>
      <c r="Q187" s="129"/>
      <c r="R187" s="129"/>
      <c r="S187" s="129"/>
      <c r="T187" s="129"/>
      <c r="U187" s="129"/>
      <c r="V187" s="129"/>
      <c r="W187" s="129"/>
      <c r="X187" s="129"/>
      <c r="Y187" s="129"/>
      <c r="Z187" s="129"/>
      <c r="AA187" s="129"/>
      <c r="AB187" s="129"/>
      <c r="AC187" s="129"/>
      <c r="AD187" s="129"/>
      <c r="AE187" s="129"/>
      <c r="AF187" s="129"/>
      <c r="AG187" s="129"/>
      <c r="AH187" s="129"/>
      <c r="AI187" s="129"/>
      <c r="AJ187" s="129"/>
      <c r="AK187" s="129"/>
      <c r="AL187" s="129"/>
      <c r="AM187" s="130">
        <f t="shared" ref="AM187:BJ187" si="848">+AM188+500</f>
        <v>2000</v>
      </c>
      <c r="AN187" s="130">
        <f t="shared" si="848"/>
        <v>2000</v>
      </c>
      <c r="AO187" s="130">
        <f t="shared" si="848"/>
        <v>2000</v>
      </c>
      <c r="AP187" s="130">
        <f t="shared" si="848"/>
        <v>2000</v>
      </c>
      <c r="AQ187" s="130">
        <f t="shared" si="848"/>
        <v>2025</v>
      </c>
      <c r="AR187" s="130">
        <f t="shared" si="848"/>
        <v>2050</v>
      </c>
      <c r="AS187" s="130">
        <f t="shared" si="848"/>
        <v>2075</v>
      </c>
      <c r="AT187" s="130">
        <f t="shared" si="848"/>
        <v>2100</v>
      </c>
      <c r="AU187" s="130">
        <f t="shared" si="848"/>
        <v>2125</v>
      </c>
      <c r="AV187" s="130">
        <f t="shared" si="848"/>
        <v>2150</v>
      </c>
      <c r="AW187" s="130">
        <f t="shared" si="848"/>
        <v>2175</v>
      </c>
      <c r="AX187" s="130">
        <f t="shared" si="848"/>
        <v>2200</v>
      </c>
      <c r="AY187" s="130">
        <f t="shared" si="848"/>
        <v>2225</v>
      </c>
      <c r="AZ187" s="130">
        <f t="shared" si="848"/>
        <v>2250</v>
      </c>
      <c r="BA187" s="130">
        <f t="shared" si="848"/>
        <v>2275</v>
      </c>
      <c r="BB187" s="130">
        <f t="shared" si="848"/>
        <v>2300</v>
      </c>
      <c r="BC187" s="130">
        <f t="shared" si="848"/>
        <v>2325</v>
      </c>
      <c r="BD187" s="130">
        <f t="shared" si="848"/>
        <v>2350</v>
      </c>
      <c r="BE187" s="130">
        <f t="shared" si="848"/>
        <v>2375</v>
      </c>
      <c r="BF187" s="130">
        <f t="shared" si="848"/>
        <v>2400</v>
      </c>
      <c r="BG187" s="130">
        <f t="shared" si="848"/>
        <v>2425</v>
      </c>
      <c r="BH187" s="130">
        <f t="shared" si="848"/>
        <v>2450</v>
      </c>
      <c r="BI187" s="130">
        <f t="shared" si="848"/>
        <v>2475</v>
      </c>
      <c r="BJ187" s="130">
        <f t="shared" si="848"/>
        <v>2500</v>
      </c>
      <c r="BK187" s="25"/>
      <c r="BL187" s="6"/>
      <c r="BM187" s="6"/>
      <c r="BN187" s="6"/>
      <c r="BO187" s="130">
        <f>+SUM(S187:V187)</f>
        <v>0</v>
      </c>
      <c r="BP187" s="130">
        <f>+SUM(W187:Z187)</f>
        <v>0</v>
      </c>
      <c r="BQ187" s="130">
        <f>+SUM(AA187:AD187)</f>
        <v>0</v>
      </c>
      <c r="BR187" s="130">
        <f>+SUM(AE187:AH187)</f>
        <v>0</v>
      </c>
      <c r="BS187" s="130">
        <f>+SUM(AI187:AL187)</f>
        <v>0</v>
      </c>
      <c r="BT187" s="130">
        <f>+SUM(AM187:AP187)</f>
        <v>8000</v>
      </c>
      <c r="BU187" s="130">
        <f>+SUM(AQ187:AT187)</f>
        <v>8250</v>
      </c>
      <c r="BV187" s="130">
        <f>+SUM(AU187:AX187)</f>
        <v>8650</v>
      </c>
      <c r="BW187" s="130">
        <f>SUM(AY187:BB187)</f>
        <v>9050</v>
      </c>
      <c r="BX187" s="130">
        <f>SUM(BC187:BF187)</f>
        <v>9450</v>
      </c>
      <c r="BY187" s="130">
        <f>SUM(BG187:BJ187)</f>
        <v>9850</v>
      </c>
    </row>
    <row r="188" spans="1:79" ht="12" customHeight="1">
      <c r="B188" s="126" t="s">
        <v>198</v>
      </c>
      <c r="C188" s="126"/>
      <c r="D188" s="126"/>
      <c r="E188" s="126"/>
      <c r="F188" s="126"/>
      <c r="G188" s="126"/>
      <c r="H188" s="126"/>
      <c r="I188" s="126"/>
      <c r="J188" s="126"/>
      <c r="K188" s="126"/>
      <c r="L188" s="126"/>
      <c r="M188" s="126"/>
      <c r="N188" s="126"/>
      <c r="O188" s="127"/>
      <c r="P188" s="128"/>
      <c r="Q188" s="129"/>
      <c r="R188" s="129"/>
      <c r="S188" s="129"/>
      <c r="T188" s="129"/>
      <c r="U188" s="129"/>
      <c r="V188" s="129"/>
      <c r="W188" s="129"/>
      <c r="X188" s="129"/>
      <c r="Y188" s="129"/>
      <c r="Z188" s="129"/>
      <c r="AA188" s="129"/>
      <c r="AB188" s="129"/>
      <c r="AC188" s="129"/>
      <c r="AD188" s="129"/>
      <c r="AE188" s="129"/>
      <c r="AF188" s="129"/>
      <c r="AG188" s="129"/>
      <c r="AH188" s="129"/>
      <c r="AI188" s="129"/>
      <c r="AJ188" s="129"/>
      <c r="AK188" s="129"/>
      <c r="AL188" s="129"/>
      <c r="AM188" s="447">
        <v>1500</v>
      </c>
      <c r="AN188" s="447">
        <v>1500</v>
      </c>
      <c r="AO188" s="447">
        <v>1500</v>
      </c>
      <c r="AP188" s="447">
        <v>1500</v>
      </c>
      <c r="AQ188" s="447">
        <f t="shared" ref="AQ188:AX188" si="849">+AP188+25</f>
        <v>1525</v>
      </c>
      <c r="AR188" s="447">
        <f t="shared" si="849"/>
        <v>1550</v>
      </c>
      <c r="AS188" s="447">
        <f t="shared" si="849"/>
        <v>1575</v>
      </c>
      <c r="AT188" s="447">
        <f t="shared" si="849"/>
        <v>1600</v>
      </c>
      <c r="AU188" s="447">
        <f t="shared" si="849"/>
        <v>1625</v>
      </c>
      <c r="AV188" s="447">
        <f t="shared" si="849"/>
        <v>1650</v>
      </c>
      <c r="AW188" s="447">
        <f t="shared" si="849"/>
        <v>1675</v>
      </c>
      <c r="AX188" s="447">
        <f t="shared" si="849"/>
        <v>1700</v>
      </c>
      <c r="AY188" s="447">
        <f t="shared" ref="AY188" si="850">+AX188+25</f>
        <v>1725</v>
      </c>
      <c r="AZ188" s="447">
        <f t="shared" ref="AZ188" si="851">+AY188+25</f>
        <v>1750</v>
      </c>
      <c r="BA188" s="447">
        <f t="shared" ref="BA188" si="852">+AZ188+25</f>
        <v>1775</v>
      </c>
      <c r="BB188" s="447">
        <f t="shared" ref="BB188" si="853">+BA188+25</f>
        <v>1800</v>
      </c>
      <c r="BC188" s="447">
        <f t="shared" ref="BC188" si="854">+BB188+25</f>
        <v>1825</v>
      </c>
      <c r="BD188" s="447">
        <f t="shared" ref="BD188" si="855">+BC188+25</f>
        <v>1850</v>
      </c>
      <c r="BE188" s="447">
        <f t="shared" ref="BE188" si="856">+BD188+25</f>
        <v>1875</v>
      </c>
      <c r="BF188" s="447">
        <f t="shared" ref="BF188" si="857">+BE188+25</f>
        <v>1900</v>
      </c>
      <c r="BG188" s="447">
        <f t="shared" ref="BG188" si="858">+BF188+25</f>
        <v>1925</v>
      </c>
      <c r="BH188" s="447">
        <f t="shared" ref="BH188" si="859">+BG188+25</f>
        <v>1950</v>
      </c>
      <c r="BI188" s="447">
        <f t="shared" ref="BI188" si="860">+BH188+25</f>
        <v>1975</v>
      </c>
      <c r="BJ188" s="447">
        <f t="shared" ref="BJ188" si="861">+BI188+25</f>
        <v>2000</v>
      </c>
      <c r="BK188" s="25"/>
      <c r="BL188" s="6"/>
      <c r="BM188" s="6"/>
      <c r="BN188" s="6"/>
      <c r="BO188" s="130">
        <f>+SUM(S188:V188)</f>
        <v>0</v>
      </c>
      <c r="BP188" s="130">
        <f>+SUM(W188:Z188)</f>
        <v>0</v>
      </c>
      <c r="BQ188" s="130">
        <f>+SUM(AA188:AD188)</f>
        <v>0</v>
      </c>
      <c r="BR188" s="130">
        <f>+SUM(AE188:AH188)</f>
        <v>0</v>
      </c>
      <c r="BS188" s="130">
        <f>+SUM(AI188:AL188)</f>
        <v>0</v>
      </c>
      <c r="BT188" s="130">
        <f>+SUM(AM188:AP188)</f>
        <v>6000</v>
      </c>
      <c r="BU188" s="130">
        <f>+SUM(AQ188:AT188)</f>
        <v>6250</v>
      </c>
      <c r="BV188" s="130">
        <f>+SUM(AU188:AX188)</f>
        <v>6650</v>
      </c>
      <c r="BW188" s="130">
        <f>SUM(AY188:BB188)</f>
        <v>7050</v>
      </c>
      <c r="BX188" s="130">
        <f>SUM(BC188:BF188)</f>
        <v>7450</v>
      </c>
      <c r="BY188" s="130">
        <f>SUM(BG188:BJ188)</f>
        <v>7850</v>
      </c>
    </row>
    <row r="189" spans="1:79" ht="12" customHeight="1">
      <c r="B189" s="126" t="s">
        <v>199</v>
      </c>
      <c r="C189" s="126"/>
      <c r="D189" s="126"/>
      <c r="E189" s="126"/>
      <c r="F189" s="126"/>
      <c r="G189" s="126"/>
      <c r="H189" s="126"/>
      <c r="I189" s="126"/>
      <c r="J189" s="126"/>
      <c r="K189" s="126"/>
      <c r="L189" s="126"/>
      <c r="M189" s="126"/>
      <c r="N189" s="126"/>
      <c r="O189" s="127"/>
      <c r="P189" s="128"/>
      <c r="Q189" s="129"/>
      <c r="R189" s="129"/>
      <c r="S189" s="129"/>
      <c r="T189" s="129"/>
      <c r="U189" s="129"/>
      <c r="V189" s="129"/>
      <c r="W189" s="129"/>
      <c r="X189" s="129"/>
      <c r="Y189" s="129"/>
      <c r="Z189" s="129"/>
      <c r="AA189" s="129"/>
      <c r="AB189" s="129"/>
      <c r="AC189" s="129"/>
      <c r="AD189" s="129"/>
      <c r="AE189" s="129"/>
      <c r="AF189" s="129"/>
      <c r="AG189" s="129"/>
      <c r="AH189" s="129"/>
      <c r="AI189" s="129"/>
      <c r="AJ189" s="129"/>
      <c r="AK189" s="129"/>
      <c r="AL189" s="129"/>
      <c r="AM189" s="130">
        <f t="shared" ref="AM189:AX189" si="862">+AM188-250</f>
        <v>1250</v>
      </c>
      <c r="AN189" s="130">
        <f t="shared" si="862"/>
        <v>1250</v>
      </c>
      <c r="AO189" s="130">
        <f t="shared" si="862"/>
        <v>1250</v>
      </c>
      <c r="AP189" s="130">
        <f t="shared" si="862"/>
        <v>1250</v>
      </c>
      <c r="AQ189" s="130">
        <f t="shared" si="862"/>
        <v>1275</v>
      </c>
      <c r="AR189" s="130">
        <f t="shared" si="862"/>
        <v>1300</v>
      </c>
      <c r="AS189" s="130">
        <f t="shared" si="862"/>
        <v>1325</v>
      </c>
      <c r="AT189" s="130">
        <f t="shared" si="862"/>
        <v>1350</v>
      </c>
      <c r="AU189" s="130">
        <f t="shared" si="862"/>
        <v>1375</v>
      </c>
      <c r="AV189" s="130">
        <f t="shared" si="862"/>
        <v>1400</v>
      </c>
      <c r="AW189" s="130">
        <f t="shared" si="862"/>
        <v>1425</v>
      </c>
      <c r="AX189" s="130">
        <f t="shared" si="862"/>
        <v>1450</v>
      </c>
      <c r="AY189" s="130">
        <f t="shared" ref="AY189:BJ189" si="863">+AY188-250</f>
        <v>1475</v>
      </c>
      <c r="AZ189" s="130">
        <f t="shared" si="863"/>
        <v>1500</v>
      </c>
      <c r="BA189" s="130">
        <f t="shared" si="863"/>
        <v>1525</v>
      </c>
      <c r="BB189" s="130">
        <f t="shared" si="863"/>
        <v>1550</v>
      </c>
      <c r="BC189" s="130">
        <f t="shared" si="863"/>
        <v>1575</v>
      </c>
      <c r="BD189" s="130">
        <f t="shared" si="863"/>
        <v>1600</v>
      </c>
      <c r="BE189" s="130">
        <f t="shared" si="863"/>
        <v>1625</v>
      </c>
      <c r="BF189" s="130">
        <f t="shared" si="863"/>
        <v>1650</v>
      </c>
      <c r="BG189" s="130">
        <f t="shared" si="863"/>
        <v>1675</v>
      </c>
      <c r="BH189" s="130">
        <f t="shared" si="863"/>
        <v>1700</v>
      </c>
      <c r="BI189" s="130">
        <f t="shared" si="863"/>
        <v>1725</v>
      </c>
      <c r="BJ189" s="130">
        <f t="shared" si="863"/>
        <v>1750</v>
      </c>
      <c r="BK189" s="25"/>
      <c r="BL189" s="6"/>
      <c r="BM189" s="6"/>
      <c r="BN189" s="6"/>
      <c r="BO189" s="130">
        <f>+SUM(S189:V189)</f>
        <v>0</v>
      </c>
      <c r="BP189" s="130">
        <f>+SUM(W189:Z189)</f>
        <v>0</v>
      </c>
      <c r="BQ189" s="130">
        <f>+SUM(AA189:AD189)</f>
        <v>0</v>
      </c>
      <c r="BR189" s="130">
        <f>+SUM(AE189:AH189)</f>
        <v>0</v>
      </c>
      <c r="BS189" s="130">
        <f>+SUM(AI189:AL189)</f>
        <v>0</v>
      </c>
      <c r="BT189" s="130">
        <f>+SUM(AM189:AP189)</f>
        <v>5000</v>
      </c>
      <c r="BU189" s="130">
        <f>+SUM(AQ189:AT189)</f>
        <v>5250</v>
      </c>
      <c r="BV189" s="130">
        <f>+SUM(AU189:AX189)</f>
        <v>5650</v>
      </c>
      <c r="BW189" s="130">
        <f>SUM(AY189:BB189)</f>
        <v>6050</v>
      </c>
      <c r="BX189" s="130">
        <f>SUM(BC189:BF189)</f>
        <v>6450</v>
      </c>
      <c r="BY189" s="130">
        <f>SUM(BG189:BJ189)</f>
        <v>6850</v>
      </c>
    </row>
    <row r="190" spans="1:79" ht="12" customHeight="1">
      <c r="B190" s="2"/>
      <c r="C190" s="2"/>
      <c r="D190" s="2"/>
      <c r="E190" s="2"/>
      <c r="F190" s="2"/>
      <c r="G190" s="2"/>
      <c r="H190" s="2"/>
      <c r="I190" s="2"/>
      <c r="J190" s="2"/>
      <c r="K190" s="2"/>
      <c r="L190" s="2"/>
      <c r="M190" s="2"/>
      <c r="N190" s="2"/>
      <c r="P190" s="7"/>
      <c r="Q190" s="7"/>
      <c r="R190" s="7"/>
      <c r="S190" s="7"/>
      <c r="T190" s="7"/>
      <c r="U190" s="7"/>
      <c r="V190" s="7"/>
      <c r="W190" s="7"/>
      <c r="X190" s="7"/>
      <c r="Y190" s="7"/>
      <c r="Z190" s="7"/>
      <c r="AA190" s="7"/>
      <c r="AB190" s="7"/>
      <c r="AC190" s="7"/>
      <c r="AD190" s="7"/>
      <c r="AE190" s="7"/>
      <c r="AF190" s="7"/>
      <c r="AG190" s="7"/>
      <c r="AH190" s="7"/>
      <c r="AI190" s="7"/>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L190" s="29"/>
      <c r="BM190" s="29"/>
      <c r="BN190" s="29"/>
      <c r="BO190" s="29"/>
      <c r="BP190" s="29"/>
      <c r="BQ190" s="29"/>
      <c r="BR190" s="29"/>
      <c r="BS190" s="29"/>
      <c r="BT190" s="29"/>
      <c r="BU190" s="29"/>
      <c r="BV190" s="29"/>
      <c r="BW190" s="29"/>
      <c r="BX190" s="29"/>
      <c r="BY190" s="29"/>
    </row>
    <row r="191" spans="1:79" ht="12" hidden="1" customHeight="1" outlineLevel="1">
      <c r="B191" s="82" t="s">
        <v>170</v>
      </c>
      <c r="C191" s="196"/>
      <c r="D191" s="196"/>
      <c r="E191" s="196"/>
      <c r="F191" s="196"/>
      <c r="G191" s="196"/>
      <c r="H191" s="196"/>
      <c r="I191" s="196"/>
      <c r="J191" s="196"/>
      <c r="K191" s="196"/>
      <c r="L191" s="196"/>
      <c r="M191" s="196"/>
      <c r="N191" s="196"/>
      <c r="O191" s="83"/>
      <c r="P191" s="84"/>
      <c r="Q191" s="84"/>
      <c r="R191" s="84"/>
      <c r="S191" s="84"/>
      <c r="T191" s="84"/>
      <c r="U191" s="84"/>
      <c r="V191" s="84"/>
      <c r="W191" s="84"/>
      <c r="X191" s="84"/>
      <c r="Y191" s="84"/>
      <c r="Z191" s="84"/>
      <c r="AA191" s="84"/>
      <c r="AB191" s="84"/>
      <c r="AC191" s="84"/>
      <c r="AD191" s="84"/>
      <c r="AE191" s="84"/>
      <c r="AF191" s="84"/>
      <c r="AG191" s="84"/>
      <c r="AH191" s="84"/>
      <c r="AI191" s="84"/>
      <c r="AJ191" s="85">
        <f t="shared" ref="AJ191:AX191" si="864">AJ14</f>
        <v>0</v>
      </c>
      <c r="AK191" s="85">
        <f t="shared" ref="AK191:AL191" si="865">AK14</f>
        <v>0</v>
      </c>
      <c r="AL191" s="85">
        <f t="shared" si="865"/>
        <v>0</v>
      </c>
      <c r="AM191" s="85">
        <f t="shared" ca="1" si="864"/>
        <v>7.8</v>
      </c>
      <c r="AN191" s="85">
        <f t="shared" ca="1" si="864"/>
        <v>15.753</v>
      </c>
      <c r="AO191" s="85">
        <f t="shared" ca="1" si="864"/>
        <v>23.86</v>
      </c>
      <c r="AP191" s="85">
        <f t="shared" ca="1" si="864"/>
        <v>32.122</v>
      </c>
      <c r="AQ191" s="85">
        <f t="shared" ca="1" si="864"/>
        <v>39.597000000000001</v>
      </c>
      <c r="AR191" s="85">
        <f t="shared" ca="1" si="864"/>
        <v>47.104500000000002</v>
      </c>
      <c r="AS191" s="85">
        <f t="shared" ca="1" si="864"/>
        <v>54.644500000000001</v>
      </c>
      <c r="AT191" s="85">
        <f t="shared" ca="1" si="864"/>
        <v>62.216999999999999</v>
      </c>
      <c r="AU191" s="85">
        <f t="shared" ca="1" si="864"/>
        <v>69.822000000000003</v>
      </c>
      <c r="AV191" s="85">
        <f t="shared" ca="1" si="864"/>
        <v>77.459500000000006</v>
      </c>
      <c r="AW191" s="85">
        <f t="shared" ca="1" si="864"/>
        <v>85.129500000000007</v>
      </c>
      <c r="AX191" s="85">
        <f t="shared" ca="1" si="864"/>
        <v>92.832000000000008</v>
      </c>
      <c r="AY191" s="85">
        <f t="shared" ref="AY191:BJ191" ca="1" si="866">AY14</f>
        <v>100.56700000000001</v>
      </c>
      <c r="AZ191" s="85">
        <f t="shared" ca="1" si="866"/>
        <v>108.33450000000001</v>
      </c>
      <c r="BA191" s="85">
        <f t="shared" ca="1" si="866"/>
        <v>116.1345</v>
      </c>
      <c r="BB191" s="85">
        <f t="shared" ca="1" si="866"/>
        <v>123.967</v>
      </c>
      <c r="BC191" s="85">
        <f t="shared" ca="1" si="866"/>
        <v>131.83199999999999</v>
      </c>
      <c r="BD191" s="85">
        <f t="shared" ca="1" si="866"/>
        <v>139.7295</v>
      </c>
      <c r="BE191" s="85">
        <f t="shared" ca="1" si="866"/>
        <v>147.65950000000001</v>
      </c>
      <c r="BF191" s="85">
        <f t="shared" ca="1" si="866"/>
        <v>155.62200000000001</v>
      </c>
      <c r="BG191" s="85">
        <f t="shared" ca="1" si="866"/>
        <v>163.61700000000002</v>
      </c>
      <c r="BH191" s="85">
        <f t="shared" ca="1" si="866"/>
        <v>171.64450000000002</v>
      </c>
      <c r="BI191" s="85">
        <f t="shared" ca="1" si="866"/>
        <v>179.70450000000002</v>
      </c>
      <c r="BJ191" s="85">
        <f t="shared" ca="1" si="866"/>
        <v>187.79700000000003</v>
      </c>
      <c r="BL191" s="29"/>
      <c r="BM191" s="29"/>
      <c r="BN191" s="29"/>
      <c r="BO191" s="29"/>
      <c r="BP191" s="29"/>
      <c r="BQ191" s="29"/>
      <c r="BR191" s="29"/>
      <c r="BS191" s="29"/>
      <c r="BT191" s="29"/>
      <c r="BU191" s="29"/>
      <c r="BV191" s="29"/>
      <c r="BW191" s="29"/>
      <c r="BX191" s="29"/>
      <c r="BY191" s="29"/>
    </row>
    <row r="192" spans="1:79" ht="12" hidden="1" customHeight="1" outlineLevel="1">
      <c r="B192" s="86"/>
      <c r="C192" s="87"/>
      <c r="D192" s="87"/>
      <c r="E192" s="87"/>
      <c r="F192" s="87"/>
      <c r="G192" s="87"/>
      <c r="H192" s="87"/>
      <c r="I192" s="87"/>
      <c r="J192" s="87"/>
      <c r="K192" s="87"/>
      <c r="L192" s="87"/>
      <c r="M192" s="87"/>
      <c r="N192" s="87"/>
      <c r="O192" s="87"/>
      <c r="P192" s="88"/>
      <c r="Q192" s="6"/>
      <c r="R192" s="6"/>
      <c r="S192" s="6"/>
      <c r="T192" s="6"/>
      <c r="U192" s="6"/>
      <c r="V192" s="6"/>
      <c r="W192" s="6"/>
      <c r="X192" s="6"/>
      <c r="Y192" s="6"/>
      <c r="Z192" s="6"/>
      <c r="AA192" s="6"/>
      <c r="AB192" s="6"/>
      <c r="AC192" s="6"/>
      <c r="AD192" s="6"/>
      <c r="AE192" s="6"/>
      <c r="AF192" s="6"/>
      <c r="AG192" s="6"/>
      <c r="AH192" s="6"/>
      <c r="AI192" s="6"/>
      <c r="AJ192" s="117"/>
      <c r="AK192" s="117"/>
      <c r="AL192" s="117"/>
      <c r="AM192" s="117"/>
      <c r="AN192" s="117"/>
      <c r="AO192" s="117"/>
      <c r="AP192" s="117"/>
      <c r="AQ192" s="117"/>
      <c r="AR192" s="117"/>
      <c r="AS192" s="117"/>
      <c r="AT192" s="117"/>
      <c r="AU192" s="117"/>
      <c r="AV192" s="117"/>
      <c r="AW192" s="117"/>
      <c r="AX192" s="117"/>
      <c r="AY192" s="117"/>
      <c r="AZ192" s="117"/>
      <c r="BA192" s="117"/>
      <c r="BB192" s="117"/>
      <c r="BC192" s="117"/>
      <c r="BD192" s="117"/>
      <c r="BE192" s="117"/>
      <c r="BF192" s="117"/>
      <c r="BG192" s="117"/>
      <c r="BH192" s="117"/>
      <c r="BI192" s="117"/>
      <c r="BJ192" s="117"/>
      <c r="BL192" s="6"/>
      <c r="BM192" s="6"/>
      <c r="BN192" s="6"/>
      <c r="BO192" s="6"/>
      <c r="BP192" s="6"/>
      <c r="BQ192" s="6"/>
      <c r="BR192" s="6"/>
      <c r="BS192" s="6"/>
      <c r="BT192" s="6"/>
      <c r="BU192" s="6"/>
      <c r="BV192" s="6"/>
      <c r="BW192" s="6"/>
      <c r="BX192" s="6"/>
      <c r="BY192" s="6"/>
    </row>
    <row r="193" spans="2:77" ht="12" hidden="1" customHeight="1" outlineLevel="1">
      <c r="B193" s="90" t="s">
        <v>183</v>
      </c>
      <c r="C193" s="74"/>
      <c r="D193" s="74"/>
      <c r="E193" s="74"/>
      <c r="F193" s="74"/>
      <c r="G193" s="74"/>
      <c r="H193" s="74"/>
      <c r="I193" s="74"/>
      <c r="J193" s="74"/>
      <c r="K193" s="74"/>
      <c r="L193" s="74"/>
      <c r="M193" s="74"/>
      <c r="N193" s="74"/>
      <c r="O193" s="87"/>
      <c r="P193" s="88"/>
      <c r="Q193" s="87"/>
      <c r="R193" s="87"/>
      <c r="S193" s="87"/>
      <c r="T193" s="87"/>
      <c r="U193" s="87"/>
      <c r="V193" s="87"/>
      <c r="W193" s="87"/>
      <c r="X193" s="87"/>
      <c r="Y193" s="87"/>
      <c r="Z193" s="87"/>
      <c r="AA193" s="87"/>
      <c r="AB193" s="87"/>
      <c r="AC193" s="87"/>
      <c r="AD193" s="87"/>
      <c r="AE193" s="87"/>
      <c r="AF193" s="87"/>
      <c r="AG193" s="87"/>
      <c r="AH193" s="87"/>
      <c r="AI193" s="87"/>
      <c r="AJ193" s="91" t="e">
        <f t="shared" ref="AJ193:AX193" si="867">SUM(AJ194:AJ196)</f>
        <v>#DIV/0!</v>
      </c>
      <c r="AK193" s="91" t="e">
        <f t="shared" ref="AK193:AL193" si="868">SUM(AK194:AK196)</f>
        <v>#DIV/0!</v>
      </c>
      <c r="AL193" s="91" t="e">
        <f t="shared" si="868"/>
        <v>#DIV/0!</v>
      </c>
      <c r="AM193" s="91" t="e">
        <f t="shared" si="867"/>
        <v>#DIV/0!</v>
      </c>
      <c r="AN193" s="91" t="e">
        <f t="shared" si="867"/>
        <v>#DIV/0!</v>
      </c>
      <c r="AO193" s="91" t="e">
        <f t="shared" si="867"/>
        <v>#DIV/0!</v>
      </c>
      <c r="AP193" s="91" t="e">
        <f t="shared" si="867"/>
        <v>#DIV/0!</v>
      </c>
      <c r="AQ193" s="91" t="e">
        <f t="shared" si="867"/>
        <v>#DIV/0!</v>
      </c>
      <c r="AR193" s="91" t="e">
        <f t="shared" si="867"/>
        <v>#DIV/0!</v>
      </c>
      <c r="AS193" s="91" t="e">
        <f t="shared" si="867"/>
        <v>#DIV/0!</v>
      </c>
      <c r="AT193" s="91" t="e">
        <f t="shared" si="867"/>
        <v>#DIV/0!</v>
      </c>
      <c r="AU193" s="91" t="e">
        <f t="shared" si="867"/>
        <v>#DIV/0!</v>
      </c>
      <c r="AV193" s="91" t="e">
        <f t="shared" si="867"/>
        <v>#DIV/0!</v>
      </c>
      <c r="AW193" s="91" t="e">
        <f t="shared" si="867"/>
        <v>#DIV/0!</v>
      </c>
      <c r="AX193" s="91" t="e">
        <f t="shared" si="867"/>
        <v>#DIV/0!</v>
      </c>
      <c r="AY193" s="91" t="e">
        <f t="shared" ref="AY193:BJ193" si="869">SUM(AY194:AY196)</f>
        <v>#DIV/0!</v>
      </c>
      <c r="AZ193" s="91" t="e">
        <f t="shared" si="869"/>
        <v>#DIV/0!</v>
      </c>
      <c r="BA193" s="91" t="e">
        <f t="shared" si="869"/>
        <v>#DIV/0!</v>
      </c>
      <c r="BB193" s="91" t="e">
        <f t="shared" si="869"/>
        <v>#DIV/0!</v>
      </c>
      <c r="BC193" s="91" t="e">
        <f t="shared" si="869"/>
        <v>#DIV/0!</v>
      </c>
      <c r="BD193" s="91" t="e">
        <f t="shared" si="869"/>
        <v>#DIV/0!</v>
      </c>
      <c r="BE193" s="91" t="e">
        <f t="shared" si="869"/>
        <v>#DIV/0!</v>
      </c>
      <c r="BF193" s="91" t="e">
        <f t="shared" si="869"/>
        <v>#DIV/0!</v>
      </c>
      <c r="BG193" s="91" t="e">
        <f t="shared" si="869"/>
        <v>#DIV/0!</v>
      </c>
      <c r="BH193" s="91" t="e">
        <f t="shared" si="869"/>
        <v>#DIV/0!</v>
      </c>
      <c r="BI193" s="91" t="e">
        <f t="shared" si="869"/>
        <v>#DIV/0!</v>
      </c>
      <c r="BJ193" s="91" t="e">
        <f t="shared" si="869"/>
        <v>#DIV/0!</v>
      </c>
      <c r="BL193" s="6"/>
      <c r="BM193" s="6"/>
      <c r="BN193" s="6"/>
      <c r="BO193" s="6"/>
      <c r="BP193" s="6"/>
      <c r="BQ193" s="6"/>
      <c r="BR193" s="6"/>
      <c r="BS193" s="6"/>
      <c r="BT193" s="6"/>
      <c r="BU193" s="6"/>
      <c r="BV193" s="6"/>
      <c r="BW193" s="6"/>
      <c r="BX193" s="6"/>
      <c r="BY193" s="6"/>
    </row>
    <row r="194" spans="2:77" ht="12" hidden="1" customHeight="1" outlineLevel="1">
      <c r="B194" s="92" t="s">
        <v>167</v>
      </c>
      <c r="C194" s="197"/>
      <c r="D194" s="197"/>
      <c r="E194" s="197"/>
      <c r="F194" s="197"/>
      <c r="G194" s="197"/>
      <c r="H194" s="197"/>
      <c r="I194" s="197"/>
      <c r="J194" s="197"/>
      <c r="K194" s="197"/>
      <c r="L194" s="197"/>
      <c r="M194" s="197"/>
      <c r="N194" s="197"/>
      <c r="O194" s="87"/>
      <c r="P194" s="88"/>
      <c r="Q194" s="81"/>
      <c r="R194" s="81"/>
      <c r="S194" s="81"/>
      <c r="T194" s="81"/>
      <c r="U194" s="81"/>
      <c r="V194" s="81"/>
      <c r="W194" s="81"/>
      <c r="X194" s="81"/>
      <c r="Y194" s="81"/>
      <c r="Z194" s="81"/>
      <c r="AA194" s="81"/>
      <c r="AB194" s="81"/>
      <c r="AC194" s="81"/>
      <c r="AD194" s="81"/>
      <c r="AE194" s="81"/>
      <c r="AF194" s="81"/>
      <c r="AG194" s="81"/>
      <c r="AH194" s="81"/>
      <c r="AI194" s="81"/>
      <c r="AJ194" s="93" t="e">
        <f t="shared" ref="AJ194:AX194" si="870">AI199+AJ204+AI194</f>
        <v>#DIV/0!</v>
      </c>
      <c r="AK194" s="93" t="e">
        <f t="shared" si="870"/>
        <v>#DIV/0!</v>
      </c>
      <c r="AL194" s="93" t="e">
        <f t="shared" si="870"/>
        <v>#DIV/0!</v>
      </c>
      <c r="AM194" s="93" t="e">
        <f t="shared" si="870"/>
        <v>#DIV/0!</v>
      </c>
      <c r="AN194" s="93" t="e">
        <f t="shared" si="870"/>
        <v>#DIV/0!</v>
      </c>
      <c r="AO194" s="93" t="e">
        <f t="shared" si="870"/>
        <v>#DIV/0!</v>
      </c>
      <c r="AP194" s="93" t="e">
        <f t="shared" si="870"/>
        <v>#DIV/0!</v>
      </c>
      <c r="AQ194" s="93" t="e">
        <f t="shared" si="870"/>
        <v>#DIV/0!</v>
      </c>
      <c r="AR194" s="93" t="e">
        <f t="shared" si="870"/>
        <v>#DIV/0!</v>
      </c>
      <c r="AS194" s="93" t="e">
        <f t="shared" si="870"/>
        <v>#DIV/0!</v>
      </c>
      <c r="AT194" s="93" t="e">
        <f t="shared" si="870"/>
        <v>#DIV/0!</v>
      </c>
      <c r="AU194" s="93" t="e">
        <f t="shared" si="870"/>
        <v>#DIV/0!</v>
      </c>
      <c r="AV194" s="93" t="e">
        <f t="shared" si="870"/>
        <v>#DIV/0!</v>
      </c>
      <c r="AW194" s="93" t="e">
        <f t="shared" si="870"/>
        <v>#DIV/0!</v>
      </c>
      <c r="AX194" s="93" t="e">
        <f t="shared" si="870"/>
        <v>#DIV/0!</v>
      </c>
      <c r="AY194" s="93" t="e">
        <f t="shared" ref="AY194:AY196" si="871">AX199+AY204+AX194</f>
        <v>#DIV/0!</v>
      </c>
      <c r="AZ194" s="93" t="e">
        <f t="shared" ref="AZ194:AZ196" si="872">AY199+AZ204+AY194</f>
        <v>#DIV/0!</v>
      </c>
      <c r="BA194" s="93" t="e">
        <f t="shared" ref="BA194:BA196" si="873">AZ199+BA204+AZ194</f>
        <v>#DIV/0!</v>
      </c>
      <c r="BB194" s="93" t="e">
        <f t="shared" ref="BB194:BB196" si="874">BA199+BB204+BA194</f>
        <v>#DIV/0!</v>
      </c>
      <c r="BC194" s="93" t="e">
        <f t="shared" ref="BC194:BC196" si="875">BB199+BC204+BB194</f>
        <v>#DIV/0!</v>
      </c>
      <c r="BD194" s="93" t="e">
        <f t="shared" ref="BD194:BD196" si="876">BC199+BD204+BC194</f>
        <v>#DIV/0!</v>
      </c>
      <c r="BE194" s="93" t="e">
        <f t="shared" ref="BE194:BE196" si="877">BD199+BE204+BD194</f>
        <v>#DIV/0!</v>
      </c>
      <c r="BF194" s="93" t="e">
        <f t="shared" ref="BF194:BF196" si="878">BE199+BF204+BE194</f>
        <v>#DIV/0!</v>
      </c>
      <c r="BG194" s="93" t="e">
        <f t="shared" ref="BG194:BG196" si="879">BF199+BG204+BF194</f>
        <v>#DIV/0!</v>
      </c>
      <c r="BH194" s="93" t="e">
        <f t="shared" ref="BH194:BH196" si="880">BG199+BH204+BG194</f>
        <v>#DIV/0!</v>
      </c>
      <c r="BI194" s="93" t="e">
        <f t="shared" ref="BI194:BI196" si="881">BH199+BI204+BH194</f>
        <v>#DIV/0!</v>
      </c>
      <c r="BJ194" s="93" t="e">
        <f t="shared" ref="BJ194:BJ196" si="882">BI199+BJ204+BI194</f>
        <v>#DIV/0!</v>
      </c>
      <c r="BL194" s="6"/>
      <c r="BM194" s="6"/>
      <c r="BN194" s="6"/>
      <c r="BO194" s="6"/>
      <c r="BP194" s="6"/>
      <c r="BQ194" s="6"/>
      <c r="BR194" s="6"/>
      <c r="BS194" s="6"/>
      <c r="BT194" s="6"/>
      <c r="BU194" s="6"/>
      <c r="BV194" s="6"/>
      <c r="BW194" s="6"/>
      <c r="BX194" s="6"/>
      <c r="BY194" s="6"/>
    </row>
    <row r="195" spans="2:77" ht="12" hidden="1" customHeight="1" outlineLevel="1">
      <c r="B195" s="92" t="s">
        <v>168</v>
      </c>
      <c r="C195" s="197"/>
      <c r="D195" s="197"/>
      <c r="E195" s="197"/>
      <c r="F195" s="197"/>
      <c r="G195" s="197"/>
      <c r="H195" s="197"/>
      <c r="I195" s="197"/>
      <c r="J195" s="197"/>
      <c r="K195" s="197"/>
      <c r="L195" s="197"/>
      <c r="M195" s="197"/>
      <c r="N195" s="197"/>
      <c r="O195" s="87"/>
      <c r="P195" s="88"/>
      <c r="Q195" s="81"/>
      <c r="R195" s="81"/>
      <c r="S195" s="81"/>
      <c r="T195" s="81"/>
      <c r="U195" s="81"/>
      <c r="V195" s="81"/>
      <c r="W195" s="81"/>
      <c r="X195" s="81"/>
      <c r="Y195" s="81"/>
      <c r="Z195" s="81"/>
      <c r="AA195" s="81"/>
      <c r="AB195" s="81"/>
      <c r="AC195" s="81"/>
      <c r="AD195" s="81"/>
      <c r="AE195" s="81"/>
      <c r="AF195" s="81"/>
      <c r="AG195" s="81"/>
      <c r="AH195" s="81"/>
      <c r="AI195" s="81"/>
      <c r="AJ195" s="93" t="e">
        <f t="shared" ref="AJ195:AX195" si="883">AI200+AJ205+AI195</f>
        <v>#DIV/0!</v>
      </c>
      <c r="AK195" s="93" t="e">
        <f t="shared" si="883"/>
        <v>#DIV/0!</v>
      </c>
      <c r="AL195" s="93" t="e">
        <f t="shared" si="883"/>
        <v>#DIV/0!</v>
      </c>
      <c r="AM195" s="93" t="e">
        <f t="shared" si="883"/>
        <v>#DIV/0!</v>
      </c>
      <c r="AN195" s="93" t="e">
        <f t="shared" si="883"/>
        <v>#DIV/0!</v>
      </c>
      <c r="AO195" s="93" t="e">
        <f t="shared" si="883"/>
        <v>#DIV/0!</v>
      </c>
      <c r="AP195" s="93" t="e">
        <f t="shared" si="883"/>
        <v>#DIV/0!</v>
      </c>
      <c r="AQ195" s="93" t="e">
        <f t="shared" si="883"/>
        <v>#DIV/0!</v>
      </c>
      <c r="AR195" s="93" t="e">
        <f t="shared" si="883"/>
        <v>#DIV/0!</v>
      </c>
      <c r="AS195" s="93" t="e">
        <f t="shared" si="883"/>
        <v>#DIV/0!</v>
      </c>
      <c r="AT195" s="93" t="e">
        <f t="shared" si="883"/>
        <v>#DIV/0!</v>
      </c>
      <c r="AU195" s="93" t="e">
        <f t="shared" si="883"/>
        <v>#DIV/0!</v>
      </c>
      <c r="AV195" s="93" t="e">
        <f t="shared" si="883"/>
        <v>#DIV/0!</v>
      </c>
      <c r="AW195" s="93" t="e">
        <f t="shared" si="883"/>
        <v>#DIV/0!</v>
      </c>
      <c r="AX195" s="93" t="e">
        <f t="shared" si="883"/>
        <v>#DIV/0!</v>
      </c>
      <c r="AY195" s="93" t="e">
        <f t="shared" si="871"/>
        <v>#DIV/0!</v>
      </c>
      <c r="AZ195" s="93" t="e">
        <f t="shared" si="872"/>
        <v>#DIV/0!</v>
      </c>
      <c r="BA195" s="93" t="e">
        <f t="shared" si="873"/>
        <v>#DIV/0!</v>
      </c>
      <c r="BB195" s="93" t="e">
        <f t="shared" si="874"/>
        <v>#DIV/0!</v>
      </c>
      <c r="BC195" s="93" t="e">
        <f t="shared" si="875"/>
        <v>#DIV/0!</v>
      </c>
      <c r="BD195" s="93" t="e">
        <f t="shared" si="876"/>
        <v>#DIV/0!</v>
      </c>
      <c r="BE195" s="93" t="e">
        <f t="shared" si="877"/>
        <v>#DIV/0!</v>
      </c>
      <c r="BF195" s="93" t="e">
        <f t="shared" si="878"/>
        <v>#DIV/0!</v>
      </c>
      <c r="BG195" s="93" t="e">
        <f t="shared" si="879"/>
        <v>#DIV/0!</v>
      </c>
      <c r="BH195" s="93" t="e">
        <f t="shared" si="880"/>
        <v>#DIV/0!</v>
      </c>
      <c r="BI195" s="93" t="e">
        <f t="shared" si="881"/>
        <v>#DIV/0!</v>
      </c>
      <c r="BJ195" s="93" t="e">
        <f t="shared" si="882"/>
        <v>#DIV/0!</v>
      </c>
      <c r="BL195" s="6"/>
      <c r="BM195" s="6"/>
      <c r="BN195" s="6"/>
      <c r="BO195" s="6"/>
      <c r="BP195" s="6"/>
      <c r="BQ195" s="6"/>
      <c r="BR195" s="6"/>
      <c r="BS195" s="6"/>
      <c r="BT195" s="6"/>
      <c r="BU195" s="6"/>
      <c r="BV195" s="6"/>
      <c r="BW195" s="6"/>
      <c r="BX195" s="6"/>
      <c r="BY195" s="6"/>
    </row>
    <row r="196" spans="2:77" ht="12" hidden="1" customHeight="1" outlineLevel="1">
      <c r="B196" s="92" t="s">
        <v>169</v>
      </c>
      <c r="C196" s="197"/>
      <c r="D196" s="197"/>
      <c r="E196" s="197"/>
      <c r="F196" s="197"/>
      <c r="G196" s="197"/>
      <c r="H196" s="197"/>
      <c r="I196" s="197"/>
      <c r="J196" s="197"/>
      <c r="K196" s="197"/>
      <c r="L196" s="197"/>
      <c r="M196" s="197"/>
      <c r="N196" s="197"/>
      <c r="O196" s="87"/>
      <c r="P196" s="88"/>
      <c r="Q196" s="81"/>
      <c r="R196" s="81"/>
      <c r="S196" s="81"/>
      <c r="T196" s="81"/>
      <c r="U196" s="81"/>
      <c r="V196" s="81"/>
      <c r="W196" s="81"/>
      <c r="X196" s="81"/>
      <c r="Y196" s="81"/>
      <c r="Z196" s="81"/>
      <c r="AA196" s="81"/>
      <c r="AB196" s="81"/>
      <c r="AC196" s="81"/>
      <c r="AD196" s="81"/>
      <c r="AE196" s="81"/>
      <c r="AF196" s="81"/>
      <c r="AG196" s="81"/>
      <c r="AH196" s="81"/>
      <c r="AI196" s="81"/>
      <c r="AJ196" s="93" t="e">
        <f t="shared" ref="AJ196:AX196" si="884">AI201+AJ206+AI196</f>
        <v>#DIV/0!</v>
      </c>
      <c r="AK196" s="93" t="e">
        <f t="shared" si="884"/>
        <v>#DIV/0!</v>
      </c>
      <c r="AL196" s="93" t="e">
        <f t="shared" si="884"/>
        <v>#DIV/0!</v>
      </c>
      <c r="AM196" s="93" t="e">
        <f t="shared" si="884"/>
        <v>#DIV/0!</v>
      </c>
      <c r="AN196" s="93" t="e">
        <f t="shared" si="884"/>
        <v>#DIV/0!</v>
      </c>
      <c r="AO196" s="93" t="e">
        <f t="shared" si="884"/>
        <v>#DIV/0!</v>
      </c>
      <c r="AP196" s="93" t="e">
        <f t="shared" si="884"/>
        <v>#DIV/0!</v>
      </c>
      <c r="AQ196" s="93" t="e">
        <f t="shared" si="884"/>
        <v>#DIV/0!</v>
      </c>
      <c r="AR196" s="93" t="e">
        <f t="shared" si="884"/>
        <v>#DIV/0!</v>
      </c>
      <c r="AS196" s="93" t="e">
        <f t="shared" si="884"/>
        <v>#DIV/0!</v>
      </c>
      <c r="AT196" s="93" t="e">
        <f t="shared" si="884"/>
        <v>#DIV/0!</v>
      </c>
      <c r="AU196" s="93" t="e">
        <f t="shared" si="884"/>
        <v>#DIV/0!</v>
      </c>
      <c r="AV196" s="93" t="e">
        <f t="shared" si="884"/>
        <v>#DIV/0!</v>
      </c>
      <c r="AW196" s="93" t="e">
        <f t="shared" si="884"/>
        <v>#DIV/0!</v>
      </c>
      <c r="AX196" s="93" t="e">
        <f t="shared" si="884"/>
        <v>#DIV/0!</v>
      </c>
      <c r="AY196" s="93" t="e">
        <f t="shared" si="871"/>
        <v>#DIV/0!</v>
      </c>
      <c r="AZ196" s="93" t="e">
        <f t="shared" si="872"/>
        <v>#DIV/0!</v>
      </c>
      <c r="BA196" s="93" t="e">
        <f t="shared" si="873"/>
        <v>#DIV/0!</v>
      </c>
      <c r="BB196" s="93" t="e">
        <f t="shared" si="874"/>
        <v>#DIV/0!</v>
      </c>
      <c r="BC196" s="93" t="e">
        <f t="shared" si="875"/>
        <v>#DIV/0!</v>
      </c>
      <c r="BD196" s="93" t="e">
        <f t="shared" si="876"/>
        <v>#DIV/0!</v>
      </c>
      <c r="BE196" s="93" t="e">
        <f t="shared" si="877"/>
        <v>#DIV/0!</v>
      </c>
      <c r="BF196" s="93" t="e">
        <f t="shared" si="878"/>
        <v>#DIV/0!</v>
      </c>
      <c r="BG196" s="93" t="e">
        <f t="shared" si="879"/>
        <v>#DIV/0!</v>
      </c>
      <c r="BH196" s="93" t="e">
        <f t="shared" si="880"/>
        <v>#DIV/0!</v>
      </c>
      <c r="BI196" s="93" t="e">
        <f t="shared" si="881"/>
        <v>#DIV/0!</v>
      </c>
      <c r="BJ196" s="93" t="e">
        <f t="shared" si="882"/>
        <v>#DIV/0!</v>
      </c>
      <c r="BL196" s="6"/>
      <c r="BM196" s="6"/>
      <c r="BN196" s="6"/>
      <c r="BO196" s="6"/>
      <c r="BP196" s="6"/>
      <c r="BQ196" s="6"/>
      <c r="BR196" s="6"/>
      <c r="BS196" s="6"/>
      <c r="BT196" s="6"/>
      <c r="BU196" s="6"/>
      <c r="BV196" s="6"/>
      <c r="BW196" s="6"/>
      <c r="BX196" s="6"/>
      <c r="BY196" s="6"/>
    </row>
    <row r="197" spans="2:77" ht="12" hidden="1" customHeight="1" outlineLevel="1">
      <c r="B197" s="86"/>
      <c r="C197" s="87"/>
      <c r="D197" s="87"/>
      <c r="E197" s="87"/>
      <c r="F197" s="87"/>
      <c r="G197" s="87"/>
      <c r="H197" s="87"/>
      <c r="I197" s="87"/>
      <c r="J197" s="87"/>
      <c r="K197" s="87"/>
      <c r="L197" s="87"/>
      <c r="M197" s="87"/>
      <c r="N197" s="87"/>
      <c r="O197" s="87"/>
      <c r="P197" s="88"/>
      <c r="Q197" s="87"/>
      <c r="R197" s="87"/>
      <c r="S197" s="87"/>
      <c r="T197" s="87"/>
      <c r="U197" s="87"/>
      <c r="V197" s="87"/>
      <c r="W197" s="87"/>
      <c r="X197" s="87"/>
      <c r="Y197" s="87"/>
      <c r="Z197" s="87"/>
      <c r="AA197" s="87"/>
      <c r="AB197" s="87"/>
      <c r="AC197" s="87"/>
      <c r="AD197" s="87"/>
      <c r="AE197" s="87"/>
      <c r="AF197" s="87"/>
      <c r="AG197" s="87"/>
      <c r="AH197" s="87"/>
      <c r="AI197" s="87"/>
      <c r="AJ197" s="89"/>
      <c r="AK197" s="89"/>
      <c r="AL197" s="89"/>
      <c r="AM197" s="89"/>
      <c r="AN197" s="89"/>
      <c r="AO197" s="89"/>
      <c r="AP197" s="89"/>
      <c r="AQ197" s="89"/>
      <c r="AR197" s="89"/>
      <c r="AS197" s="89"/>
      <c r="AT197" s="89"/>
      <c r="AU197" s="89"/>
      <c r="AV197" s="89"/>
      <c r="AW197" s="89"/>
      <c r="AX197" s="89"/>
      <c r="AY197" s="89"/>
      <c r="AZ197" s="89"/>
      <c r="BA197" s="89"/>
      <c r="BB197" s="89"/>
      <c r="BC197" s="89"/>
      <c r="BD197" s="89"/>
      <c r="BE197" s="89"/>
      <c r="BF197" s="89"/>
      <c r="BG197" s="89"/>
      <c r="BH197" s="89"/>
      <c r="BI197" s="89"/>
      <c r="BJ197" s="89"/>
      <c r="BL197" s="6"/>
      <c r="BM197" s="6"/>
      <c r="BN197" s="6"/>
      <c r="BO197" s="6"/>
      <c r="BP197" s="6"/>
      <c r="BQ197" s="6"/>
      <c r="BR197" s="6"/>
      <c r="BS197" s="6"/>
      <c r="BT197" s="6"/>
      <c r="BU197" s="6"/>
      <c r="BV197" s="6"/>
      <c r="BW197" s="6"/>
      <c r="BX197" s="6"/>
      <c r="BY197" s="6"/>
    </row>
    <row r="198" spans="2:77" ht="12" hidden="1" customHeight="1" outlineLevel="1">
      <c r="B198" s="90" t="s">
        <v>177</v>
      </c>
      <c r="C198" s="74"/>
      <c r="D198" s="74"/>
      <c r="E198" s="74"/>
      <c r="F198" s="74"/>
      <c r="G198" s="74"/>
      <c r="H198" s="74"/>
      <c r="I198" s="74"/>
      <c r="J198" s="74"/>
      <c r="K198" s="74"/>
      <c r="L198" s="74"/>
      <c r="M198" s="74"/>
      <c r="N198" s="74"/>
      <c r="O198" s="87"/>
      <c r="P198" s="88"/>
      <c r="Q198" s="87"/>
      <c r="R198" s="87"/>
      <c r="S198" s="87"/>
      <c r="T198" s="87"/>
      <c r="U198" s="87"/>
      <c r="V198" s="87"/>
      <c r="W198" s="87"/>
      <c r="X198" s="87"/>
      <c r="Y198" s="87"/>
      <c r="Z198" s="87"/>
      <c r="AA198" s="87"/>
      <c r="AB198" s="87"/>
      <c r="AC198" s="87"/>
      <c r="AD198" s="87"/>
      <c r="AE198" s="87"/>
      <c r="AF198" s="87"/>
      <c r="AG198" s="87"/>
      <c r="AH198" s="87"/>
      <c r="AI198" s="87"/>
      <c r="AJ198" s="91" t="e">
        <f t="shared" ref="AJ198:AX198" si="885">SUM(AJ199:AJ201)</f>
        <v>#DIV/0!</v>
      </c>
      <c r="AK198" s="91" t="e">
        <f t="shared" ref="AK198:AL198" si="886">SUM(AK199:AK201)</f>
        <v>#DIV/0!</v>
      </c>
      <c r="AL198" s="91" t="e">
        <f t="shared" si="886"/>
        <v>#DIV/0!</v>
      </c>
      <c r="AM198" s="91" t="e">
        <f t="shared" si="885"/>
        <v>#DIV/0!</v>
      </c>
      <c r="AN198" s="91" t="e">
        <f t="shared" si="885"/>
        <v>#DIV/0!</v>
      </c>
      <c r="AO198" s="91" t="e">
        <f t="shared" si="885"/>
        <v>#DIV/0!</v>
      </c>
      <c r="AP198" s="91" t="e">
        <f t="shared" si="885"/>
        <v>#DIV/0!</v>
      </c>
      <c r="AQ198" s="91" t="e">
        <f t="shared" si="885"/>
        <v>#DIV/0!</v>
      </c>
      <c r="AR198" s="91" t="e">
        <f t="shared" si="885"/>
        <v>#DIV/0!</v>
      </c>
      <c r="AS198" s="91" t="e">
        <f t="shared" si="885"/>
        <v>#DIV/0!</v>
      </c>
      <c r="AT198" s="91" t="e">
        <f t="shared" si="885"/>
        <v>#DIV/0!</v>
      </c>
      <c r="AU198" s="91" t="e">
        <f t="shared" si="885"/>
        <v>#DIV/0!</v>
      </c>
      <c r="AV198" s="91" t="e">
        <f t="shared" si="885"/>
        <v>#DIV/0!</v>
      </c>
      <c r="AW198" s="91" t="e">
        <f t="shared" si="885"/>
        <v>#DIV/0!</v>
      </c>
      <c r="AX198" s="91" t="e">
        <f t="shared" si="885"/>
        <v>#DIV/0!</v>
      </c>
      <c r="AY198" s="91" t="e">
        <f t="shared" ref="AY198:BJ198" si="887">SUM(AY199:AY201)</f>
        <v>#DIV/0!</v>
      </c>
      <c r="AZ198" s="91" t="e">
        <f t="shared" si="887"/>
        <v>#DIV/0!</v>
      </c>
      <c r="BA198" s="91" t="e">
        <f t="shared" si="887"/>
        <v>#DIV/0!</v>
      </c>
      <c r="BB198" s="91" t="e">
        <f t="shared" si="887"/>
        <v>#DIV/0!</v>
      </c>
      <c r="BC198" s="91" t="e">
        <f t="shared" si="887"/>
        <v>#DIV/0!</v>
      </c>
      <c r="BD198" s="91" t="e">
        <f t="shared" si="887"/>
        <v>#DIV/0!</v>
      </c>
      <c r="BE198" s="91" t="e">
        <f t="shared" si="887"/>
        <v>#DIV/0!</v>
      </c>
      <c r="BF198" s="91" t="e">
        <f t="shared" si="887"/>
        <v>#DIV/0!</v>
      </c>
      <c r="BG198" s="91" t="e">
        <f t="shared" si="887"/>
        <v>#DIV/0!</v>
      </c>
      <c r="BH198" s="91" t="e">
        <f t="shared" si="887"/>
        <v>#DIV/0!</v>
      </c>
      <c r="BI198" s="91" t="e">
        <f t="shared" si="887"/>
        <v>#DIV/0!</v>
      </c>
      <c r="BJ198" s="91" t="e">
        <f t="shared" si="887"/>
        <v>#DIV/0!</v>
      </c>
      <c r="BL198" s="6"/>
      <c r="BM198" s="6"/>
      <c r="BN198" s="6"/>
      <c r="BO198" s="6"/>
      <c r="BP198" s="6"/>
      <c r="BQ198" s="6"/>
      <c r="BR198" s="6"/>
      <c r="BS198" s="6"/>
      <c r="BT198" s="6"/>
      <c r="BU198" s="6"/>
      <c r="BV198" s="6"/>
      <c r="BW198" s="6"/>
      <c r="BX198" s="6"/>
      <c r="BY198" s="6"/>
    </row>
    <row r="199" spans="2:77" ht="12" hidden="1" customHeight="1" outlineLevel="1">
      <c r="B199" s="92" t="s">
        <v>167</v>
      </c>
      <c r="C199" s="197"/>
      <c r="D199" s="197"/>
      <c r="E199" s="197"/>
      <c r="F199" s="197"/>
      <c r="G199" s="197"/>
      <c r="H199" s="197"/>
      <c r="I199" s="197"/>
      <c r="J199" s="197"/>
      <c r="K199" s="197"/>
      <c r="L199" s="197"/>
      <c r="M199" s="197"/>
      <c r="N199" s="197"/>
      <c r="O199" s="87"/>
      <c r="P199" s="88"/>
      <c r="Q199" s="81"/>
      <c r="R199" s="81"/>
      <c r="S199" s="81"/>
      <c r="T199" s="81"/>
      <c r="U199" s="81"/>
      <c r="V199" s="81"/>
      <c r="W199" s="81"/>
      <c r="X199" s="81"/>
      <c r="Y199" s="81"/>
      <c r="Z199" s="81"/>
      <c r="AA199" s="81"/>
      <c r="AB199" s="81"/>
      <c r="AC199" s="81"/>
      <c r="AD199" s="81"/>
      <c r="AE199" s="81"/>
      <c r="AF199" s="81"/>
      <c r="AG199" s="81"/>
      <c r="AH199" s="81"/>
      <c r="AI199" s="81"/>
      <c r="AJ199" s="93" t="e">
        <f t="shared" ref="AJ199:AX199" si="888">AJ219/AJ224*(AJ214-AI214)/4</f>
        <v>#DIV/0!</v>
      </c>
      <c r="AK199" s="93" t="e">
        <f t="shared" si="888"/>
        <v>#DIV/0!</v>
      </c>
      <c r="AL199" s="93" t="e">
        <f t="shared" si="888"/>
        <v>#DIV/0!</v>
      </c>
      <c r="AM199" s="93" t="e">
        <f t="shared" si="888"/>
        <v>#DIV/0!</v>
      </c>
      <c r="AN199" s="93" t="e">
        <f t="shared" si="888"/>
        <v>#DIV/0!</v>
      </c>
      <c r="AO199" s="93" t="e">
        <f t="shared" si="888"/>
        <v>#DIV/0!</v>
      </c>
      <c r="AP199" s="93" t="e">
        <f t="shared" si="888"/>
        <v>#DIV/0!</v>
      </c>
      <c r="AQ199" s="93" t="e">
        <f t="shared" si="888"/>
        <v>#DIV/0!</v>
      </c>
      <c r="AR199" s="93" t="e">
        <f t="shared" si="888"/>
        <v>#DIV/0!</v>
      </c>
      <c r="AS199" s="93" t="e">
        <f t="shared" si="888"/>
        <v>#DIV/0!</v>
      </c>
      <c r="AT199" s="93" t="e">
        <f t="shared" si="888"/>
        <v>#DIV/0!</v>
      </c>
      <c r="AU199" s="93" t="e">
        <f t="shared" si="888"/>
        <v>#DIV/0!</v>
      </c>
      <c r="AV199" s="93" t="e">
        <f t="shared" si="888"/>
        <v>#DIV/0!</v>
      </c>
      <c r="AW199" s="93" t="e">
        <f t="shared" si="888"/>
        <v>#DIV/0!</v>
      </c>
      <c r="AX199" s="93" t="e">
        <f t="shared" si="888"/>
        <v>#DIV/0!</v>
      </c>
      <c r="AY199" s="93" t="e">
        <f t="shared" ref="AY199:AY201" si="889">AY219/AY224*(AY214-AX214)/4</f>
        <v>#DIV/0!</v>
      </c>
      <c r="AZ199" s="93" t="e">
        <f t="shared" ref="AZ199:AZ201" si="890">AZ219/AZ224*(AZ214-AY214)/4</f>
        <v>#DIV/0!</v>
      </c>
      <c r="BA199" s="93" t="e">
        <f t="shared" ref="BA199:BA201" si="891">BA219/BA224*(BA214-AZ214)/4</f>
        <v>#DIV/0!</v>
      </c>
      <c r="BB199" s="93" t="e">
        <f t="shared" ref="BB199:BB201" si="892">BB219/BB224*(BB214-BA214)/4</f>
        <v>#DIV/0!</v>
      </c>
      <c r="BC199" s="93" t="e">
        <f t="shared" ref="BC199:BC201" si="893">BC219/BC224*(BC214-BB214)/4</f>
        <v>#DIV/0!</v>
      </c>
      <c r="BD199" s="93" t="e">
        <f t="shared" ref="BD199:BD201" si="894">BD219/BD224*(BD214-BC214)/4</f>
        <v>#DIV/0!</v>
      </c>
      <c r="BE199" s="93" t="e">
        <f t="shared" ref="BE199:BE201" si="895">BE219/BE224*(BE214-BD214)/4</f>
        <v>#DIV/0!</v>
      </c>
      <c r="BF199" s="93" t="e">
        <f t="shared" ref="BF199:BF201" si="896">BF219/BF224*(BF214-BE214)/4</f>
        <v>#DIV/0!</v>
      </c>
      <c r="BG199" s="93" t="e">
        <f t="shared" ref="BG199:BG201" si="897">BG219/BG224*(BG214-BF214)/4</f>
        <v>#DIV/0!</v>
      </c>
      <c r="BH199" s="93" t="e">
        <f t="shared" ref="BH199:BH201" si="898">BH219/BH224*(BH214-BG214)/4</f>
        <v>#DIV/0!</v>
      </c>
      <c r="BI199" s="93" t="e">
        <f t="shared" ref="BI199:BI201" si="899">BI219/BI224*(BI214-BH214)/4</f>
        <v>#DIV/0!</v>
      </c>
      <c r="BJ199" s="93" t="e">
        <f t="shared" ref="BJ199:BJ201" si="900">BJ219/BJ224*(BJ214-BI214)/4</f>
        <v>#DIV/0!</v>
      </c>
      <c r="BL199" s="6"/>
      <c r="BM199" s="6"/>
      <c r="BN199" s="6"/>
      <c r="BO199" s="6"/>
      <c r="BP199" s="6"/>
      <c r="BQ199" s="6"/>
      <c r="BR199" s="6"/>
      <c r="BS199" s="6"/>
      <c r="BT199" s="6"/>
      <c r="BU199" s="6"/>
      <c r="BV199" s="6"/>
      <c r="BW199" s="6"/>
      <c r="BX199" s="6"/>
      <c r="BY199" s="6"/>
    </row>
    <row r="200" spans="2:77" ht="12" hidden="1" customHeight="1" outlineLevel="1">
      <c r="B200" s="92" t="s">
        <v>168</v>
      </c>
      <c r="C200" s="197"/>
      <c r="D200" s="197"/>
      <c r="E200" s="197"/>
      <c r="F200" s="197"/>
      <c r="G200" s="197"/>
      <c r="H200" s="197"/>
      <c r="I200" s="197"/>
      <c r="J200" s="197"/>
      <c r="K200" s="197"/>
      <c r="L200" s="197"/>
      <c r="M200" s="197"/>
      <c r="N200" s="197"/>
      <c r="O200" s="87"/>
      <c r="P200" s="88"/>
      <c r="Q200" s="81"/>
      <c r="R200" s="81"/>
      <c r="S200" s="81"/>
      <c r="T200" s="81"/>
      <c r="U200" s="81"/>
      <c r="V200" s="81"/>
      <c r="W200" s="81"/>
      <c r="X200" s="81"/>
      <c r="Y200" s="81"/>
      <c r="Z200" s="81"/>
      <c r="AA200" s="81"/>
      <c r="AB200" s="81"/>
      <c r="AC200" s="81"/>
      <c r="AD200" s="81"/>
      <c r="AE200" s="81"/>
      <c r="AF200" s="81"/>
      <c r="AG200" s="81"/>
      <c r="AH200" s="81"/>
      <c r="AI200" s="81"/>
      <c r="AJ200" s="93" t="e">
        <f t="shared" ref="AJ200:AX200" si="901">AJ220/AJ225*(AJ215-AI215)/4</f>
        <v>#DIV/0!</v>
      </c>
      <c r="AK200" s="93" t="e">
        <f t="shared" si="901"/>
        <v>#DIV/0!</v>
      </c>
      <c r="AL200" s="93" t="e">
        <f t="shared" si="901"/>
        <v>#DIV/0!</v>
      </c>
      <c r="AM200" s="93" t="e">
        <f t="shared" si="901"/>
        <v>#DIV/0!</v>
      </c>
      <c r="AN200" s="93" t="e">
        <f t="shared" si="901"/>
        <v>#DIV/0!</v>
      </c>
      <c r="AO200" s="93" t="e">
        <f t="shared" si="901"/>
        <v>#DIV/0!</v>
      </c>
      <c r="AP200" s="93" t="e">
        <f t="shared" si="901"/>
        <v>#DIV/0!</v>
      </c>
      <c r="AQ200" s="93" t="e">
        <f t="shared" si="901"/>
        <v>#DIV/0!</v>
      </c>
      <c r="AR200" s="93" t="e">
        <f t="shared" si="901"/>
        <v>#DIV/0!</v>
      </c>
      <c r="AS200" s="93" t="e">
        <f t="shared" si="901"/>
        <v>#DIV/0!</v>
      </c>
      <c r="AT200" s="93" t="e">
        <f t="shared" si="901"/>
        <v>#DIV/0!</v>
      </c>
      <c r="AU200" s="93" t="e">
        <f t="shared" si="901"/>
        <v>#DIV/0!</v>
      </c>
      <c r="AV200" s="93" t="e">
        <f t="shared" si="901"/>
        <v>#DIV/0!</v>
      </c>
      <c r="AW200" s="93" t="e">
        <f t="shared" si="901"/>
        <v>#DIV/0!</v>
      </c>
      <c r="AX200" s="93" t="e">
        <f t="shared" si="901"/>
        <v>#DIV/0!</v>
      </c>
      <c r="AY200" s="93" t="e">
        <f t="shared" si="889"/>
        <v>#DIV/0!</v>
      </c>
      <c r="AZ200" s="93" t="e">
        <f t="shared" si="890"/>
        <v>#DIV/0!</v>
      </c>
      <c r="BA200" s="93" t="e">
        <f t="shared" si="891"/>
        <v>#DIV/0!</v>
      </c>
      <c r="BB200" s="93" t="e">
        <f t="shared" si="892"/>
        <v>#DIV/0!</v>
      </c>
      <c r="BC200" s="93" t="e">
        <f t="shared" si="893"/>
        <v>#DIV/0!</v>
      </c>
      <c r="BD200" s="93" t="e">
        <f t="shared" si="894"/>
        <v>#DIV/0!</v>
      </c>
      <c r="BE200" s="93" t="e">
        <f t="shared" si="895"/>
        <v>#DIV/0!</v>
      </c>
      <c r="BF200" s="93" t="e">
        <f t="shared" si="896"/>
        <v>#DIV/0!</v>
      </c>
      <c r="BG200" s="93" t="e">
        <f t="shared" si="897"/>
        <v>#DIV/0!</v>
      </c>
      <c r="BH200" s="93" t="e">
        <f t="shared" si="898"/>
        <v>#DIV/0!</v>
      </c>
      <c r="BI200" s="93" t="e">
        <f t="shared" si="899"/>
        <v>#DIV/0!</v>
      </c>
      <c r="BJ200" s="93" t="e">
        <f t="shared" si="900"/>
        <v>#DIV/0!</v>
      </c>
      <c r="BL200" s="6"/>
      <c r="BM200" s="6"/>
      <c r="BN200" s="6"/>
      <c r="BO200" s="6"/>
      <c r="BP200" s="6"/>
      <c r="BQ200" s="6"/>
      <c r="BR200" s="6"/>
      <c r="BS200" s="6"/>
      <c r="BT200" s="6"/>
      <c r="BU200" s="6"/>
      <c r="BV200" s="6"/>
      <c r="BW200" s="6"/>
      <c r="BX200" s="6"/>
      <c r="BY200" s="6"/>
    </row>
    <row r="201" spans="2:77" ht="12" hidden="1" customHeight="1" outlineLevel="1">
      <c r="B201" s="92" t="s">
        <v>169</v>
      </c>
      <c r="C201" s="197"/>
      <c r="D201" s="197"/>
      <c r="E201" s="197"/>
      <c r="F201" s="197"/>
      <c r="G201" s="197"/>
      <c r="H201" s="197"/>
      <c r="I201" s="197"/>
      <c r="J201" s="197"/>
      <c r="K201" s="197"/>
      <c r="L201" s="197"/>
      <c r="M201" s="197"/>
      <c r="N201" s="197"/>
      <c r="O201" s="87"/>
      <c r="P201" s="88"/>
      <c r="Q201" s="81"/>
      <c r="R201" s="81"/>
      <c r="S201" s="81"/>
      <c r="T201" s="81"/>
      <c r="U201" s="81"/>
      <c r="V201" s="81"/>
      <c r="W201" s="81"/>
      <c r="X201" s="81"/>
      <c r="Y201" s="81"/>
      <c r="Z201" s="81"/>
      <c r="AA201" s="81"/>
      <c r="AB201" s="81"/>
      <c r="AC201" s="81"/>
      <c r="AD201" s="81"/>
      <c r="AE201" s="81"/>
      <c r="AF201" s="81"/>
      <c r="AG201" s="81"/>
      <c r="AH201" s="81"/>
      <c r="AI201" s="81"/>
      <c r="AJ201" s="93" t="e">
        <f t="shared" ref="AJ201:AX201" si="902">AJ221/AJ226*(AJ216-AI216)/4</f>
        <v>#DIV/0!</v>
      </c>
      <c r="AK201" s="93" t="e">
        <f t="shared" si="902"/>
        <v>#DIV/0!</v>
      </c>
      <c r="AL201" s="93" t="e">
        <f t="shared" si="902"/>
        <v>#DIV/0!</v>
      </c>
      <c r="AM201" s="93" t="e">
        <f t="shared" si="902"/>
        <v>#DIV/0!</v>
      </c>
      <c r="AN201" s="93" t="e">
        <f t="shared" si="902"/>
        <v>#DIV/0!</v>
      </c>
      <c r="AO201" s="93" t="e">
        <f t="shared" si="902"/>
        <v>#DIV/0!</v>
      </c>
      <c r="AP201" s="93" t="e">
        <f t="shared" si="902"/>
        <v>#DIV/0!</v>
      </c>
      <c r="AQ201" s="93" t="e">
        <f t="shared" si="902"/>
        <v>#DIV/0!</v>
      </c>
      <c r="AR201" s="93" t="e">
        <f t="shared" si="902"/>
        <v>#DIV/0!</v>
      </c>
      <c r="AS201" s="93" t="e">
        <f t="shared" si="902"/>
        <v>#DIV/0!</v>
      </c>
      <c r="AT201" s="93" t="e">
        <f t="shared" si="902"/>
        <v>#DIV/0!</v>
      </c>
      <c r="AU201" s="93" t="e">
        <f t="shared" si="902"/>
        <v>#DIV/0!</v>
      </c>
      <c r="AV201" s="93" t="e">
        <f t="shared" si="902"/>
        <v>#DIV/0!</v>
      </c>
      <c r="AW201" s="93" t="e">
        <f t="shared" si="902"/>
        <v>#DIV/0!</v>
      </c>
      <c r="AX201" s="93" t="e">
        <f t="shared" si="902"/>
        <v>#DIV/0!</v>
      </c>
      <c r="AY201" s="93" t="e">
        <f t="shared" si="889"/>
        <v>#DIV/0!</v>
      </c>
      <c r="AZ201" s="93" t="e">
        <f t="shared" si="890"/>
        <v>#DIV/0!</v>
      </c>
      <c r="BA201" s="93" t="e">
        <f t="shared" si="891"/>
        <v>#DIV/0!</v>
      </c>
      <c r="BB201" s="93" t="e">
        <f t="shared" si="892"/>
        <v>#DIV/0!</v>
      </c>
      <c r="BC201" s="93" t="e">
        <f t="shared" si="893"/>
        <v>#DIV/0!</v>
      </c>
      <c r="BD201" s="93" t="e">
        <f t="shared" si="894"/>
        <v>#DIV/0!</v>
      </c>
      <c r="BE201" s="93" t="e">
        <f t="shared" si="895"/>
        <v>#DIV/0!</v>
      </c>
      <c r="BF201" s="93" t="e">
        <f t="shared" si="896"/>
        <v>#DIV/0!</v>
      </c>
      <c r="BG201" s="93" t="e">
        <f t="shared" si="897"/>
        <v>#DIV/0!</v>
      </c>
      <c r="BH201" s="93" t="e">
        <f t="shared" si="898"/>
        <v>#DIV/0!</v>
      </c>
      <c r="BI201" s="93" t="e">
        <f t="shared" si="899"/>
        <v>#DIV/0!</v>
      </c>
      <c r="BJ201" s="93" t="e">
        <f t="shared" si="900"/>
        <v>#DIV/0!</v>
      </c>
      <c r="BL201" s="6"/>
      <c r="BM201" s="6"/>
      <c r="BN201" s="6"/>
      <c r="BO201" s="6"/>
      <c r="BP201" s="6"/>
      <c r="BQ201" s="6"/>
      <c r="BR201" s="6"/>
      <c r="BS201" s="6"/>
      <c r="BT201" s="6"/>
      <c r="BU201" s="6"/>
      <c r="BV201" s="6"/>
      <c r="BW201" s="6"/>
      <c r="BX201" s="6"/>
      <c r="BY201" s="6"/>
    </row>
    <row r="202" spans="2:77" ht="12" hidden="1" customHeight="1" outlineLevel="1">
      <c r="B202" s="86"/>
      <c r="C202" s="87"/>
      <c r="D202" s="87"/>
      <c r="E202" s="87"/>
      <c r="F202" s="87"/>
      <c r="G202" s="87"/>
      <c r="H202" s="87"/>
      <c r="I202" s="87"/>
      <c r="J202" s="87"/>
      <c r="K202" s="87"/>
      <c r="L202" s="87"/>
      <c r="M202" s="87"/>
      <c r="N202" s="87"/>
      <c r="O202" s="87"/>
      <c r="P202" s="88"/>
      <c r="Q202" s="87"/>
      <c r="R202" s="87"/>
      <c r="S202" s="87"/>
      <c r="T202" s="87"/>
      <c r="U202" s="87"/>
      <c r="V202" s="87"/>
      <c r="W202" s="87"/>
      <c r="X202" s="87"/>
      <c r="Y202" s="87"/>
      <c r="Z202" s="87"/>
      <c r="AA202" s="87"/>
      <c r="AB202" s="87"/>
      <c r="AC202" s="87"/>
      <c r="AD202" s="87"/>
      <c r="AE202" s="87"/>
      <c r="AF202" s="87"/>
      <c r="AG202" s="87"/>
      <c r="AH202" s="87"/>
      <c r="AI202" s="87"/>
      <c r="AJ202" s="89"/>
      <c r="AK202" s="89"/>
      <c r="AL202" s="89"/>
      <c r="AM202" s="89"/>
      <c r="AN202" s="89"/>
      <c r="AO202" s="89"/>
      <c r="AP202" s="89"/>
      <c r="AQ202" s="89"/>
      <c r="AR202" s="89"/>
      <c r="AS202" s="89"/>
      <c r="AT202" s="89"/>
      <c r="AU202" s="89"/>
      <c r="AV202" s="89"/>
      <c r="AW202" s="89"/>
      <c r="AX202" s="89"/>
      <c r="AY202" s="89"/>
      <c r="AZ202" s="89"/>
      <c r="BA202" s="89"/>
      <c r="BB202" s="89"/>
      <c r="BC202" s="89"/>
      <c r="BD202" s="89"/>
      <c r="BE202" s="89"/>
      <c r="BF202" s="89"/>
      <c r="BG202" s="89"/>
      <c r="BH202" s="89"/>
      <c r="BI202" s="89"/>
      <c r="BJ202" s="89"/>
      <c r="BL202" s="6"/>
      <c r="BM202" s="6"/>
      <c r="BN202" s="6"/>
      <c r="BO202" s="6"/>
      <c r="BP202" s="6"/>
      <c r="BQ202" s="6"/>
      <c r="BR202" s="6"/>
      <c r="BS202" s="6"/>
      <c r="BT202" s="6"/>
      <c r="BU202" s="6"/>
      <c r="BV202" s="6"/>
      <c r="BW202" s="6"/>
      <c r="BX202" s="6"/>
      <c r="BY202" s="6"/>
    </row>
    <row r="203" spans="2:77" ht="12" hidden="1" customHeight="1" outlineLevel="1">
      <c r="B203" s="90" t="s">
        <v>178</v>
      </c>
      <c r="C203" s="74"/>
      <c r="D203" s="74"/>
      <c r="E203" s="74"/>
      <c r="F203" s="74"/>
      <c r="G203" s="74"/>
      <c r="H203" s="74"/>
      <c r="I203" s="74"/>
      <c r="J203" s="74"/>
      <c r="K203" s="74"/>
      <c r="L203" s="74"/>
      <c r="M203" s="74"/>
      <c r="N203" s="74"/>
      <c r="O203" s="87"/>
      <c r="P203" s="88"/>
      <c r="Q203" s="87"/>
      <c r="R203" s="87"/>
      <c r="S203" s="87"/>
      <c r="T203" s="87"/>
      <c r="U203" s="87"/>
      <c r="V203" s="87"/>
      <c r="W203" s="87"/>
      <c r="X203" s="87"/>
      <c r="Y203" s="87"/>
      <c r="Z203" s="87"/>
      <c r="AA203" s="87"/>
      <c r="AB203" s="87"/>
      <c r="AC203" s="87"/>
      <c r="AD203" s="87"/>
      <c r="AE203" s="87"/>
      <c r="AF203" s="87"/>
      <c r="AG203" s="87"/>
      <c r="AH203" s="87"/>
      <c r="AI203" s="87"/>
      <c r="AJ203" s="91" t="e">
        <f t="shared" ref="AJ203:AX203" si="903">SUM(AJ204:AJ206)</f>
        <v>#DIV/0!</v>
      </c>
      <c r="AK203" s="91" t="e">
        <f t="shared" ref="AK203:AL203" si="904">SUM(AK204:AK206)</f>
        <v>#DIV/0!</v>
      </c>
      <c r="AL203" s="91" t="e">
        <f t="shared" si="904"/>
        <v>#DIV/0!</v>
      </c>
      <c r="AM203" s="91" t="e">
        <f t="shared" si="903"/>
        <v>#DIV/0!</v>
      </c>
      <c r="AN203" s="91" t="e">
        <f t="shared" si="903"/>
        <v>#DIV/0!</v>
      </c>
      <c r="AO203" s="91" t="e">
        <f t="shared" si="903"/>
        <v>#DIV/0!</v>
      </c>
      <c r="AP203" s="91" t="e">
        <f t="shared" si="903"/>
        <v>#DIV/0!</v>
      </c>
      <c r="AQ203" s="91" t="e">
        <f t="shared" si="903"/>
        <v>#DIV/0!</v>
      </c>
      <c r="AR203" s="91" t="e">
        <f t="shared" si="903"/>
        <v>#DIV/0!</v>
      </c>
      <c r="AS203" s="91" t="e">
        <f t="shared" si="903"/>
        <v>#DIV/0!</v>
      </c>
      <c r="AT203" s="91" t="e">
        <f t="shared" si="903"/>
        <v>#DIV/0!</v>
      </c>
      <c r="AU203" s="91" t="e">
        <f t="shared" si="903"/>
        <v>#DIV/0!</v>
      </c>
      <c r="AV203" s="91" t="e">
        <f t="shared" si="903"/>
        <v>#DIV/0!</v>
      </c>
      <c r="AW203" s="91" t="e">
        <f t="shared" si="903"/>
        <v>#DIV/0!</v>
      </c>
      <c r="AX203" s="91" t="e">
        <f t="shared" si="903"/>
        <v>#DIV/0!</v>
      </c>
      <c r="AY203" s="91" t="e">
        <f t="shared" ref="AY203:BJ203" si="905">SUM(AY204:AY206)</f>
        <v>#DIV/0!</v>
      </c>
      <c r="AZ203" s="91" t="e">
        <f t="shared" si="905"/>
        <v>#DIV/0!</v>
      </c>
      <c r="BA203" s="91" t="e">
        <f t="shared" si="905"/>
        <v>#DIV/0!</v>
      </c>
      <c r="BB203" s="91" t="e">
        <f t="shared" si="905"/>
        <v>#DIV/0!</v>
      </c>
      <c r="BC203" s="91" t="e">
        <f t="shared" si="905"/>
        <v>#DIV/0!</v>
      </c>
      <c r="BD203" s="91" t="e">
        <f t="shared" si="905"/>
        <v>#DIV/0!</v>
      </c>
      <c r="BE203" s="91" t="e">
        <f t="shared" si="905"/>
        <v>#DIV/0!</v>
      </c>
      <c r="BF203" s="91" t="e">
        <f t="shared" si="905"/>
        <v>#DIV/0!</v>
      </c>
      <c r="BG203" s="91" t="e">
        <f t="shared" si="905"/>
        <v>#DIV/0!</v>
      </c>
      <c r="BH203" s="91" t="e">
        <f t="shared" si="905"/>
        <v>#DIV/0!</v>
      </c>
      <c r="BI203" s="91" t="e">
        <f t="shared" si="905"/>
        <v>#DIV/0!</v>
      </c>
      <c r="BJ203" s="91" t="e">
        <f t="shared" si="905"/>
        <v>#DIV/0!</v>
      </c>
      <c r="BL203" s="6"/>
      <c r="BM203" s="6"/>
      <c r="BN203" s="6"/>
      <c r="BO203" s="6"/>
      <c r="BP203" s="6"/>
      <c r="BQ203" s="6"/>
      <c r="BR203" s="6"/>
      <c r="BS203" s="6"/>
      <c r="BT203" s="6"/>
      <c r="BU203" s="6"/>
      <c r="BV203" s="6"/>
      <c r="BW203" s="6"/>
      <c r="BX203" s="6"/>
      <c r="BY203" s="6"/>
    </row>
    <row r="204" spans="2:77" ht="12" hidden="1" customHeight="1" outlineLevel="1">
      <c r="B204" s="92" t="s">
        <v>167</v>
      </c>
      <c r="C204" s="197"/>
      <c r="D204" s="197"/>
      <c r="E204" s="197"/>
      <c r="F204" s="197"/>
      <c r="G204" s="197"/>
      <c r="H204" s="197"/>
      <c r="I204" s="197"/>
      <c r="J204" s="197"/>
      <c r="K204" s="197"/>
      <c r="L204" s="197"/>
      <c r="M204" s="197"/>
      <c r="N204" s="197"/>
      <c r="O204" s="87"/>
      <c r="P204" s="88"/>
      <c r="Q204" s="81"/>
      <c r="R204" s="81"/>
      <c r="S204" s="81"/>
      <c r="T204" s="81"/>
      <c r="U204" s="81"/>
      <c r="V204" s="81"/>
      <c r="W204" s="81"/>
      <c r="X204" s="81"/>
      <c r="Y204" s="81"/>
      <c r="Z204" s="81"/>
      <c r="AA204" s="81"/>
      <c r="AB204" s="81"/>
      <c r="AC204" s="81"/>
      <c r="AD204" s="81"/>
      <c r="AE204" s="81"/>
      <c r="AF204" s="81"/>
      <c r="AG204" s="81"/>
      <c r="AH204" s="81"/>
      <c r="AI204" s="81"/>
      <c r="AJ204" s="93" t="e">
        <f t="shared" ref="AJ204:AX204" si="906">AJ219/AJ224*(AJ209-AI214)/4</f>
        <v>#DIV/0!</v>
      </c>
      <c r="AK204" s="93" t="e">
        <f t="shared" si="906"/>
        <v>#DIV/0!</v>
      </c>
      <c r="AL204" s="93" t="e">
        <f t="shared" si="906"/>
        <v>#DIV/0!</v>
      </c>
      <c r="AM204" s="93" t="e">
        <f t="shared" si="906"/>
        <v>#DIV/0!</v>
      </c>
      <c r="AN204" s="93" t="e">
        <f t="shared" si="906"/>
        <v>#DIV/0!</v>
      </c>
      <c r="AO204" s="93" t="e">
        <f t="shared" si="906"/>
        <v>#DIV/0!</v>
      </c>
      <c r="AP204" s="93" t="e">
        <f t="shared" si="906"/>
        <v>#DIV/0!</v>
      </c>
      <c r="AQ204" s="93" t="e">
        <f t="shared" si="906"/>
        <v>#DIV/0!</v>
      </c>
      <c r="AR204" s="93" t="e">
        <f t="shared" si="906"/>
        <v>#DIV/0!</v>
      </c>
      <c r="AS204" s="93" t="e">
        <f t="shared" si="906"/>
        <v>#DIV/0!</v>
      </c>
      <c r="AT204" s="93" t="e">
        <f t="shared" si="906"/>
        <v>#DIV/0!</v>
      </c>
      <c r="AU204" s="93" t="e">
        <f t="shared" si="906"/>
        <v>#DIV/0!</v>
      </c>
      <c r="AV204" s="93" t="e">
        <f t="shared" si="906"/>
        <v>#DIV/0!</v>
      </c>
      <c r="AW204" s="93" t="e">
        <f t="shared" si="906"/>
        <v>#DIV/0!</v>
      </c>
      <c r="AX204" s="93" t="e">
        <f t="shared" si="906"/>
        <v>#DIV/0!</v>
      </c>
      <c r="AY204" s="93" t="e">
        <f t="shared" ref="AY204:AY206" si="907">AY219/AY224*(AY209-AX214)/4</f>
        <v>#DIV/0!</v>
      </c>
      <c r="AZ204" s="93" t="e">
        <f t="shared" ref="AZ204:AZ206" si="908">AZ219/AZ224*(AZ209-AY214)/4</f>
        <v>#DIV/0!</v>
      </c>
      <c r="BA204" s="93" t="e">
        <f t="shared" ref="BA204:BA206" si="909">BA219/BA224*(BA209-AZ214)/4</f>
        <v>#DIV/0!</v>
      </c>
      <c r="BB204" s="93" t="e">
        <f t="shared" ref="BB204:BB206" si="910">BB219/BB224*(BB209-BA214)/4</f>
        <v>#DIV/0!</v>
      </c>
      <c r="BC204" s="93" t="e">
        <f t="shared" ref="BC204:BC206" si="911">BC219/BC224*(BC209-BB214)/4</f>
        <v>#DIV/0!</v>
      </c>
      <c r="BD204" s="93" t="e">
        <f t="shared" ref="BD204:BD206" si="912">BD219/BD224*(BD209-BC214)/4</f>
        <v>#DIV/0!</v>
      </c>
      <c r="BE204" s="93" t="e">
        <f t="shared" ref="BE204:BE206" si="913">BE219/BE224*(BE209-BD214)/4</f>
        <v>#DIV/0!</v>
      </c>
      <c r="BF204" s="93" t="e">
        <f t="shared" ref="BF204:BF206" si="914">BF219/BF224*(BF209-BE214)/4</f>
        <v>#DIV/0!</v>
      </c>
      <c r="BG204" s="93" t="e">
        <f t="shared" ref="BG204:BG206" si="915">BG219/BG224*(BG209-BF214)/4</f>
        <v>#DIV/0!</v>
      </c>
      <c r="BH204" s="93" t="e">
        <f t="shared" ref="BH204:BH206" si="916">BH219/BH224*(BH209-BG214)/4</f>
        <v>#DIV/0!</v>
      </c>
      <c r="BI204" s="93" t="e">
        <f t="shared" ref="BI204:BI206" si="917">BI219/BI224*(BI209-BH214)/4</f>
        <v>#DIV/0!</v>
      </c>
      <c r="BJ204" s="93" t="e">
        <f t="shared" ref="BJ204:BJ206" si="918">BJ219/BJ224*(BJ209-BI214)/4</f>
        <v>#DIV/0!</v>
      </c>
      <c r="BL204" s="6"/>
      <c r="BM204" s="6"/>
      <c r="BN204" s="6"/>
      <c r="BO204" s="6"/>
      <c r="BP204" s="6"/>
      <c r="BQ204" s="6"/>
      <c r="BR204" s="6"/>
      <c r="BS204" s="6"/>
      <c r="BT204" s="6"/>
      <c r="BU204" s="6"/>
      <c r="BV204" s="6"/>
      <c r="BW204" s="6"/>
      <c r="BX204" s="6"/>
      <c r="BY204" s="6"/>
    </row>
    <row r="205" spans="2:77" ht="12" hidden="1" customHeight="1" outlineLevel="1">
      <c r="B205" s="92" t="s">
        <v>168</v>
      </c>
      <c r="C205" s="197"/>
      <c r="D205" s="197"/>
      <c r="E205" s="197"/>
      <c r="F205" s="197"/>
      <c r="G205" s="197"/>
      <c r="H205" s="197"/>
      <c r="I205" s="197"/>
      <c r="J205" s="197"/>
      <c r="K205" s="197"/>
      <c r="L205" s="197"/>
      <c r="M205" s="197"/>
      <c r="N205" s="197"/>
      <c r="O205" s="87"/>
      <c r="P205" s="88"/>
      <c r="Q205" s="81"/>
      <c r="R205" s="81"/>
      <c r="S205" s="81"/>
      <c r="T205" s="81"/>
      <c r="U205" s="81"/>
      <c r="V205" s="81"/>
      <c r="W205" s="81"/>
      <c r="X205" s="81"/>
      <c r="Y205" s="81"/>
      <c r="Z205" s="81"/>
      <c r="AA205" s="81"/>
      <c r="AB205" s="81"/>
      <c r="AC205" s="81"/>
      <c r="AD205" s="81"/>
      <c r="AE205" s="81"/>
      <c r="AF205" s="81"/>
      <c r="AG205" s="81"/>
      <c r="AH205" s="81"/>
      <c r="AI205" s="81"/>
      <c r="AJ205" s="93" t="e">
        <f t="shared" ref="AJ205:AX205" si="919">AJ220/AJ225*(AJ210-AI215)/4</f>
        <v>#DIV/0!</v>
      </c>
      <c r="AK205" s="93" t="e">
        <f t="shared" si="919"/>
        <v>#DIV/0!</v>
      </c>
      <c r="AL205" s="93" t="e">
        <f t="shared" si="919"/>
        <v>#DIV/0!</v>
      </c>
      <c r="AM205" s="93" t="e">
        <f t="shared" si="919"/>
        <v>#DIV/0!</v>
      </c>
      <c r="AN205" s="93" t="e">
        <f t="shared" si="919"/>
        <v>#DIV/0!</v>
      </c>
      <c r="AO205" s="93" t="e">
        <f t="shared" si="919"/>
        <v>#DIV/0!</v>
      </c>
      <c r="AP205" s="93" t="e">
        <f t="shared" si="919"/>
        <v>#DIV/0!</v>
      </c>
      <c r="AQ205" s="93" t="e">
        <f t="shared" si="919"/>
        <v>#DIV/0!</v>
      </c>
      <c r="AR205" s="93" t="e">
        <f t="shared" si="919"/>
        <v>#DIV/0!</v>
      </c>
      <c r="AS205" s="93" t="e">
        <f t="shared" si="919"/>
        <v>#DIV/0!</v>
      </c>
      <c r="AT205" s="93" t="e">
        <f t="shared" si="919"/>
        <v>#DIV/0!</v>
      </c>
      <c r="AU205" s="93" t="e">
        <f t="shared" si="919"/>
        <v>#DIV/0!</v>
      </c>
      <c r="AV205" s="93" t="e">
        <f t="shared" si="919"/>
        <v>#DIV/0!</v>
      </c>
      <c r="AW205" s="93" t="e">
        <f t="shared" si="919"/>
        <v>#DIV/0!</v>
      </c>
      <c r="AX205" s="93" t="e">
        <f t="shared" si="919"/>
        <v>#DIV/0!</v>
      </c>
      <c r="AY205" s="93" t="e">
        <f t="shared" si="907"/>
        <v>#DIV/0!</v>
      </c>
      <c r="AZ205" s="93" t="e">
        <f t="shared" si="908"/>
        <v>#DIV/0!</v>
      </c>
      <c r="BA205" s="93" t="e">
        <f t="shared" si="909"/>
        <v>#DIV/0!</v>
      </c>
      <c r="BB205" s="93" t="e">
        <f t="shared" si="910"/>
        <v>#DIV/0!</v>
      </c>
      <c r="BC205" s="93" t="e">
        <f t="shared" si="911"/>
        <v>#DIV/0!</v>
      </c>
      <c r="BD205" s="93" t="e">
        <f t="shared" si="912"/>
        <v>#DIV/0!</v>
      </c>
      <c r="BE205" s="93" t="e">
        <f t="shared" si="913"/>
        <v>#DIV/0!</v>
      </c>
      <c r="BF205" s="93" t="e">
        <f t="shared" si="914"/>
        <v>#DIV/0!</v>
      </c>
      <c r="BG205" s="93" t="e">
        <f t="shared" si="915"/>
        <v>#DIV/0!</v>
      </c>
      <c r="BH205" s="93" t="e">
        <f t="shared" si="916"/>
        <v>#DIV/0!</v>
      </c>
      <c r="BI205" s="93" t="e">
        <f t="shared" si="917"/>
        <v>#DIV/0!</v>
      </c>
      <c r="BJ205" s="93" t="e">
        <f t="shared" si="918"/>
        <v>#DIV/0!</v>
      </c>
      <c r="BL205" s="6"/>
      <c r="BM205" s="6"/>
      <c r="BN205" s="6"/>
      <c r="BO205" s="6"/>
      <c r="BP205" s="6"/>
      <c r="BQ205" s="6"/>
      <c r="BR205" s="6"/>
      <c r="BS205" s="6"/>
      <c r="BT205" s="6"/>
      <c r="BU205" s="6"/>
      <c r="BV205" s="6"/>
      <c r="BW205" s="6"/>
      <c r="BX205" s="6"/>
      <c r="BY205" s="6"/>
    </row>
    <row r="206" spans="2:77" ht="12" hidden="1" customHeight="1" outlineLevel="1">
      <c r="B206" s="92" t="s">
        <v>169</v>
      </c>
      <c r="C206" s="197"/>
      <c r="D206" s="197"/>
      <c r="E206" s="197"/>
      <c r="F206" s="197"/>
      <c r="G206" s="197"/>
      <c r="H206" s="197"/>
      <c r="I206" s="197"/>
      <c r="J206" s="197"/>
      <c r="K206" s="197"/>
      <c r="L206" s="197"/>
      <c r="M206" s="197"/>
      <c r="N206" s="197"/>
      <c r="O206" s="87"/>
      <c r="P206" s="88"/>
      <c r="Q206" s="81"/>
      <c r="R206" s="81"/>
      <c r="S206" s="81"/>
      <c r="T206" s="81"/>
      <c r="U206" s="81"/>
      <c r="V206" s="81"/>
      <c r="W206" s="81"/>
      <c r="X206" s="81"/>
      <c r="Y206" s="81"/>
      <c r="Z206" s="81"/>
      <c r="AA206" s="81"/>
      <c r="AB206" s="81"/>
      <c r="AC206" s="81"/>
      <c r="AD206" s="81"/>
      <c r="AE206" s="81"/>
      <c r="AF206" s="81"/>
      <c r="AG206" s="81"/>
      <c r="AH206" s="81"/>
      <c r="AI206" s="81"/>
      <c r="AJ206" s="93" t="e">
        <f t="shared" ref="AJ206:AX206" si="920">AJ221/AJ226*(AJ211-AI216)/4</f>
        <v>#DIV/0!</v>
      </c>
      <c r="AK206" s="93" t="e">
        <f t="shared" si="920"/>
        <v>#DIV/0!</v>
      </c>
      <c r="AL206" s="93" t="e">
        <f t="shared" si="920"/>
        <v>#DIV/0!</v>
      </c>
      <c r="AM206" s="93" t="e">
        <f t="shared" si="920"/>
        <v>#DIV/0!</v>
      </c>
      <c r="AN206" s="93" t="e">
        <f t="shared" si="920"/>
        <v>#DIV/0!</v>
      </c>
      <c r="AO206" s="93" t="e">
        <f t="shared" si="920"/>
        <v>#DIV/0!</v>
      </c>
      <c r="AP206" s="93" t="e">
        <f t="shared" si="920"/>
        <v>#DIV/0!</v>
      </c>
      <c r="AQ206" s="93" t="e">
        <f t="shared" si="920"/>
        <v>#DIV/0!</v>
      </c>
      <c r="AR206" s="93" t="e">
        <f t="shared" si="920"/>
        <v>#DIV/0!</v>
      </c>
      <c r="AS206" s="93" t="e">
        <f t="shared" si="920"/>
        <v>#DIV/0!</v>
      </c>
      <c r="AT206" s="93" t="e">
        <f t="shared" si="920"/>
        <v>#DIV/0!</v>
      </c>
      <c r="AU206" s="93" t="e">
        <f t="shared" si="920"/>
        <v>#DIV/0!</v>
      </c>
      <c r="AV206" s="93" t="e">
        <f t="shared" si="920"/>
        <v>#DIV/0!</v>
      </c>
      <c r="AW206" s="93" t="e">
        <f t="shared" si="920"/>
        <v>#DIV/0!</v>
      </c>
      <c r="AX206" s="93" t="e">
        <f t="shared" si="920"/>
        <v>#DIV/0!</v>
      </c>
      <c r="AY206" s="93" t="e">
        <f t="shared" si="907"/>
        <v>#DIV/0!</v>
      </c>
      <c r="AZ206" s="93" t="e">
        <f t="shared" si="908"/>
        <v>#DIV/0!</v>
      </c>
      <c r="BA206" s="93" t="e">
        <f t="shared" si="909"/>
        <v>#DIV/0!</v>
      </c>
      <c r="BB206" s="93" t="e">
        <f t="shared" si="910"/>
        <v>#DIV/0!</v>
      </c>
      <c r="BC206" s="93" t="e">
        <f t="shared" si="911"/>
        <v>#DIV/0!</v>
      </c>
      <c r="BD206" s="93" t="e">
        <f t="shared" si="912"/>
        <v>#DIV/0!</v>
      </c>
      <c r="BE206" s="93" t="e">
        <f t="shared" si="913"/>
        <v>#DIV/0!</v>
      </c>
      <c r="BF206" s="93" t="e">
        <f t="shared" si="914"/>
        <v>#DIV/0!</v>
      </c>
      <c r="BG206" s="93" t="e">
        <f t="shared" si="915"/>
        <v>#DIV/0!</v>
      </c>
      <c r="BH206" s="93" t="e">
        <f t="shared" si="916"/>
        <v>#DIV/0!</v>
      </c>
      <c r="BI206" s="93" t="e">
        <f t="shared" si="917"/>
        <v>#DIV/0!</v>
      </c>
      <c r="BJ206" s="93" t="e">
        <f t="shared" si="918"/>
        <v>#DIV/0!</v>
      </c>
      <c r="BL206" s="6"/>
      <c r="BM206" s="6"/>
      <c r="BN206" s="6"/>
      <c r="BO206" s="6"/>
      <c r="BP206" s="6"/>
      <c r="BQ206" s="6"/>
      <c r="BR206" s="6"/>
      <c r="BS206" s="6"/>
      <c r="BT206" s="6"/>
      <c r="BU206" s="6"/>
      <c r="BV206" s="6"/>
      <c r="BW206" s="6"/>
      <c r="BX206" s="6"/>
      <c r="BY206" s="6"/>
    </row>
    <row r="207" spans="2:77" ht="12" hidden="1" customHeight="1" outlineLevel="1">
      <c r="B207" s="86"/>
      <c r="C207" s="87"/>
      <c r="D207" s="87"/>
      <c r="E207" s="87"/>
      <c r="F207" s="87"/>
      <c r="G207" s="87"/>
      <c r="H207" s="87"/>
      <c r="I207" s="87"/>
      <c r="J207" s="87"/>
      <c r="K207" s="87"/>
      <c r="L207" s="87"/>
      <c r="M207" s="87"/>
      <c r="N207" s="87"/>
      <c r="O207" s="87"/>
      <c r="P207" s="88"/>
      <c r="Q207" s="87"/>
      <c r="R207" s="87"/>
      <c r="S207" s="87"/>
      <c r="T207" s="87"/>
      <c r="U207" s="87"/>
      <c r="V207" s="87"/>
      <c r="W207" s="87"/>
      <c r="X207" s="87"/>
      <c r="Y207" s="87"/>
      <c r="Z207" s="87"/>
      <c r="AA207" s="87"/>
      <c r="AB207" s="87"/>
      <c r="AC207" s="87"/>
      <c r="AD207" s="87"/>
      <c r="AE207" s="87"/>
      <c r="AF207" s="87"/>
      <c r="AG207" s="87"/>
      <c r="AH207" s="87"/>
      <c r="AI207" s="87"/>
      <c r="AJ207" s="89"/>
      <c r="AK207" s="89"/>
      <c r="AL207" s="89"/>
      <c r="AM207" s="89"/>
      <c r="AN207" s="89"/>
      <c r="AO207" s="89"/>
      <c r="AP207" s="89"/>
      <c r="AQ207" s="89"/>
      <c r="AR207" s="89"/>
      <c r="AS207" s="89"/>
      <c r="AT207" s="89"/>
      <c r="AU207" s="89"/>
      <c r="AV207" s="89"/>
      <c r="AW207" s="89"/>
      <c r="AX207" s="89"/>
      <c r="AY207" s="89"/>
      <c r="AZ207" s="89"/>
      <c r="BA207" s="89"/>
      <c r="BB207" s="89"/>
      <c r="BC207" s="89"/>
      <c r="BD207" s="89"/>
      <c r="BE207" s="89"/>
      <c r="BF207" s="89"/>
      <c r="BG207" s="89"/>
      <c r="BH207" s="89"/>
      <c r="BI207" s="89"/>
      <c r="BJ207" s="89"/>
      <c r="BL207" s="6"/>
      <c r="BM207" s="6"/>
      <c r="BN207" s="6"/>
      <c r="BO207" s="6"/>
      <c r="BP207" s="6"/>
      <c r="BQ207" s="6"/>
      <c r="BR207" s="6"/>
      <c r="BS207" s="6"/>
      <c r="BT207" s="6"/>
      <c r="BU207" s="6"/>
      <c r="BV207" s="6"/>
      <c r="BW207" s="6"/>
      <c r="BX207" s="6"/>
      <c r="BY207" s="6"/>
    </row>
    <row r="208" spans="2:77" ht="12" hidden="1" customHeight="1" outlineLevel="1">
      <c r="B208" s="90" t="s">
        <v>179</v>
      </c>
      <c r="C208" s="74"/>
      <c r="D208" s="74"/>
      <c r="E208" s="74"/>
      <c r="F208" s="74"/>
      <c r="G208" s="74"/>
      <c r="H208" s="74"/>
      <c r="I208" s="74"/>
      <c r="J208" s="74"/>
      <c r="K208" s="74"/>
      <c r="L208" s="74"/>
      <c r="M208" s="74"/>
      <c r="N208" s="74"/>
      <c r="O208" s="87"/>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89"/>
      <c r="AV208" s="89"/>
      <c r="AW208" s="89"/>
      <c r="AX208" s="89"/>
      <c r="AY208" s="89"/>
      <c r="AZ208" s="89"/>
      <c r="BA208" s="89"/>
      <c r="BB208" s="89"/>
      <c r="BC208" s="89"/>
      <c r="BD208" s="89"/>
      <c r="BE208" s="89"/>
      <c r="BF208" s="89"/>
      <c r="BG208" s="89"/>
      <c r="BH208" s="89"/>
      <c r="BI208" s="89"/>
      <c r="BJ208" s="89"/>
      <c r="BL208" s="6"/>
      <c r="BM208" s="6"/>
      <c r="BN208" s="6"/>
      <c r="BO208" s="6"/>
      <c r="BP208" s="6"/>
      <c r="BQ208" s="6"/>
      <c r="BR208" s="6"/>
      <c r="BS208" s="6"/>
      <c r="BT208" s="6"/>
      <c r="BU208" s="6"/>
      <c r="BV208" s="6"/>
      <c r="BW208" s="6"/>
      <c r="BX208" s="6"/>
      <c r="BY208" s="6"/>
    </row>
    <row r="209" spans="2:77" ht="12" hidden="1" customHeight="1" outlineLevel="1">
      <c r="B209" s="92" t="s">
        <v>167</v>
      </c>
      <c r="C209" s="197"/>
      <c r="D209" s="197"/>
      <c r="E209" s="197"/>
      <c r="F209" s="197"/>
      <c r="G209" s="197"/>
      <c r="H209" s="197"/>
      <c r="I209" s="197"/>
      <c r="J209" s="197"/>
      <c r="K209" s="197"/>
      <c r="L209" s="197"/>
      <c r="M209" s="197"/>
      <c r="N209" s="197"/>
      <c r="O209" s="87"/>
      <c r="P209" s="88"/>
      <c r="Q209" s="81"/>
      <c r="R209" s="81"/>
      <c r="S209" s="81"/>
      <c r="T209" s="81"/>
      <c r="U209" s="81"/>
      <c r="V209" s="81"/>
      <c r="W209" s="81"/>
      <c r="X209" s="81"/>
      <c r="Y209" s="81"/>
      <c r="Z209" s="81"/>
      <c r="AA209" s="81"/>
      <c r="AB209" s="81"/>
      <c r="AC209" s="81"/>
      <c r="AD209" s="81"/>
      <c r="AE209" s="81"/>
      <c r="AF209" s="81"/>
      <c r="AG209" s="81"/>
      <c r="AH209" s="81"/>
      <c r="AI209" s="81"/>
      <c r="AJ209" s="94">
        <f t="shared" ref="AJ209:AX209" si="921">AI209+1%</f>
        <v>0.01</v>
      </c>
      <c r="AK209" s="94">
        <f t="shared" si="921"/>
        <v>0.02</v>
      </c>
      <c r="AL209" s="94">
        <f t="shared" si="921"/>
        <v>0.03</v>
      </c>
      <c r="AM209" s="94">
        <f t="shared" si="921"/>
        <v>0.04</v>
      </c>
      <c r="AN209" s="94">
        <f t="shared" si="921"/>
        <v>0.05</v>
      </c>
      <c r="AO209" s="94">
        <f t="shared" si="921"/>
        <v>6.0000000000000005E-2</v>
      </c>
      <c r="AP209" s="94">
        <f t="shared" si="921"/>
        <v>7.0000000000000007E-2</v>
      </c>
      <c r="AQ209" s="94">
        <f t="shared" si="921"/>
        <v>0.08</v>
      </c>
      <c r="AR209" s="94">
        <f t="shared" si="921"/>
        <v>0.09</v>
      </c>
      <c r="AS209" s="94">
        <f t="shared" si="921"/>
        <v>9.9999999999999992E-2</v>
      </c>
      <c r="AT209" s="94">
        <f t="shared" si="921"/>
        <v>0.10999999999999999</v>
      </c>
      <c r="AU209" s="94">
        <f t="shared" si="921"/>
        <v>0.11999999999999998</v>
      </c>
      <c r="AV209" s="94">
        <f t="shared" si="921"/>
        <v>0.12999999999999998</v>
      </c>
      <c r="AW209" s="94">
        <f t="shared" si="921"/>
        <v>0.13999999999999999</v>
      </c>
      <c r="AX209" s="94">
        <f t="shared" si="921"/>
        <v>0.15</v>
      </c>
      <c r="AY209" s="94">
        <f t="shared" ref="AY209" si="922">AX209+1%</f>
        <v>0.16</v>
      </c>
      <c r="AZ209" s="94">
        <f t="shared" ref="AZ209" si="923">AY209+1%</f>
        <v>0.17</v>
      </c>
      <c r="BA209" s="94">
        <f t="shared" ref="BA209" si="924">AZ209+1%</f>
        <v>0.18000000000000002</v>
      </c>
      <c r="BB209" s="94">
        <f t="shared" ref="BB209" si="925">BA209+1%</f>
        <v>0.19000000000000003</v>
      </c>
      <c r="BC209" s="94">
        <f t="shared" ref="BC209" si="926">BB209+1%</f>
        <v>0.20000000000000004</v>
      </c>
      <c r="BD209" s="94">
        <f t="shared" ref="BD209" si="927">BC209+1%</f>
        <v>0.21000000000000005</v>
      </c>
      <c r="BE209" s="94">
        <f t="shared" ref="BE209" si="928">BD209+1%</f>
        <v>0.22000000000000006</v>
      </c>
      <c r="BF209" s="94">
        <f t="shared" ref="BF209" si="929">BE209+1%</f>
        <v>0.23000000000000007</v>
      </c>
      <c r="BG209" s="94">
        <f t="shared" ref="BG209" si="930">BF209+1%</f>
        <v>0.24000000000000007</v>
      </c>
      <c r="BH209" s="94">
        <f t="shared" ref="BH209" si="931">BG209+1%</f>
        <v>0.25000000000000006</v>
      </c>
      <c r="BI209" s="94">
        <f t="shared" ref="BI209" si="932">BH209+1%</f>
        <v>0.26000000000000006</v>
      </c>
      <c r="BJ209" s="94">
        <f t="shared" ref="BJ209" si="933">BI209+1%</f>
        <v>0.27000000000000007</v>
      </c>
      <c r="BL209" s="6"/>
      <c r="BM209" s="6"/>
      <c r="BN209" s="6"/>
      <c r="BO209" s="6"/>
      <c r="BP209" s="6"/>
      <c r="BQ209" s="6"/>
      <c r="BR209" s="6"/>
      <c r="BS209" s="6"/>
      <c r="BT209" s="6"/>
      <c r="BU209" s="6"/>
      <c r="BV209" s="6"/>
      <c r="BW209" s="6"/>
      <c r="BX209" s="6"/>
      <c r="BY209" s="6"/>
    </row>
    <row r="210" spans="2:77" ht="12" hidden="1" customHeight="1" outlineLevel="1">
      <c r="B210" s="92" t="s">
        <v>168</v>
      </c>
      <c r="C210" s="197"/>
      <c r="D210" s="197"/>
      <c r="E210" s="197"/>
      <c r="F210" s="197"/>
      <c r="G210" s="197"/>
      <c r="H210" s="197"/>
      <c r="I210" s="197"/>
      <c r="J210" s="197"/>
      <c r="K210" s="197"/>
      <c r="L210" s="197"/>
      <c r="M210" s="197"/>
      <c r="N210" s="197"/>
      <c r="O210" s="87"/>
      <c r="P210" s="88"/>
      <c r="Q210" s="81"/>
      <c r="R210" s="81"/>
      <c r="S210" s="81"/>
      <c r="T210" s="81"/>
      <c r="U210" s="81"/>
      <c r="V210" s="81"/>
      <c r="W210" s="81"/>
      <c r="X210" s="81"/>
      <c r="Y210" s="81"/>
      <c r="Z210" s="81"/>
      <c r="AA210" s="81"/>
      <c r="AB210" s="81"/>
      <c r="AC210" s="81"/>
      <c r="AD210" s="81"/>
      <c r="AE210" s="81"/>
      <c r="AF210" s="81"/>
      <c r="AG210" s="81"/>
      <c r="AH210" s="81"/>
      <c r="AI210" s="81"/>
      <c r="AJ210" s="94">
        <v>1</v>
      </c>
      <c r="AK210" s="94">
        <v>1</v>
      </c>
      <c r="AL210" s="94">
        <v>1</v>
      </c>
      <c r="AM210" s="94">
        <v>1</v>
      </c>
      <c r="AN210" s="94">
        <v>1</v>
      </c>
      <c r="AO210" s="94">
        <v>1</v>
      </c>
      <c r="AP210" s="94">
        <v>1</v>
      </c>
      <c r="AQ210" s="94">
        <v>1</v>
      </c>
      <c r="AR210" s="94">
        <v>1</v>
      </c>
      <c r="AS210" s="94">
        <v>1</v>
      </c>
      <c r="AT210" s="94">
        <v>1</v>
      </c>
      <c r="AU210" s="94">
        <v>1</v>
      </c>
      <c r="AV210" s="94">
        <v>1</v>
      </c>
      <c r="AW210" s="94">
        <v>1</v>
      </c>
      <c r="AX210" s="94">
        <v>1</v>
      </c>
      <c r="AY210" s="94">
        <v>1</v>
      </c>
      <c r="AZ210" s="94">
        <v>1</v>
      </c>
      <c r="BA210" s="94">
        <v>1</v>
      </c>
      <c r="BB210" s="94">
        <v>1</v>
      </c>
      <c r="BC210" s="94">
        <v>1</v>
      </c>
      <c r="BD210" s="94">
        <v>1</v>
      </c>
      <c r="BE210" s="94">
        <v>1</v>
      </c>
      <c r="BF210" s="94">
        <v>1</v>
      </c>
      <c r="BG210" s="94">
        <v>1</v>
      </c>
      <c r="BH210" s="94">
        <v>1</v>
      </c>
      <c r="BI210" s="94">
        <v>1</v>
      </c>
      <c r="BJ210" s="94">
        <v>1</v>
      </c>
      <c r="BL210" s="6"/>
      <c r="BM210" s="6"/>
      <c r="BN210" s="6"/>
      <c r="BO210" s="6"/>
      <c r="BP210" s="6"/>
      <c r="BQ210" s="6"/>
      <c r="BR210" s="6"/>
      <c r="BS210" s="6"/>
      <c r="BT210" s="6"/>
      <c r="BU210" s="6"/>
      <c r="BV210" s="6"/>
      <c r="BW210" s="6"/>
      <c r="BX210" s="6"/>
      <c r="BY210" s="6"/>
    </row>
    <row r="211" spans="2:77" ht="12" hidden="1" customHeight="1" outlineLevel="1">
      <c r="B211" s="92" t="s">
        <v>169</v>
      </c>
      <c r="C211" s="197"/>
      <c r="D211" s="197"/>
      <c r="E211" s="197"/>
      <c r="F211" s="197"/>
      <c r="G211" s="197"/>
      <c r="H211" s="197"/>
      <c r="I211" s="197"/>
      <c r="J211" s="197"/>
      <c r="K211" s="197"/>
      <c r="L211" s="197"/>
      <c r="M211" s="197"/>
      <c r="N211" s="197"/>
      <c r="O211" s="87"/>
      <c r="P211" s="88"/>
      <c r="Q211" s="81"/>
      <c r="R211" s="81"/>
      <c r="S211" s="81"/>
      <c r="T211" s="81"/>
      <c r="U211" s="81"/>
      <c r="V211" s="81"/>
      <c r="W211" s="81"/>
      <c r="X211" s="81"/>
      <c r="Y211" s="81"/>
      <c r="Z211" s="81"/>
      <c r="AA211" s="81"/>
      <c r="AB211" s="81"/>
      <c r="AC211" s="81"/>
      <c r="AD211" s="81"/>
      <c r="AE211" s="81"/>
      <c r="AF211" s="81"/>
      <c r="AG211" s="81"/>
      <c r="AH211" s="81"/>
      <c r="AI211" s="81"/>
      <c r="AJ211" s="94">
        <v>1</v>
      </c>
      <c r="AK211" s="94">
        <v>1</v>
      </c>
      <c r="AL211" s="94">
        <v>1</v>
      </c>
      <c r="AM211" s="94">
        <v>1</v>
      </c>
      <c r="AN211" s="94">
        <v>1</v>
      </c>
      <c r="AO211" s="94">
        <v>1</v>
      </c>
      <c r="AP211" s="94">
        <v>1</v>
      </c>
      <c r="AQ211" s="94">
        <v>1</v>
      </c>
      <c r="AR211" s="94">
        <v>1</v>
      </c>
      <c r="AS211" s="94">
        <v>1</v>
      </c>
      <c r="AT211" s="94">
        <v>1</v>
      </c>
      <c r="AU211" s="94">
        <v>1</v>
      </c>
      <c r="AV211" s="94">
        <v>1</v>
      </c>
      <c r="AW211" s="94">
        <v>1</v>
      </c>
      <c r="AX211" s="94">
        <v>1</v>
      </c>
      <c r="AY211" s="94">
        <v>1</v>
      </c>
      <c r="AZ211" s="94">
        <v>1</v>
      </c>
      <c r="BA211" s="94">
        <v>1</v>
      </c>
      <c r="BB211" s="94">
        <v>1</v>
      </c>
      <c r="BC211" s="94">
        <v>1</v>
      </c>
      <c r="BD211" s="94">
        <v>1</v>
      </c>
      <c r="BE211" s="94">
        <v>1</v>
      </c>
      <c r="BF211" s="94">
        <v>1</v>
      </c>
      <c r="BG211" s="94">
        <v>1</v>
      </c>
      <c r="BH211" s="94">
        <v>1</v>
      </c>
      <c r="BI211" s="94">
        <v>1</v>
      </c>
      <c r="BJ211" s="94">
        <v>1</v>
      </c>
      <c r="BL211" s="6"/>
      <c r="BM211" s="6"/>
      <c r="BN211" s="6"/>
      <c r="BO211" s="6"/>
      <c r="BP211" s="6"/>
      <c r="BQ211" s="6"/>
      <c r="BR211" s="6"/>
      <c r="BS211" s="6"/>
      <c r="BT211" s="6"/>
      <c r="BU211" s="6"/>
      <c r="BV211" s="6"/>
      <c r="BW211" s="6"/>
      <c r="BX211" s="6"/>
      <c r="BY211" s="6"/>
    </row>
    <row r="212" spans="2:77" ht="12" hidden="1" customHeight="1" outlineLevel="1">
      <c r="B212" s="86"/>
      <c r="C212" s="87"/>
      <c r="D212" s="87"/>
      <c r="E212" s="87"/>
      <c r="F212" s="87"/>
      <c r="G212" s="87"/>
      <c r="H212" s="87"/>
      <c r="I212" s="87"/>
      <c r="J212" s="87"/>
      <c r="K212" s="87"/>
      <c r="L212" s="87"/>
      <c r="M212" s="87"/>
      <c r="N212" s="87"/>
      <c r="O212" s="87"/>
      <c r="P212" s="88"/>
      <c r="Q212" s="6"/>
      <c r="R212" s="6"/>
      <c r="S212" s="6"/>
      <c r="T212" s="6"/>
      <c r="U212" s="6"/>
      <c r="V212" s="6"/>
      <c r="W212" s="6"/>
      <c r="X212" s="6"/>
      <c r="Y212" s="6"/>
      <c r="Z212" s="6"/>
      <c r="AA212" s="6"/>
      <c r="AB212" s="6"/>
      <c r="AC212" s="6"/>
      <c r="AD212" s="6"/>
      <c r="AE212" s="6"/>
      <c r="AF212" s="6"/>
      <c r="AG212" s="6"/>
      <c r="AH212" s="6"/>
      <c r="AI212" s="6"/>
      <c r="AJ212" s="89"/>
      <c r="AK212" s="89"/>
      <c r="AL212" s="89"/>
      <c r="AM212" s="89"/>
      <c r="AN212" s="89"/>
      <c r="AO212" s="89"/>
      <c r="AP212" s="89"/>
      <c r="AQ212" s="89"/>
      <c r="AR212" s="89"/>
      <c r="AS212" s="89"/>
      <c r="AT212" s="89"/>
      <c r="AU212" s="89"/>
      <c r="AV212" s="89"/>
      <c r="AW212" s="89"/>
      <c r="AX212" s="89"/>
      <c r="AY212" s="89"/>
      <c r="AZ212" s="89"/>
      <c r="BA212" s="89"/>
      <c r="BB212" s="89"/>
      <c r="BC212" s="89"/>
      <c r="BD212" s="89"/>
      <c r="BE212" s="89"/>
      <c r="BF212" s="89"/>
      <c r="BG212" s="89"/>
      <c r="BH212" s="89"/>
      <c r="BI212" s="89"/>
      <c r="BJ212" s="89"/>
      <c r="BL212" s="6"/>
      <c r="BM212" s="6"/>
      <c r="BN212" s="6"/>
      <c r="BO212" s="6"/>
      <c r="BP212" s="6"/>
      <c r="BQ212" s="6"/>
      <c r="BR212" s="6"/>
      <c r="BS212" s="6"/>
      <c r="BT212" s="6"/>
      <c r="BU212" s="6"/>
      <c r="BV212" s="6"/>
      <c r="BW212" s="6"/>
      <c r="BX212" s="6"/>
      <c r="BY212" s="6"/>
    </row>
    <row r="213" spans="2:77" ht="12" hidden="1" customHeight="1" outlineLevel="1">
      <c r="B213" s="90" t="s">
        <v>180</v>
      </c>
      <c r="C213" s="74"/>
      <c r="D213" s="74"/>
      <c r="E213" s="74"/>
      <c r="F213" s="74"/>
      <c r="G213" s="74"/>
      <c r="H213" s="74"/>
      <c r="I213" s="74"/>
      <c r="J213" s="74"/>
      <c r="K213" s="74"/>
      <c r="L213" s="74"/>
      <c r="M213" s="74"/>
      <c r="N213" s="74"/>
      <c r="O213" s="87"/>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89"/>
      <c r="AV213" s="89"/>
      <c r="AW213" s="89"/>
      <c r="AX213" s="89"/>
      <c r="AY213" s="89"/>
      <c r="AZ213" s="89"/>
      <c r="BA213" s="89"/>
      <c r="BB213" s="89"/>
      <c r="BC213" s="89"/>
      <c r="BD213" s="89"/>
      <c r="BE213" s="89"/>
      <c r="BF213" s="89"/>
      <c r="BG213" s="89"/>
      <c r="BH213" s="89"/>
      <c r="BI213" s="89"/>
      <c r="BJ213" s="89"/>
      <c r="BL213" s="6"/>
      <c r="BM213" s="6"/>
      <c r="BN213" s="6"/>
      <c r="BO213" s="6"/>
      <c r="BP213" s="6"/>
      <c r="BQ213" s="6"/>
      <c r="BR213" s="6"/>
      <c r="BS213" s="6"/>
      <c r="BT213" s="6"/>
      <c r="BU213" s="6"/>
      <c r="BV213" s="6"/>
      <c r="BW213" s="6"/>
      <c r="BX213" s="6"/>
      <c r="BY213" s="6"/>
    </row>
    <row r="214" spans="2:77" ht="12" hidden="1" customHeight="1" outlineLevel="1">
      <c r="B214" s="92" t="s">
        <v>167</v>
      </c>
      <c r="C214" s="197"/>
      <c r="D214" s="197"/>
      <c r="E214" s="197"/>
      <c r="F214" s="197"/>
      <c r="G214" s="197"/>
      <c r="H214" s="197"/>
      <c r="I214" s="197"/>
      <c r="J214" s="197"/>
      <c r="K214" s="197"/>
      <c r="L214" s="197"/>
      <c r="M214" s="197"/>
      <c r="N214" s="197"/>
      <c r="O214" s="87"/>
      <c r="P214" s="88"/>
      <c r="Q214" s="81"/>
      <c r="R214" s="81"/>
      <c r="S214" s="81"/>
      <c r="T214" s="81"/>
      <c r="U214" s="81"/>
      <c r="V214" s="81"/>
      <c r="W214" s="81"/>
      <c r="X214" s="81"/>
      <c r="Y214" s="81"/>
      <c r="Z214" s="81"/>
      <c r="AA214" s="81"/>
      <c r="AB214" s="81"/>
      <c r="AC214" s="81"/>
      <c r="AD214" s="81"/>
      <c r="AE214" s="81"/>
      <c r="AF214" s="81"/>
      <c r="AG214" s="81"/>
      <c r="AH214" s="81"/>
      <c r="AI214" s="81"/>
      <c r="AJ214" s="94">
        <f t="shared" ref="AJ214:AX214" si="934">AI214+1%</f>
        <v>0.01</v>
      </c>
      <c r="AK214" s="94">
        <f t="shared" si="934"/>
        <v>0.02</v>
      </c>
      <c r="AL214" s="94">
        <f t="shared" si="934"/>
        <v>0.03</v>
      </c>
      <c r="AM214" s="94">
        <f t="shared" si="934"/>
        <v>0.04</v>
      </c>
      <c r="AN214" s="94">
        <f t="shared" si="934"/>
        <v>0.05</v>
      </c>
      <c r="AO214" s="94">
        <f t="shared" si="934"/>
        <v>6.0000000000000005E-2</v>
      </c>
      <c r="AP214" s="94">
        <f t="shared" si="934"/>
        <v>7.0000000000000007E-2</v>
      </c>
      <c r="AQ214" s="94">
        <f t="shared" si="934"/>
        <v>0.08</v>
      </c>
      <c r="AR214" s="94">
        <f t="shared" si="934"/>
        <v>0.09</v>
      </c>
      <c r="AS214" s="94">
        <f t="shared" si="934"/>
        <v>9.9999999999999992E-2</v>
      </c>
      <c r="AT214" s="94">
        <f t="shared" si="934"/>
        <v>0.10999999999999999</v>
      </c>
      <c r="AU214" s="94">
        <f t="shared" si="934"/>
        <v>0.11999999999999998</v>
      </c>
      <c r="AV214" s="94">
        <f t="shared" si="934"/>
        <v>0.12999999999999998</v>
      </c>
      <c r="AW214" s="94">
        <f t="shared" si="934"/>
        <v>0.13999999999999999</v>
      </c>
      <c r="AX214" s="94">
        <f t="shared" si="934"/>
        <v>0.15</v>
      </c>
      <c r="AY214" s="94">
        <f t="shared" ref="AY214" si="935">AX214+1%</f>
        <v>0.16</v>
      </c>
      <c r="AZ214" s="94">
        <f t="shared" ref="AZ214" si="936">AY214+1%</f>
        <v>0.17</v>
      </c>
      <c r="BA214" s="94">
        <f t="shared" ref="BA214" si="937">AZ214+1%</f>
        <v>0.18000000000000002</v>
      </c>
      <c r="BB214" s="94">
        <f t="shared" ref="BB214" si="938">BA214+1%</f>
        <v>0.19000000000000003</v>
      </c>
      <c r="BC214" s="94">
        <f t="shared" ref="BC214" si="939">BB214+1%</f>
        <v>0.20000000000000004</v>
      </c>
      <c r="BD214" s="94">
        <f t="shared" ref="BD214" si="940">BC214+1%</f>
        <v>0.21000000000000005</v>
      </c>
      <c r="BE214" s="94">
        <f t="shared" ref="BE214" si="941">BD214+1%</f>
        <v>0.22000000000000006</v>
      </c>
      <c r="BF214" s="94">
        <f t="shared" ref="BF214" si="942">BE214+1%</f>
        <v>0.23000000000000007</v>
      </c>
      <c r="BG214" s="94">
        <f t="shared" ref="BG214" si="943">BF214+1%</f>
        <v>0.24000000000000007</v>
      </c>
      <c r="BH214" s="94">
        <f t="shared" ref="BH214" si="944">BG214+1%</f>
        <v>0.25000000000000006</v>
      </c>
      <c r="BI214" s="94">
        <f t="shared" ref="BI214" si="945">BH214+1%</f>
        <v>0.26000000000000006</v>
      </c>
      <c r="BJ214" s="94">
        <f t="shared" ref="BJ214" si="946">BI214+1%</f>
        <v>0.27000000000000007</v>
      </c>
      <c r="BL214" s="6"/>
      <c r="BM214" s="6"/>
      <c r="BN214" s="6"/>
      <c r="BO214" s="6"/>
      <c r="BP214" s="6"/>
      <c r="BQ214" s="6"/>
      <c r="BR214" s="6"/>
      <c r="BS214" s="6"/>
      <c r="BT214" s="6"/>
      <c r="BU214" s="6"/>
      <c r="BV214" s="6"/>
      <c r="BW214" s="6"/>
      <c r="BX214" s="6"/>
      <c r="BY214" s="6"/>
    </row>
    <row r="215" spans="2:77" ht="12" hidden="1" customHeight="1" outlineLevel="1">
      <c r="B215" s="92" t="s">
        <v>168</v>
      </c>
      <c r="C215" s="197"/>
      <c r="D215" s="197"/>
      <c r="E215" s="197"/>
      <c r="F215" s="197"/>
      <c r="G215" s="197"/>
      <c r="H215" s="197"/>
      <c r="I215" s="197"/>
      <c r="J215" s="197"/>
      <c r="K215" s="197"/>
      <c r="L215" s="197"/>
      <c r="M215" s="197"/>
      <c r="N215" s="197"/>
      <c r="O215" s="87"/>
      <c r="P215" s="88"/>
      <c r="Q215" s="81"/>
      <c r="R215" s="81"/>
      <c r="S215" s="81"/>
      <c r="T215" s="81"/>
      <c r="U215" s="81"/>
      <c r="V215" s="81"/>
      <c r="W215" s="81"/>
      <c r="X215" s="81"/>
      <c r="Y215" s="81"/>
      <c r="Z215" s="81"/>
      <c r="AA215" s="81"/>
      <c r="AB215" s="81"/>
      <c r="AC215" s="81"/>
      <c r="AD215" s="81"/>
      <c r="AE215" s="81"/>
      <c r="AF215" s="81"/>
      <c r="AG215" s="81"/>
      <c r="AH215" s="81"/>
      <c r="AI215" s="81"/>
      <c r="AJ215" s="94">
        <v>1</v>
      </c>
      <c r="AK215" s="94">
        <v>1</v>
      </c>
      <c r="AL215" s="94">
        <v>1</v>
      </c>
      <c r="AM215" s="94">
        <v>1</v>
      </c>
      <c r="AN215" s="94">
        <v>1</v>
      </c>
      <c r="AO215" s="94">
        <v>1</v>
      </c>
      <c r="AP215" s="94">
        <v>1</v>
      </c>
      <c r="AQ215" s="94">
        <v>1</v>
      </c>
      <c r="AR215" s="94">
        <v>1</v>
      </c>
      <c r="AS215" s="94">
        <v>1</v>
      </c>
      <c r="AT215" s="94">
        <v>1</v>
      </c>
      <c r="AU215" s="94">
        <v>1</v>
      </c>
      <c r="AV215" s="94">
        <v>1</v>
      </c>
      <c r="AW215" s="94">
        <v>1</v>
      </c>
      <c r="AX215" s="94">
        <v>1</v>
      </c>
      <c r="AY215" s="94">
        <v>1</v>
      </c>
      <c r="AZ215" s="94">
        <v>1</v>
      </c>
      <c r="BA215" s="94">
        <v>1</v>
      </c>
      <c r="BB215" s="94">
        <v>1</v>
      </c>
      <c r="BC215" s="94">
        <v>1</v>
      </c>
      <c r="BD215" s="94">
        <v>1</v>
      </c>
      <c r="BE215" s="94">
        <v>1</v>
      </c>
      <c r="BF215" s="94">
        <v>1</v>
      </c>
      <c r="BG215" s="94">
        <v>1</v>
      </c>
      <c r="BH215" s="94">
        <v>1</v>
      </c>
      <c r="BI215" s="94">
        <v>1</v>
      </c>
      <c r="BJ215" s="94">
        <v>1</v>
      </c>
      <c r="BL215" s="6"/>
      <c r="BM215" s="6"/>
      <c r="BN215" s="6"/>
      <c r="BO215" s="6"/>
      <c r="BP215" s="6"/>
      <c r="BQ215" s="6"/>
      <c r="BR215" s="6"/>
      <c r="BS215" s="6"/>
      <c r="BT215" s="6"/>
      <c r="BU215" s="6"/>
      <c r="BV215" s="6"/>
      <c r="BW215" s="6"/>
      <c r="BX215" s="6"/>
      <c r="BY215" s="6"/>
    </row>
    <row r="216" spans="2:77" ht="12" hidden="1" customHeight="1" outlineLevel="1">
      <c r="B216" s="92" t="s">
        <v>169</v>
      </c>
      <c r="C216" s="197"/>
      <c r="D216" s="197"/>
      <c r="E216" s="197"/>
      <c r="F216" s="197"/>
      <c r="G216" s="197"/>
      <c r="H216" s="197"/>
      <c r="I216" s="197"/>
      <c r="J216" s="197"/>
      <c r="K216" s="197"/>
      <c r="L216" s="197"/>
      <c r="M216" s="197"/>
      <c r="N216" s="197"/>
      <c r="O216" s="87"/>
      <c r="P216" s="88"/>
      <c r="Q216" s="81"/>
      <c r="R216" s="81"/>
      <c r="S216" s="81"/>
      <c r="T216" s="81"/>
      <c r="U216" s="81"/>
      <c r="V216" s="81"/>
      <c r="W216" s="81"/>
      <c r="X216" s="81"/>
      <c r="Y216" s="81"/>
      <c r="Z216" s="81"/>
      <c r="AA216" s="81"/>
      <c r="AB216" s="81"/>
      <c r="AC216" s="81"/>
      <c r="AD216" s="81"/>
      <c r="AE216" s="81"/>
      <c r="AF216" s="81"/>
      <c r="AG216" s="81"/>
      <c r="AH216" s="81"/>
      <c r="AI216" s="81"/>
      <c r="AJ216" s="94">
        <v>1</v>
      </c>
      <c r="AK216" s="94">
        <v>1</v>
      </c>
      <c r="AL216" s="94">
        <v>1</v>
      </c>
      <c r="AM216" s="94">
        <v>1</v>
      </c>
      <c r="AN216" s="94">
        <v>1</v>
      </c>
      <c r="AO216" s="94">
        <v>1</v>
      </c>
      <c r="AP216" s="94">
        <v>1</v>
      </c>
      <c r="AQ216" s="94">
        <v>1</v>
      </c>
      <c r="AR216" s="94">
        <v>1</v>
      </c>
      <c r="AS216" s="94">
        <v>1</v>
      </c>
      <c r="AT216" s="94">
        <v>1</v>
      </c>
      <c r="AU216" s="94">
        <v>1</v>
      </c>
      <c r="AV216" s="94">
        <v>1</v>
      </c>
      <c r="AW216" s="94">
        <v>1</v>
      </c>
      <c r="AX216" s="94">
        <v>1</v>
      </c>
      <c r="AY216" s="94">
        <v>1</v>
      </c>
      <c r="AZ216" s="94">
        <v>1</v>
      </c>
      <c r="BA216" s="94">
        <v>1</v>
      </c>
      <c r="BB216" s="94">
        <v>1</v>
      </c>
      <c r="BC216" s="94">
        <v>1</v>
      </c>
      <c r="BD216" s="94">
        <v>1</v>
      </c>
      <c r="BE216" s="94">
        <v>1</v>
      </c>
      <c r="BF216" s="94">
        <v>1</v>
      </c>
      <c r="BG216" s="94">
        <v>1</v>
      </c>
      <c r="BH216" s="94">
        <v>1</v>
      </c>
      <c r="BI216" s="94">
        <v>1</v>
      </c>
      <c r="BJ216" s="94">
        <v>1</v>
      </c>
      <c r="BL216" s="6"/>
      <c r="BM216" s="6"/>
      <c r="BN216" s="6"/>
      <c r="BO216" s="6"/>
      <c r="BP216" s="6"/>
      <c r="BQ216" s="6"/>
      <c r="BR216" s="6"/>
      <c r="BS216" s="6"/>
      <c r="BT216" s="6"/>
      <c r="BU216" s="6"/>
      <c r="BV216" s="6"/>
      <c r="BW216" s="6"/>
      <c r="BX216" s="6"/>
      <c r="BY216" s="6"/>
    </row>
    <row r="217" spans="2:77" ht="12" hidden="1" customHeight="1" outlineLevel="1">
      <c r="B217" s="86"/>
      <c r="C217" s="87"/>
      <c r="D217" s="87"/>
      <c r="E217" s="87"/>
      <c r="F217" s="87"/>
      <c r="G217" s="87"/>
      <c r="H217" s="87"/>
      <c r="I217" s="87"/>
      <c r="J217" s="87"/>
      <c r="K217" s="87"/>
      <c r="L217" s="87"/>
      <c r="M217" s="87"/>
      <c r="N217" s="87"/>
      <c r="O217" s="87"/>
      <c r="P217" s="88"/>
      <c r="Q217" s="6"/>
      <c r="R217" s="6"/>
      <c r="S217" s="6"/>
      <c r="T217" s="6"/>
      <c r="U217" s="6"/>
      <c r="V217" s="6"/>
      <c r="W217" s="6"/>
      <c r="X217" s="6"/>
      <c r="Y217" s="6"/>
      <c r="Z217" s="6"/>
      <c r="AA217" s="6"/>
      <c r="AB217" s="6"/>
      <c r="AC217" s="6"/>
      <c r="AD217" s="6"/>
      <c r="AE217" s="6"/>
      <c r="AF217" s="6"/>
      <c r="AG217" s="6"/>
      <c r="AH217" s="6"/>
      <c r="AI217" s="6"/>
      <c r="AJ217" s="89"/>
      <c r="AK217" s="89"/>
      <c r="AL217" s="89"/>
      <c r="AM217" s="89"/>
      <c r="AN217" s="89"/>
      <c r="AO217" s="89"/>
      <c r="AP217" s="89"/>
      <c r="AQ217" s="89"/>
      <c r="AR217" s="89"/>
      <c r="AS217" s="89"/>
      <c r="AT217" s="89"/>
      <c r="AU217" s="89"/>
      <c r="AV217" s="89"/>
      <c r="AW217" s="89"/>
      <c r="AX217" s="89"/>
      <c r="AY217" s="89"/>
      <c r="AZ217" s="89"/>
      <c r="BA217" s="89"/>
      <c r="BB217" s="89"/>
      <c r="BC217" s="89"/>
      <c r="BD217" s="89"/>
      <c r="BE217" s="89"/>
      <c r="BF217" s="89"/>
      <c r="BG217" s="89"/>
      <c r="BH217" s="89"/>
      <c r="BI217" s="89"/>
      <c r="BJ217" s="89"/>
      <c r="BL217" s="6"/>
      <c r="BM217" s="6"/>
      <c r="BN217" s="6"/>
      <c r="BO217" s="6"/>
      <c r="BP217" s="6"/>
      <c r="BQ217" s="6"/>
      <c r="BR217" s="6"/>
      <c r="BS217" s="6"/>
      <c r="BT217" s="6"/>
      <c r="BU217" s="6"/>
      <c r="BV217" s="6"/>
      <c r="BW217" s="6"/>
      <c r="BX217" s="6"/>
      <c r="BY217" s="6"/>
    </row>
    <row r="218" spans="2:77" ht="12" hidden="1" customHeight="1" outlineLevel="1">
      <c r="B218" s="90" t="s">
        <v>181</v>
      </c>
      <c r="C218" s="74"/>
      <c r="D218" s="74"/>
      <c r="E218" s="74"/>
      <c r="F218" s="74"/>
      <c r="G218" s="74"/>
      <c r="H218" s="74"/>
      <c r="I218" s="74"/>
      <c r="J218" s="74"/>
      <c r="K218" s="74"/>
      <c r="L218" s="74"/>
      <c r="M218" s="74"/>
      <c r="N218" s="74"/>
      <c r="O218" s="87"/>
      <c r="P218" s="88"/>
      <c r="Q218" s="87"/>
      <c r="R218" s="87"/>
      <c r="S218" s="87"/>
      <c r="T218" s="87"/>
      <c r="U218" s="87"/>
      <c r="V218" s="87"/>
      <c r="W218" s="87"/>
      <c r="X218" s="87"/>
      <c r="Y218" s="87"/>
      <c r="Z218" s="87"/>
      <c r="AA218" s="87"/>
      <c r="AB218" s="87"/>
      <c r="AC218" s="87"/>
      <c r="AD218" s="87"/>
      <c r="AE218" s="87"/>
      <c r="AF218" s="87"/>
      <c r="AG218" s="87"/>
      <c r="AH218" s="87"/>
      <c r="AI218" s="87"/>
      <c r="AJ218" s="89"/>
      <c r="AK218" s="89"/>
      <c r="AL218" s="89"/>
      <c r="AM218" s="89"/>
      <c r="AN218" s="89"/>
      <c r="AO218" s="89"/>
      <c r="AP218" s="89"/>
      <c r="AQ218" s="89"/>
      <c r="AR218" s="89"/>
      <c r="AS218" s="89"/>
      <c r="AT218" s="89"/>
      <c r="AU218" s="89"/>
      <c r="AV218" s="89"/>
      <c r="AW218" s="89"/>
      <c r="AX218" s="89"/>
      <c r="AY218" s="89"/>
      <c r="AZ218" s="89"/>
      <c r="BA218" s="89"/>
      <c r="BB218" s="89"/>
      <c r="BC218" s="89"/>
      <c r="BD218" s="89"/>
      <c r="BE218" s="89"/>
      <c r="BF218" s="89"/>
      <c r="BG218" s="89"/>
      <c r="BH218" s="89"/>
      <c r="BI218" s="89"/>
      <c r="BJ218" s="89"/>
      <c r="BL218" s="6"/>
      <c r="BM218" s="6"/>
      <c r="BN218" s="6"/>
      <c r="BO218" s="6"/>
      <c r="BP218" s="6"/>
      <c r="BQ218" s="6"/>
      <c r="BR218" s="6"/>
      <c r="BS218" s="6"/>
      <c r="BT218" s="6"/>
      <c r="BU218" s="6"/>
      <c r="BV218" s="6"/>
      <c r="BW218" s="6"/>
      <c r="BX218" s="6"/>
      <c r="BY218" s="6"/>
    </row>
    <row r="219" spans="2:77" ht="12" hidden="1" customHeight="1" outlineLevel="1">
      <c r="B219" s="92" t="s">
        <v>167</v>
      </c>
      <c r="C219" s="197"/>
      <c r="D219" s="197"/>
      <c r="E219" s="197"/>
      <c r="F219" s="197"/>
      <c r="G219" s="197"/>
      <c r="H219" s="197"/>
      <c r="I219" s="197"/>
      <c r="J219" s="197"/>
      <c r="K219" s="197"/>
      <c r="L219" s="197"/>
      <c r="M219" s="197"/>
      <c r="N219" s="197"/>
      <c r="O219" s="87"/>
      <c r="P219" s="88"/>
      <c r="Q219" s="81"/>
      <c r="R219" s="81"/>
      <c r="S219" s="81"/>
      <c r="T219" s="81"/>
      <c r="U219" s="81"/>
      <c r="V219" s="81"/>
      <c r="W219" s="81"/>
      <c r="X219" s="81"/>
      <c r="Y219" s="81"/>
      <c r="Z219" s="81"/>
      <c r="AA219" s="81"/>
      <c r="AB219" s="81"/>
      <c r="AC219" s="81"/>
      <c r="AD219" s="81"/>
      <c r="AE219" s="81"/>
      <c r="AF219" s="81"/>
      <c r="AG219" s="81"/>
      <c r="AH219" s="81"/>
      <c r="AI219" s="81"/>
      <c r="AJ219" s="95">
        <f t="shared" ref="AJ219:AX219" si="947">AI219</f>
        <v>0</v>
      </c>
      <c r="AK219" s="95">
        <f t="shared" si="947"/>
        <v>0</v>
      </c>
      <c r="AL219" s="95">
        <f t="shared" si="947"/>
        <v>0</v>
      </c>
      <c r="AM219" s="95">
        <f t="shared" si="947"/>
        <v>0</v>
      </c>
      <c r="AN219" s="95">
        <f t="shared" si="947"/>
        <v>0</v>
      </c>
      <c r="AO219" s="95">
        <f t="shared" si="947"/>
        <v>0</v>
      </c>
      <c r="AP219" s="95">
        <f t="shared" si="947"/>
        <v>0</v>
      </c>
      <c r="AQ219" s="95">
        <f t="shared" si="947"/>
        <v>0</v>
      </c>
      <c r="AR219" s="95">
        <f t="shared" si="947"/>
        <v>0</v>
      </c>
      <c r="AS219" s="95">
        <f t="shared" si="947"/>
        <v>0</v>
      </c>
      <c r="AT219" s="95">
        <f t="shared" si="947"/>
        <v>0</v>
      </c>
      <c r="AU219" s="95">
        <f t="shared" si="947"/>
        <v>0</v>
      </c>
      <c r="AV219" s="95">
        <f t="shared" si="947"/>
        <v>0</v>
      </c>
      <c r="AW219" s="95">
        <f t="shared" si="947"/>
        <v>0</v>
      </c>
      <c r="AX219" s="95">
        <f t="shared" si="947"/>
        <v>0</v>
      </c>
      <c r="AY219" s="95">
        <f t="shared" ref="AY219:AY221" si="948">AX219</f>
        <v>0</v>
      </c>
      <c r="AZ219" s="95">
        <f t="shared" ref="AZ219:AZ221" si="949">AY219</f>
        <v>0</v>
      </c>
      <c r="BA219" s="95">
        <f t="shared" ref="BA219:BA221" si="950">AZ219</f>
        <v>0</v>
      </c>
      <c r="BB219" s="95">
        <f t="shared" ref="BB219:BB221" si="951">BA219</f>
        <v>0</v>
      </c>
      <c r="BC219" s="95">
        <f t="shared" ref="BC219:BC221" si="952">BB219</f>
        <v>0</v>
      </c>
      <c r="BD219" s="95">
        <f t="shared" ref="BD219:BD221" si="953">BC219</f>
        <v>0</v>
      </c>
      <c r="BE219" s="95">
        <f t="shared" ref="BE219:BE221" si="954">BD219</f>
        <v>0</v>
      </c>
      <c r="BF219" s="95">
        <f t="shared" ref="BF219:BF221" si="955">BE219</f>
        <v>0</v>
      </c>
      <c r="BG219" s="95">
        <f t="shared" ref="BG219:BG221" si="956">BF219</f>
        <v>0</v>
      </c>
      <c r="BH219" s="95">
        <f t="shared" ref="BH219:BH221" si="957">BG219</f>
        <v>0</v>
      </c>
      <c r="BI219" s="95">
        <f t="shared" ref="BI219:BI221" si="958">BH219</f>
        <v>0</v>
      </c>
      <c r="BJ219" s="95">
        <f t="shared" ref="BJ219:BJ221" si="959">BI219</f>
        <v>0</v>
      </c>
      <c r="BL219" s="6"/>
      <c r="BM219" s="6"/>
      <c r="BN219" s="6"/>
      <c r="BO219" s="6"/>
      <c r="BP219" s="6"/>
      <c r="BQ219" s="6"/>
      <c r="BR219" s="6"/>
      <c r="BS219" s="6"/>
      <c r="BT219" s="6"/>
      <c r="BU219" s="6"/>
      <c r="BV219" s="6"/>
      <c r="BW219" s="6"/>
      <c r="BX219" s="6"/>
      <c r="BY219" s="6"/>
    </row>
    <row r="220" spans="2:77" ht="12" hidden="1" customHeight="1" outlineLevel="1">
      <c r="B220" s="92" t="s">
        <v>168</v>
      </c>
      <c r="C220" s="197"/>
      <c r="D220" s="197"/>
      <c r="E220" s="197"/>
      <c r="F220" s="197"/>
      <c r="G220" s="197"/>
      <c r="H220" s="197"/>
      <c r="I220" s="197"/>
      <c r="J220" s="197"/>
      <c r="K220" s="197"/>
      <c r="L220" s="197"/>
      <c r="M220" s="197"/>
      <c r="N220" s="197"/>
      <c r="O220" s="87"/>
      <c r="P220" s="88"/>
      <c r="Q220" s="81"/>
      <c r="R220" s="81"/>
      <c r="S220" s="81"/>
      <c r="T220" s="81"/>
      <c r="U220" s="81"/>
      <c r="V220" s="81"/>
      <c r="W220" s="81"/>
      <c r="X220" s="81"/>
      <c r="Y220" s="81"/>
      <c r="Z220" s="81"/>
      <c r="AA220" s="81"/>
      <c r="AB220" s="81"/>
      <c r="AC220" s="81"/>
      <c r="AD220" s="81"/>
      <c r="AE220" s="81"/>
      <c r="AF220" s="81"/>
      <c r="AG220" s="81"/>
      <c r="AH220" s="81"/>
      <c r="AI220" s="81"/>
      <c r="AJ220" s="95">
        <f t="shared" ref="AJ220:AX220" si="960">AI220</f>
        <v>0</v>
      </c>
      <c r="AK220" s="95">
        <f t="shared" si="960"/>
        <v>0</v>
      </c>
      <c r="AL220" s="95">
        <f t="shared" si="960"/>
        <v>0</v>
      </c>
      <c r="AM220" s="95">
        <f t="shared" si="960"/>
        <v>0</v>
      </c>
      <c r="AN220" s="95">
        <f t="shared" si="960"/>
        <v>0</v>
      </c>
      <c r="AO220" s="95">
        <f t="shared" si="960"/>
        <v>0</v>
      </c>
      <c r="AP220" s="95">
        <f t="shared" si="960"/>
        <v>0</v>
      </c>
      <c r="AQ220" s="95">
        <f t="shared" si="960"/>
        <v>0</v>
      </c>
      <c r="AR220" s="95">
        <f t="shared" si="960"/>
        <v>0</v>
      </c>
      <c r="AS220" s="95">
        <f t="shared" si="960"/>
        <v>0</v>
      </c>
      <c r="AT220" s="95">
        <f t="shared" si="960"/>
        <v>0</v>
      </c>
      <c r="AU220" s="95">
        <f t="shared" si="960"/>
        <v>0</v>
      </c>
      <c r="AV220" s="95">
        <f t="shared" si="960"/>
        <v>0</v>
      </c>
      <c r="AW220" s="95">
        <f t="shared" si="960"/>
        <v>0</v>
      </c>
      <c r="AX220" s="95">
        <f t="shared" si="960"/>
        <v>0</v>
      </c>
      <c r="AY220" s="95">
        <f t="shared" si="948"/>
        <v>0</v>
      </c>
      <c r="AZ220" s="95">
        <f t="shared" si="949"/>
        <v>0</v>
      </c>
      <c r="BA220" s="95">
        <f t="shared" si="950"/>
        <v>0</v>
      </c>
      <c r="BB220" s="95">
        <f t="shared" si="951"/>
        <v>0</v>
      </c>
      <c r="BC220" s="95">
        <f t="shared" si="952"/>
        <v>0</v>
      </c>
      <c r="BD220" s="95">
        <f t="shared" si="953"/>
        <v>0</v>
      </c>
      <c r="BE220" s="95">
        <f t="shared" si="954"/>
        <v>0</v>
      </c>
      <c r="BF220" s="95">
        <f t="shared" si="955"/>
        <v>0</v>
      </c>
      <c r="BG220" s="95">
        <f t="shared" si="956"/>
        <v>0</v>
      </c>
      <c r="BH220" s="95">
        <f t="shared" si="957"/>
        <v>0</v>
      </c>
      <c r="BI220" s="95">
        <f t="shared" si="958"/>
        <v>0</v>
      </c>
      <c r="BJ220" s="95">
        <f t="shared" si="959"/>
        <v>0</v>
      </c>
      <c r="BL220" s="6"/>
      <c r="BM220" s="6"/>
      <c r="BN220" s="6"/>
      <c r="BO220" s="6"/>
      <c r="BP220" s="6"/>
      <c r="BQ220" s="6"/>
      <c r="BR220" s="6"/>
      <c r="BS220" s="6"/>
      <c r="BT220" s="6"/>
      <c r="BU220" s="6"/>
      <c r="BV220" s="6"/>
      <c r="BW220" s="6"/>
      <c r="BX220" s="6"/>
      <c r="BY220" s="6"/>
    </row>
    <row r="221" spans="2:77" ht="12" hidden="1" customHeight="1" outlineLevel="1">
      <c r="B221" s="92" t="s">
        <v>169</v>
      </c>
      <c r="C221" s="197"/>
      <c r="D221" s="197"/>
      <c r="E221" s="197"/>
      <c r="F221" s="197"/>
      <c r="G221" s="197"/>
      <c r="H221" s="197"/>
      <c r="I221" s="197"/>
      <c r="J221" s="197"/>
      <c r="K221" s="197"/>
      <c r="L221" s="197"/>
      <c r="M221" s="197"/>
      <c r="N221" s="197"/>
      <c r="O221" s="87"/>
      <c r="P221" s="88"/>
      <c r="Q221" s="81"/>
      <c r="R221" s="81"/>
      <c r="S221" s="81"/>
      <c r="T221" s="81"/>
      <c r="U221" s="81"/>
      <c r="V221" s="81"/>
      <c r="W221" s="81"/>
      <c r="X221" s="81"/>
      <c r="Y221" s="81"/>
      <c r="Z221" s="81"/>
      <c r="AA221" s="81"/>
      <c r="AB221" s="81"/>
      <c r="AC221" s="81"/>
      <c r="AD221" s="81"/>
      <c r="AE221" s="81"/>
      <c r="AF221" s="81"/>
      <c r="AG221" s="81"/>
      <c r="AH221" s="81"/>
      <c r="AI221" s="81"/>
      <c r="AJ221" s="95">
        <f t="shared" ref="AJ221:AX221" si="961">AI221</f>
        <v>0</v>
      </c>
      <c r="AK221" s="95">
        <f t="shared" si="961"/>
        <v>0</v>
      </c>
      <c r="AL221" s="95">
        <f t="shared" si="961"/>
        <v>0</v>
      </c>
      <c r="AM221" s="95">
        <f t="shared" si="961"/>
        <v>0</v>
      </c>
      <c r="AN221" s="95">
        <f t="shared" si="961"/>
        <v>0</v>
      </c>
      <c r="AO221" s="95">
        <f t="shared" si="961"/>
        <v>0</v>
      </c>
      <c r="AP221" s="95">
        <f t="shared" si="961"/>
        <v>0</v>
      </c>
      <c r="AQ221" s="95">
        <f t="shared" si="961"/>
        <v>0</v>
      </c>
      <c r="AR221" s="95">
        <f t="shared" si="961"/>
        <v>0</v>
      </c>
      <c r="AS221" s="95">
        <f t="shared" si="961"/>
        <v>0</v>
      </c>
      <c r="AT221" s="95">
        <f t="shared" si="961"/>
        <v>0</v>
      </c>
      <c r="AU221" s="95">
        <f t="shared" si="961"/>
        <v>0</v>
      </c>
      <c r="AV221" s="95">
        <f t="shared" si="961"/>
        <v>0</v>
      </c>
      <c r="AW221" s="95">
        <f t="shared" si="961"/>
        <v>0</v>
      </c>
      <c r="AX221" s="95">
        <f t="shared" si="961"/>
        <v>0</v>
      </c>
      <c r="AY221" s="95">
        <f t="shared" si="948"/>
        <v>0</v>
      </c>
      <c r="AZ221" s="95">
        <f t="shared" si="949"/>
        <v>0</v>
      </c>
      <c r="BA221" s="95">
        <f t="shared" si="950"/>
        <v>0</v>
      </c>
      <c r="BB221" s="95">
        <f t="shared" si="951"/>
        <v>0</v>
      </c>
      <c r="BC221" s="95">
        <f t="shared" si="952"/>
        <v>0</v>
      </c>
      <c r="BD221" s="95">
        <f t="shared" si="953"/>
        <v>0</v>
      </c>
      <c r="BE221" s="95">
        <f t="shared" si="954"/>
        <v>0</v>
      </c>
      <c r="BF221" s="95">
        <f t="shared" si="955"/>
        <v>0</v>
      </c>
      <c r="BG221" s="95">
        <f t="shared" si="956"/>
        <v>0</v>
      </c>
      <c r="BH221" s="95">
        <f t="shared" si="957"/>
        <v>0</v>
      </c>
      <c r="BI221" s="95">
        <f t="shared" si="958"/>
        <v>0</v>
      </c>
      <c r="BJ221" s="95">
        <f t="shared" si="959"/>
        <v>0</v>
      </c>
      <c r="BL221" s="6"/>
      <c r="BM221" s="6"/>
      <c r="BN221" s="6"/>
      <c r="BO221" s="6"/>
      <c r="BP221" s="6"/>
      <c r="BQ221" s="6"/>
      <c r="BR221" s="6"/>
      <c r="BS221" s="6"/>
      <c r="BT221" s="6"/>
      <c r="BU221" s="6"/>
      <c r="BV221" s="6"/>
      <c r="BW221" s="6"/>
      <c r="BX221" s="6"/>
      <c r="BY221" s="6"/>
    </row>
    <row r="222" spans="2:77" ht="12" hidden="1" customHeight="1" outlineLevel="1">
      <c r="B222" s="86"/>
      <c r="C222" s="87"/>
      <c r="D222" s="87"/>
      <c r="E222" s="87"/>
      <c r="F222" s="87"/>
      <c r="G222" s="87"/>
      <c r="H222" s="87"/>
      <c r="I222" s="87"/>
      <c r="J222" s="87"/>
      <c r="K222" s="87"/>
      <c r="L222" s="87"/>
      <c r="M222" s="87"/>
      <c r="N222" s="87"/>
      <c r="O222" s="87"/>
      <c r="P222" s="88"/>
      <c r="Q222" s="87"/>
      <c r="R222" s="87"/>
      <c r="S222" s="87"/>
      <c r="T222" s="87"/>
      <c r="U222" s="87"/>
      <c r="V222" s="87"/>
      <c r="W222" s="87"/>
      <c r="X222" s="87"/>
      <c r="Y222" s="87"/>
      <c r="Z222" s="87"/>
      <c r="AA222" s="87"/>
      <c r="AB222" s="87"/>
      <c r="AC222" s="87"/>
      <c r="AD222" s="87"/>
      <c r="AE222" s="87"/>
      <c r="AF222" s="87"/>
      <c r="AG222" s="87"/>
      <c r="AH222" s="87"/>
      <c r="AI222" s="87"/>
      <c r="AJ222" s="89"/>
      <c r="AK222" s="89"/>
      <c r="AL222" s="89"/>
      <c r="AM222" s="89"/>
      <c r="AN222" s="89"/>
      <c r="AO222" s="89"/>
      <c r="AP222" s="89"/>
      <c r="AQ222" s="89"/>
      <c r="AR222" s="89"/>
      <c r="AS222" s="89"/>
      <c r="AT222" s="89"/>
      <c r="AU222" s="89"/>
      <c r="AV222" s="89"/>
      <c r="AW222" s="89"/>
      <c r="AX222" s="89"/>
      <c r="AY222" s="89"/>
      <c r="AZ222" s="89"/>
      <c r="BA222" s="89"/>
      <c r="BB222" s="89"/>
      <c r="BC222" s="89"/>
      <c r="BD222" s="89"/>
      <c r="BE222" s="89"/>
      <c r="BF222" s="89"/>
      <c r="BG222" s="89"/>
      <c r="BH222" s="89"/>
      <c r="BI222" s="89"/>
      <c r="BJ222" s="89"/>
      <c r="BL222" s="6"/>
      <c r="BM222" s="6"/>
      <c r="BN222" s="6"/>
      <c r="BO222" s="6"/>
      <c r="BP222" s="6"/>
      <c r="BQ222" s="6"/>
      <c r="BR222" s="6"/>
      <c r="BS222" s="6"/>
      <c r="BT222" s="6"/>
      <c r="BU222" s="6"/>
      <c r="BV222" s="6"/>
      <c r="BW222" s="6"/>
      <c r="BX222" s="6"/>
      <c r="BY222" s="6"/>
    </row>
    <row r="223" spans="2:77" ht="12" hidden="1" customHeight="1" outlineLevel="1">
      <c r="B223" s="90" t="s">
        <v>182</v>
      </c>
      <c r="C223" s="74"/>
      <c r="D223" s="74"/>
      <c r="E223" s="74"/>
      <c r="F223" s="74"/>
      <c r="G223" s="74"/>
      <c r="H223" s="74"/>
      <c r="I223" s="74"/>
      <c r="J223" s="74"/>
      <c r="K223" s="74"/>
      <c r="L223" s="74"/>
      <c r="M223" s="74"/>
      <c r="N223" s="74"/>
      <c r="O223" s="87"/>
      <c r="P223" s="88"/>
      <c r="Q223" s="87"/>
      <c r="R223" s="87"/>
      <c r="S223" s="87"/>
      <c r="T223" s="87"/>
      <c r="U223" s="87"/>
      <c r="V223" s="87"/>
      <c r="W223" s="87"/>
      <c r="X223" s="87"/>
      <c r="Y223" s="87"/>
      <c r="Z223" s="87"/>
      <c r="AA223" s="87"/>
      <c r="AB223" s="87"/>
      <c r="AC223" s="87"/>
      <c r="AD223" s="87"/>
      <c r="AE223" s="87"/>
      <c r="AF223" s="87"/>
      <c r="AG223" s="87"/>
      <c r="AH223" s="87"/>
      <c r="AI223" s="87"/>
      <c r="AJ223" s="89"/>
      <c r="AK223" s="89"/>
      <c r="AL223" s="89"/>
      <c r="AM223" s="89"/>
      <c r="AN223" s="89"/>
      <c r="AO223" s="89"/>
      <c r="AP223" s="89"/>
      <c r="AQ223" s="89"/>
      <c r="AR223" s="89"/>
      <c r="AS223" s="89"/>
      <c r="AT223" s="89"/>
      <c r="AU223" s="89"/>
      <c r="AV223" s="89"/>
      <c r="AW223" s="89"/>
      <c r="AX223" s="89"/>
      <c r="AY223" s="89"/>
      <c r="AZ223" s="89"/>
      <c r="BA223" s="89"/>
      <c r="BB223" s="89"/>
      <c r="BC223" s="89"/>
      <c r="BD223" s="89"/>
      <c r="BE223" s="89"/>
      <c r="BF223" s="89"/>
      <c r="BG223" s="89"/>
      <c r="BH223" s="89"/>
      <c r="BI223" s="89"/>
      <c r="BJ223" s="89"/>
      <c r="BL223" s="6"/>
      <c r="BM223" s="6"/>
      <c r="BN223" s="6"/>
      <c r="BO223" s="6"/>
      <c r="BP223" s="6"/>
      <c r="BQ223" s="6"/>
      <c r="BR223" s="6"/>
      <c r="BS223" s="6"/>
      <c r="BT223" s="6"/>
      <c r="BU223" s="6"/>
      <c r="BV223" s="6"/>
      <c r="BW223" s="6"/>
      <c r="BX223" s="6"/>
      <c r="BY223" s="6"/>
    </row>
    <row r="224" spans="2:77" ht="12" hidden="1" customHeight="1" outlineLevel="1">
      <c r="B224" s="92" t="s">
        <v>167</v>
      </c>
      <c r="C224" s="197"/>
      <c r="D224" s="197"/>
      <c r="E224" s="197"/>
      <c r="F224" s="197"/>
      <c r="G224" s="197"/>
      <c r="H224" s="197"/>
      <c r="I224" s="197"/>
      <c r="J224" s="197"/>
      <c r="K224" s="197"/>
      <c r="L224" s="197"/>
      <c r="M224" s="197"/>
      <c r="N224" s="197"/>
      <c r="O224" s="87"/>
      <c r="P224" s="88"/>
      <c r="Q224" s="81"/>
      <c r="R224" s="81"/>
      <c r="S224" s="81"/>
      <c r="T224" s="81"/>
      <c r="U224" s="81"/>
      <c r="V224" s="81"/>
      <c r="W224" s="81"/>
      <c r="X224" s="81"/>
      <c r="Y224" s="81"/>
      <c r="Z224" s="81"/>
      <c r="AA224" s="81"/>
      <c r="AB224" s="81"/>
      <c r="AC224" s="81"/>
      <c r="AD224" s="81"/>
      <c r="AE224" s="81"/>
      <c r="AF224" s="81"/>
      <c r="AG224" s="81"/>
      <c r="AH224" s="81"/>
      <c r="AI224" s="81"/>
      <c r="AJ224" s="96">
        <f t="shared" ref="AJ224:AX224" si="962">AI224</f>
        <v>0</v>
      </c>
      <c r="AK224" s="96">
        <f t="shared" si="962"/>
        <v>0</v>
      </c>
      <c r="AL224" s="96">
        <f t="shared" si="962"/>
        <v>0</v>
      </c>
      <c r="AM224" s="96">
        <f t="shared" si="962"/>
        <v>0</v>
      </c>
      <c r="AN224" s="96">
        <f t="shared" si="962"/>
        <v>0</v>
      </c>
      <c r="AO224" s="96">
        <f t="shared" si="962"/>
        <v>0</v>
      </c>
      <c r="AP224" s="96">
        <f t="shared" si="962"/>
        <v>0</v>
      </c>
      <c r="AQ224" s="96">
        <f t="shared" si="962"/>
        <v>0</v>
      </c>
      <c r="AR224" s="96">
        <f t="shared" si="962"/>
        <v>0</v>
      </c>
      <c r="AS224" s="96">
        <f t="shared" si="962"/>
        <v>0</v>
      </c>
      <c r="AT224" s="96">
        <f t="shared" si="962"/>
        <v>0</v>
      </c>
      <c r="AU224" s="96">
        <f t="shared" si="962"/>
        <v>0</v>
      </c>
      <c r="AV224" s="96">
        <f t="shared" si="962"/>
        <v>0</v>
      </c>
      <c r="AW224" s="96">
        <f t="shared" si="962"/>
        <v>0</v>
      </c>
      <c r="AX224" s="96">
        <f t="shared" si="962"/>
        <v>0</v>
      </c>
      <c r="AY224" s="96">
        <f t="shared" ref="AY224:AY226" si="963">AX224</f>
        <v>0</v>
      </c>
      <c r="AZ224" s="96">
        <f t="shared" ref="AZ224:AZ226" si="964">AY224</f>
        <v>0</v>
      </c>
      <c r="BA224" s="96">
        <f t="shared" ref="BA224:BA226" si="965">AZ224</f>
        <v>0</v>
      </c>
      <c r="BB224" s="96">
        <f t="shared" ref="BB224:BB226" si="966">BA224</f>
        <v>0</v>
      </c>
      <c r="BC224" s="96">
        <f t="shared" ref="BC224:BC226" si="967">BB224</f>
        <v>0</v>
      </c>
      <c r="BD224" s="96">
        <f t="shared" ref="BD224:BD226" si="968">BC224</f>
        <v>0</v>
      </c>
      <c r="BE224" s="96">
        <f t="shared" ref="BE224:BE226" si="969">BD224</f>
        <v>0</v>
      </c>
      <c r="BF224" s="96">
        <f t="shared" ref="BF224:BF226" si="970">BE224</f>
        <v>0</v>
      </c>
      <c r="BG224" s="96">
        <f t="shared" ref="BG224:BG226" si="971">BF224</f>
        <v>0</v>
      </c>
      <c r="BH224" s="96">
        <f t="shared" ref="BH224:BH226" si="972">BG224</f>
        <v>0</v>
      </c>
      <c r="BI224" s="96">
        <f t="shared" ref="BI224:BI226" si="973">BH224</f>
        <v>0</v>
      </c>
      <c r="BJ224" s="96">
        <f t="shared" ref="BJ224:BJ226" si="974">BI224</f>
        <v>0</v>
      </c>
      <c r="BL224" s="6"/>
      <c r="BM224" s="6"/>
      <c r="BN224" s="6"/>
      <c r="BO224" s="6"/>
      <c r="BP224" s="6"/>
      <c r="BQ224" s="6"/>
      <c r="BR224" s="6"/>
      <c r="BS224" s="6"/>
      <c r="BT224" s="6"/>
      <c r="BU224" s="6"/>
      <c r="BV224" s="6"/>
      <c r="BW224" s="6"/>
      <c r="BX224" s="6"/>
      <c r="BY224" s="6"/>
    </row>
    <row r="225" spans="1:77" ht="12" hidden="1" customHeight="1" outlineLevel="1">
      <c r="B225" s="92" t="s">
        <v>168</v>
      </c>
      <c r="C225" s="197"/>
      <c r="D225" s="197"/>
      <c r="E225" s="197"/>
      <c r="F225" s="197"/>
      <c r="G225" s="197"/>
      <c r="H225" s="197"/>
      <c r="I225" s="197"/>
      <c r="J225" s="197"/>
      <c r="K225" s="197"/>
      <c r="L225" s="197"/>
      <c r="M225" s="197"/>
      <c r="N225" s="197"/>
      <c r="O225" s="87"/>
      <c r="P225" s="88"/>
      <c r="Q225" s="81"/>
      <c r="R225" s="81"/>
      <c r="S225" s="81"/>
      <c r="T225" s="81"/>
      <c r="U225" s="81"/>
      <c r="V225" s="81"/>
      <c r="W225" s="81"/>
      <c r="X225" s="81"/>
      <c r="Y225" s="81"/>
      <c r="Z225" s="81"/>
      <c r="AA225" s="81"/>
      <c r="AB225" s="81"/>
      <c r="AC225" s="81"/>
      <c r="AD225" s="81"/>
      <c r="AE225" s="81"/>
      <c r="AF225" s="81"/>
      <c r="AG225" s="81"/>
      <c r="AH225" s="81"/>
      <c r="AI225" s="81"/>
      <c r="AJ225" s="96">
        <f t="shared" ref="AJ225:AX225" si="975">AI225</f>
        <v>0</v>
      </c>
      <c r="AK225" s="96">
        <f t="shared" si="975"/>
        <v>0</v>
      </c>
      <c r="AL225" s="96">
        <f t="shared" si="975"/>
        <v>0</v>
      </c>
      <c r="AM225" s="96">
        <f t="shared" si="975"/>
        <v>0</v>
      </c>
      <c r="AN225" s="96">
        <f t="shared" si="975"/>
        <v>0</v>
      </c>
      <c r="AO225" s="96">
        <f t="shared" si="975"/>
        <v>0</v>
      </c>
      <c r="AP225" s="96">
        <f t="shared" si="975"/>
        <v>0</v>
      </c>
      <c r="AQ225" s="96">
        <f t="shared" si="975"/>
        <v>0</v>
      </c>
      <c r="AR225" s="96">
        <f t="shared" si="975"/>
        <v>0</v>
      </c>
      <c r="AS225" s="96">
        <f t="shared" si="975"/>
        <v>0</v>
      </c>
      <c r="AT225" s="96">
        <f t="shared" si="975"/>
        <v>0</v>
      </c>
      <c r="AU225" s="96">
        <f t="shared" si="975"/>
        <v>0</v>
      </c>
      <c r="AV225" s="96">
        <f t="shared" si="975"/>
        <v>0</v>
      </c>
      <c r="AW225" s="96">
        <f t="shared" si="975"/>
        <v>0</v>
      </c>
      <c r="AX225" s="96">
        <f t="shared" si="975"/>
        <v>0</v>
      </c>
      <c r="AY225" s="96">
        <f t="shared" si="963"/>
        <v>0</v>
      </c>
      <c r="AZ225" s="96">
        <f t="shared" si="964"/>
        <v>0</v>
      </c>
      <c r="BA225" s="96">
        <f t="shared" si="965"/>
        <v>0</v>
      </c>
      <c r="BB225" s="96">
        <f t="shared" si="966"/>
        <v>0</v>
      </c>
      <c r="BC225" s="96">
        <f t="shared" si="967"/>
        <v>0</v>
      </c>
      <c r="BD225" s="96">
        <f t="shared" si="968"/>
        <v>0</v>
      </c>
      <c r="BE225" s="96">
        <f t="shared" si="969"/>
        <v>0</v>
      </c>
      <c r="BF225" s="96">
        <f t="shared" si="970"/>
        <v>0</v>
      </c>
      <c r="BG225" s="96">
        <f t="shared" si="971"/>
        <v>0</v>
      </c>
      <c r="BH225" s="96">
        <f t="shared" si="972"/>
        <v>0</v>
      </c>
      <c r="BI225" s="96">
        <f t="shared" si="973"/>
        <v>0</v>
      </c>
      <c r="BJ225" s="96">
        <f t="shared" si="974"/>
        <v>0</v>
      </c>
      <c r="BL225" s="6"/>
      <c r="BM225" s="6"/>
      <c r="BN225" s="6"/>
      <c r="BO225" s="6"/>
      <c r="BP225" s="6"/>
      <c r="BQ225" s="6"/>
      <c r="BR225" s="6"/>
      <c r="BS225" s="6"/>
      <c r="BT225" s="6"/>
      <c r="BU225" s="6"/>
      <c r="BV225" s="6"/>
      <c r="BW225" s="6"/>
      <c r="BX225" s="6"/>
      <c r="BY225" s="6"/>
    </row>
    <row r="226" spans="1:77" ht="12" hidden="1" customHeight="1" outlineLevel="1">
      <c r="B226" s="97" t="s">
        <v>169</v>
      </c>
      <c r="C226" s="198"/>
      <c r="D226" s="198"/>
      <c r="E226" s="198"/>
      <c r="F226" s="198"/>
      <c r="G226" s="198"/>
      <c r="H226" s="198"/>
      <c r="I226" s="198"/>
      <c r="J226" s="198"/>
      <c r="K226" s="198"/>
      <c r="L226" s="198"/>
      <c r="M226" s="198"/>
      <c r="N226" s="198"/>
      <c r="O226" s="98"/>
      <c r="P226" s="61"/>
      <c r="Q226" s="99"/>
      <c r="R226" s="99"/>
      <c r="S226" s="99"/>
      <c r="T226" s="99"/>
      <c r="U226" s="99"/>
      <c r="V226" s="99"/>
      <c r="W226" s="99"/>
      <c r="X226" s="99"/>
      <c r="Y226" s="99"/>
      <c r="Z226" s="99"/>
      <c r="AA226" s="99"/>
      <c r="AB226" s="99"/>
      <c r="AC226" s="99"/>
      <c r="AD226" s="99"/>
      <c r="AE226" s="99"/>
      <c r="AF226" s="99"/>
      <c r="AG226" s="99"/>
      <c r="AH226" s="99"/>
      <c r="AI226" s="99"/>
      <c r="AJ226" s="100">
        <f t="shared" ref="AJ226:AX226" si="976">AI226</f>
        <v>0</v>
      </c>
      <c r="AK226" s="100">
        <f t="shared" si="976"/>
        <v>0</v>
      </c>
      <c r="AL226" s="100">
        <f t="shared" si="976"/>
        <v>0</v>
      </c>
      <c r="AM226" s="100">
        <f t="shared" si="976"/>
        <v>0</v>
      </c>
      <c r="AN226" s="100">
        <f t="shared" si="976"/>
        <v>0</v>
      </c>
      <c r="AO226" s="100">
        <f t="shared" si="976"/>
        <v>0</v>
      </c>
      <c r="AP226" s="100">
        <f t="shared" si="976"/>
        <v>0</v>
      </c>
      <c r="AQ226" s="100">
        <f t="shared" si="976"/>
        <v>0</v>
      </c>
      <c r="AR226" s="100">
        <f t="shared" si="976"/>
        <v>0</v>
      </c>
      <c r="AS226" s="100">
        <f t="shared" si="976"/>
        <v>0</v>
      </c>
      <c r="AT226" s="100">
        <f t="shared" si="976"/>
        <v>0</v>
      </c>
      <c r="AU226" s="100">
        <f t="shared" si="976"/>
        <v>0</v>
      </c>
      <c r="AV226" s="100">
        <f t="shared" si="976"/>
        <v>0</v>
      </c>
      <c r="AW226" s="100">
        <f t="shared" si="976"/>
        <v>0</v>
      </c>
      <c r="AX226" s="100">
        <f t="shared" si="976"/>
        <v>0</v>
      </c>
      <c r="AY226" s="100">
        <f t="shared" si="963"/>
        <v>0</v>
      </c>
      <c r="AZ226" s="100">
        <f t="shared" si="964"/>
        <v>0</v>
      </c>
      <c r="BA226" s="100">
        <f t="shared" si="965"/>
        <v>0</v>
      </c>
      <c r="BB226" s="100">
        <f t="shared" si="966"/>
        <v>0</v>
      </c>
      <c r="BC226" s="100">
        <f t="shared" si="967"/>
        <v>0</v>
      </c>
      <c r="BD226" s="100">
        <f t="shared" si="968"/>
        <v>0</v>
      </c>
      <c r="BE226" s="100">
        <f t="shared" si="969"/>
        <v>0</v>
      </c>
      <c r="BF226" s="100">
        <f t="shared" si="970"/>
        <v>0</v>
      </c>
      <c r="BG226" s="100">
        <f t="shared" si="971"/>
        <v>0</v>
      </c>
      <c r="BH226" s="100">
        <f t="shared" si="972"/>
        <v>0</v>
      </c>
      <c r="BI226" s="100">
        <f t="shared" si="973"/>
        <v>0</v>
      </c>
      <c r="BJ226" s="100">
        <f t="shared" si="974"/>
        <v>0</v>
      </c>
      <c r="BL226" s="6"/>
      <c r="BM226" s="6"/>
      <c r="BN226" s="6"/>
      <c r="BO226" s="6"/>
      <c r="BP226" s="6"/>
      <c r="BQ226" s="6"/>
      <c r="BR226" s="6"/>
      <c r="BS226" s="6"/>
      <c r="BT226" s="6"/>
      <c r="BU226" s="6"/>
      <c r="BV226" s="6"/>
      <c r="BW226" s="6"/>
      <c r="BX226" s="6"/>
      <c r="BY226" s="6"/>
    </row>
    <row r="227" spans="1:77" ht="12" hidden="1" customHeight="1" outlineLevel="1">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L227" s="6"/>
      <c r="BM227" s="6"/>
      <c r="BN227" s="6"/>
      <c r="BO227" s="6"/>
      <c r="BP227" s="6"/>
      <c r="BQ227" s="6"/>
      <c r="BR227" s="6"/>
      <c r="BS227" s="6"/>
      <c r="BT227" s="6"/>
      <c r="BU227" s="6"/>
      <c r="BV227" s="6"/>
      <c r="BW227" s="6"/>
      <c r="BX227" s="6"/>
      <c r="BY227" s="6"/>
    </row>
    <row r="228" spans="1:77" ht="12" customHeight="1" collapsed="1">
      <c r="B228" s="8" t="s">
        <v>43</v>
      </c>
      <c r="C228" s="8"/>
      <c r="D228" s="8"/>
      <c r="E228" s="8"/>
      <c r="F228" s="8"/>
      <c r="G228" s="8"/>
      <c r="H228" s="8"/>
      <c r="I228" s="8"/>
      <c r="J228" s="8"/>
      <c r="K228" s="8"/>
      <c r="L228" s="8"/>
      <c r="M228" s="8"/>
      <c r="N228" s="8"/>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L228" s="6"/>
      <c r="BM228" s="6"/>
      <c r="BN228" s="6"/>
      <c r="BO228" s="6"/>
      <c r="BP228" s="6"/>
      <c r="BQ228" s="6"/>
      <c r="BR228" s="6"/>
      <c r="BS228" s="6"/>
      <c r="BT228" s="6"/>
      <c r="BU228" s="6"/>
      <c r="BV228" s="6"/>
      <c r="BW228" s="6"/>
      <c r="BX228" s="6"/>
      <c r="BY228" s="6"/>
    </row>
    <row r="229" spans="1:77" ht="12" customHeight="1">
      <c r="B229" s="32" t="s">
        <v>61</v>
      </c>
      <c r="C229" s="199"/>
      <c r="D229" s="199"/>
      <c r="E229" s="199"/>
      <c r="F229" s="199"/>
      <c r="G229" s="199"/>
      <c r="H229" s="199"/>
      <c r="I229" s="199"/>
      <c r="J229" s="199"/>
      <c r="K229" s="199"/>
      <c r="L229" s="199"/>
      <c r="M229" s="199"/>
      <c r="N229" s="199"/>
      <c r="Q229" s="36"/>
      <c r="R229" s="36"/>
      <c r="S229" s="287">
        <v>18.2</v>
      </c>
      <c r="T229" s="287">
        <v>28.2</v>
      </c>
      <c r="U229" s="287">
        <v>6.7</v>
      </c>
      <c r="V229" s="287">
        <v>15</v>
      </c>
      <c r="W229" s="287"/>
      <c r="X229" s="287"/>
      <c r="Y229" s="287"/>
      <c r="Z229" s="287"/>
      <c r="AA229" s="287"/>
      <c r="AB229" s="287"/>
      <c r="AC229" s="287"/>
      <c r="AD229" s="287"/>
      <c r="AE229" s="287">
        <v>130</v>
      </c>
      <c r="AF229" s="287">
        <v>0</v>
      </c>
      <c r="AG229" s="287">
        <v>0</v>
      </c>
      <c r="AH229" s="287">
        <v>0</v>
      </c>
      <c r="AI229" s="456">
        <v>492.3</v>
      </c>
      <c r="AJ229" s="287">
        <v>0</v>
      </c>
      <c r="AK229" s="287">
        <v>0</v>
      </c>
      <c r="AL229" s="287">
        <v>0</v>
      </c>
      <c r="AM229" s="287">
        <v>0</v>
      </c>
      <c r="AN229" s="287">
        <v>442</v>
      </c>
      <c r="AO229" s="287">
        <v>0</v>
      </c>
      <c r="AP229" s="287">
        <v>150</v>
      </c>
      <c r="AQ229" s="287">
        <v>0</v>
      </c>
      <c r="AR229" s="287">
        <v>150</v>
      </c>
      <c r="AS229" s="287">
        <v>0</v>
      </c>
      <c r="AT229" s="287">
        <v>150</v>
      </c>
      <c r="AU229" s="287">
        <v>0</v>
      </c>
      <c r="AV229" s="287">
        <v>150</v>
      </c>
      <c r="AW229" s="287">
        <v>0</v>
      </c>
      <c r="AX229" s="287">
        <v>150</v>
      </c>
      <c r="AY229" s="287">
        <v>150</v>
      </c>
      <c r="AZ229" s="287">
        <v>150</v>
      </c>
      <c r="BA229" s="287">
        <v>150</v>
      </c>
      <c r="BB229" s="287">
        <v>150</v>
      </c>
      <c r="BC229" s="287">
        <v>150</v>
      </c>
      <c r="BD229" s="287">
        <v>150</v>
      </c>
      <c r="BE229" s="287">
        <v>150</v>
      </c>
      <c r="BF229" s="287">
        <v>150</v>
      </c>
      <c r="BG229" s="287">
        <v>150</v>
      </c>
      <c r="BH229" s="287">
        <v>150</v>
      </c>
      <c r="BI229" s="287">
        <v>150</v>
      </c>
      <c r="BJ229" s="287">
        <v>150</v>
      </c>
      <c r="BL229" s="36"/>
      <c r="BM229" s="36"/>
      <c r="BN229" s="36"/>
      <c r="BO229" s="212">
        <f>+SUM(S229:V229)</f>
        <v>68.099999999999994</v>
      </c>
      <c r="BP229" s="212">
        <f>+SUM(W229:Z229)</f>
        <v>0</v>
      </c>
      <c r="BQ229" s="212">
        <f>+SUM(AA229:AD229)</f>
        <v>0</v>
      </c>
      <c r="BR229" s="212">
        <f>+SUM(AE229:AH229)</f>
        <v>130</v>
      </c>
      <c r="BS229" s="212">
        <f>+SUM(AI229:AL229)</f>
        <v>492.3</v>
      </c>
      <c r="BT229" s="212">
        <f>+SUM(AM229:AP229)</f>
        <v>592</v>
      </c>
      <c r="BU229" s="212">
        <f>+SUM(AQ229:AT229)</f>
        <v>300</v>
      </c>
      <c r="BV229" s="212">
        <f>+SUM(AU229:AX229)</f>
        <v>300</v>
      </c>
      <c r="BW229" s="212">
        <f>SUM(AY229:BB229)</f>
        <v>600</v>
      </c>
      <c r="BX229" s="212">
        <f>SUM(BC229:BF229)</f>
        <v>600</v>
      </c>
      <c r="BY229" s="212">
        <f>SUM(BG229:BJ229)</f>
        <v>600</v>
      </c>
    </row>
    <row r="230" spans="1:77" ht="12" customHeight="1">
      <c r="B230" s="32" t="s">
        <v>57</v>
      </c>
      <c r="C230" s="199"/>
      <c r="D230" s="199"/>
      <c r="E230" s="199"/>
      <c r="F230" s="199"/>
      <c r="G230" s="199"/>
      <c r="H230" s="199"/>
      <c r="I230" s="199"/>
      <c r="J230" s="199"/>
      <c r="K230" s="199"/>
      <c r="L230" s="199"/>
      <c r="M230" s="199"/>
      <c r="N230" s="199"/>
      <c r="Q230" s="34"/>
      <c r="R230" s="34"/>
      <c r="S230" s="34">
        <v>0.08</v>
      </c>
      <c r="T230" s="34">
        <v>0.08</v>
      </c>
      <c r="U230" s="34">
        <v>0.08</v>
      </c>
      <c r="V230" s="34">
        <v>0.08</v>
      </c>
      <c r="W230" s="34">
        <v>0.08</v>
      </c>
      <c r="X230" s="34">
        <v>0.08</v>
      </c>
      <c r="Y230" s="34">
        <v>0.08</v>
      </c>
      <c r="Z230" s="34">
        <v>0.08</v>
      </c>
      <c r="AA230" s="34">
        <v>0.08</v>
      </c>
      <c r="AB230" s="34">
        <v>0.08</v>
      </c>
      <c r="AC230" s="34">
        <v>0.08</v>
      </c>
      <c r="AD230" s="34">
        <v>0.08</v>
      </c>
      <c r="AE230" s="282">
        <v>0.12</v>
      </c>
      <c r="AF230" s="282">
        <v>0.08</v>
      </c>
      <c r="AG230" s="282">
        <v>0.08</v>
      </c>
      <c r="AH230" s="282">
        <v>0.08</v>
      </c>
      <c r="AI230" s="282">
        <v>7.0000000000000007E-2</v>
      </c>
      <c r="AJ230" s="282">
        <v>0.08</v>
      </c>
      <c r="AK230" s="282">
        <v>0.08</v>
      </c>
      <c r="AL230" s="282">
        <v>0.08</v>
      </c>
      <c r="AM230" s="282">
        <v>0.08</v>
      </c>
      <c r="AN230" s="282">
        <v>4.87E-2</v>
      </c>
      <c r="AO230" s="282">
        <v>0.08</v>
      </c>
      <c r="AP230" s="282">
        <v>0.08</v>
      </c>
      <c r="AQ230" s="282">
        <v>0.08</v>
      </c>
      <c r="AR230" s="282">
        <v>0.08</v>
      </c>
      <c r="AS230" s="282">
        <v>0.08</v>
      </c>
      <c r="AT230" s="282">
        <v>0.08</v>
      </c>
      <c r="AU230" s="282">
        <v>0.08</v>
      </c>
      <c r="AV230" s="282">
        <v>0.08</v>
      </c>
      <c r="AW230" s="282">
        <v>0.08</v>
      </c>
      <c r="AX230" s="282">
        <v>0.08</v>
      </c>
      <c r="AY230" s="282">
        <v>0.08</v>
      </c>
      <c r="AZ230" s="282">
        <v>0.08</v>
      </c>
      <c r="BA230" s="282">
        <v>0.08</v>
      </c>
      <c r="BB230" s="282">
        <v>0.08</v>
      </c>
      <c r="BC230" s="282">
        <v>0.08</v>
      </c>
      <c r="BD230" s="282">
        <v>0.08</v>
      </c>
      <c r="BE230" s="282">
        <v>0.08</v>
      </c>
      <c r="BF230" s="282">
        <v>0.08</v>
      </c>
      <c r="BG230" s="282">
        <v>0.08</v>
      </c>
      <c r="BH230" s="282">
        <v>0.08</v>
      </c>
      <c r="BI230" s="282">
        <v>0.08</v>
      </c>
      <c r="BJ230" s="282">
        <v>0.08</v>
      </c>
      <c r="BL230" s="34"/>
      <c r="BM230" s="34"/>
      <c r="BN230" s="34"/>
      <c r="BO230" s="34"/>
      <c r="BP230" s="34"/>
      <c r="BQ230" s="34"/>
      <c r="BR230" s="34"/>
      <c r="BS230" s="34"/>
      <c r="BT230" s="34"/>
      <c r="BU230" s="34"/>
      <c r="BV230" s="34"/>
      <c r="BW230" s="34"/>
      <c r="BX230" s="34"/>
      <c r="BY230" s="34"/>
    </row>
    <row r="231" spans="1:77" ht="12" customHeight="1">
      <c r="B231" s="32" t="s">
        <v>150</v>
      </c>
      <c r="C231" s="199"/>
      <c r="D231" s="199"/>
      <c r="E231" s="199"/>
      <c r="F231" s="199"/>
      <c r="G231" s="199"/>
      <c r="H231" s="199"/>
      <c r="I231" s="199"/>
      <c r="J231" s="199"/>
      <c r="K231" s="199"/>
      <c r="L231" s="199"/>
      <c r="M231" s="199"/>
      <c r="N231" s="199"/>
      <c r="Q231" s="35"/>
      <c r="R231" s="35"/>
      <c r="S231" s="35"/>
      <c r="T231" s="35"/>
      <c r="U231" s="35"/>
      <c r="V231" s="35"/>
      <c r="W231" s="35"/>
      <c r="X231" s="35"/>
      <c r="Y231" s="35"/>
      <c r="Z231" s="35"/>
      <c r="AA231" s="35"/>
      <c r="AB231" s="35"/>
      <c r="AC231" s="35"/>
      <c r="AD231" s="35"/>
      <c r="AE231" s="288"/>
      <c r="AF231" s="288"/>
      <c r="AG231" s="288"/>
      <c r="AH231" s="288"/>
      <c r="AI231" s="514">
        <v>60</v>
      </c>
      <c r="AJ231" s="288"/>
      <c r="AK231" s="288"/>
      <c r="AL231" s="288"/>
      <c r="AM231" s="288">
        <v>45</v>
      </c>
      <c r="AN231" s="288">
        <v>30</v>
      </c>
      <c r="AO231" s="288">
        <v>45</v>
      </c>
      <c r="AP231" s="288">
        <v>45</v>
      </c>
      <c r="AQ231" s="288">
        <v>45</v>
      </c>
      <c r="AR231" s="288">
        <v>45</v>
      </c>
      <c r="AS231" s="288">
        <v>45</v>
      </c>
      <c r="AT231" s="288">
        <v>45</v>
      </c>
      <c r="AU231" s="288">
        <v>45</v>
      </c>
      <c r="AV231" s="288">
        <v>45</v>
      </c>
      <c r="AW231" s="288">
        <v>45</v>
      </c>
      <c r="AX231" s="288">
        <v>45</v>
      </c>
      <c r="AY231" s="288">
        <v>45</v>
      </c>
      <c r="AZ231" s="288">
        <v>45</v>
      </c>
      <c r="BA231" s="288">
        <v>45</v>
      </c>
      <c r="BB231" s="288">
        <v>45</v>
      </c>
      <c r="BC231" s="288">
        <v>45</v>
      </c>
      <c r="BD231" s="288">
        <v>45</v>
      </c>
      <c r="BE231" s="288">
        <v>45</v>
      </c>
      <c r="BF231" s="288">
        <v>45</v>
      </c>
      <c r="BG231" s="288">
        <v>45</v>
      </c>
      <c r="BH231" s="288">
        <v>45</v>
      </c>
      <c r="BI231" s="288">
        <v>45</v>
      </c>
      <c r="BJ231" s="288">
        <v>45</v>
      </c>
      <c r="BL231" s="35"/>
      <c r="BM231" s="35"/>
      <c r="BN231" s="35"/>
      <c r="BO231" s="35"/>
      <c r="BP231" s="35"/>
      <c r="BQ231" s="35"/>
      <c r="BR231" s="35"/>
      <c r="BS231" s="35"/>
      <c r="BT231" s="35"/>
      <c r="BU231" s="35"/>
      <c r="BV231" s="35"/>
      <c r="BW231" s="35"/>
      <c r="BX231" s="35"/>
      <c r="BY231" s="35"/>
    </row>
    <row r="232" spans="1:77" ht="12" customHeight="1">
      <c r="B232" s="33" t="s">
        <v>58</v>
      </c>
      <c r="C232" s="200"/>
      <c r="D232" s="200"/>
      <c r="E232" s="200"/>
      <c r="F232" s="200"/>
      <c r="G232" s="200"/>
      <c r="H232" s="200"/>
      <c r="I232" s="200"/>
      <c r="J232" s="200"/>
      <c r="K232" s="200"/>
      <c r="L232" s="200"/>
      <c r="M232" s="200"/>
      <c r="N232" s="200"/>
      <c r="Q232" s="37"/>
      <c r="R232" s="37"/>
      <c r="S232" s="37"/>
      <c r="T232" s="37"/>
      <c r="U232" s="37"/>
      <c r="V232" s="37"/>
      <c r="W232" s="37"/>
      <c r="X232" s="37"/>
      <c r="Y232" s="37"/>
      <c r="Z232" s="37"/>
      <c r="AA232" s="37"/>
      <c r="AB232" s="37"/>
      <c r="AC232" s="37"/>
      <c r="AD232" s="37"/>
      <c r="AE232" s="37"/>
      <c r="AF232" s="37"/>
      <c r="AG232" s="37"/>
      <c r="AH232" s="37"/>
      <c r="AI232" s="26">
        <f t="shared" ref="AI232" si="977">AI229*(AI230/4)*(1-AI231/90)+AH229*(AH230/4)*(AH231/90)</f>
        <v>2.8717500000000009</v>
      </c>
      <c r="AJ232" s="37"/>
      <c r="AK232" s="37"/>
      <c r="AL232" s="37"/>
      <c r="AM232" s="37">
        <f t="shared" ref="AM232:AX232" si="978">AM229*(AM230/4)*(1-AM231/90)+AL229*(AL230/4)*(AL231/90)</f>
        <v>0</v>
      </c>
      <c r="AN232" s="37">
        <f t="shared" si="978"/>
        <v>3.5875666666666675</v>
      </c>
      <c r="AO232" s="37">
        <f t="shared" si="978"/>
        <v>1.7937833333333333</v>
      </c>
      <c r="AP232" s="37">
        <f t="shared" si="978"/>
        <v>1.5</v>
      </c>
      <c r="AQ232" s="37">
        <f t="shared" si="978"/>
        <v>1.5</v>
      </c>
      <c r="AR232" s="37">
        <f t="shared" si="978"/>
        <v>1.5</v>
      </c>
      <c r="AS232" s="37">
        <f t="shared" si="978"/>
        <v>1.5</v>
      </c>
      <c r="AT232" s="37">
        <f t="shared" si="978"/>
        <v>1.5</v>
      </c>
      <c r="AU232" s="37">
        <f t="shared" si="978"/>
        <v>1.5</v>
      </c>
      <c r="AV232" s="37">
        <f t="shared" si="978"/>
        <v>1.5</v>
      </c>
      <c r="AW232" s="37">
        <f t="shared" si="978"/>
        <v>1.5</v>
      </c>
      <c r="AX232" s="37">
        <f t="shared" si="978"/>
        <v>1.5</v>
      </c>
      <c r="AY232" s="37">
        <f t="shared" ref="AY232" si="979">AY229*(AY230/4)*(1-AY231/90)+AX229*(AX230/4)*(AX231/90)</f>
        <v>3</v>
      </c>
      <c r="AZ232" s="37">
        <f t="shared" ref="AZ232" si="980">AZ229*(AZ230/4)*(1-AZ231/90)+AY229*(AY230/4)*(AY231/90)</f>
        <v>3</v>
      </c>
      <c r="BA232" s="37">
        <f t="shared" ref="BA232" si="981">BA229*(BA230/4)*(1-BA231/90)+AZ229*(AZ230/4)*(AZ231/90)</f>
        <v>3</v>
      </c>
      <c r="BB232" s="37">
        <f t="shared" ref="BB232" si="982">BB229*(BB230/4)*(1-BB231/90)+BA229*(BA230/4)*(BA231/90)</f>
        <v>3</v>
      </c>
      <c r="BC232" s="37">
        <f t="shared" ref="BC232" si="983">BC229*(BC230/4)*(1-BC231/90)+BB229*(BB230/4)*(BB231/90)</f>
        <v>3</v>
      </c>
      <c r="BD232" s="37">
        <f t="shared" ref="BD232" si="984">BD229*(BD230/4)*(1-BD231/90)+BC229*(BC230/4)*(BC231/90)</f>
        <v>3</v>
      </c>
      <c r="BE232" s="37">
        <f t="shared" ref="BE232" si="985">BE229*(BE230/4)*(1-BE231/90)+BD229*(BD230/4)*(BD231/90)</f>
        <v>3</v>
      </c>
      <c r="BF232" s="37">
        <f t="shared" ref="BF232" si="986">BF229*(BF230/4)*(1-BF231/90)+BE229*(BE230/4)*(BE231/90)</f>
        <v>3</v>
      </c>
      <c r="BG232" s="37">
        <f t="shared" ref="BG232" si="987">BG229*(BG230/4)*(1-BG231/90)+BF229*(BF230/4)*(BF231/90)</f>
        <v>3</v>
      </c>
      <c r="BH232" s="37">
        <f t="shared" ref="BH232" si="988">BH229*(BH230/4)*(1-BH231/90)+BG229*(BG230/4)*(BG231/90)</f>
        <v>3</v>
      </c>
      <c r="BI232" s="37">
        <f t="shared" ref="BI232" si="989">BI229*(BI230/4)*(1-BI231/90)+BH229*(BH230/4)*(BH231/90)</f>
        <v>3</v>
      </c>
      <c r="BJ232" s="37">
        <f t="shared" ref="BJ232" si="990">BJ229*(BJ230/4)*(1-BJ231/90)+BI229*(BI230/4)*(BI231/90)</f>
        <v>3</v>
      </c>
      <c r="BL232" s="37"/>
      <c r="BM232" s="37"/>
      <c r="BN232" s="37"/>
      <c r="BO232" s="37"/>
      <c r="BP232" s="37"/>
      <c r="BQ232" s="37"/>
      <c r="BR232" s="37"/>
      <c r="BS232" s="37"/>
      <c r="BT232" s="37"/>
      <c r="BU232" s="37"/>
      <c r="BV232" s="37"/>
      <c r="BW232" s="37"/>
      <c r="BX232" s="37"/>
      <c r="BY232" s="37"/>
    </row>
    <row r="233" spans="1:77" ht="12" customHeight="1">
      <c r="B233" s="33" t="s">
        <v>59</v>
      </c>
      <c r="C233" s="200"/>
      <c r="D233" s="200"/>
      <c r="E233" s="200"/>
      <c r="F233" s="200"/>
      <c r="G233" s="200"/>
      <c r="H233" s="200"/>
      <c r="I233" s="200"/>
      <c r="J233" s="200"/>
      <c r="K233" s="200"/>
      <c r="L233" s="200"/>
      <c r="M233" s="200"/>
      <c r="N233" s="200"/>
      <c r="Q233" s="26"/>
      <c r="R233" s="26"/>
      <c r="S233" s="26"/>
      <c r="T233" s="26"/>
      <c r="U233" s="26"/>
      <c r="V233" s="26"/>
      <c r="W233" s="26"/>
      <c r="X233" s="26"/>
      <c r="Y233" s="26"/>
      <c r="Z233" s="26"/>
      <c r="AA233" s="26"/>
      <c r="AB233" s="26"/>
      <c r="AC233" s="26"/>
      <c r="AD233" s="26"/>
      <c r="AE233" s="26"/>
      <c r="AF233" s="26"/>
      <c r="AG233" s="26"/>
      <c r="AH233" s="26"/>
      <c r="AI233" s="26">
        <f t="shared" ref="AI233" si="991">AI232+AH233*(1+AH234)</f>
        <v>2.8717500000000009</v>
      </c>
      <c r="AJ233" s="26"/>
      <c r="AK233" s="26"/>
      <c r="AL233" s="26"/>
      <c r="AM233" s="26">
        <f t="shared" ref="AM233:AX233" si="992">AM232+AL233*(1+AL234)</f>
        <v>0</v>
      </c>
      <c r="AN233" s="26">
        <f t="shared" si="992"/>
        <v>3.5875666666666675</v>
      </c>
      <c r="AO233" s="26">
        <f t="shared" si="992"/>
        <v>5.3939064833333337</v>
      </c>
      <c r="AP233" s="26">
        <f t="shared" si="992"/>
        <v>6.9127851560250004</v>
      </c>
      <c r="AQ233" s="26">
        <f t="shared" si="992"/>
        <v>8.4369799040710873</v>
      </c>
      <c r="AR233" s="26">
        <f t="shared" si="992"/>
        <v>9.9665093337353365</v>
      </c>
      <c r="AS233" s="26">
        <f t="shared" si="992"/>
        <v>11.501392116403411</v>
      </c>
      <c r="AT233" s="26">
        <f t="shared" si="992"/>
        <v>13.041646988810824</v>
      </c>
      <c r="AU233" s="26">
        <f t="shared" si="992"/>
        <v>14.587292753271662</v>
      </c>
      <c r="AV233" s="26">
        <f t="shared" si="992"/>
        <v>16.138348277908115</v>
      </c>
      <c r="AW233" s="26">
        <f t="shared" si="992"/>
        <v>17.694832496880796</v>
      </c>
      <c r="AX233" s="26">
        <f t="shared" si="992"/>
        <v>19.25676441061988</v>
      </c>
      <c r="AY233" s="26">
        <f t="shared" ref="AY233" si="993">AY232+AX233*(1+AX234)</f>
        <v>22.324163086057052</v>
      </c>
      <c r="AZ233" s="26">
        <f t="shared" ref="AZ233" si="994">AZ232+AY233*(1+AY234)</f>
        <v>25.402297656858252</v>
      </c>
      <c r="BA233" s="26">
        <f t="shared" ref="BA233" si="995">BA232+AZ233*(1+AZ234)</f>
        <v>28.491205698657257</v>
      </c>
      <c r="BB233" s="26">
        <f t="shared" ref="BB233" si="996">BB232+BA233*(1+BA234)</f>
        <v>31.59092491860256</v>
      </c>
      <c r="BC233" s="26">
        <f t="shared" ref="BC233" si="997">BC232+BB233*(1+BB234)</f>
        <v>34.701493155817673</v>
      </c>
      <c r="BD233" s="26">
        <f t="shared" ref="BD233" si="998">BD232+BC233*(1+BC234)</f>
        <v>37.822948381863036</v>
      </c>
      <c r="BE233" s="26">
        <f t="shared" ref="BE233" si="999">BE232+BD233*(1+BD234)</f>
        <v>40.955328701199555</v>
      </c>
      <c r="BF233" s="26">
        <f t="shared" ref="BF233" si="1000">BF232+BE233*(1+BE234)</f>
        <v>44.098672351653754</v>
      </c>
      <c r="BG233" s="26">
        <f t="shared" ref="BG233" si="1001">BG232+BF233*(1+BF234)</f>
        <v>47.253017704884542</v>
      </c>
      <c r="BH233" s="26">
        <f t="shared" ref="BH233" si="1002">BH232+BG233*(1+BG234)</f>
        <v>50.418403266851641</v>
      </c>
      <c r="BI233" s="26">
        <f t="shared" ref="BI233" si="1003">BI232+BH233*(1+BH234)</f>
        <v>53.594867678285624</v>
      </c>
      <c r="BJ233" s="26">
        <f t="shared" ref="BJ233" si="1004">BJ232+BI233*(1+BI234)</f>
        <v>56.782449715159629</v>
      </c>
      <c r="BL233" s="26"/>
      <c r="BM233" s="26"/>
      <c r="BN233" s="26"/>
      <c r="BO233" s="26"/>
      <c r="BP233" s="26"/>
      <c r="BQ233" s="26"/>
      <c r="BR233" s="26"/>
      <c r="BS233" s="26"/>
      <c r="BT233" s="26"/>
      <c r="BU233" s="26"/>
      <c r="BV233" s="26"/>
      <c r="BW233" s="26"/>
      <c r="BX233" s="26"/>
      <c r="BY233" s="26"/>
    </row>
    <row r="234" spans="1:77" ht="12" customHeight="1">
      <c r="B234" s="33" t="s">
        <v>60</v>
      </c>
      <c r="C234" s="200"/>
      <c r="D234" s="200"/>
      <c r="E234" s="200"/>
      <c r="F234" s="200"/>
      <c r="G234" s="200"/>
      <c r="H234" s="200"/>
      <c r="I234" s="200"/>
      <c r="J234" s="200"/>
      <c r="K234" s="200"/>
      <c r="L234" s="200"/>
      <c r="M234" s="200"/>
      <c r="N234" s="200"/>
      <c r="Q234" s="34"/>
      <c r="R234" s="34"/>
      <c r="S234" s="34"/>
      <c r="T234" s="34"/>
      <c r="U234" s="34"/>
      <c r="V234" s="34"/>
      <c r="W234" s="34"/>
      <c r="X234" s="34"/>
      <c r="Y234" s="34"/>
      <c r="Z234" s="34"/>
      <c r="AA234" s="34"/>
      <c r="AB234" s="34"/>
      <c r="AC234" s="34"/>
      <c r="AD234" s="34"/>
      <c r="AE234" s="282"/>
      <c r="AF234" s="282"/>
      <c r="AG234" s="282"/>
      <c r="AH234" s="282"/>
      <c r="AI234" s="282">
        <v>3.5000000000000001E-3</v>
      </c>
      <c r="AJ234" s="282"/>
      <c r="AK234" s="282"/>
      <c r="AL234" s="282"/>
      <c r="AM234" s="282">
        <v>3.5000000000000001E-3</v>
      </c>
      <c r="AN234" s="282">
        <v>3.5000000000000001E-3</v>
      </c>
      <c r="AO234" s="282">
        <v>3.5000000000000001E-3</v>
      </c>
      <c r="AP234" s="282">
        <v>3.5000000000000001E-3</v>
      </c>
      <c r="AQ234" s="282">
        <v>3.5000000000000001E-3</v>
      </c>
      <c r="AR234" s="282">
        <v>3.5000000000000001E-3</v>
      </c>
      <c r="AS234" s="282">
        <v>3.5000000000000001E-3</v>
      </c>
      <c r="AT234" s="282">
        <v>3.5000000000000001E-3</v>
      </c>
      <c r="AU234" s="282">
        <v>3.5000000000000001E-3</v>
      </c>
      <c r="AV234" s="282">
        <v>3.5000000000000001E-3</v>
      </c>
      <c r="AW234" s="282">
        <v>3.5000000000000001E-3</v>
      </c>
      <c r="AX234" s="282">
        <v>3.5000000000000001E-3</v>
      </c>
      <c r="AY234" s="282">
        <v>3.5000000000000001E-3</v>
      </c>
      <c r="AZ234" s="282">
        <v>3.5000000000000001E-3</v>
      </c>
      <c r="BA234" s="282">
        <v>3.5000000000000001E-3</v>
      </c>
      <c r="BB234" s="282">
        <v>3.5000000000000001E-3</v>
      </c>
      <c r="BC234" s="282">
        <v>3.5000000000000001E-3</v>
      </c>
      <c r="BD234" s="282">
        <v>3.5000000000000001E-3</v>
      </c>
      <c r="BE234" s="282">
        <v>3.5000000000000001E-3</v>
      </c>
      <c r="BF234" s="282">
        <v>3.5000000000000001E-3</v>
      </c>
      <c r="BG234" s="282">
        <v>3.5000000000000001E-3</v>
      </c>
      <c r="BH234" s="282">
        <v>3.5000000000000001E-3</v>
      </c>
      <c r="BI234" s="282">
        <v>3.5000000000000001E-3</v>
      </c>
      <c r="BJ234" s="282">
        <v>3.5000000000000001E-3</v>
      </c>
      <c r="BL234" s="34"/>
      <c r="BM234" s="34"/>
      <c r="BN234" s="34"/>
      <c r="BO234" s="34"/>
      <c r="BP234" s="34"/>
      <c r="BQ234" s="34"/>
      <c r="BR234" s="34"/>
      <c r="BS234" s="34"/>
      <c r="BT234" s="34"/>
      <c r="BU234" s="34"/>
      <c r="BV234" s="34"/>
      <c r="BW234" s="34"/>
      <c r="BX234" s="34"/>
      <c r="BY234" s="34"/>
    </row>
    <row r="235" spans="1:77" ht="12" customHeight="1">
      <c r="B235" s="33"/>
      <c r="C235" s="200"/>
      <c r="D235" s="200"/>
      <c r="E235" s="200"/>
      <c r="F235" s="200"/>
      <c r="G235" s="200"/>
      <c r="H235" s="200"/>
      <c r="I235" s="200"/>
      <c r="J235" s="200"/>
      <c r="K235" s="200"/>
      <c r="L235" s="200"/>
      <c r="M235" s="200"/>
      <c r="N235" s="200"/>
      <c r="Q235" s="34"/>
      <c r="R235" s="34"/>
      <c r="S235" s="34"/>
      <c r="T235" s="34"/>
      <c r="U235" s="34"/>
      <c r="V235" s="34"/>
      <c r="W235" s="34"/>
      <c r="X235" s="34"/>
      <c r="Y235" s="34"/>
      <c r="Z235" s="34"/>
      <c r="AA235" s="34"/>
      <c r="AB235" s="34"/>
      <c r="AC235" s="34"/>
      <c r="AD235" s="34"/>
      <c r="AE235" s="34"/>
      <c r="AF235" s="34"/>
      <c r="AG235" s="34"/>
      <c r="AH235" s="34"/>
      <c r="AI235" s="282"/>
      <c r="AJ235" s="34"/>
      <c r="AK235" s="34"/>
      <c r="AL235" s="34"/>
      <c r="AM235" s="282"/>
      <c r="AN235" s="282"/>
      <c r="AO235" s="282"/>
      <c r="AP235" s="282"/>
      <c r="AQ235" s="282"/>
      <c r="AR235" s="282"/>
      <c r="AS235" s="282"/>
      <c r="AT235" s="282"/>
      <c r="AU235" s="282"/>
      <c r="AV235" s="282"/>
      <c r="AW235" s="282"/>
      <c r="AX235" s="282"/>
      <c r="AY235" s="282"/>
      <c r="AZ235" s="282"/>
      <c r="BA235" s="282"/>
      <c r="BB235" s="282"/>
      <c r="BC235" s="282"/>
      <c r="BD235" s="282"/>
      <c r="BE235" s="282"/>
      <c r="BF235" s="282"/>
      <c r="BG235" s="282"/>
      <c r="BH235" s="282"/>
      <c r="BI235" s="282"/>
      <c r="BJ235" s="282"/>
      <c r="BL235" s="34"/>
      <c r="BM235" s="34"/>
      <c r="BN235" s="34"/>
      <c r="BO235" s="34"/>
      <c r="BP235" s="34"/>
      <c r="BQ235" s="34"/>
      <c r="BR235" s="34"/>
      <c r="BS235" s="34"/>
      <c r="BT235" s="34"/>
      <c r="BU235" s="34"/>
      <c r="BV235" s="34"/>
      <c r="BW235" s="34"/>
      <c r="BX235" s="34"/>
      <c r="BY235" s="34"/>
    </row>
    <row r="236" spans="1:77" ht="12" customHeight="1">
      <c r="B236" s="33" t="s">
        <v>616</v>
      </c>
      <c r="C236" s="200"/>
      <c r="D236" s="200"/>
      <c r="E236" s="200"/>
      <c r="F236" s="200"/>
      <c r="G236" s="200"/>
      <c r="H236" s="200"/>
      <c r="I236" s="200"/>
      <c r="J236" s="200"/>
      <c r="K236" s="200"/>
      <c r="L236" s="200"/>
      <c r="M236" s="200"/>
      <c r="N236" s="200"/>
      <c r="Q236" s="34"/>
      <c r="R236" s="34"/>
      <c r="S236" s="34"/>
      <c r="T236" s="34"/>
      <c r="U236" s="34"/>
      <c r="V236" s="34"/>
      <c r="W236" s="34"/>
      <c r="X236" s="34"/>
      <c r="Y236" s="34"/>
      <c r="Z236" s="34"/>
      <c r="AA236" s="34"/>
      <c r="AB236" s="34"/>
      <c r="AC236" s="34"/>
      <c r="AD236" s="34"/>
      <c r="AE236" s="34"/>
      <c r="AF236" s="34"/>
      <c r="AG236" s="34"/>
      <c r="AH236" s="34"/>
      <c r="AI236" s="509">
        <f>160/AI237</f>
        <v>188.23529411764707</v>
      </c>
      <c r="AJ236" s="34"/>
      <c r="AK236" s="34"/>
      <c r="AL236" s="34"/>
      <c r="AM236" s="25">
        <f t="shared" ref="AM236:AX238" si="1005">+IF(AM$229&gt;0,AK236,0)</f>
        <v>0</v>
      </c>
      <c r="AN236" s="25">
        <f t="shared" si="1005"/>
        <v>0</v>
      </c>
      <c r="AO236" s="25">
        <f t="shared" si="1005"/>
        <v>0</v>
      </c>
      <c r="AP236" s="25">
        <f t="shared" si="1005"/>
        <v>0</v>
      </c>
      <c r="AQ236" s="25">
        <f t="shared" si="1005"/>
        <v>0</v>
      </c>
      <c r="AR236" s="25">
        <f t="shared" si="1005"/>
        <v>0</v>
      </c>
      <c r="AS236" s="25">
        <f t="shared" si="1005"/>
        <v>0</v>
      </c>
      <c r="AT236" s="25">
        <f t="shared" si="1005"/>
        <v>0</v>
      </c>
      <c r="AU236" s="25">
        <f t="shared" si="1005"/>
        <v>0</v>
      </c>
      <c r="AV236" s="25">
        <f t="shared" si="1005"/>
        <v>0</v>
      </c>
      <c r="AW236" s="25">
        <f t="shared" si="1005"/>
        <v>0</v>
      </c>
      <c r="AX236" s="25">
        <f t="shared" si="1005"/>
        <v>0</v>
      </c>
      <c r="AY236" s="25">
        <f t="shared" ref="AY236:AY238" si="1006">+IF(AY$229&gt;0,AW236,0)</f>
        <v>0</v>
      </c>
      <c r="AZ236" s="25">
        <f t="shared" ref="AZ236:AZ238" si="1007">+IF(AZ$229&gt;0,AX236,0)</f>
        <v>0</v>
      </c>
      <c r="BA236" s="25">
        <f t="shared" ref="BA236:BA238" si="1008">+IF(BA$229&gt;0,AY236,0)</f>
        <v>0</v>
      </c>
      <c r="BB236" s="25">
        <f t="shared" ref="BB236:BB238" si="1009">+IF(BB$229&gt;0,AZ236,0)</f>
        <v>0</v>
      </c>
      <c r="BC236" s="25">
        <f t="shared" ref="BC236:BC238" si="1010">+IF(BC$229&gt;0,BA236,0)</f>
        <v>0</v>
      </c>
      <c r="BD236" s="25">
        <f t="shared" ref="BD236:BD238" si="1011">+IF(BD$229&gt;0,BB236,0)</f>
        <v>0</v>
      </c>
      <c r="BE236" s="25">
        <f t="shared" ref="BE236:BE238" si="1012">+IF(BE$229&gt;0,BC236,0)</f>
        <v>0</v>
      </c>
      <c r="BF236" s="25">
        <f t="shared" ref="BF236:BF238" si="1013">+IF(BF$229&gt;0,BD236,0)</f>
        <v>0</v>
      </c>
      <c r="BG236" s="25">
        <f t="shared" ref="BG236:BG238" si="1014">+IF(BG$229&gt;0,BE236,0)</f>
        <v>0</v>
      </c>
      <c r="BH236" s="25">
        <f t="shared" ref="BH236:BH238" si="1015">+IF(BH$229&gt;0,BF236,0)</f>
        <v>0</v>
      </c>
      <c r="BI236" s="25">
        <f t="shared" ref="BI236:BI238" si="1016">+IF(BI$229&gt;0,BG236,0)</f>
        <v>0</v>
      </c>
      <c r="BJ236" s="25">
        <f t="shared" ref="BJ236:BJ238" si="1017">+IF(BJ$229&gt;0,BH236,0)</f>
        <v>0</v>
      </c>
      <c r="BL236" s="34"/>
      <c r="BM236" s="34"/>
      <c r="BN236" s="34"/>
      <c r="BO236" s="34"/>
      <c r="BP236" s="34"/>
      <c r="BQ236" s="34"/>
      <c r="BR236" s="34"/>
      <c r="BS236" s="34"/>
      <c r="BT236" s="34"/>
      <c r="BU236" s="34"/>
      <c r="BV236" s="34"/>
      <c r="BW236" s="34"/>
      <c r="BX236" s="34"/>
      <c r="BY236" s="34"/>
    </row>
    <row r="237" spans="1:77" ht="12" customHeight="1">
      <c r="B237" s="33" t="s">
        <v>617</v>
      </c>
      <c r="C237" s="200"/>
      <c r="D237" s="200"/>
      <c r="E237" s="200"/>
      <c r="F237" s="200"/>
      <c r="G237" s="200"/>
      <c r="H237" s="200"/>
      <c r="I237" s="200"/>
      <c r="J237" s="200"/>
      <c r="K237" s="200"/>
      <c r="L237" s="200"/>
      <c r="M237" s="200"/>
      <c r="N237" s="200"/>
      <c r="Q237" s="34"/>
      <c r="R237" s="34"/>
      <c r="S237" s="34"/>
      <c r="T237" s="34"/>
      <c r="U237" s="34"/>
      <c r="V237" s="34"/>
      <c r="W237" s="34"/>
      <c r="X237" s="34"/>
      <c r="Y237" s="34"/>
      <c r="Z237" s="34"/>
      <c r="AA237" s="34"/>
      <c r="AB237" s="34"/>
      <c r="AC237" s="34"/>
      <c r="AD237" s="34"/>
      <c r="AE237" s="34"/>
      <c r="AF237" s="34"/>
      <c r="AG237" s="34"/>
      <c r="AH237" s="34"/>
      <c r="AI237" s="513">
        <v>0.85</v>
      </c>
      <c r="AJ237" s="34"/>
      <c r="AK237" s="34"/>
      <c r="AL237" s="34"/>
      <c r="AM237" s="505">
        <f t="shared" si="1005"/>
        <v>0</v>
      </c>
      <c r="AN237" s="505">
        <f t="shared" si="1005"/>
        <v>0</v>
      </c>
      <c r="AO237" s="505">
        <f t="shared" si="1005"/>
        <v>0</v>
      </c>
      <c r="AP237" s="505">
        <f t="shared" si="1005"/>
        <v>0</v>
      </c>
      <c r="AQ237" s="505">
        <f t="shared" si="1005"/>
        <v>0</v>
      </c>
      <c r="AR237" s="505">
        <f t="shared" si="1005"/>
        <v>0</v>
      </c>
      <c r="AS237" s="505">
        <f t="shared" si="1005"/>
        <v>0</v>
      </c>
      <c r="AT237" s="505">
        <f t="shared" si="1005"/>
        <v>0</v>
      </c>
      <c r="AU237" s="505">
        <f t="shared" si="1005"/>
        <v>0</v>
      </c>
      <c r="AV237" s="505">
        <f t="shared" si="1005"/>
        <v>0</v>
      </c>
      <c r="AW237" s="505">
        <f t="shared" si="1005"/>
        <v>0</v>
      </c>
      <c r="AX237" s="505">
        <f t="shared" si="1005"/>
        <v>0</v>
      </c>
      <c r="AY237" s="505">
        <f t="shared" si="1006"/>
        <v>0</v>
      </c>
      <c r="AZ237" s="505">
        <f t="shared" si="1007"/>
        <v>0</v>
      </c>
      <c r="BA237" s="505">
        <f t="shared" si="1008"/>
        <v>0</v>
      </c>
      <c r="BB237" s="505">
        <f t="shared" si="1009"/>
        <v>0</v>
      </c>
      <c r="BC237" s="505">
        <f t="shared" si="1010"/>
        <v>0</v>
      </c>
      <c r="BD237" s="505">
        <f t="shared" si="1011"/>
        <v>0</v>
      </c>
      <c r="BE237" s="505">
        <f t="shared" si="1012"/>
        <v>0</v>
      </c>
      <c r="BF237" s="505">
        <f t="shared" si="1013"/>
        <v>0</v>
      </c>
      <c r="BG237" s="505">
        <f t="shared" si="1014"/>
        <v>0</v>
      </c>
      <c r="BH237" s="505">
        <f t="shared" si="1015"/>
        <v>0</v>
      </c>
      <c r="BI237" s="505">
        <f t="shared" si="1016"/>
        <v>0</v>
      </c>
      <c r="BJ237" s="505">
        <f t="shared" si="1017"/>
        <v>0</v>
      </c>
      <c r="BL237" s="34"/>
      <c r="BM237" s="34"/>
      <c r="BN237" s="34"/>
      <c r="BO237" s="34"/>
      <c r="BP237" s="34"/>
      <c r="BQ237" s="34"/>
      <c r="BR237" s="34"/>
      <c r="BS237" s="34"/>
      <c r="BT237" s="34"/>
      <c r="BU237" s="34"/>
      <c r="BV237" s="34"/>
      <c r="BW237" s="34"/>
      <c r="BX237" s="34"/>
      <c r="BY237" s="34"/>
    </row>
    <row r="238" spans="1:77" ht="12" customHeight="1">
      <c r="B238" s="33" t="s">
        <v>618</v>
      </c>
      <c r="C238" s="200"/>
      <c r="D238" s="200"/>
      <c r="E238" s="200"/>
      <c r="F238" s="200"/>
      <c r="G238" s="200"/>
      <c r="H238" s="200"/>
      <c r="I238" s="200"/>
      <c r="J238" s="200"/>
      <c r="K238" s="200"/>
      <c r="L238" s="200"/>
      <c r="M238" s="200"/>
      <c r="N238" s="200"/>
      <c r="Q238" s="34"/>
      <c r="R238" s="34"/>
      <c r="S238" s="34"/>
      <c r="T238" s="34"/>
      <c r="U238" s="34"/>
      <c r="V238" s="34"/>
      <c r="W238" s="34"/>
      <c r="X238" s="34"/>
      <c r="Y238" s="34"/>
      <c r="Z238" s="34"/>
      <c r="AA238" s="34"/>
      <c r="AB238" s="34"/>
      <c r="AC238" s="34"/>
      <c r="AD238" s="34"/>
      <c r="AE238" s="34"/>
      <c r="AF238" s="34"/>
      <c r="AG238" s="34"/>
      <c r="AH238" s="34"/>
      <c r="AI238" s="513">
        <v>0.85</v>
      </c>
      <c r="AJ238" s="34"/>
      <c r="AK238" s="34"/>
      <c r="AL238" s="34"/>
      <c r="AM238" s="505">
        <f t="shared" si="1005"/>
        <v>0</v>
      </c>
      <c r="AN238" s="505">
        <f t="shared" si="1005"/>
        <v>0</v>
      </c>
      <c r="AO238" s="505">
        <f t="shared" si="1005"/>
        <v>0</v>
      </c>
      <c r="AP238" s="505">
        <f t="shared" si="1005"/>
        <v>0</v>
      </c>
      <c r="AQ238" s="505">
        <f t="shared" si="1005"/>
        <v>0</v>
      </c>
      <c r="AR238" s="505">
        <f t="shared" si="1005"/>
        <v>0</v>
      </c>
      <c r="AS238" s="505">
        <f t="shared" si="1005"/>
        <v>0</v>
      </c>
      <c r="AT238" s="505">
        <f t="shared" si="1005"/>
        <v>0</v>
      </c>
      <c r="AU238" s="505">
        <f t="shared" si="1005"/>
        <v>0</v>
      </c>
      <c r="AV238" s="505">
        <f t="shared" si="1005"/>
        <v>0</v>
      </c>
      <c r="AW238" s="505">
        <f t="shared" si="1005"/>
        <v>0</v>
      </c>
      <c r="AX238" s="505">
        <f t="shared" si="1005"/>
        <v>0</v>
      </c>
      <c r="AY238" s="505">
        <f t="shared" si="1006"/>
        <v>0</v>
      </c>
      <c r="AZ238" s="505">
        <f t="shared" si="1007"/>
        <v>0</v>
      </c>
      <c r="BA238" s="505">
        <f t="shared" si="1008"/>
        <v>0</v>
      </c>
      <c r="BB238" s="505">
        <f t="shared" si="1009"/>
        <v>0</v>
      </c>
      <c r="BC238" s="505">
        <f t="shared" si="1010"/>
        <v>0</v>
      </c>
      <c r="BD238" s="505">
        <f t="shared" si="1011"/>
        <v>0</v>
      </c>
      <c r="BE238" s="505">
        <f t="shared" si="1012"/>
        <v>0</v>
      </c>
      <c r="BF238" s="505">
        <f t="shared" si="1013"/>
        <v>0</v>
      </c>
      <c r="BG238" s="505">
        <f t="shared" si="1014"/>
        <v>0</v>
      </c>
      <c r="BH238" s="505">
        <f t="shared" si="1015"/>
        <v>0</v>
      </c>
      <c r="BI238" s="505">
        <f t="shared" si="1016"/>
        <v>0</v>
      </c>
      <c r="BJ238" s="505">
        <f t="shared" si="1017"/>
        <v>0</v>
      </c>
      <c r="BL238" s="34"/>
      <c r="BM238" s="34"/>
      <c r="BN238" s="34"/>
      <c r="BO238" s="34"/>
      <c r="BP238" s="34"/>
      <c r="BQ238" s="34"/>
      <c r="BR238" s="34"/>
      <c r="BS238" s="34"/>
      <c r="BT238" s="34"/>
      <c r="BU238" s="34"/>
      <c r="BV238" s="34"/>
      <c r="BW238" s="34"/>
      <c r="BX238" s="34"/>
      <c r="BY238" s="34"/>
    </row>
    <row r="239" spans="1:77" ht="12" customHeight="1">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L239" s="6"/>
      <c r="BM239" s="6"/>
      <c r="BN239" s="6"/>
      <c r="BO239" s="6"/>
      <c r="BP239" s="6"/>
      <c r="BQ239" s="6"/>
      <c r="BR239" s="6"/>
      <c r="BS239" s="6"/>
      <c r="BT239" s="6"/>
      <c r="BU239" s="6"/>
      <c r="BV239" s="6"/>
      <c r="BW239" s="6"/>
      <c r="BX239" s="6"/>
      <c r="BY239" s="6"/>
    </row>
    <row r="240" spans="1:77" ht="12" customHeight="1">
      <c r="A240" s="206" t="s">
        <v>293</v>
      </c>
      <c r="B240" s="8" t="s">
        <v>85</v>
      </c>
      <c r="C240" s="8"/>
      <c r="D240" s="8"/>
      <c r="E240" s="8"/>
      <c r="F240" s="8"/>
      <c r="G240" s="8"/>
      <c r="H240" s="8"/>
      <c r="I240" s="8"/>
      <c r="J240" s="8"/>
      <c r="K240" s="8"/>
      <c r="L240" s="8"/>
      <c r="M240" s="8"/>
      <c r="N240" s="8"/>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L240" s="6"/>
      <c r="BM240" s="6"/>
      <c r="BN240" s="6"/>
      <c r="BO240" s="6"/>
      <c r="BP240" s="6"/>
      <c r="BQ240" s="6"/>
      <c r="BR240" s="6"/>
      <c r="BS240" s="6"/>
      <c r="BT240" s="6"/>
      <c r="BU240" s="6"/>
      <c r="BV240" s="6"/>
      <c r="BW240" s="6"/>
      <c r="BX240" s="6"/>
      <c r="BY240" s="6"/>
    </row>
    <row r="241" spans="1:85" ht="12" customHeight="1">
      <c r="B241" s="2" t="s">
        <v>40</v>
      </c>
      <c r="C241" s="2"/>
      <c r="D241" s="2"/>
      <c r="E241" s="2"/>
      <c r="F241" s="2"/>
      <c r="G241" s="2"/>
      <c r="H241" s="2"/>
      <c r="I241" s="2"/>
      <c r="J241" s="2"/>
      <c r="K241" s="2"/>
      <c r="L241" s="2"/>
      <c r="M241" s="2"/>
      <c r="N241" s="2"/>
      <c r="O241" s="20">
        <f t="shared" ref="O241:AX241" si="1018">O32/O9</f>
        <v>0.54318618042226485</v>
      </c>
      <c r="P241" s="20">
        <f t="shared" si="1018"/>
        <v>0.52777777777777779</v>
      </c>
      <c r="Q241" s="20">
        <f t="shared" si="1018"/>
        <v>0.53086419753086422</v>
      </c>
      <c r="R241" s="20">
        <f t="shared" si="1018"/>
        <v>0.48965517241379314</v>
      </c>
      <c r="S241" s="20">
        <f t="shared" si="1018"/>
        <v>0.52412645590682205</v>
      </c>
      <c r="T241" s="20">
        <f t="shared" si="1018"/>
        <v>0.48427672955974843</v>
      </c>
      <c r="U241" s="20">
        <f t="shared" si="1018"/>
        <v>0.54074074074074074</v>
      </c>
      <c r="V241" s="20">
        <f t="shared" si="1018"/>
        <v>0.55186721991701249</v>
      </c>
      <c r="W241" s="20">
        <f t="shared" si="1018"/>
        <v>0.53806451612903228</v>
      </c>
      <c r="X241" s="20">
        <f t="shared" si="1018"/>
        <v>0.49938800489596086</v>
      </c>
      <c r="Y241" s="20">
        <f t="shared" si="1018"/>
        <v>0.49764150943396224</v>
      </c>
      <c r="Z241" s="20">
        <f t="shared" si="1018"/>
        <v>0.51323360184119682</v>
      </c>
      <c r="AA241" s="20">
        <f t="shared" si="1018"/>
        <v>0.52625437572928835</v>
      </c>
      <c r="AB241" s="20">
        <f t="shared" si="1018"/>
        <v>0.52861952861952866</v>
      </c>
      <c r="AC241" s="20">
        <f t="shared" si="1018"/>
        <v>0.53057553956834524</v>
      </c>
      <c r="AD241" s="20">
        <f t="shared" ref="AD241:AI241" si="1019">AD32/AD9</f>
        <v>0.53398058252427183</v>
      </c>
      <c r="AE241" s="20">
        <f t="shared" si="1019"/>
        <v>0.53225806451612911</v>
      </c>
      <c r="AF241" s="20">
        <f t="shared" si="1019"/>
        <v>0.53574173712528816</v>
      </c>
      <c r="AG241" s="20">
        <f t="shared" si="1019"/>
        <v>0.50834492350486793</v>
      </c>
      <c r="AH241" s="20">
        <f t="shared" si="1019"/>
        <v>0.53129548762736545</v>
      </c>
      <c r="AI241" s="20">
        <f t="shared" si="1019"/>
        <v>0.54052243804420641</v>
      </c>
      <c r="AJ241" s="20">
        <f t="shared" ref="AJ241:AK241" si="1020">AJ32/AJ9</f>
        <v>0.54403834631515879</v>
      </c>
      <c r="AK241" s="20">
        <f t="shared" si="1020"/>
        <v>0.54706217912150601</v>
      </c>
      <c r="AL241" s="20">
        <f t="shared" ref="AL241" si="1021">AL32/AL9</f>
        <v>0.57728531855955667</v>
      </c>
      <c r="AM241" s="20">
        <f t="shared" ca="1" si="1018"/>
        <v>0.56810203617526922</v>
      </c>
      <c r="AN241" s="20">
        <f t="shared" ca="1" si="1018"/>
        <v>0.56621994607161097</v>
      </c>
      <c r="AO241" s="20">
        <f t="shared" ca="1" si="1018"/>
        <v>0.56390554717836927</v>
      </c>
      <c r="AP241" s="20">
        <f t="shared" ca="1" si="1018"/>
        <v>0.58589409807520276</v>
      </c>
      <c r="AQ241" s="20">
        <f t="shared" ca="1" si="1018"/>
        <v>0.58051947152819738</v>
      </c>
      <c r="AR241" s="20">
        <f t="shared" ca="1" si="1018"/>
        <v>0.56594383410464666</v>
      </c>
      <c r="AS241" s="20">
        <f t="shared" ca="1" si="1018"/>
        <v>0.56391041151846277</v>
      </c>
      <c r="AT241" s="20">
        <f t="shared" ca="1" si="1018"/>
        <v>0.58615953523602371</v>
      </c>
      <c r="AU241" s="20">
        <f t="shared" ca="1" si="1018"/>
        <v>0.58039066283201701</v>
      </c>
      <c r="AV241" s="20">
        <f t="shared" ca="1" si="1018"/>
        <v>0.56590868901856184</v>
      </c>
      <c r="AW241" s="20">
        <f t="shared" ca="1" si="1018"/>
        <v>0.56393542103139727</v>
      </c>
      <c r="AX241" s="20">
        <f t="shared" ca="1" si="1018"/>
        <v>0.58619076643414669</v>
      </c>
      <c r="AY241" s="20">
        <f t="shared" ref="AY241:BJ241" ca="1" si="1022">AY32/AY9</f>
        <v>0.58036361448282159</v>
      </c>
      <c r="AZ241" s="20">
        <f t="shared" ca="1" si="1022"/>
        <v>0.56590712079864947</v>
      </c>
      <c r="BA241" s="20">
        <f t="shared" ca="1" si="1022"/>
        <v>0.56394222333206068</v>
      </c>
      <c r="BB241" s="20">
        <f t="shared" ca="1" si="1022"/>
        <v>0.58619310572023375</v>
      </c>
      <c r="BC241" s="20">
        <f t="shared" ca="1" si="1022"/>
        <v>0.5803587794026619</v>
      </c>
      <c r="BD241" s="20">
        <f t="shared" ca="1" si="1022"/>
        <v>0.56590782115307303</v>
      </c>
      <c r="BE241" s="20">
        <f t="shared" ca="1" si="1022"/>
        <v>0.56394348643003811</v>
      </c>
      <c r="BF241" s="20">
        <f t="shared" ca="1" si="1022"/>
        <v>0.58619297921602431</v>
      </c>
      <c r="BG241" s="20">
        <f t="shared" ca="1" si="1022"/>
        <v>0.58035804384614342</v>
      </c>
      <c r="BH241" s="20">
        <f t="shared" ca="1" si="1022"/>
        <v>0.56590810327386298</v>
      </c>
      <c r="BI241" s="20">
        <f t="shared" ca="1" si="1022"/>
        <v>0.56394366337602431</v>
      </c>
      <c r="BJ241" s="20">
        <f t="shared" ca="1" si="1022"/>
        <v>0.58619288089209054</v>
      </c>
      <c r="BL241" s="20">
        <f t="shared" ref="BL241:BV241" si="1023">BL30/BL9</f>
        <v>0.51921568627450987</v>
      </c>
      <c r="BM241" s="20">
        <f t="shared" si="1023"/>
        <v>0.54815630159603745</v>
      </c>
      <c r="BN241" s="20">
        <f t="shared" si="1023"/>
        <v>0.50679347826086962</v>
      </c>
      <c r="BO241" s="20">
        <f t="shared" si="1023"/>
        <v>0.50246679316888043</v>
      </c>
      <c r="BP241" s="20">
        <f t="shared" si="1023"/>
        <v>0.4805077062556663</v>
      </c>
      <c r="BQ241" s="20">
        <f t="shared" si="1023"/>
        <v>0.50012521913348373</v>
      </c>
      <c r="BR241" s="20">
        <f t="shared" si="1023"/>
        <v>0.50463050463050474</v>
      </c>
      <c r="BS241" s="20">
        <f t="shared" si="1023"/>
        <v>0.53110119047619042</v>
      </c>
      <c r="BT241" s="20">
        <f t="shared" ca="1" si="1023"/>
        <v>0.55199255669579339</v>
      </c>
      <c r="BU241" s="20">
        <f t="shared" ca="1" si="1023"/>
        <v>0.55486056184813481</v>
      </c>
      <c r="BV241" s="20">
        <f t="shared" ca="1" si="1023"/>
        <v>0.55485214423922646</v>
      </c>
      <c r="BW241" s="20">
        <f t="shared" ref="BW241:BY241" ca="1" si="1024">BW30/BW9</f>
        <v>0.55485801010506286</v>
      </c>
      <c r="BX241" s="20">
        <f t="shared" ca="1" si="1024"/>
        <v>0.554850046765474</v>
      </c>
      <c r="BY241" s="20">
        <f t="shared" ca="1" si="1024"/>
        <v>0.55484388653960226</v>
      </c>
    </row>
    <row r="242" spans="1:85" ht="12" customHeight="1">
      <c r="B242" s="21" t="s">
        <v>100</v>
      </c>
      <c r="C242" s="21"/>
      <c r="D242" s="21"/>
      <c r="E242" s="21"/>
      <c r="F242" s="21"/>
      <c r="G242" s="21"/>
      <c r="H242" s="21"/>
      <c r="I242" s="21"/>
      <c r="J242" s="21"/>
      <c r="K242" s="21"/>
      <c r="L242" s="21"/>
      <c r="M242" s="21"/>
      <c r="N242" s="21"/>
      <c r="P242" s="20">
        <f t="shared" ref="P242:AL242" si="1025">P241-O241</f>
        <v>-1.5408402644487063E-2</v>
      </c>
      <c r="Q242" s="20">
        <f t="shared" si="1025"/>
        <v>3.0864197530864335E-3</v>
      </c>
      <c r="R242" s="20">
        <f t="shared" si="1025"/>
        <v>-4.1209025117071085E-2</v>
      </c>
      <c r="S242" s="20">
        <f t="shared" si="1025"/>
        <v>3.4471283493028915E-2</v>
      </c>
      <c r="T242" s="20">
        <f t="shared" si="1025"/>
        <v>-3.9849726347073622E-2</v>
      </c>
      <c r="U242" s="20">
        <f t="shared" si="1025"/>
        <v>5.6464011180992313E-2</v>
      </c>
      <c r="V242" s="20">
        <f t="shared" si="1025"/>
        <v>1.1126479176271742E-2</v>
      </c>
      <c r="W242" s="20">
        <f t="shared" si="1025"/>
        <v>-1.3802703787980208E-2</v>
      </c>
      <c r="X242" s="20">
        <f t="shared" si="1025"/>
        <v>-3.867651123307142E-2</v>
      </c>
      <c r="Y242" s="20">
        <f t="shared" si="1025"/>
        <v>-1.7464954619986206E-3</v>
      </c>
      <c r="Z242" s="20">
        <f t="shared" si="1025"/>
        <v>1.5592092407234581E-2</v>
      </c>
      <c r="AA242" s="20">
        <f t="shared" si="1025"/>
        <v>1.302077388809153E-2</v>
      </c>
      <c r="AB242" s="20">
        <f t="shared" si="1025"/>
        <v>2.3651528902403074E-3</v>
      </c>
      <c r="AC242" s="20">
        <f t="shared" si="1025"/>
        <v>1.9560109488165889E-3</v>
      </c>
      <c r="AD242" s="20">
        <f t="shared" si="1025"/>
        <v>3.4050429559265849E-3</v>
      </c>
      <c r="AE242" s="20">
        <f t="shared" si="1025"/>
        <v>-1.7225180081427149E-3</v>
      </c>
      <c r="AF242" s="20">
        <f t="shared" si="1025"/>
        <v>3.4836726091590497E-3</v>
      </c>
      <c r="AG242" s="20">
        <f t="shared" si="1025"/>
        <v>-2.7396813620420235E-2</v>
      </c>
      <c r="AH242" s="20">
        <f t="shared" si="1025"/>
        <v>2.2950564122497519E-2</v>
      </c>
      <c r="AI242" s="20">
        <f t="shared" si="1025"/>
        <v>9.2269504168409622E-3</v>
      </c>
      <c r="AJ242" s="20">
        <f t="shared" si="1025"/>
        <v>3.5159082709523837E-3</v>
      </c>
      <c r="AK242" s="20">
        <f t="shared" si="1025"/>
        <v>3.0238328063472153E-3</v>
      </c>
      <c r="AL242" s="20">
        <f t="shared" si="1025"/>
        <v>3.0223139438050661E-2</v>
      </c>
      <c r="AM242" s="20">
        <f t="shared" ref="AM242:AX242" ca="1" si="1026">AM241-AL241</f>
        <v>-9.18328238428745E-3</v>
      </c>
      <c r="AN242" s="20">
        <f t="shared" ca="1" si="1026"/>
        <v>-1.8820901036582516E-3</v>
      </c>
      <c r="AO242" s="20">
        <f t="shared" ca="1" si="1026"/>
        <v>-2.3143988932416981E-3</v>
      </c>
      <c r="AP242" s="20">
        <f t="shared" ca="1" si="1026"/>
        <v>2.1988550896833492E-2</v>
      </c>
      <c r="AQ242" s="20">
        <f t="shared" ca="1" si="1026"/>
        <v>-5.3746265470053789E-3</v>
      </c>
      <c r="AR242" s="20">
        <f t="shared" ca="1" si="1026"/>
        <v>-1.4575637423550725E-2</v>
      </c>
      <c r="AS242" s="20">
        <f t="shared" ca="1" si="1026"/>
        <v>-2.0334225861838862E-3</v>
      </c>
      <c r="AT242" s="20">
        <f t="shared" ca="1" si="1026"/>
        <v>2.2249123717560937E-2</v>
      </c>
      <c r="AU242" s="20">
        <f t="shared" ca="1" si="1026"/>
        <v>-5.7688724040066974E-3</v>
      </c>
      <c r="AV242" s="20">
        <f t="shared" ca="1" si="1026"/>
        <v>-1.4481973813455173E-2</v>
      </c>
      <c r="AW242" s="20">
        <f t="shared" ca="1" si="1026"/>
        <v>-1.9732679871645731E-3</v>
      </c>
      <c r="AX242" s="20">
        <f t="shared" ca="1" si="1026"/>
        <v>2.2255345402749427E-2</v>
      </c>
      <c r="AY242" s="20">
        <f t="shared" ref="AY242" ca="1" si="1027">AY241-AX241</f>
        <v>-5.8271519513251047E-3</v>
      </c>
      <c r="AZ242" s="20">
        <f t="shared" ref="AZ242" ca="1" si="1028">AZ241-AY241</f>
        <v>-1.4456493684172123E-2</v>
      </c>
      <c r="BA242" s="20">
        <f t="shared" ref="BA242" ca="1" si="1029">BA241-AZ241</f>
        <v>-1.9648974665887886E-3</v>
      </c>
      <c r="BB242" s="20">
        <f t="shared" ref="BB242" ca="1" si="1030">BB241-BA241</f>
        <v>2.2250882388173077E-2</v>
      </c>
      <c r="BC242" s="20">
        <f t="shared" ref="BC242" ca="1" si="1031">BC241-BB241</f>
        <v>-5.8343263175718585E-3</v>
      </c>
      <c r="BD242" s="20">
        <f t="shared" ref="BD242" ca="1" si="1032">BD241-BC241</f>
        <v>-1.4450958249588863E-2</v>
      </c>
      <c r="BE242" s="20">
        <f t="shared" ref="BE242" ca="1" si="1033">BE241-BD241</f>
        <v>-1.9643347230349217E-3</v>
      </c>
      <c r="BF242" s="20">
        <f t="shared" ref="BF242" ca="1" si="1034">BF241-BE241</f>
        <v>2.2249492785986202E-2</v>
      </c>
      <c r="BG242" s="20">
        <f t="shared" ref="BG242" ca="1" si="1035">BG241-BF241</f>
        <v>-5.8349353698808892E-3</v>
      </c>
      <c r="BH242" s="20">
        <f t="shared" ref="BH242" ca="1" si="1036">BH241-BG241</f>
        <v>-1.444994057228044E-2</v>
      </c>
      <c r="BI242" s="20">
        <f t="shared" ref="BI242" ca="1" si="1037">BI241-BH241</f>
        <v>-1.9644398978386768E-3</v>
      </c>
      <c r="BJ242" s="20">
        <f t="shared" ref="BJ242" ca="1" si="1038">BJ241-BI241</f>
        <v>2.2249217516066233E-2</v>
      </c>
      <c r="BL242" s="20"/>
      <c r="BM242" s="20">
        <f t="shared" ref="BM242:BR242" si="1039">BM241-BL241</f>
        <v>2.8940615321527585E-2</v>
      </c>
      <c r="BN242" s="20">
        <f t="shared" si="1039"/>
        <v>-4.1362823335167831E-2</v>
      </c>
      <c r="BO242" s="20">
        <f t="shared" si="1039"/>
        <v>-4.3266850919891908E-3</v>
      </c>
      <c r="BP242" s="20">
        <f t="shared" si="1039"/>
        <v>-2.1959086913214132E-2</v>
      </c>
      <c r="BQ242" s="20">
        <f t="shared" si="1039"/>
        <v>1.9617512877817433E-2</v>
      </c>
      <c r="BR242" s="20">
        <f t="shared" si="1039"/>
        <v>4.5052854970210054E-3</v>
      </c>
      <c r="BS242" s="20">
        <f>BS241-BR241</f>
        <v>2.6470685845685682E-2</v>
      </c>
      <c r="BT242" s="20">
        <f ca="1">BT241-BS241</f>
        <v>2.0891366219602969E-2</v>
      </c>
      <c r="BU242" s="20">
        <f ca="1">BU241-BT241</f>
        <v>2.8680051523414241E-3</v>
      </c>
      <c r="BV242" s="20">
        <f ca="1">BV241-BU241</f>
        <v>-8.4176089083509709E-6</v>
      </c>
      <c r="BW242" s="20">
        <f t="shared" ref="BW242:BY242" ca="1" si="1040">BW241-BV241</f>
        <v>5.8658658363963667E-6</v>
      </c>
      <c r="BX242" s="20">
        <f t="shared" ca="1" si="1040"/>
        <v>-7.9633395888567549E-6</v>
      </c>
      <c r="BY242" s="20">
        <f t="shared" ca="1" si="1040"/>
        <v>-6.1602258717430303E-6</v>
      </c>
    </row>
    <row r="243" spans="1:85" s="296" customFormat="1" ht="12" customHeight="1">
      <c r="B243" s="304" t="s">
        <v>39</v>
      </c>
      <c r="C243" s="304"/>
      <c r="D243" s="304"/>
      <c r="E243" s="304"/>
      <c r="F243" s="304"/>
      <c r="G243" s="304"/>
      <c r="H243" s="304"/>
      <c r="I243" s="304"/>
      <c r="J243" s="304"/>
      <c r="K243" s="304"/>
      <c r="L243" s="304"/>
      <c r="M243" s="304"/>
      <c r="N243" s="304"/>
      <c r="O243" s="305">
        <f t="shared" ref="O243:AC243" si="1041">-O19/O9</f>
        <v>0.33205374280230326</v>
      </c>
      <c r="P243" s="305">
        <f t="shared" si="1041"/>
        <v>0.3351851851851852</v>
      </c>
      <c r="Q243" s="305">
        <f t="shared" si="1041"/>
        <v>0.35273368606701938</v>
      </c>
      <c r="R243" s="305">
        <f t="shared" si="1041"/>
        <v>0.35517241379310349</v>
      </c>
      <c r="S243" s="305">
        <f t="shared" si="1041"/>
        <v>0.33444259567387691</v>
      </c>
      <c r="T243" s="305">
        <f t="shared" si="1041"/>
        <v>0.3867924528301887</v>
      </c>
      <c r="U243" s="305">
        <f t="shared" si="1041"/>
        <v>0.35851851851851851</v>
      </c>
      <c r="V243" s="305">
        <f t="shared" si="1041"/>
        <v>0.33609958506224069</v>
      </c>
      <c r="W243" s="476">
        <f t="shared" si="1041"/>
        <v>0.35741935483870968</v>
      </c>
      <c r="X243" s="476">
        <f t="shared" si="1041"/>
        <v>0.38922888616891066</v>
      </c>
      <c r="Y243" s="476">
        <f t="shared" si="1041"/>
        <v>0.38915094339622641</v>
      </c>
      <c r="Z243" s="476">
        <f t="shared" si="1041"/>
        <v>0.36823935558112769</v>
      </c>
      <c r="AA243" s="476">
        <f t="shared" si="1041"/>
        <v>0.37689614935822635</v>
      </c>
      <c r="AB243" s="476">
        <f t="shared" si="1041"/>
        <v>0.36812570145903478</v>
      </c>
      <c r="AC243" s="476">
        <f t="shared" si="1041"/>
        <v>0.37949640287769787</v>
      </c>
      <c r="AD243" s="476">
        <f t="shared" ref="AD243:AI243" si="1042">-AD19/AD9</f>
        <v>0.36540158870255957</v>
      </c>
      <c r="AE243" s="476">
        <f t="shared" si="1042"/>
        <v>0.34210526315789475</v>
      </c>
      <c r="AF243" s="476">
        <f t="shared" si="1042"/>
        <v>0.34435049961568026</v>
      </c>
      <c r="AG243" s="476">
        <f t="shared" si="1042"/>
        <v>0.37969401947148818</v>
      </c>
      <c r="AH243" s="476">
        <f t="shared" si="1042"/>
        <v>0.34788937409024739</v>
      </c>
      <c r="AI243" s="476">
        <f t="shared" si="1042"/>
        <v>0.35030140656396513</v>
      </c>
      <c r="AJ243" s="476">
        <f t="shared" ref="AJ243:AK243" si="1043">-AJ19/AJ9</f>
        <v>0.35710005991611743</v>
      </c>
      <c r="AK243" s="476">
        <f t="shared" si="1043"/>
        <v>0.35938391329150027</v>
      </c>
      <c r="AL243" s="476">
        <f t="shared" ref="AL243" si="1044">-AL19/AL9</f>
        <v>0.3335180055401662</v>
      </c>
      <c r="AM243" s="435">
        <f>+AI243-0.01</f>
        <v>0.34030140656396513</v>
      </c>
      <c r="AN243" s="538">
        <f>+AJ243-0.015</f>
        <v>0.34210005991611742</v>
      </c>
      <c r="AO243" s="538">
        <f t="shared" ref="AO243:AQ243" si="1045">+AK243-0.015</f>
        <v>0.34438391329150025</v>
      </c>
      <c r="AP243" s="538">
        <f t="shared" si="1045"/>
        <v>0.31851800554016618</v>
      </c>
      <c r="AQ243" s="538">
        <f t="shared" si="1045"/>
        <v>0.32530140656396511</v>
      </c>
      <c r="AR243" s="435">
        <f t="shared" ref="AR243:AX243" si="1046">+AN243</f>
        <v>0.34210005991611742</v>
      </c>
      <c r="AS243" s="435">
        <f t="shared" si="1046"/>
        <v>0.34438391329150025</v>
      </c>
      <c r="AT243" s="435">
        <f t="shared" si="1046"/>
        <v>0.31851800554016618</v>
      </c>
      <c r="AU243" s="435">
        <f t="shared" si="1046"/>
        <v>0.32530140656396511</v>
      </c>
      <c r="AV243" s="435">
        <f t="shared" si="1046"/>
        <v>0.34210005991611742</v>
      </c>
      <c r="AW243" s="435">
        <f t="shared" si="1046"/>
        <v>0.34438391329150025</v>
      </c>
      <c r="AX243" s="435">
        <f t="shared" si="1046"/>
        <v>0.31851800554016618</v>
      </c>
      <c r="AY243" s="435">
        <f t="shared" ref="AY243" si="1047">+AU243</f>
        <v>0.32530140656396511</v>
      </c>
      <c r="AZ243" s="435">
        <f t="shared" ref="AZ243" si="1048">+AV243</f>
        <v>0.34210005991611742</v>
      </c>
      <c r="BA243" s="435">
        <f t="shared" ref="BA243" si="1049">+AW243</f>
        <v>0.34438391329150025</v>
      </c>
      <c r="BB243" s="435">
        <f t="shared" ref="BB243" si="1050">+AX243</f>
        <v>0.31851800554016618</v>
      </c>
      <c r="BC243" s="435">
        <f t="shared" ref="BC243" si="1051">+AY243</f>
        <v>0.32530140656396511</v>
      </c>
      <c r="BD243" s="435">
        <f t="shared" ref="BD243" si="1052">+AZ243</f>
        <v>0.34210005991611742</v>
      </c>
      <c r="BE243" s="435">
        <f t="shared" ref="BE243" si="1053">+BA243</f>
        <v>0.34438391329150025</v>
      </c>
      <c r="BF243" s="435">
        <f t="shared" ref="BF243" si="1054">+BB243</f>
        <v>0.31851800554016618</v>
      </c>
      <c r="BG243" s="435">
        <f t="shared" ref="BG243" si="1055">+BC243</f>
        <v>0.32530140656396511</v>
      </c>
      <c r="BH243" s="435">
        <f t="shared" ref="BH243" si="1056">+BD243</f>
        <v>0.34210005991611742</v>
      </c>
      <c r="BI243" s="435">
        <f t="shared" ref="BI243" si="1057">+BE243</f>
        <v>0.34438391329150025</v>
      </c>
      <c r="BJ243" s="435">
        <f t="shared" ref="BJ243" si="1058">+BF243</f>
        <v>0.31851800554016618</v>
      </c>
      <c r="BL243" s="305">
        <f t="shared" ref="BL243:BV243" si="1059">-BL19/BL9</f>
        <v>0.34431372549019607</v>
      </c>
      <c r="BM243" s="305">
        <f t="shared" si="1059"/>
        <v>0.32030820033021468</v>
      </c>
      <c r="BN243" s="305">
        <f t="shared" si="1059"/>
        <v>0.34420289855072461</v>
      </c>
      <c r="BO243" s="305">
        <f t="shared" si="1059"/>
        <v>0.35370018975332068</v>
      </c>
      <c r="BP243" s="305">
        <f t="shared" si="1059"/>
        <v>0.37624660018132366</v>
      </c>
      <c r="BQ243" s="305">
        <f t="shared" si="1059"/>
        <v>0.37240170298021535</v>
      </c>
      <c r="BR243" s="305">
        <f t="shared" si="1059"/>
        <v>0.35437535437535433</v>
      </c>
      <c r="BS243" s="305">
        <f t="shared" si="1059"/>
        <v>0.34985119047619051</v>
      </c>
      <c r="BT243" s="305">
        <f t="shared" ca="1" si="1059"/>
        <v>0.33595295429496053</v>
      </c>
      <c r="BU243" s="305">
        <f t="shared" ca="1" si="1059"/>
        <v>0.33250274409669395</v>
      </c>
      <c r="BV243" s="305">
        <f t="shared" ca="1" si="1059"/>
        <v>0.33251287048021072</v>
      </c>
      <c r="BW243" s="305">
        <f t="shared" ref="BW243:BY243" ca="1" si="1060">-BW19/BW9</f>
        <v>0.33250581384360939</v>
      </c>
      <c r="BX243" s="305">
        <f t="shared" ca="1" si="1060"/>
        <v>0.33251539374113492</v>
      </c>
      <c r="BY243" s="305">
        <f t="shared" ca="1" si="1060"/>
        <v>0.33252280449285848</v>
      </c>
      <c r="BZ243" s="169"/>
      <c r="CA243" s="292"/>
      <c r="CB243"/>
      <c r="CC243"/>
      <c r="CD243"/>
      <c r="CE243"/>
      <c r="CF243"/>
      <c r="CG243"/>
    </row>
    <row r="244" spans="1:85" s="296" customFormat="1" ht="12" customHeight="1">
      <c r="B244" s="301" t="s">
        <v>100</v>
      </c>
      <c r="C244" s="301"/>
      <c r="D244" s="301"/>
      <c r="E244" s="301"/>
      <c r="F244" s="301"/>
      <c r="G244" s="301"/>
      <c r="H244" s="301"/>
      <c r="I244" s="301"/>
      <c r="J244" s="301"/>
      <c r="K244" s="301"/>
      <c r="L244" s="301"/>
      <c r="M244" s="301"/>
      <c r="N244" s="301"/>
      <c r="O244" s="302"/>
      <c r="P244" s="303">
        <f t="shared" ref="P244:AL244" si="1061">P243-O243</f>
        <v>3.1314423828819327E-3</v>
      </c>
      <c r="Q244" s="303">
        <f t="shared" si="1061"/>
        <v>1.7548500881834184E-2</v>
      </c>
      <c r="R244" s="303">
        <f t="shared" si="1061"/>
        <v>2.4387277260841111E-3</v>
      </c>
      <c r="S244" s="303">
        <f t="shared" si="1061"/>
        <v>-2.0729818119226584E-2</v>
      </c>
      <c r="T244" s="303">
        <f t="shared" si="1061"/>
        <v>5.2349857156311796E-2</v>
      </c>
      <c r="U244" s="303">
        <f t="shared" si="1061"/>
        <v>-2.827393431167019E-2</v>
      </c>
      <c r="V244" s="303">
        <f t="shared" si="1061"/>
        <v>-2.2418933456277823E-2</v>
      </c>
      <c r="W244" s="303">
        <f t="shared" si="1061"/>
        <v>2.1319769776468989E-2</v>
      </c>
      <c r="X244" s="303">
        <f t="shared" si="1061"/>
        <v>3.180953133020098E-2</v>
      </c>
      <c r="Y244" s="303">
        <f t="shared" si="1061"/>
        <v>-7.794277268424743E-5</v>
      </c>
      <c r="Z244" s="303">
        <f t="shared" si="1061"/>
        <v>-2.091158781509872E-2</v>
      </c>
      <c r="AA244" s="303">
        <f t="shared" si="1061"/>
        <v>8.6567937770986592E-3</v>
      </c>
      <c r="AB244" s="303">
        <f t="shared" si="1061"/>
        <v>-8.7704478991915691E-3</v>
      </c>
      <c r="AC244" s="303">
        <f t="shared" si="1061"/>
        <v>1.1370701418663087E-2</v>
      </c>
      <c r="AD244" s="303">
        <f t="shared" si="1061"/>
        <v>-1.4094814175138304E-2</v>
      </c>
      <c r="AE244" s="303">
        <f t="shared" si="1061"/>
        <v>-2.329632554466482E-2</v>
      </c>
      <c r="AF244" s="303">
        <f t="shared" si="1061"/>
        <v>2.2452364577855155E-3</v>
      </c>
      <c r="AG244" s="303">
        <f t="shared" si="1061"/>
        <v>3.5343519855807914E-2</v>
      </c>
      <c r="AH244" s="303">
        <f t="shared" si="1061"/>
        <v>-3.1804645381240781E-2</v>
      </c>
      <c r="AI244" s="303">
        <f t="shared" si="1061"/>
        <v>2.4120324737177401E-3</v>
      </c>
      <c r="AJ244" s="303">
        <f t="shared" si="1061"/>
        <v>6.7986533521522952E-3</v>
      </c>
      <c r="AK244" s="303">
        <f t="shared" si="1061"/>
        <v>2.2838533753828383E-3</v>
      </c>
      <c r="AL244" s="303">
        <f t="shared" si="1061"/>
        <v>-2.5865907751334072E-2</v>
      </c>
      <c r="AM244" s="434">
        <f t="shared" ref="AM244:AX244" si="1062">AM243-AL243</f>
        <v>6.7834010237989295E-3</v>
      </c>
      <c r="AN244" s="434">
        <f t="shared" si="1062"/>
        <v>1.7986533521522907E-3</v>
      </c>
      <c r="AO244" s="434">
        <f t="shared" si="1062"/>
        <v>2.2838533753828383E-3</v>
      </c>
      <c r="AP244" s="434">
        <f t="shared" si="1062"/>
        <v>-2.5865907751334072E-2</v>
      </c>
      <c r="AQ244" s="434">
        <f t="shared" si="1062"/>
        <v>6.7834010237989295E-3</v>
      </c>
      <c r="AR244" s="434">
        <f t="shared" si="1062"/>
        <v>1.6798653352152304E-2</v>
      </c>
      <c r="AS244" s="434">
        <f t="shared" si="1062"/>
        <v>2.2838533753828383E-3</v>
      </c>
      <c r="AT244" s="434">
        <f t="shared" si="1062"/>
        <v>-2.5865907751334072E-2</v>
      </c>
      <c r="AU244" s="434">
        <f t="shared" si="1062"/>
        <v>6.7834010237989295E-3</v>
      </c>
      <c r="AV244" s="434">
        <f t="shared" si="1062"/>
        <v>1.6798653352152304E-2</v>
      </c>
      <c r="AW244" s="434">
        <f t="shared" si="1062"/>
        <v>2.2838533753828383E-3</v>
      </c>
      <c r="AX244" s="434">
        <f t="shared" si="1062"/>
        <v>-2.5865907751334072E-2</v>
      </c>
      <c r="AY244" s="434">
        <f t="shared" ref="AY244" si="1063">AY243-AX243</f>
        <v>6.7834010237989295E-3</v>
      </c>
      <c r="AZ244" s="434">
        <f t="shared" ref="AZ244" si="1064">AZ243-AY243</f>
        <v>1.6798653352152304E-2</v>
      </c>
      <c r="BA244" s="434">
        <f t="shared" ref="BA244" si="1065">BA243-AZ243</f>
        <v>2.2838533753828383E-3</v>
      </c>
      <c r="BB244" s="434">
        <f t="shared" ref="BB244" si="1066">BB243-BA243</f>
        <v>-2.5865907751334072E-2</v>
      </c>
      <c r="BC244" s="434">
        <f t="shared" ref="BC244" si="1067">BC243-BB243</f>
        <v>6.7834010237989295E-3</v>
      </c>
      <c r="BD244" s="434">
        <f t="shared" ref="BD244" si="1068">BD243-BC243</f>
        <v>1.6798653352152304E-2</v>
      </c>
      <c r="BE244" s="434">
        <f t="shared" ref="BE244" si="1069">BE243-BD243</f>
        <v>2.2838533753828383E-3</v>
      </c>
      <c r="BF244" s="434">
        <f t="shared" ref="BF244" si="1070">BF243-BE243</f>
        <v>-2.5865907751334072E-2</v>
      </c>
      <c r="BG244" s="434">
        <f t="shared" ref="BG244" si="1071">BG243-BF243</f>
        <v>6.7834010237989295E-3</v>
      </c>
      <c r="BH244" s="434">
        <f t="shared" ref="BH244" si="1072">BH243-BG243</f>
        <v>1.6798653352152304E-2</v>
      </c>
      <c r="BI244" s="434">
        <f t="shared" ref="BI244" si="1073">BI243-BH243</f>
        <v>2.2838533753828383E-3</v>
      </c>
      <c r="BJ244" s="434">
        <f t="shared" ref="BJ244" si="1074">BJ243-BI243</f>
        <v>-2.5865907751334072E-2</v>
      </c>
      <c r="BL244" s="20">
        <f t="shared" ref="BL244:BR244" si="1075">BL243-BK243</f>
        <v>0.34431372549019607</v>
      </c>
      <c r="BM244" s="20">
        <f t="shared" si="1075"/>
        <v>-2.4005525159981389E-2</v>
      </c>
      <c r="BN244" s="20">
        <f t="shared" si="1075"/>
        <v>2.3894698220509936E-2</v>
      </c>
      <c r="BO244" s="20">
        <f t="shared" si="1075"/>
        <v>9.4972912025960698E-3</v>
      </c>
      <c r="BP244" s="20">
        <f t="shared" si="1075"/>
        <v>2.2546410428002983E-2</v>
      </c>
      <c r="BQ244" s="20">
        <f t="shared" si="1075"/>
        <v>-3.8448972011083105E-3</v>
      </c>
      <c r="BR244" s="20">
        <f t="shared" si="1075"/>
        <v>-1.802634860486102E-2</v>
      </c>
      <c r="BS244" s="20">
        <f>BS243-BR243</f>
        <v>-4.5241638991638244E-3</v>
      </c>
      <c r="BT244" s="20">
        <f ca="1">BT243-BS243</f>
        <v>-1.3898236181229984E-2</v>
      </c>
      <c r="BU244" s="20">
        <f ca="1">BU243-BT243</f>
        <v>-3.4502101982665789E-3</v>
      </c>
      <c r="BV244" s="20">
        <f ca="1">BV243-BU243</f>
        <v>1.0126383516773085E-5</v>
      </c>
      <c r="BW244" s="20">
        <f t="shared" ref="BW244:BY244" ca="1" si="1076">BW243-BV243</f>
        <v>-7.0566366013324888E-6</v>
      </c>
      <c r="BX244" s="20">
        <f t="shared" ca="1" si="1076"/>
        <v>9.5798975255356744E-6</v>
      </c>
      <c r="BY244" s="20">
        <f t="shared" ca="1" si="1076"/>
        <v>7.4107517235577625E-6</v>
      </c>
      <c r="BZ244" s="18"/>
      <c r="CA244" s="292"/>
      <c r="CB244"/>
      <c r="CC244"/>
      <c r="CD244"/>
      <c r="CE244"/>
      <c r="CF244"/>
      <c r="CG244"/>
    </row>
    <row r="245" spans="1:85" ht="12" customHeight="1">
      <c r="A245" s="207"/>
      <c r="B245" s="12" t="s">
        <v>95</v>
      </c>
      <c r="C245" s="12"/>
      <c r="D245" s="12"/>
      <c r="E245" s="12"/>
      <c r="F245" s="12"/>
      <c r="G245" s="12"/>
      <c r="H245" s="12"/>
      <c r="I245" s="12"/>
      <c r="J245" s="12"/>
      <c r="K245" s="12"/>
      <c r="L245" s="12"/>
      <c r="M245" s="12"/>
      <c r="N245" s="12"/>
      <c r="O245" s="20">
        <f t="shared" ref="O245:AC245" si="1077">-O27/O25</f>
        <v>5.1724137931034489E-2</v>
      </c>
      <c r="P245" s="20">
        <f t="shared" si="1077"/>
        <v>5.0139275766016719E-2</v>
      </c>
      <c r="Q245" s="20">
        <f t="shared" si="1077"/>
        <v>5.7220708446866483E-2</v>
      </c>
      <c r="R245" s="20">
        <f t="shared" si="1077"/>
        <v>0.10695187165775401</v>
      </c>
      <c r="S245" s="20">
        <f t="shared" si="1077"/>
        <v>6.9999999999999993E-2</v>
      </c>
      <c r="T245" s="20">
        <f t="shared" si="1077"/>
        <v>7.4358974358974358E-2</v>
      </c>
      <c r="U245" s="20">
        <f t="shared" si="1077"/>
        <v>5.3117782909930716E-2</v>
      </c>
      <c r="V245" s="20">
        <f t="shared" si="1077"/>
        <v>5.4166666666666669E-2</v>
      </c>
      <c r="W245" s="20">
        <f t="shared" si="1077"/>
        <v>6.0240963855421693E-2</v>
      </c>
      <c r="X245" s="20">
        <f t="shared" si="1077"/>
        <v>7.0140280561122231E-2</v>
      </c>
      <c r="Y245" s="20">
        <f t="shared" si="1077"/>
        <v>6.1776061776061784E-2</v>
      </c>
      <c r="Z245" s="20">
        <f t="shared" si="1077"/>
        <v>5.6466302367941708E-2</v>
      </c>
      <c r="AA245" s="20">
        <f t="shared" si="1077"/>
        <v>5.4307116104868908E-2</v>
      </c>
      <c r="AB245" s="20">
        <f t="shared" si="1077"/>
        <v>4.9733570159857902E-2</v>
      </c>
      <c r="AC245" s="20">
        <f t="shared" si="1077"/>
        <v>4.6376811594202899E-2</v>
      </c>
      <c r="AD245" s="20">
        <f t="shared" ref="AD245:AI245" si="1078">-AD27/AD25</f>
        <v>4.4506258692628649E-2</v>
      </c>
      <c r="AE245" s="20">
        <f t="shared" si="1078"/>
        <v>5.1612903225806452E-2</v>
      </c>
      <c r="AF245" s="20">
        <f t="shared" si="1078"/>
        <v>4.9237983587338809E-2</v>
      </c>
      <c r="AG245" s="20">
        <f t="shared" si="1078"/>
        <v>5.2690582959641248E-2</v>
      </c>
      <c r="AH245" s="20">
        <f t="shared" si="1078"/>
        <v>4.4642857142857137E-2</v>
      </c>
      <c r="AI245" s="20">
        <f t="shared" si="1078"/>
        <v>5.0515463917525767E-2</v>
      </c>
      <c r="AJ245" s="20">
        <f t="shared" ref="AJ245:AK245" si="1079">-AJ27/AJ25</f>
        <v>4.0074557315936621E-2</v>
      </c>
      <c r="AK245" s="20">
        <f t="shared" si="1079"/>
        <v>3.4728406055209257E-2</v>
      </c>
      <c r="AL245" s="20">
        <f t="shared" ref="AL245" si="1080">-AL27/AL25</f>
        <v>3.2418952618453865E-2</v>
      </c>
      <c r="AM245" s="433">
        <f>+AL245</f>
        <v>3.2418952618453865E-2</v>
      </c>
      <c r="AN245" s="433">
        <f t="shared" ref="AN245:AX245" si="1081">+AM245</f>
        <v>3.2418952618453865E-2</v>
      </c>
      <c r="AO245" s="433">
        <f t="shared" si="1081"/>
        <v>3.2418952618453865E-2</v>
      </c>
      <c r="AP245" s="433">
        <f t="shared" si="1081"/>
        <v>3.2418952618453865E-2</v>
      </c>
      <c r="AQ245" s="433">
        <f t="shared" si="1081"/>
        <v>3.2418952618453865E-2</v>
      </c>
      <c r="AR245" s="433">
        <f t="shared" si="1081"/>
        <v>3.2418952618453865E-2</v>
      </c>
      <c r="AS245" s="433">
        <f t="shared" si="1081"/>
        <v>3.2418952618453865E-2</v>
      </c>
      <c r="AT245" s="433">
        <f t="shared" si="1081"/>
        <v>3.2418952618453865E-2</v>
      </c>
      <c r="AU245" s="433">
        <f t="shared" si="1081"/>
        <v>3.2418952618453865E-2</v>
      </c>
      <c r="AV245" s="433">
        <f t="shared" si="1081"/>
        <v>3.2418952618453865E-2</v>
      </c>
      <c r="AW245" s="433">
        <f t="shared" si="1081"/>
        <v>3.2418952618453865E-2</v>
      </c>
      <c r="AX245" s="433">
        <f t="shared" si="1081"/>
        <v>3.2418952618453865E-2</v>
      </c>
      <c r="AY245" s="433">
        <f t="shared" ref="AY245" si="1082">+AX245</f>
        <v>3.2418952618453865E-2</v>
      </c>
      <c r="AZ245" s="433">
        <f t="shared" ref="AZ245" si="1083">+AY245</f>
        <v>3.2418952618453865E-2</v>
      </c>
      <c r="BA245" s="433">
        <f t="shared" ref="BA245" si="1084">+AZ245</f>
        <v>3.2418952618453865E-2</v>
      </c>
      <c r="BB245" s="433">
        <f t="shared" ref="BB245" si="1085">+BA245</f>
        <v>3.2418952618453865E-2</v>
      </c>
      <c r="BC245" s="433">
        <f t="shared" ref="BC245" si="1086">+BB245</f>
        <v>3.2418952618453865E-2</v>
      </c>
      <c r="BD245" s="433">
        <f t="shared" ref="BD245" si="1087">+BC245</f>
        <v>3.2418952618453865E-2</v>
      </c>
      <c r="BE245" s="433">
        <f t="shared" ref="BE245" si="1088">+BD245</f>
        <v>3.2418952618453865E-2</v>
      </c>
      <c r="BF245" s="433">
        <f t="shared" ref="BF245" si="1089">+BE245</f>
        <v>3.2418952618453865E-2</v>
      </c>
      <c r="BG245" s="433">
        <f t="shared" ref="BG245" si="1090">+BF245</f>
        <v>3.2418952618453865E-2</v>
      </c>
      <c r="BH245" s="433">
        <f t="shared" ref="BH245" si="1091">+BG245</f>
        <v>3.2418952618453865E-2</v>
      </c>
      <c r="BI245" s="433">
        <f t="shared" ref="BI245" si="1092">+BH245</f>
        <v>3.2418952618453865E-2</v>
      </c>
      <c r="BJ245" s="433">
        <f t="shared" ref="BJ245" si="1093">+BI245</f>
        <v>3.2418952618453865E-2</v>
      </c>
      <c r="BK245" s="207"/>
      <c r="BL245" s="20">
        <f t="shared" ref="BL245:BV245" si="1094">-BL27/BL9</f>
        <v>5.333333333333333E-2</v>
      </c>
      <c r="BM245" s="20">
        <f t="shared" si="1094"/>
        <v>5.0082553659878924E-2</v>
      </c>
      <c r="BN245" s="20">
        <f t="shared" si="1094"/>
        <v>4.3931159420289849E-2</v>
      </c>
      <c r="BO245" s="20">
        <f t="shared" si="1094"/>
        <v>4.0227703984819736E-2</v>
      </c>
      <c r="BP245" s="20">
        <f t="shared" si="1094"/>
        <v>3.8682381384103959E-2</v>
      </c>
      <c r="BQ245" s="20">
        <f t="shared" si="1094"/>
        <v>3.0303030303030297E-2</v>
      </c>
      <c r="BR245" s="20">
        <f t="shared" si="1094"/>
        <v>3.1941031941031935E-2</v>
      </c>
      <c r="BS245" s="20">
        <f t="shared" si="1094"/>
        <v>2.5297619047619048E-2</v>
      </c>
      <c r="BT245" s="20">
        <f t="shared" ca="1" si="1094"/>
        <v>2.1527709711135937E-2</v>
      </c>
      <c r="BU245" s="20">
        <f t="shared" ca="1" si="1094"/>
        <v>2.1639561912077252E-2</v>
      </c>
      <c r="BV245" s="20">
        <f t="shared" ca="1" si="1094"/>
        <v>2.163923362532982E-2</v>
      </c>
      <c r="BW245" s="20">
        <f t="shared" ref="BW245:BY245" ca="1" si="1095">-BW27/BW9</f>
        <v>2.1639462394097451E-2</v>
      </c>
      <c r="BX245" s="20">
        <f t="shared" ca="1" si="1095"/>
        <v>2.1639151823853484E-2</v>
      </c>
      <c r="BY245" s="20">
        <f t="shared" ca="1" si="1095"/>
        <v>2.1638911575044488E-2</v>
      </c>
    </row>
    <row r="246" spans="1:85" ht="12" customHeight="1">
      <c r="A246" s="207"/>
      <c r="B246" s="301" t="s">
        <v>100</v>
      </c>
      <c r="C246" s="301"/>
      <c r="D246" s="301"/>
      <c r="E246" s="301"/>
      <c r="F246" s="301"/>
      <c r="G246" s="301"/>
      <c r="H246" s="301"/>
      <c r="I246" s="301"/>
      <c r="J246" s="301"/>
      <c r="K246" s="301"/>
      <c r="L246" s="301"/>
      <c r="M246" s="301"/>
      <c r="N246" s="301"/>
      <c r="O246" s="303"/>
      <c r="P246" s="303">
        <f t="shared" ref="P246:AL246" si="1096">P245-O245</f>
        <v>-1.5848621650177697E-3</v>
      </c>
      <c r="Q246" s="303">
        <f t="shared" si="1096"/>
        <v>7.0814326808497641E-3</v>
      </c>
      <c r="R246" s="303">
        <f t="shared" si="1096"/>
        <v>4.9731163210887525E-2</v>
      </c>
      <c r="S246" s="303">
        <f t="shared" si="1096"/>
        <v>-3.6951871657754015E-2</v>
      </c>
      <c r="T246" s="303">
        <f t="shared" si="1096"/>
        <v>4.3589743589743657E-3</v>
      </c>
      <c r="U246" s="303">
        <f t="shared" si="1096"/>
        <v>-2.1241191449043642E-2</v>
      </c>
      <c r="V246" s="303">
        <f t="shared" si="1096"/>
        <v>1.0488837567359521E-3</v>
      </c>
      <c r="W246" s="303">
        <f t="shared" si="1096"/>
        <v>6.0742971887550248E-3</v>
      </c>
      <c r="X246" s="303">
        <f t="shared" si="1096"/>
        <v>9.899316705700538E-3</v>
      </c>
      <c r="Y246" s="303">
        <f t="shared" si="1096"/>
        <v>-8.3642187850604469E-3</v>
      </c>
      <c r="Z246" s="303">
        <f t="shared" si="1096"/>
        <v>-5.3097594081200766E-3</v>
      </c>
      <c r="AA246" s="303">
        <f t="shared" si="1096"/>
        <v>-2.1591862630728001E-3</v>
      </c>
      <c r="AB246" s="303">
        <f t="shared" si="1096"/>
        <v>-4.5735459450110053E-3</v>
      </c>
      <c r="AC246" s="303">
        <f t="shared" si="1096"/>
        <v>-3.3567585656550034E-3</v>
      </c>
      <c r="AD246" s="303">
        <f t="shared" si="1096"/>
        <v>-1.8705529015742503E-3</v>
      </c>
      <c r="AE246" s="303">
        <f t="shared" si="1096"/>
        <v>7.1066445331778028E-3</v>
      </c>
      <c r="AF246" s="303">
        <f t="shared" si="1096"/>
        <v>-2.374919638467643E-3</v>
      </c>
      <c r="AG246" s="303">
        <f t="shared" si="1096"/>
        <v>3.4525993723024395E-3</v>
      </c>
      <c r="AH246" s="303">
        <f t="shared" si="1096"/>
        <v>-8.0477258167841112E-3</v>
      </c>
      <c r="AI246" s="303">
        <f t="shared" si="1096"/>
        <v>5.8726067746686303E-3</v>
      </c>
      <c r="AJ246" s="303">
        <f t="shared" si="1096"/>
        <v>-1.0440906601589146E-2</v>
      </c>
      <c r="AK246" s="303">
        <f t="shared" si="1096"/>
        <v>-5.3461512607273637E-3</v>
      </c>
      <c r="AL246" s="303">
        <f t="shared" si="1096"/>
        <v>-2.3094534367553918E-3</v>
      </c>
      <c r="AM246" s="434">
        <f t="shared" ref="AM246:AX246" si="1097">AM245-AL245</f>
        <v>0</v>
      </c>
      <c r="AN246" s="434">
        <f t="shared" si="1097"/>
        <v>0</v>
      </c>
      <c r="AO246" s="434">
        <f t="shared" si="1097"/>
        <v>0</v>
      </c>
      <c r="AP246" s="434">
        <f t="shared" si="1097"/>
        <v>0</v>
      </c>
      <c r="AQ246" s="434">
        <f t="shared" si="1097"/>
        <v>0</v>
      </c>
      <c r="AR246" s="434">
        <f t="shared" si="1097"/>
        <v>0</v>
      </c>
      <c r="AS246" s="434">
        <f t="shared" si="1097"/>
        <v>0</v>
      </c>
      <c r="AT246" s="434">
        <f t="shared" si="1097"/>
        <v>0</v>
      </c>
      <c r="AU246" s="434">
        <f t="shared" si="1097"/>
        <v>0</v>
      </c>
      <c r="AV246" s="434">
        <f t="shared" si="1097"/>
        <v>0</v>
      </c>
      <c r="AW246" s="434">
        <f t="shared" si="1097"/>
        <v>0</v>
      </c>
      <c r="AX246" s="434">
        <f t="shared" si="1097"/>
        <v>0</v>
      </c>
      <c r="AY246" s="434">
        <f t="shared" ref="AY246" si="1098">AY245-AX245</f>
        <v>0</v>
      </c>
      <c r="AZ246" s="434">
        <f t="shared" ref="AZ246" si="1099">AZ245-AY245</f>
        <v>0</v>
      </c>
      <c r="BA246" s="434">
        <f t="shared" ref="BA246" si="1100">BA245-AZ245</f>
        <v>0</v>
      </c>
      <c r="BB246" s="434">
        <f t="shared" ref="BB246" si="1101">BB245-BA245</f>
        <v>0</v>
      </c>
      <c r="BC246" s="434">
        <f t="shared" ref="BC246" si="1102">BC245-BB245</f>
        <v>0</v>
      </c>
      <c r="BD246" s="434">
        <f t="shared" ref="BD246" si="1103">BD245-BC245</f>
        <v>0</v>
      </c>
      <c r="BE246" s="434">
        <f t="shared" ref="BE246" si="1104">BE245-BD245</f>
        <v>0</v>
      </c>
      <c r="BF246" s="434">
        <f t="shared" ref="BF246" si="1105">BF245-BE245</f>
        <v>0</v>
      </c>
      <c r="BG246" s="434">
        <f t="shared" ref="BG246" si="1106">BG245-BF245</f>
        <v>0</v>
      </c>
      <c r="BH246" s="434">
        <f t="shared" ref="BH246" si="1107">BH245-BG245</f>
        <v>0</v>
      </c>
      <c r="BI246" s="434">
        <f t="shared" ref="BI246" si="1108">BI245-BH245</f>
        <v>0</v>
      </c>
      <c r="BJ246" s="434">
        <f t="shared" ref="BJ246" si="1109">BJ245-BI245</f>
        <v>0</v>
      </c>
      <c r="BK246" s="207"/>
      <c r="BL246" s="20">
        <f t="shared" ref="BL246:BR246" si="1110">BL245-BK245</f>
        <v>5.333333333333333E-2</v>
      </c>
      <c r="BM246" s="20">
        <f t="shared" si="1110"/>
        <v>-3.2507796734544056E-3</v>
      </c>
      <c r="BN246" s="20">
        <f t="shared" si="1110"/>
        <v>-6.1513942395890753E-3</v>
      </c>
      <c r="BO246" s="20">
        <f t="shared" si="1110"/>
        <v>-3.7034554354701127E-3</v>
      </c>
      <c r="BP246" s="20">
        <f t="shared" si="1110"/>
        <v>-1.5453226007157775E-3</v>
      </c>
      <c r="BQ246" s="20">
        <f t="shared" si="1110"/>
        <v>-8.3793510810736618E-3</v>
      </c>
      <c r="BR246" s="20">
        <f t="shared" si="1110"/>
        <v>1.6380016380016377E-3</v>
      </c>
      <c r="BS246" s="20">
        <f>BS245-BR245</f>
        <v>-6.6434128934128867E-3</v>
      </c>
      <c r="BT246" s="20">
        <f ca="1">BT245-BS245</f>
        <v>-3.7699093364831106E-3</v>
      </c>
      <c r="BU246" s="20">
        <f ca="1">BU245-BT245</f>
        <v>1.1185220094131476E-4</v>
      </c>
      <c r="BV246" s="20">
        <f ca="1">BV245-BU245</f>
        <v>-3.2828674743218267E-7</v>
      </c>
      <c r="BW246" s="20">
        <f t="shared" ref="BW246:BY246" ca="1" si="1111">BW245-BV245</f>
        <v>2.2876876763083809E-7</v>
      </c>
      <c r="BX246" s="20">
        <f t="shared" ca="1" si="1111"/>
        <v>-3.1057024396652366E-7</v>
      </c>
      <c r="BY246" s="20">
        <f t="shared" ca="1" si="1111"/>
        <v>-2.4024880899628509E-7</v>
      </c>
    </row>
    <row r="247" spans="1:85" ht="12" customHeight="1">
      <c r="A247" s="207"/>
      <c r="B247" s="306" t="s">
        <v>211</v>
      </c>
      <c r="C247" s="306"/>
      <c r="D247" s="306"/>
      <c r="E247" s="306"/>
      <c r="F247" s="306"/>
      <c r="G247" s="306"/>
      <c r="H247" s="306"/>
      <c r="I247" s="306"/>
      <c r="J247" s="306"/>
      <c r="K247" s="306"/>
      <c r="L247" s="306"/>
      <c r="M247" s="306"/>
      <c r="N247" s="306"/>
      <c r="O247" s="307">
        <f t="shared" ref="O247:AX247" si="1112">-O27/O9</f>
        <v>3.4548944337811902E-2</v>
      </c>
      <c r="P247" s="307">
        <f t="shared" si="1112"/>
        <v>3.3333333333333333E-2</v>
      </c>
      <c r="Q247" s="307">
        <f t="shared" si="1112"/>
        <v>3.7037037037037035E-2</v>
      </c>
      <c r="R247" s="307">
        <f t="shared" si="1112"/>
        <v>6.8965517241379309E-2</v>
      </c>
      <c r="S247" s="307">
        <f t="shared" si="1112"/>
        <v>4.6589018302828612E-2</v>
      </c>
      <c r="T247" s="307">
        <f t="shared" si="1112"/>
        <v>4.5597484276729557E-2</v>
      </c>
      <c r="U247" s="307">
        <f t="shared" si="1112"/>
        <v>3.4074074074074069E-2</v>
      </c>
      <c r="V247" s="307">
        <f t="shared" si="1112"/>
        <v>3.5961272475795301E-2</v>
      </c>
      <c r="W247" s="307">
        <f t="shared" si="1112"/>
        <v>3.870967741935484E-2</v>
      </c>
      <c r="X247" s="307">
        <f t="shared" si="1112"/>
        <v>4.2839657282741736E-2</v>
      </c>
      <c r="Y247" s="307">
        <f t="shared" si="1112"/>
        <v>3.7735849056603779E-2</v>
      </c>
      <c r="Z247" s="307">
        <f t="shared" si="1112"/>
        <v>3.5673187571921748E-2</v>
      </c>
      <c r="AA247" s="307">
        <f t="shared" si="1112"/>
        <v>3.3838973162193697E-2</v>
      </c>
      <c r="AB247" s="307">
        <f t="shared" si="1112"/>
        <v>3.1425364758698095E-2</v>
      </c>
      <c r="AC247" s="307">
        <f t="shared" si="1112"/>
        <v>2.8776978417266189E-2</v>
      </c>
      <c r="AD247" s="307">
        <f t="shared" ref="AD247:AI247" si="1113">-AD27/AD9</f>
        <v>2.8243601059135041E-2</v>
      </c>
      <c r="AE247" s="307">
        <f t="shared" si="1113"/>
        <v>3.3955857385398983E-2</v>
      </c>
      <c r="AF247" s="307">
        <f t="shared" si="1113"/>
        <v>3.2282859338970023E-2</v>
      </c>
      <c r="AG247" s="307">
        <f t="shared" si="1113"/>
        <v>3.2684283727399163E-2</v>
      </c>
      <c r="AH247" s="307">
        <f t="shared" si="1113"/>
        <v>2.9112081513828238E-2</v>
      </c>
      <c r="AI247" s="307">
        <f t="shared" si="1113"/>
        <v>3.2819825853985261E-2</v>
      </c>
      <c r="AJ247" s="307">
        <f t="shared" ref="AJ247:AK247" si="1114">-AJ27/AJ9</f>
        <v>2.5763930497303772E-2</v>
      </c>
      <c r="AK247" s="307">
        <f t="shared" si="1114"/>
        <v>2.224757558471192E-2</v>
      </c>
      <c r="AL247" s="307">
        <f t="shared" ref="AL247" si="1115">-AL27/AL9</f>
        <v>2.1606648199445983E-2</v>
      </c>
      <c r="AM247" s="307">
        <f t="shared" ca="1" si="1112"/>
        <v>2.1386737443063474E-2</v>
      </c>
      <c r="AN247" s="307">
        <f t="shared" ca="1" si="1112"/>
        <v>2.1328426985263028E-2</v>
      </c>
      <c r="AO247" s="307">
        <f t="shared" ca="1" si="1112"/>
        <v>2.1254386850898994E-2</v>
      </c>
      <c r="AP247" s="307">
        <f t="shared" ca="1" si="1112"/>
        <v>2.2092932488722791E-2</v>
      </c>
      <c r="AQ247" s="307">
        <f t="shared" ca="1" si="1112"/>
        <v>2.1873021732340282E-2</v>
      </c>
      <c r="AR247" s="307">
        <f t="shared" ca="1" si="1112"/>
        <v>2.1328426985263025E-2</v>
      </c>
      <c r="AS247" s="307">
        <f t="shared" ca="1" si="1112"/>
        <v>2.1254386850898994E-2</v>
      </c>
      <c r="AT247" s="307">
        <f t="shared" ca="1" si="1112"/>
        <v>2.2092932488722794E-2</v>
      </c>
      <c r="AU247" s="307">
        <f t="shared" ca="1" si="1112"/>
        <v>2.1873021732340282E-2</v>
      </c>
      <c r="AV247" s="307">
        <f t="shared" ca="1" si="1112"/>
        <v>2.1328426985263025E-2</v>
      </c>
      <c r="AW247" s="307">
        <f t="shared" ca="1" si="1112"/>
        <v>2.1254386850898997E-2</v>
      </c>
      <c r="AX247" s="307">
        <f t="shared" ca="1" si="1112"/>
        <v>2.2092932488722791E-2</v>
      </c>
      <c r="AY247" s="307">
        <f t="shared" ref="AY247:BJ247" ca="1" si="1116">-AY27/AY9</f>
        <v>2.1873021732340285E-2</v>
      </c>
      <c r="AZ247" s="307">
        <f t="shared" ca="1" si="1116"/>
        <v>2.1328426985263028E-2</v>
      </c>
      <c r="BA247" s="307">
        <f t="shared" ca="1" si="1116"/>
        <v>2.1254386850898994E-2</v>
      </c>
      <c r="BB247" s="307">
        <f t="shared" ca="1" si="1116"/>
        <v>2.2092932488722794E-2</v>
      </c>
      <c r="BC247" s="307">
        <f t="shared" ca="1" si="1116"/>
        <v>2.1873021732340285E-2</v>
      </c>
      <c r="BD247" s="307">
        <f t="shared" ca="1" si="1116"/>
        <v>2.1328426985263025E-2</v>
      </c>
      <c r="BE247" s="307">
        <f t="shared" ca="1" si="1116"/>
        <v>2.125438685089899E-2</v>
      </c>
      <c r="BF247" s="307">
        <f t="shared" ca="1" si="1116"/>
        <v>2.2092932488722794E-2</v>
      </c>
      <c r="BG247" s="307">
        <f t="shared" ca="1" si="1116"/>
        <v>2.1873021732340285E-2</v>
      </c>
      <c r="BH247" s="307">
        <f t="shared" ca="1" si="1116"/>
        <v>2.1328426985263025E-2</v>
      </c>
      <c r="BI247" s="307">
        <f t="shared" ca="1" si="1116"/>
        <v>2.1254386850898994E-2</v>
      </c>
      <c r="BJ247" s="307">
        <f t="shared" ca="1" si="1116"/>
        <v>2.2092932488722794E-2</v>
      </c>
      <c r="BK247" s="207"/>
      <c r="BL247" s="307"/>
      <c r="BM247" s="307"/>
      <c r="BN247" s="307">
        <f t="shared" ref="BN247:BV247" si="1117">-BN27/BN9</f>
        <v>4.3931159420289849E-2</v>
      </c>
      <c r="BO247" s="307">
        <f t="shared" si="1117"/>
        <v>4.0227703984819736E-2</v>
      </c>
      <c r="BP247" s="307">
        <f t="shared" si="1117"/>
        <v>3.8682381384103959E-2</v>
      </c>
      <c r="BQ247" s="307">
        <f t="shared" si="1117"/>
        <v>3.0303030303030297E-2</v>
      </c>
      <c r="BR247" s="307">
        <f t="shared" si="1117"/>
        <v>3.1941031941031935E-2</v>
      </c>
      <c r="BS247" s="307">
        <f t="shared" si="1117"/>
        <v>2.5297619047619048E-2</v>
      </c>
      <c r="BT247" s="307">
        <f t="shared" ca="1" si="1117"/>
        <v>2.1527709711135937E-2</v>
      </c>
      <c r="BU247" s="307">
        <f t="shared" ca="1" si="1117"/>
        <v>2.1639561912077252E-2</v>
      </c>
      <c r="BV247" s="307">
        <f t="shared" ca="1" si="1117"/>
        <v>2.163923362532982E-2</v>
      </c>
      <c r="BW247" s="307">
        <f t="shared" ref="BW247:BY247" ca="1" si="1118">-BW27/BW9</f>
        <v>2.1639462394097451E-2</v>
      </c>
      <c r="BX247" s="307">
        <f t="shared" ca="1" si="1118"/>
        <v>2.1639151823853484E-2</v>
      </c>
      <c r="BY247" s="307">
        <f t="shared" ca="1" si="1118"/>
        <v>2.1638911575044488E-2</v>
      </c>
      <c r="BZ247" s="168"/>
    </row>
    <row r="248" spans="1:85" ht="12" customHeight="1">
      <c r="A248" s="207"/>
      <c r="B248" s="214" t="s">
        <v>133</v>
      </c>
      <c r="C248" s="214"/>
      <c r="D248" s="214"/>
      <c r="E248" s="214"/>
      <c r="F248" s="214"/>
      <c r="G248" s="214"/>
      <c r="H248" s="214"/>
      <c r="I248" s="214"/>
      <c r="J248" s="214"/>
      <c r="K248" s="214"/>
      <c r="L248" s="214"/>
      <c r="M248" s="214"/>
      <c r="N248" s="214"/>
      <c r="O248" s="307">
        <f t="shared" ref="O248:AC248" si="1119">-O28/O25</f>
        <v>0.12931034482758622</v>
      </c>
      <c r="P248" s="307">
        <f t="shared" si="1119"/>
        <v>0.15320334261838442</v>
      </c>
      <c r="Q248" s="307">
        <f t="shared" si="1119"/>
        <v>0.1444141689373297</v>
      </c>
      <c r="R248" s="307">
        <f t="shared" si="1119"/>
        <v>0.14438502673796794</v>
      </c>
      <c r="S248" s="307">
        <f t="shared" si="1119"/>
        <v>0.17250000000000001</v>
      </c>
      <c r="T248" s="307">
        <f t="shared" si="1119"/>
        <v>0.18205128205128204</v>
      </c>
      <c r="U248" s="307">
        <f t="shared" si="1119"/>
        <v>0.15011547344110857</v>
      </c>
      <c r="V248" s="307">
        <f t="shared" si="1119"/>
        <v>0.14166666666666666</v>
      </c>
      <c r="W248" s="307">
        <f t="shared" si="1119"/>
        <v>0.14658634538152612</v>
      </c>
      <c r="X248" s="307">
        <f t="shared" si="1119"/>
        <v>0.16833667334669339</v>
      </c>
      <c r="Y248" s="307">
        <f t="shared" si="1119"/>
        <v>0.17374517374517376</v>
      </c>
      <c r="Z248" s="307">
        <f t="shared" si="1119"/>
        <v>0.18032786885245899</v>
      </c>
      <c r="AA248" s="307">
        <f t="shared" si="1119"/>
        <v>0.17041198501872656</v>
      </c>
      <c r="AB248" s="307">
        <f t="shared" si="1119"/>
        <v>0.17584369449378331</v>
      </c>
      <c r="AC248" s="307">
        <f t="shared" si="1119"/>
        <v>0.18115942028985507</v>
      </c>
      <c r="AD248" s="307">
        <f t="shared" ref="AD248:AI248" si="1120">-AD28/AD25</f>
        <v>0.21001390820584143</v>
      </c>
      <c r="AE248" s="307">
        <f t="shared" si="1120"/>
        <v>0.18064516129032257</v>
      </c>
      <c r="AF248" s="307">
        <f t="shared" si="1120"/>
        <v>0.17467760844079719</v>
      </c>
      <c r="AG248" s="307">
        <f t="shared" si="1120"/>
        <v>0.15582959641255603</v>
      </c>
      <c r="AH248" s="307">
        <f t="shared" si="1120"/>
        <v>0.19977678571428567</v>
      </c>
      <c r="AI248" s="307">
        <f t="shared" si="1120"/>
        <v>0.16288659793814431</v>
      </c>
      <c r="AJ248" s="307">
        <f t="shared" ref="AJ248:AK248" si="1121">-AJ28/AJ25</f>
        <v>0.16123019571295433</v>
      </c>
      <c r="AK248" s="307">
        <f t="shared" si="1121"/>
        <v>0.15583259127337487</v>
      </c>
      <c r="AL248" s="307">
        <f t="shared" ref="AL248" si="1122">-AL28/AL25</f>
        <v>0.13632585203657521</v>
      </c>
      <c r="AM248" s="435">
        <f>+AL248</f>
        <v>0.13632585203657521</v>
      </c>
      <c r="AN248" s="435">
        <f t="shared" ref="AN248:BJ248" si="1123">+AM248</f>
        <v>0.13632585203657521</v>
      </c>
      <c r="AO248" s="435">
        <f t="shared" si="1123"/>
        <v>0.13632585203657521</v>
      </c>
      <c r="AP248" s="435">
        <f t="shared" si="1123"/>
        <v>0.13632585203657521</v>
      </c>
      <c r="AQ248" s="435">
        <f t="shared" si="1123"/>
        <v>0.13632585203657521</v>
      </c>
      <c r="AR248" s="435">
        <f t="shared" si="1123"/>
        <v>0.13632585203657521</v>
      </c>
      <c r="AS248" s="435">
        <f t="shared" si="1123"/>
        <v>0.13632585203657521</v>
      </c>
      <c r="AT248" s="435">
        <f t="shared" si="1123"/>
        <v>0.13632585203657521</v>
      </c>
      <c r="AU248" s="435">
        <f t="shared" si="1123"/>
        <v>0.13632585203657521</v>
      </c>
      <c r="AV248" s="435">
        <f t="shared" si="1123"/>
        <v>0.13632585203657521</v>
      </c>
      <c r="AW248" s="435">
        <f t="shared" si="1123"/>
        <v>0.13632585203657521</v>
      </c>
      <c r="AX248" s="435">
        <f t="shared" si="1123"/>
        <v>0.13632585203657521</v>
      </c>
      <c r="AY248" s="435">
        <f t="shared" si="1123"/>
        <v>0.13632585203657521</v>
      </c>
      <c r="AZ248" s="435">
        <f t="shared" si="1123"/>
        <v>0.13632585203657521</v>
      </c>
      <c r="BA248" s="435">
        <f t="shared" si="1123"/>
        <v>0.13632585203657521</v>
      </c>
      <c r="BB248" s="435">
        <f t="shared" si="1123"/>
        <v>0.13632585203657521</v>
      </c>
      <c r="BC248" s="435">
        <f t="shared" si="1123"/>
        <v>0.13632585203657521</v>
      </c>
      <c r="BD248" s="435">
        <f t="shared" si="1123"/>
        <v>0.13632585203657521</v>
      </c>
      <c r="BE248" s="435">
        <f t="shared" si="1123"/>
        <v>0.13632585203657521</v>
      </c>
      <c r="BF248" s="435">
        <f t="shared" si="1123"/>
        <v>0.13632585203657521</v>
      </c>
      <c r="BG248" s="435">
        <f t="shared" si="1123"/>
        <v>0.13632585203657521</v>
      </c>
      <c r="BH248" s="435">
        <f t="shared" si="1123"/>
        <v>0.13632585203657521</v>
      </c>
      <c r="BI248" s="435">
        <f t="shared" si="1123"/>
        <v>0.13632585203657521</v>
      </c>
      <c r="BJ248" s="435">
        <f t="shared" si="1123"/>
        <v>0.13632585203657521</v>
      </c>
      <c r="BK248" s="207"/>
      <c r="BL248" s="307">
        <f t="shared" ref="BL248:BV248" si="1124">-BL28/BL25</f>
        <v>0.12679425837320574</v>
      </c>
      <c r="BM248" s="307">
        <f t="shared" si="1124"/>
        <v>0.11983805668016197</v>
      </c>
      <c r="BN248" s="307">
        <f t="shared" si="1124"/>
        <v>0.14295580110497239</v>
      </c>
      <c r="BO248" s="307">
        <f t="shared" si="1124"/>
        <v>0.16030534351145037</v>
      </c>
      <c r="BP248" s="307">
        <f t="shared" si="1124"/>
        <v>0.1676356589147287</v>
      </c>
      <c r="BQ248" s="307">
        <f t="shared" si="1124"/>
        <v>0.18595371109337588</v>
      </c>
      <c r="BR248" s="307">
        <f t="shared" si="1124"/>
        <v>0.17769320843091332</v>
      </c>
      <c r="BS248" s="307">
        <f t="shared" si="1124"/>
        <v>0.15335317006179905</v>
      </c>
      <c r="BT248" s="307">
        <f t="shared" ca="1" si="1124"/>
        <v>0.13632585203657518</v>
      </c>
      <c r="BU248" s="307">
        <f t="shared" ca="1" si="1124"/>
        <v>0.13632585203657521</v>
      </c>
      <c r="BV248" s="307">
        <f t="shared" ca="1" si="1124"/>
        <v>0.13632585203657516</v>
      </c>
      <c r="BW248" s="307">
        <f t="shared" ref="BW248:BY248" ca="1" si="1125">-BW28/BW25</f>
        <v>0.13632585203657521</v>
      </c>
      <c r="BX248" s="307">
        <f t="shared" ca="1" si="1125"/>
        <v>0.13632585203657521</v>
      </c>
      <c r="BY248" s="307">
        <f t="shared" ca="1" si="1125"/>
        <v>0.13632585203657518</v>
      </c>
    </row>
    <row r="249" spans="1:85" ht="12" customHeight="1">
      <c r="A249" s="207"/>
      <c r="B249" s="306" t="s">
        <v>212</v>
      </c>
      <c r="C249" s="306"/>
      <c r="D249" s="306"/>
      <c r="E249" s="306"/>
      <c r="F249" s="306"/>
      <c r="G249" s="306"/>
      <c r="H249" s="306"/>
      <c r="I249" s="306"/>
      <c r="J249" s="306"/>
      <c r="K249" s="306"/>
      <c r="L249" s="306"/>
      <c r="M249" s="306"/>
      <c r="N249" s="306"/>
      <c r="O249" s="307">
        <f t="shared" ref="O249:AX249" si="1126">-O28/O9</f>
        <v>8.6372360844529747E-2</v>
      </c>
      <c r="P249" s="307">
        <f t="shared" si="1126"/>
        <v>0.10185185185185185</v>
      </c>
      <c r="Q249" s="307">
        <f t="shared" si="1126"/>
        <v>9.3474426807760136E-2</v>
      </c>
      <c r="R249" s="307">
        <f t="shared" si="1126"/>
        <v>9.3103448275862075E-2</v>
      </c>
      <c r="S249" s="307">
        <f t="shared" si="1126"/>
        <v>0.11480865224625625</v>
      </c>
      <c r="T249" s="307">
        <f t="shared" si="1126"/>
        <v>0.11163522012578615</v>
      </c>
      <c r="U249" s="307">
        <f t="shared" si="1126"/>
        <v>9.6296296296296297E-2</v>
      </c>
      <c r="V249" s="307">
        <f t="shared" si="1126"/>
        <v>9.4052558782849238E-2</v>
      </c>
      <c r="W249" s="307">
        <f t="shared" si="1126"/>
        <v>9.4193548387096773E-2</v>
      </c>
      <c r="X249" s="307">
        <f t="shared" si="1126"/>
        <v>0.10281517747858017</v>
      </c>
      <c r="Y249" s="307">
        <f t="shared" si="1126"/>
        <v>0.10613207547169812</v>
      </c>
      <c r="Z249" s="307">
        <f t="shared" si="1126"/>
        <v>0.11392405063291139</v>
      </c>
      <c r="AA249" s="307">
        <f t="shared" si="1126"/>
        <v>0.10618436406067677</v>
      </c>
      <c r="AB249" s="307">
        <f t="shared" si="1126"/>
        <v>0.11111111111111112</v>
      </c>
      <c r="AC249" s="307">
        <f t="shared" si="1126"/>
        <v>0.11241007194244604</v>
      </c>
      <c r="AD249" s="307">
        <f t="shared" ref="AD249:AI249" si="1127">-AD28/AD9</f>
        <v>0.13327449249779347</v>
      </c>
      <c r="AE249" s="307">
        <f t="shared" si="1127"/>
        <v>0.11884550084889643</v>
      </c>
      <c r="AF249" s="307">
        <f t="shared" si="1127"/>
        <v>0.11452728670253652</v>
      </c>
      <c r="AG249" s="307">
        <f t="shared" si="1127"/>
        <v>9.6662030598052839E-2</v>
      </c>
      <c r="AH249" s="307">
        <f t="shared" si="1127"/>
        <v>0.13027656477438135</v>
      </c>
      <c r="AI249" s="307">
        <f t="shared" si="1127"/>
        <v>0.1058271935699933</v>
      </c>
      <c r="AJ249" s="307">
        <f t="shared" ref="AJ249:AK249" si="1128">-AJ28/AJ9</f>
        <v>0.10365488316357101</v>
      </c>
      <c r="AK249" s="307">
        <f t="shared" si="1128"/>
        <v>9.9828864803194514E-2</v>
      </c>
      <c r="AL249" s="307">
        <f t="shared" ref="AL249" si="1129">-AL28/AL9</f>
        <v>9.0858725761772841E-2</v>
      </c>
      <c r="AM249" s="307">
        <f t="shared" ca="1" si="1126"/>
        <v>8.9933972837497669E-2</v>
      </c>
      <c r="AN249" s="307">
        <f t="shared" ca="1" si="1126"/>
        <v>8.968876988674708E-2</v>
      </c>
      <c r="AO249" s="307">
        <f t="shared" ca="1" si="1126"/>
        <v>8.9377421629421402E-2</v>
      </c>
      <c r="AP249" s="307">
        <f t="shared" ca="1" si="1126"/>
        <v>9.2903613542321462E-2</v>
      </c>
      <c r="AQ249" s="307">
        <f t="shared" ca="1" si="1126"/>
        <v>9.1978860618046318E-2</v>
      </c>
      <c r="AR249" s="307">
        <f t="shared" ca="1" si="1126"/>
        <v>8.968876988674708E-2</v>
      </c>
      <c r="AS249" s="307">
        <f t="shared" ca="1" si="1126"/>
        <v>8.9377421629421402E-2</v>
      </c>
      <c r="AT249" s="307">
        <f t="shared" ca="1" si="1126"/>
        <v>9.2903613542321489E-2</v>
      </c>
      <c r="AU249" s="307">
        <f t="shared" ca="1" si="1126"/>
        <v>9.1978860618046304E-2</v>
      </c>
      <c r="AV249" s="307">
        <f t="shared" ca="1" si="1126"/>
        <v>8.9688769886747066E-2</v>
      </c>
      <c r="AW249" s="307">
        <f t="shared" ca="1" si="1126"/>
        <v>8.9377421629421402E-2</v>
      </c>
      <c r="AX249" s="307">
        <f t="shared" ca="1" si="1126"/>
        <v>9.2903613542321475E-2</v>
      </c>
      <c r="AY249" s="307">
        <f t="shared" ref="AY249:BJ249" ca="1" si="1130">-AY28/AY9</f>
        <v>9.1978860618046318E-2</v>
      </c>
      <c r="AZ249" s="307">
        <f t="shared" ca="1" si="1130"/>
        <v>8.968876988674708E-2</v>
      </c>
      <c r="BA249" s="307">
        <f t="shared" ca="1" si="1130"/>
        <v>8.9377421629421402E-2</v>
      </c>
      <c r="BB249" s="307">
        <f t="shared" ca="1" si="1130"/>
        <v>9.2903613542321475E-2</v>
      </c>
      <c r="BC249" s="307">
        <f t="shared" ca="1" si="1130"/>
        <v>9.1978860618046304E-2</v>
      </c>
      <c r="BD249" s="307">
        <f t="shared" ca="1" si="1130"/>
        <v>8.9688769886747066E-2</v>
      </c>
      <c r="BE249" s="307">
        <f t="shared" ca="1" si="1130"/>
        <v>8.9377421629421402E-2</v>
      </c>
      <c r="BF249" s="307">
        <f t="shared" ca="1" si="1130"/>
        <v>9.2903613542321475E-2</v>
      </c>
      <c r="BG249" s="307">
        <f t="shared" ca="1" si="1130"/>
        <v>9.1978860618046304E-2</v>
      </c>
      <c r="BH249" s="307">
        <f t="shared" ca="1" si="1130"/>
        <v>8.968876988674708E-2</v>
      </c>
      <c r="BI249" s="307">
        <f t="shared" ca="1" si="1130"/>
        <v>8.9377421629421402E-2</v>
      </c>
      <c r="BJ249" s="307">
        <f t="shared" ca="1" si="1130"/>
        <v>9.2903613542321475E-2</v>
      </c>
      <c r="BK249" s="207"/>
      <c r="BL249" s="307"/>
      <c r="BM249" s="307"/>
      <c r="BN249" s="307">
        <f t="shared" ref="BN249:BV249" si="1131">-BN28/BN9</f>
        <v>9.3750000000000014E-2</v>
      </c>
      <c r="BO249" s="307">
        <f t="shared" si="1131"/>
        <v>0.10360531309297913</v>
      </c>
      <c r="BP249" s="307">
        <f t="shared" si="1131"/>
        <v>0.10456331217890602</v>
      </c>
      <c r="BQ249" s="307">
        <f t="shared" si="1131"/>
        <v>0.11670423240671175</v>
      </c>
      <c r="BR249" s="307">
        <f t="shared" si="1131"/>
        <v>0.11472311472311471</v>
      </c>
      <c r="BS249" s="307">
        <f t="shared" si="1131"/>
        <v>9.9702380952380959E-2</v>
      </c>
      <c r="BT249" s="307">
        <f t="shared" ca="1" si="1131"/>
        <v>9.052677929811008E-2</v>
      </c>
      <c r="BU249" s="307">
        <f t="shared" ca="1" si="1131"/>
        <v>9.0997132143094073E-2</v>
      </c>
      <c r="BV249" s="307">
        <f t="shared" ca="1" si="1131"/>
        <v>9.0995751655233076E-2</v>
      </c>
      <c r="BW249" s="307">
        <f t="shared" ref="BW249:BY249" ca="1" si="1132">-BW28/BW9</f>
        <v>9.0996713657230291E-2</v>
      </c>
      <c r="BX249" s="307">
        <f t="shared" ca="1" si="1132"/>
        <v>9.0995407669537717E-2</v>
      </c>
      <c r="BY249" s="307">
        <f t="shared" ca="1" si="1132"/>
        <v>9.099439739249475E-2</v>
      </c>
      <c r="BZ249" s="168"/>
    </row>
    <row r="250" spans="1:85" ht="12" customHeight="1">
      <c r="B250" s="301" t="s">
        <v>100</v>
      </c>
      <c r="C250" s="301"/>
      <c r="D250" s="301"/>
      <c r="E250" s="301"/>
      <c r="F250" s="301"/>
      <c r="G250" s="301"/>
      <c r="H250" s="301"/>
      <c r="I250" s="301"/>
      <c r="J250" s="301"/>
      <c r="K250" s="301"/>
      <c r="L250" s="301"/>
      <c r="M250" s="301"/>
      <c r="N250" s="301"/>
      <c r="O250" s="127"/>
      <c r="P250" s="303">
        <f t="shared" ref="P250:AL250" si="1133">P248-O248</f>
        <v>2.3892997790798204E-2</v>
      </c>
      <c r="Q250" s="303">
        <f t="shared" si="1133"/>
        <v>-8.7891736810547239E-3</v>
      </c>
      <c r="R250" s="303">
        <f t="shared" si="1133"/>
        <v>-2.9142199361759102E-5</v>
      </c>
      <c r="S250" s="303">
        <f t="shared" si="1133"/>
        <v>2.8114973262032078E-2</v>
      </c>
      <c r="T250" s="303">
        <f t="shared" si="1133"/>
        <v>9.5512820512820285E-3</v>
      </c>
      <c r="U250" s="303">
        <f t="shared" si="1133"/>
        <v>-3.1935808610173477E-2</v>
      </c>
      <c r="V250" s="303">
        <f t="shared" si="1133"/>
        <v>-8.4488067744419026E-3</v>
      </c>
      <c r="W250" s="303">
        <f t="shared" si="1133"/>
        <v>4.9196787148594601E-3</v>
      </c>
      <c r="X250" s="303">
        <f t="shared" si="1133"/>
        <v>2.1750327965167265E-2</v>
      </c>
      <c r="Y250" s="303">
        <f t="shared" si="1133"/>
        <v>5.4085003984803703E-3</v>
      </c>
      <c r="Z250" s="303">
        <f t="shared" si="1133"/>
        <v>6.5826951072852358E-3</v>
      </c>
      <c r="AA250" s="303">
        <f t="shared" si="1133"/>
        <v>-9.9158838337324307E-3</v>
      </c>
      <c r="AB250" s="303">
        <f t="shared" si="1133"/>
        <v>5.4317094750567507E-3</v>
      </c>
      <c r="AC250" s="303">
        <f t="shared" si="1133"/>
        <v>5.3157257960717574E-3</v>
      </c>
      <c r="AD250" s="303">
        <f t="shared" si="1133"/>
        <v>2.8854487915986354E-2</v>
      </c>
      <c r="AE250" s="303">
        <f t="shared" si="1133"/>
        <v>-2.9368746915518856E-2</v>
      </c>
      <c r="AF250" s="303">
        <f t="shared" si="1133"/>
        <v>-5.9675528495253816E-3</v>
      </c>
      <c r="AG250" s="303">
        <f t="shared" si="1133"/>
        <v>-1.8848012028241157E-2</v>
      </c>
      <c r="AH250" s="303">
        <f t="shared" si="1133"/>
        <v>4.3947189301729639E-2</v>
      </c>
      <c r="AI250" s="303">
        <f t="shared" si="1133"/>
        <v>-3.6890187776141364E-2</v>
      </c>
      <c r="AJ250" s="303">
        <f t="shared" si="1133"/>
        <v>-1.656402225189979E-3</v>
      </c>
      <c r="AK250" s="303">
        <f t="shared" si="1133"/>
        <v>-5.3976044395794565E-3</v>
      </c>
      <c r="AL250" s="303">
        <f t="shared" si="1133"/>
        <v>-1.9506739236799658E-2</v>
      </c>
      <c r="AM250" s="434">
        <f t="shared" ref="AM250:AX250" si="1134">AM248-AL248</f>
        <v>0</v>
      </c>
      <c r="AN250" s="434">
        <f t="shared" si="1134"/>
        <v>0</v>
      </c>
      <c r="AO250" s="434">
        <f t="shared" si="1134"/>
        <v>0</v>
      </c>
      <c r="AP250" s="434">
        <f t="shared" si="1134"/>
        <v>0</v>
      </c>
      <c r="AQ250" s="434">
        <f t="shared" si="1134"/>
        <v>0</v>
      </c>
      <c r="AR250" s="434">
        <f t="shared" si="1134"/>
        <v>0</v>
      </c>
      <c r="AS250" s="434">
        <f t="shared" si="1134"/>
        <v>0</v>
      </c>
      <c r="AT250" s="434">
        <f t="shared" si="1134"/>
        <v>0</v>
      </c>
      <c r="AU250" s="434">
        <f t="shared" si="1134"/>
        <v>0</v>
      </c>
      <c r="AV250" s="434">
        <f t="shared" si="1134"/>
        <v>0</v>
      </c>
      <c r="AW250" s="434">
        <f t="shared" si="1134"/>
        <v>0</v>
      </c>
      <c r="AX250" s="434">
        <f t="shared" si="1134"/>
        <v>0</v>
      </c>
      <c r="AY250" s="434">
        <f t="shared" ref="AY250" si="1135">AY248-AX248</f>
        <v>0</v>
      </c>
      <c r="AZ250" s="434">
        <f t="shared" ref="AZ250" si="1136">AZ248-AY248</f>
        <v>0</v>
      </c>
      <c r="BA250" s="434">
        <f t="shared" ref="BA250" si="1137">BA248-AZ248</f>
        <v>0</v>
      </c>
      <c r="BB250" s="434">
        <f t="shared" ref="BB250" si="1138">BB248-BA248</f>
        <v>0</v>
      </c>
      <c r="BC250" s="434">
        <f t="shared" ref="BC250" si="1139">BC248-BB248</f>
        <v>0</v>
      </c>
      <c r="BD250" s="434">
        <f t="shared" ref="BD250" si="1140">BD248-BC248</f>
        <v>0</v>
      </c>
      <c r="BE250" s="434">
        <f t="shared" ref="BE250" si="1141">BE248-BD248</f>
        <v>0</v>
      </c>
      <c r="BF250" s="434">
        <f t="shared" ref="BF250" si="1142">BF248-BE248</f>
        <v>0</v>
      </c>
      <c r="BG250" s="434">
        <f t="shared" ref="BG250" si="1143">BG248-BF248</f>
        <v>0</v>
      </c>
      <c r="BH250" s="434">
        <f t="shared" ref="BH250" si="1144">BH248-BG248</f>
        <v>0</v>
      </c>
      <c r="BI250" s="434">
        <f t="shared" ref="BI250" si="1145">BI248-BH248</f>
        <v>0</v>
      </c>
      <c r="BJ250" s="434">
        <f t="shared" ref="BJ250" si="1146">BJ248-BI248</f>
        <v>0</v>
      </c>
      <c r="BL250" s="20">
        <f t="shared" ref="BL250:BR250" si="1147">BL248-BK248</f>
        <v>0.12679425837320574</v>
      </c>
      <c r="BM250" s="20">
        <f t="shared" si="1147"/>
        <v>-6.9562016930437703E-3</v>
      </c>
      <c r="BN250" s="20">
        <f t="shared" si="1147"/>
        <v>2.3117744424810419E-2</v>
      </c>
      <c r="BO250" s="20">
        <f t="shared" si="1147"/>
        <v>1.7349542406477986E-2</v>
      </c>
      <c r="BP250" s="20">
        <f t="shared" si="1147"/>
        <v>7.3303154032783313E-3</v>
      </c>
      <c r="BQ250" s="20">
        <f t="shared" si="1147"/>
        <v>1.8318052178647182E-2</v>
      </c>
      <c r="BR250" s="20">
        <f t="shared" si="1147"/>
        <v>-8.2605026624625599E-3</v>
      </c>
      <c r="BS250" s="20">
        <f>BS248-BR248</f>
        <v>-2.4340038369114275E-2</v>
      </c>
      <c r="BT250" s="20">
        <f ca="1">BT248-BS248</f>
        <v>-1.7027318025223864E-2</v>
      </c>
      <c r="BU250" s="20">
        <f ca="1">BU248-BT248</f>
        <v>0</v>
      </c>
      <c r="BV250" s="20">
        <f ca="1">BV248-BU248</f>
        <v>0</v>
      </c>
      <c r="BW250" s="20">
        <f t="shared" ref="BW250:BY250" ca="1" si="1148">BW248-BV248</f>
        <v>0</v>
      </c>
      <c r="BX250" s="20">
        <f t="shared" ca="1" si="1148"/>
        <v>0</v>
      </c>
      <c r="BY250" s="20">
        <f t="shared" ca="1" si="1148"/>
        <v>0</v>
      </c>
    </row>
    <row r="251" spans="1:85" ht="12" customHeight="1">
      <c r="Q251" s="6"/>
      <c r="R251" s="6"/>
      <c r="S251" s="6"/>
      <c r="T251" s="6"/>
      <c r="U251" s="6"/>
      <c r="V251" s="6"/>
      <c r="W251" s="6"/>
      <c r="X251" s="6"/>
      <c r="Y251" s="6"/>
      <c r="Z251" s="6"/>
      <c r="AA251" s="299"/>
      <c r="AB251" s="299"/>
      <c r="AC251" s="299"/>
      <c r="AD251" s="299"/>
      <c r="AE251" s="299"/>
      <c r="AF251" s="299"/>
      <c r="AG251" s="299"/>
      <c r="AH251" s="299"/>
      <c r="AI251" s="299"/>
      <c r="AJ251" s="299"/>
      <c r="AK251" s="299"/>
      <c r="AL251" s="299"/>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L251" s="6"/>
      <c r="BM251" s="6"/>
      <c r="BN251" s="6"/>
      <c r="BO251" s="6"/>
      <c r="BP251" s="6"/>
      <c r="BQ251" s="6"/>
      <c r="BR251" s="6"/>
      <c r="BS251" s="6"/>
      <c r="BT251" s="6"/>
      <c r="BU251" s="6"/>
      <c r="BV251" s="6"/>
      <c r="BW251" s="6"/>
      <c r="BX251" s="6"/>
      <c r="BY251" s="6"/>
    </row>
    <row r="252" spans="1:85" ht="12" customHeight="1">
      <c r="B252" t="s">
        <v>158</v>
      </c>
      <c r="Q252" s="20">
        <f t="shared" ref="Q252:AC252" si="1149">Q56/Q9</f>
        <v>-1.4109347442680775E-2</v>
      </c>
      <c r="R252" s="20">
        <f t="shared" si="1149"/>
        <v>-5.8620689655172413E-2</v>
      </c>
      <c r="S252" s="20">
        <f t="shared" si="1149"/>
        <v>-5.3244592346089845E-2</v>
      </c>
      <c r="T252" s="20">
        <f t="shared" si="1149"/>
        <v>-9.7484276729559755E-2</v>
      </c>
      <c r="U252" s="20">
        <f t="shared" si="1149"/>
        <v>-0.08</v>
      </c>
      <c r="V252" s="20">
        <f t="shared" si="1149"/>
        <v>-8.1604426002766253E-2</v>
      </c>
      <c r="W252" s="20">
        <f t="shared" si="1149"/>
        <v>-4.645161290322581E-2</v>
      </c>
      <c r="X252" s="20">
        <f t="shared" si="1149"/>
        <v>-6.24235006119951E-2</v>
      </c>
      <c r="Y252" s="20">
        <f t="shared" si="1149"/>
        <v>-2.8301886792452831E-2</v>
      </c>
      <c r="Z252" s="20">
        <f t="shared" si="1149"/>
        <v>-5.9838895281933244E-2</v>
      </c>
      <c r="AA252" s="20">
        <f t="shared" si="1149"/>
        <v>-2.2170361726954489E-2</v>
      </c>
      <c r="AB252" s="20">
        <f t="shared" si="1149"/>
        <v>-2.0202020202020204E-2</v>
      </c>
      <c r="AC252" s="20">
        <f t="shared" si="1149"/>
        <v>-2.8776978417266189E-2</v>
      </c>
      <c r="AD252" s="20">
        <f t="shared" ref="AD252:AI252" si="1150">AD56/AD9</f>
        <v>-1.9417475728155338E-2</v>
      </c>
      <c r="AE252" s="20">
        <f t="shared" si="1150"/>
        <v>-3.3106960950764007E-2</v>
      </c>
      <c r="AF252" s="20">
        <f t="shared" si="1150"/>
        <v>-6.4565718677940045E-2</v>
      </c>
      <c r="AG252" s="20">
        <f t="shared" si="1150"/>
        <v>-9.5271210013908189E-2</v>
      </c>
      <c r="AH252" s="20">
        <f t="shared" si="1150"/>
        <v>-4.5851528384279472E-2</v>
      </c>
      <c r="AI252" s="20">
        <f t="shared" si="1150"/>
        <v>-8.9082384460817149E-2</v>
      </c>
      <c r="AJ252" s="20">
        <f t="shared" ref="AJ252:AK252" si="1151">AJ56/AJ9</f>
        <v>-3.8945476333133611E-2</v>
      </c>
      <c r="AK252" s="20">
        <f t="shared" si="1151"/>
        <v>2.2818026240730197E-3</v>
      </c>
      <c r="AL252" s="20">
        <f t="shared" ref="AL252" si="1152">AL56/AL9</f>
        <v>-3.933518005540166E-2</v>
      </c>
      <c r="AM252" s="121">
        <f t="shared" ref="AM252:AX252" si="1153">+AL252</f>
        <v>-3.933518005540166E-2</v>
      </c>
      <c r="AN252" s="121">
        <f t="shared" si="1153"/>
        <v>-3.933518005540166E-2</v>
      </c>
      <c r="AO252" s="121">
        <f t="shared" si="1153"/>
        <v>-3.933518005540166E-2</v>
      </c>
      <c r="AP252" s="121">
        <f t="shared" si="1153"/>
        <v>-3.933518005540166E-2</v>
      </c>
      <c r="AQ252" s="121">
        <f t="shared" si="1153"/>
        <v>-3.933518005540166E-2</v>
      </c>
      <c r="AR252" s="121">
        <f t="shared" si="1153"/>
        <v>-3.933518005540166E-2</v>
      </c>
      <c r="AS252" s="121">
        <f t="shared" si="1153"/>
        <v>-3.933518005540166E-2</v>
      </c>
      <c r="AT252" s="121">
        <f t="shared" si="1153"/>
        <v>-3.933518005540166E-2</v>
      </c>
      <c r="AU252" s="121">
        <f t="shared" si="1153"/>
        <v>-3.933518005540166E-2</v>
      </c>
      <c r="AV252" s="121">
        <f t="shared" si="1153"/>
        <v>-3.933518005540166E-2</v>
      </c>
      <c r="AW252" s="121">
        <f t="shared" si="1153"/>
        <v>-3.933518005540166E-2</v>
      </c>
      <c r="AX252" s="121">
        <f t="shared" si="1153"/>
        <v>-3.933518005540166E-2</v>
      </c>
      <c r="AY252" s="121">
        <f t="shared" ref="AY252" si="1154">+AX252</f>
        <v>-3.933518005540166E-2</v>
      </c>
      <c r="AZ252" s="121">
        <f t="shared" ref="AZ252" si="1155">+AY252</f>
        <v>-3.933518005540166E-2</v>
      </c>
      <c r="BA252" s="121">
        <f t="shared" ref="BA252" si="1156">+AZ252</f>
        <v>-3.933518005540166E-2</v>
      </c>
      <c r="BB252" s="121">
        <f t="shared" ref="BB252" si="1157">+BA252</f>
        <v>-3.933518005540166E-2</v>
      </c>
      <c r="BC252" s="121">
        <f t="shared" ref="BC252" si="1158">+BB252</f>
        <v>-3.933518005540166E-2</v>
      </c>
      <c r="BD252" s="121">
        <f t="shared" ref="BD252" si="1159">+BC252</f>
        <v>-3.933518005540166E-2</v>
      </c>
      <c r="BE252" s="121">
        <f t="shared" ref="BE252" si="1160">+BD252</f>
        <v>-3.933518005540166E-2</v>
      </c>
      <c r="BF252" s="121">
        <f t="shared" ref="BF252" si="1161">+BE252</f>
        <v>-3.933518005540166E-2</v>
      </c>
      <c r="BG252" s="121">
        <f t="shared" ref="BG252" si="1162">+BF252</f>
        <v>-3.933518005540166E-2</v>
      </c>
      <c r="BH252" s="121">
        <f t="shared" ref="BH252" si="1163">+BG252</f>
        <v>-3.933518005540166E-2</v>
      </c>
      <c r="BI252" s="121">
        <f t="shared" ref="BI252" si="1164">+BH252</f>
        <v>-3.933518005540166E-2</v>
      </c>
      <c r="BJ252" s="121">
        <f t="shared" ref="BJ252" si="1165">+BI252</f>
        <v>-3.933518005540166E-2</v>
      </c>
      <c r="BL252" s="6"/>
      <c r="BM252" s="6"/>
      <c r="BN252" s="6"/>
      <c r="BO252" s="6"/>
      <c r="BP252" s="6"/>
      <c r="BQ252" s="6"/>
      <c r="BR252" s="6"/>
      <c r="BS252" s="6"/>
      <c r="BT252" s="6"/>
      <c r="BU252" s="6"/>
      <c r="BV252" s="6"/>
      <c r="BW252" s="6"/>
      <c r="BX252" s="6"/>
      <c r="BY252" s="6"/>
    </row>
    <row r="253" spans="1:85" s="298" customFormat="1" ht="12" customHeight="1">
      <c r="A253" s="50"/>
      <c r="B253" s="50" t="s">
        <v>56</v>
      </c>
      <c r="C253" s="50"/>
      <c r="D253" s="50"/>
      <c r="E253" s="50"/>
      <c r="F253" s="50"/>
      <c r="G253" s="50"/>
      <c r="H253" s="50"/>
      <c r="I253" s="50"/>
      <c r="J253" s="50"/>
      <c r="K253" s="50"/>
      <c r="L253" s="50"/>
      <c r="M253" s="50"/>
      <c r="N253" s="50"/>
      <c r="O253" s="50"/>
      <c r="P253" s="49"/>
      <c r="Q253" s="20">
        <f t="shared" ref="Q253:AC253" si="1166">-Q58/Q25</f>
        <v>2.7247956403269751E-2</v>
      </c>
      <c r="R253" s="20">
        <f t="shared" si="1166"/>
        <v>4.2780748663101609E-2</v>
      </c>
      <c r="S253" s="20">
        <f t="shared" si="1166"/>
        <v>7.4999999999999997E-3</v>
      </c>
      <c r="T253" s="20">
        <f t="shared" si="1166"/>
        <v>1.0256410256410256E-2</v>
      </c>
      <c r="U253" s="20">
        <f t="shared" si="1166"/>
        <v>3.6951501154734417E-2</v>
      </c>
      <c r="V253" s="20">
        <f t="shared" si="1166"/>
        <v>3.9583333333333331E-2</v>
      </c>
      <c r="W253" s="20">
        <f t="shared" si="1166"/>
        <v>8.0321285140562259E-3</v>
      </c>
      <c r="X253" s="20">
        <f t="shared" si="1166"/>
        <v>6.0120240480961915E-3</v>
      </c>
      <c r="Y253" s="20">
        <f t="shared" si="1166"/>
        <v>4.0540540540540543E-2</v>
      </c>
      <c r="Z253" s="20">
        <f t="shared" si="1166"/>
        <v>1.8214936247723131E-2</v>
      </c>
      <c r="AA253" s="20">
        <f t="shared" si="1166"/>
        <v>3.7453183520599247E-3</v>
      </c>
      <c r="AB253" s="20">
        <f t="shared" si="1166"/>
        <v>5.3285968028419185E-3</v>
      </c>
      <c r="AC253" s="20">
        <f t="shared" si="1166"/>
        <v>1.7391304347826087E-2</v>
      </c>
      <c r="AD253" s="20">
        <f t="shared" ref="AD253:AI253" si="1167">-AD58/AD25</f>
        <v>9.7357440890125154E-3</v>
      </c>
      <c r="AE253" s="20">
        <f t="shared" si="1167"/>
        <v>1.1612903225806452E-2</v>
      </c>
      <c r="AF253" s="20">
        <f t="shared" si="1167"/>
        <v>1.0550996483001174E-2</v>
      </c>
      <c r="AG253" s="20">
        <f t="shared" si="1167"/>
        <v>1.9058295964125557E-2</v>
      </c>
      <c r="AH253" s="20">
        <f t="shared" si="1167"/>
        <v>2.120535714285714E-2</v>
      </c>
      <c r="AI253" s="20">
        <f t="shared" si="1167"/>
        <v>1.5463917525773193E-2</v>
      </c>
      <c r="AJ253" s="20">
        <f t="shared" ref="AJ253:AK253" si="1168">-AJ58/AJ25</f>
        <v>6.5237651444547988E-3</v>
      </c>
      <c r="AK253" s="20">
        <f t="shared" si="1168"/>
        <v>5.342831700801424E-3</v>
      </c>
      <c r="AL253" s="20">
        <f t="shared" ref="AL253" si="1169">-AL58/AL25</f>
        <v>1.3300083125519535E-2</v>
      </c>
      <c r="AM253" s="121">
        <f t="shared" ref="AM253:AX253" si="1170">+AVERAGE(AE253:AL253)</f>
        <v>1.2882268789042408E-2</v>
      </c>
      <c r="AN253" s="121">
        <f t="shared" si="1170"/>
        <v>1.3040939484446902E-2</v>
      </c>
      <c r="AO253" s="121">
        <f t="shared" si="1170"/>
        <v>1.3352182359627618E-2</v>
      </c>
      <c r="AP253" s="121">
        <f t="shared" si="1170"/>
        <v>1.2638918159065378E-2</v>
      </c>
      <c r="AQ253" s="121">
        <f t="shared" si="1170"/>
        <v>1.1568113286091409E-2</v>
      </c>
      <c r="AR253" s="121">
        <f t="shared" si="1170"/>
        <v>1.1081137756131185E-2</v>
      </c>
      <c r="AS253" s="121">
        <f t="shared" si="1170"/>
        <v>1.1650809332590733E-2</v>
      </c>
      <c r="AT253" s="121">
        <f t="shared" si="1170"/>
        <v>1.2439306536564396E-2</v>
      </c>
      <c r="AU253" s="121">
        <f t="shared" si="1170"/>
        <v>1.2331709462945005E-2</v>
      </c>
      <c r="AV253" s="121">
        <f t="shared" si="1170"/>
        <v>1.2262889547182829E-2</v>
      </c>
      <c r="AW253" s="121">
        <f t="shared" si="1170"/>
        <v>1.2165633305024817E-2</v>
      </c>
      <c r="AX253" s="121">
        <f t="shared" si="1170"/>
        <v>1.201731467319947E-2</v>
      </c>
      <c r="AY253" s="121">
        <f t="shared" ref="AY253" si="1171">+AVERAGE(AQ253:AX253)</f>
        <v>1.193961423746623E-2</v>
      </c>
      <c r="AZ253" s="121">
        <f t="shared" ref="AZ253" si="1172">+AVERAGE(AR253:AY253)</f>
        <v>1.1986051856388083E-2</v>
      </c>
      <c r="BA253" s="121">
        <f t="shared" ref="BA253" si="1173">+AVERAGE(AS253:AZ253)</f>
        <v>1.2099166118920195E-2</v>
      </c>
      <c r="BB253" s="121">
        <f t="shared" ref="BB253" si="1174">+AVERAGE(AT253:BA253)</f>
        <v>1.2155210717211377E-2</v>
      </c>
      <c r="BC253" s="121">
        <f t="shared" ref="BC253" si="1175">+AVERAGE(AU253:BB253)</f>
        <v>1.211969873979225E-2</v>
      </c>
      <c r="BD253" s="121">
        <f t="shared" ref="BD253" si="1176">+AVERAGE(AV253:BC253)</f>
        <v>1.2093197399398155E-2</v>
      </c>
      <c r="BE253" s="121">
        <f t="shared" ref="BE253" si="1177">+AVERAGE(AW253:BD253)</f>
        <v>1.2071985880925073E-2</v>
      </c>
      <c r="BF253" s="121">
        <f t="shared" ref="BF253" si="1178">+AVERAGE(AX253:BE253)</f>
        <v>1.2060279952912605E-2</v>
      </c>
      <c r="BG253" s="121">
        <f t="shared" ref="BG253" si="1179">+AVERAGE(AY253:BF253)</f>
        <v>1.2065650612876747E-2</v>
      </c>
      <c r="BH253" s="121">
        <f t="shared" ref="BH253" si="1180">+AVERAGE(AZ253:BG253)</f>
        <v>1.2081405159803061E-2</v>
      </c>
      <c r="BI253" s="121">
        <f t="shared" ref="BI253" si="1181">+AVERAGE(BA253:BH253)</f>
        <v>1.2093324322729932E-2</v>
      </c>
      <c r="BJ253" s="121">
        <f t="shared" ref="BJ253" si="1182">+AVERAGE(BB253:BI253)</f>
        <v>1.209259409820615E-2</v>
      </c>
      <c r="BK253" s="50"/>
      <c r="BL253" s="70"/>
      <c r="BM253" s="70"/>
      <c r="BN253" s="70"/>
      <c r="BO253" s="70"/>
      <c r="BP253" s="70"/>
      <c r="BQ253" s="70"/>
      <c r="BR253" s="70"/>
      <c r="BS253" s="70"/>
      <c r="BT253" s="70"/>
      <c r="BU253" s="70"/>
      <c r="BV253" s="70"/>
      <c r="BW253" s="70"/>
      <c r="BX253" s="70"/>
      <c r="BY253" s="70"/>
      <c r="BZ253" s="50"/>
      <c r="CA253" s="294"/>
      <c r="CB253"/>
      <c r="CC253"/>
      <c r="CD253"/>
      <c r="CE253"/>
      <c r="CF253"/>
      <c r="CG253"/>
    </row>
    <row r="254" spans="1:85" s="298" customFormat="1" ht="12" customHeight="1">
      <c r="A254" s="50"/>
      <c r="B254" s="50" t="s">
        <v>143</v>
      </c>
      <c r="C254" s="50"/>
      <c r="D254" s="50"/>
      <c r="E254" s="50"/>
      <c r="F254" s="50"/>
      <c r="G254" s="50"/>
      <c r="H254" s="50"/>
      <c r="I254" s="50"/>
      <c r="J254" s="50"/>
      <c r="K254" s="50"/>
      <c r="L254" s="50"/>
      <c r="M254" s="50"/>
      <c r="N254" s="50"/>
      <c r="O254" s="50"/>
      <c r="P254" s="49"/>
      <c r="Q254" s="120">
        <f t="shared" ref="Q254:AC254" si="1183">Q31/Q28</f>
        <v>-0.32075471698113206</v>
      </c>
      <c r="R254" s="120">
        <f t="shared" si="1183"/>
        <v>-0.14814814814814814</v>
      </c>
      <c r="S254" s="120">
        <f t="shared" si="1183"/>
        <v>-0.17391304347826086</v>
      </c>
      <c r="T254" s="120">
        <f t="shared" si="1183"/>
        <v>-0.25352112676056338</v>
      </c>
      <c r="U254" s="120">
        <f t="shared" si="1183"/>
        <v>-0.30769230769230771</v>
      </c>
      <c r="V254" s="120">
        <f t="shared" si="1183"/>
        <v>-0.19117647058823531</v>
      </c>
      <c r="W254" s="120">
        <f t="shared" si="1183"/>
        <v>-0.30136986301369867</v>
      </c>
      <c r="X254" s="120">
        <f t="shared" si="1183"/>
        <v>-0.33333333333333331</v>
      </c>
      <c r="Y254" s="120">
        <f t="shared" si="1183"/>
        <v>-0.28888888888888892</v>
      </c>
      <c r="Z254" s="120">
        <f t="shared" si="1183"/>
        <v>-0.27272727272727276</v>
      </c>
      <c r="AA254" s="120">
        <f t="shared" si="1183"/>
        <v>-0.32967032967032966</v>
      </c>
      <c r="AB254" s="120">
        <f t="shared" si="1183"/>
        <v>-0.32323232323232326</v>
      </c>
      <c r="AC254" s="120">
        <f t="shared" si="1183"/>
        <v>-0.27200000000000002</v>
      </c>
      <c r="AD254" s="120">
        <f t="shared" ref="AD254:AI254" si="1184">AD31/AD28</f>
        <v>-0.15894039735099338</v>
      </c>
      <c r="AE254" s="120">
        <f t="shared" si="1184"/>
        <v>-0.21428571428571427</v>
      </c>
      <c r="AF254" s="120">
        <f t="shared" si="1184"/>
        <v>-0.21476510067114093</v>
      </c>
      <c r="AG254" s="120">
        <f t="shared" si="1184"/>
        <v>-0.16546762589928055</v>
      </c>
      <c r="AH254" s="120">
        <f t="shared" si="1184"/>
        <v>-0.16759776536312851</v>
      </c>
      <c r="AI254" s="120">
        <f t="shared" si="1184"/>
        <v>-0.23417721518987342</v>
      </c>
      <c r="AJ254" s="120">
        <f t="shared" ref="AJ254:AK254" si="1185">AJ31/AJ28</f>
        <v>-0.23121387283236994</v>
      </c>
      <c r="AK254" s="120">
        <f t="shared" si="1185"/>
        <v>-0.22285714285714286</v>
      </c>
      <c r="AL254" s="120">
        <f t="shared" ref="AL254" si="1186">AL31/AL28</f>
        <v>-0.18902439024390247</v>
      </c>
      <c r="AM254" s="494">
        <f>+AVERAGE(AI254:AL254)</f>
        <v>-0.21931815528082219</v>
      </c>
      <c r="AN254" s="494">
        <f t="shared" ref="AN254:BJ254" si="1187">+AVERAGE(AJ254:AM254)</f>
        <v>-0.21560339030355938</v>
      </c>
      <c r="AO254" s="494">
        <f t="shared" si="1187"/>
        <v>-0.21170076967135673</v>
      </c>
      <c r="AP254" s="494">
        <f t="shared" si="1187"/>
        <v>-0.2089116763749102</v>
      </c>
      <c r="AQ254" s="494">
        <f t="shared" si="1187"/>
        <v>-0.21388349790766215</v>
      </c>
      <c r="AR254" s="494">
        <f t="shared" si="1187"/>
        <v>-0.2125248335643721</v>
      </c>
      <c r="AS254" s="494">
        <f t="shared" si="1187"/>
        <v>-0.2117551943795753</v>
      </c>
      <c r="AT254" s="494">
        <f t="shared" si="1187"/>
        <v>-0.21176880055662994</v>
      </c>
      <c r="AU254" s="494">
        <f t="shared" si="1187"/>
        <v>-0.21248308160205989</v>
      </c>
      <c r="AV254" s="494">
        <f t="shared" si="1187"/>
        <v>-0.21213297752565929</v>
      </c>
      <c r="AW254" s="494">
        <f t="shared" si="1187"/>
        <v>-0.21203501351598111</v>
      </c>
      <c r="AX254" s="494">
        <f t="shared" si="1187"/>
        <v>-0.21210496830008255</v>
      </c>
      <c r="AY254" s="494">
        <f t="shared" si="1187"/>
        <v>-0.21218901023594569</v>
      </c>
      <c r="AZ254" s="494">
        <f t="shared" si="1187"/>
        <v>-0.21211549239441715</v>
      </c>
      <c r="BA254" s="494">
        <f t="shared" si="1187"/>
        <v>-0.21211112111160663</v>
      </c>
      <c r="BB254" s="494">
        <f t="shared" si="1187"/>
        <v>-0.212130148010513</v>
      </c>
      <c r="BC254" s="494">
        <f t="shared" si="1187"/>
        <v>-0.21213644293812062</v>
      </c>
      <c r="BD254" s="494">
        <f t="shared" si="1187"/>
        <v>-0.21212330111366434</v>
      </c>
      <c r="BE254" s="494">
        <f t="shared" si="1187"/>
        <v>-0.21212525329347615</v>
      </c>
      <c r="BF254" s="494">
        <f t="shared" si="1187"/>
        <v>-0.2121287863389435</v>
      </c>
      <c r="BG254" s="494">
        <f t="shared" si="1187"/>
        <v>-0.21212844592105115</v>
      </c>
      <c r="BH254" s="494">
        <f t="shared" si="1187"/>
        <v>-0.21212644666678379</v>
      </c>
      <c r="BI254" s="494">
        <f t="shared" si="1187"/>
        <v>-0.21212723305506365</v>
      </c>
      <c r="BJ254" s="494">
        <f t="shared" si="1187"/>
        <v>-0.21212772799546054</v>
      </c>
      <c r="BK254" s="50"/>
      <c r="BL254" s="70"/>
      <c r="BM254" s="70"/>
      <c r="BN254" s="70"/>
      <c r="BO254" s="70"/>
      <c r="BP254" s="70"/>
      <c r="BQ254" s="70"/>
      <c r="BR254" s="70"/>
      <c r="BS254" s="70"/>
      <c r="BT254" s="70"/>
      <c r="BU254" s="70"/>
      <c r="BV254" s="70"/>
      <c r="BW254" s="70"/>
      <c r="BX254" s="70"/>
      <c r="BY254" s="70"/>
      <c r="BZ254" s="50"/>
      <c r="CA254" s="294"/>
      <c r="CB254"/>
      <c r="CC254"/>
      <c r="CD254"/>
      <c r="CE254"/>
      <c r="CF254"/>
      <c r="CG254"/>
    </row>
    <row r="255" spans="1:85" ht="12" customHeight="1">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L255" s="6"/>
      <c r="BM255" s="6"/>
      <c r="BN255" s="6"/>
      <c r="BO255" s="6"/>
      <c r="BP255" s="6"/>
      <c r="BQ255" s="6"/>
      <c r="BR255" s="6"/>
      <c r="BS255" s="6"/>
      <c r="BT255" s="6"/>
      <c r="BU255" s="6"/>
      <c r="BV255" s="6"/>
      <c r="BW255" s="6"/>
      <c r="BX255" s="6"/>
      <c r="BY255" s="6"/>
    </row>
    <row r="256" spans="1:85" ht="12" customHeight="1">
      <c r="B256" s="8" t="s">
        <v>70</v>
      </c>
      <c r="C256" s="8"/>
      <c r="D256" s="8"/>
      <c r="E256" s="8"/>
      <c r="F256" s="8"/>
      <c r="G256" s="8"/>
      <c r="H256" s="8"/>
      <c r="I256" s="8"/>
      <c r="J256" s="8"/>
      <c r="K256" s="8"/>
      <c r="L256" s="8"/>
      <c r="M256" s="8"/>
      <c r="N256" s="8"/>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L256" s="6"/>
      <c r="BM256" s="6"/>
      <c r="BN256" s="6"/>
      <c r="BO256" s="6"/>
      <c r="BP256" s="6"/>
      <c r="BQ256" s="6"/>
      <c r="BR256" s="6"/>
      <c r="BS256" s="6"/>
      <c r="BT256" s="6"/>
      <c r="BU256" s="6"/>
      <c r="BV256" s="6"/>
      <c r="BW256" s="6"/>
      <c r="BX256" s="6"/>
      <c r="BY256" s="6"/>
    </row>
    <row r="257" spans="2:77" ht="12" customHeight="1">
      <c r="B257" s="2" t="s">
        <v>17</v>
      </c>
      <c r="C257" s="2"/>
      <c r="D257" s="2"/>
      <c r="E257" s="2"/>
      <c r="F257" s="2"/>
      <c r="G257" s="2"/>
      <c r="H257" s="2"/>
      <c r="I257" s="2"/>
      <c r="J257" s="2"/>
      <c r="K257" s="2"/>
      <c r="L257" s="2"/>
      <c r="M257" s="2"/>
      <c r="N257" s="2"/>
      <c r="P257" s="20">
        <f ca="1">P346/P344</f>
        <v>1.8602179112410275E-3</v>
      </c>
      <c r="Q257" s="20">
        <f ca="1">Q346/Q344</f>
        <v>3.9628482972136241E-3</v>
      </c>
      <c r="R257" s="20">
        <f t="shared" ref="R257:W257" ca="1" si="1188">R346/R344</f>
        <v>1.8673607967406115E-2</v>
      </c>
      <c r="S257" s="20">
        <f t="shared" ca="1" si="1188"/>
        <v>0.34721048182586656</v>
      </c>
      <c r="T257" s="20">
        <f t="shared" ca="1" si="1188"/>
        <v>0.26744768198658264</v>
      </c>
      <c r="U257" s="20">
        <f t="shared" ca="1" si="1188"/>
        <v>0.20166477487703377</v>
      </c>
      <c r="V257" s="20">
        <f t="shared" ca="1" si="1188"/>
        <v>0.13279785809906294</v>
      </c>
      <c r="W257" s="20">
        <f t="shared" ca="1" si="1188"/>
        <v>0.10588633288227334</v>
      </c>
      <c r="X257" s="20">
        <f t="shared" ref="X257:AC257" ca="1" si="1189">X346/X344</f>
        <v>3.9767685730418681E-2</v>
      </c>
      <c r="Y257" s="20">
        <f t="shared" ca="1" si="1189"/>
        <v>2.3035538379934859E-2</v>
      </c>
      <c r="Z257" s="20">
        <f t="shared" ca="1" si="1189"/>
        <v>2.6479976784677905E-2</v>
      </c>
      <c r="AA257" s="20">
        <f t="shared" ca="1" si="1189"/>
        <v>1.8342151675485033E-2</v>
      </c>
      <c r="AB257" s="20">
        <f t="shared" ca="1" si="1189"/>
        <v>0.28198308783415166</v>
      </c>
      <c r="AC257" s="20">
        <f t="shared" ca="1" si="1189"/>
        <v>2.2960655359409356E-2</v>
      </c>
      <c r="AD257" s="20">
        <f t="shared" ref="AD257:AI257" ca="1" si="1190">AD346/AD344</f>
        <v>7.8244692492887881E-3</v>
      </c>
      <c r="AE257" s="20">
        <f t="shared" ca="1" si="1190"/>
        <v>4.2080514370711683E-2</v>
      </c>
      <c r="AF257" s="20">
        <f t="shared" ca="1" si="1190"/>
        <v>5.9599060863284401E-3</v>
      </c>
      <c r="AG257" s="20">
        <f t="shared" ca="1" si="1190"/>
        <v>4.5206098713681938E-3</v>
      </c>
      <c r="AH257" s="20">
        <f t="shared" ca="1" si="1190"/>
        <v>5.6119311193112897E-3</v>
      </c>
      <c r="AI257" s="20">
        <f t="shared" ca="1" si="1190"/>
        <v>6.2891142830718639E-3</v>
      </c>
      <c r="AJ257" s="20">
        <f t="shared" ref="AJ257:AK257" ca="1" si="1191">AJ346/AJ344</f>
        <v>1.132246376811607E-2</v>
      </c>
      <c r="AK257" s="20">
        <f t="shared" ca="1" si="1191"/>
        <v>6.7284811684583086E-3</v>
      </c>
      <c r="AL257" s="20">
        <f t="shared" ref="AL257" ca="1" si="1192">AL346/AL344</f>
        <v>3.9549052280774939E-2</v>
      </c>
      <c r="AM257" s="20">
        <f t="shared" ref="AM257:AX257" ca="1" si="1193">AM346/AM344</f>
        <v>4.9730483104067583E-3</v>
      </c>
      <c r="AN257" s="20">
        <f t="shared" ca="1" si="1193"/>
        <v>4.2422759234095045E-3</v>
      </c>
      <c r="AO257" s="20">
        <f t="shared" ca="1" si="1193"/>
        <v>2.4653344490408242E-2</v>
      </c>
      <c r="AP257" s="20">
        <f t="shared" ca="1" si="1193"/>
        <v>8.5661103616008257E-3</v>
      </c>
      <c r="AQ257" s="20">
        <f t="shared" ca="1" si="1193"/>
        <v>2.7967498390769785E-2</v>
      </c>
      <c r="AR257" s="20">
        <f t="shared" ca="1" si="1193"/>
        <v>3.4291837072392391E-3</v>
      </c>
      <c r="AS257" s="20">
        <f t="shared" ca="1" si="1193"/>
        <v>2.5337820776270423E-2</v>
      </c>
      <c r="AT257" s="20">
        <f t="shared" ca="1" si="1193"/>
        <v>2.3452433019179434E-2</v>
      </c>
      <c r="AU257" s="20">
        <f t="shared" ca="1" si="1193"/>
        <v>7.8566093127043039E-3</v>
      </c>
      <c r="AV257" s="20">
        <f t="shared" ca="1" si="1193"/>
        <v>2.9358867397845127E-3</v>
      </c>
      <c r="AW257" s="20">
        <f t="shared" ca="1" si="1193"/>
        <v>2.6396626328321481E-2</v>
      </c>
      <c r="AX257" s="20">
        <f t="shared" ca="1" si="1193"/>
        <v>2.7516908062624737E-3</v>
      </c>
      <c r="AY257" s="20">
        <f t="shared" ref="AY257:BJ257" ca="1" si="1194">AY346/AY344</f>
        <v>2.6446027762745796E-3</v>
      </c>
      <c r="AZ257" s="20">
        <f t="shared" ca="1" si="1194"/>
        <v>2.5474398936725364E-3</v>
      </c>
      <c r="BA257" s="20">
        <f t="shared" ca="1" si="1194"/>
        <v>8.3368652812334763E-3</v>
      </c>
      <c r="BB257" s="20">
        <f t="shared" ca="1" si="1194"/>
        <v>1.5679906402324084E-2</v>
      </c>
      <c r="BC257" s="20">
        <f t="shared" ca="1" si="1194"/>
        <v>2.3039811131464589E-3</v>
      </c>
      <c r="BD257" s="20">
        <f t="shared" ca="1" si="1194"/>
        <v>2.2358616181107865E-3</v>
      </c>
      <c r="BE257" s="20">
        <f t="shared" ca="1" si="1194"/>
        <v>2.1730989352886382E-3</v>
      </c>
      <c r="BF257" s="20">
        <f t="shared" ca="1" si="1194"/>
        <v>1.2796869551631326E-2</v>
      </c>
      <c r="BG257" s="20">
        <f t="shared" ca="1" si="1194"/>
        <v>2.0615247116659782E-3</v>
      </c>
      <c r="BH257" s="20">
        <f t="shared" ca="1" si="1194"/>
        <v>2.0118280996509704E-3</v>
      </c>
      <c r="BI257" s="20">
        <f t="shared" ca="1" si="1194"/>
        <v>1.9656961252021684E-3</v>
      </c>
      <c r="BJ257" s="20">
        <f t="shared" ca="1" si="1194"/>
        <v>1.9228148080200286E-3</v>
      </c>
      <c r="BL257" s="30"/>
      <c r="BM257" s="30"/>
      <c r="BN257" s="30"/>
      <c r="BO257" s="30"/>
      <c r="BP257" s="30"/>
      <c r="BQ257" s="30"/>
      <c r="BR257" s="30"/>
      <c r="BS257" s="30"/>
      <c r="BT257" s="30"/>
      <c r="BU257" s="30"/>
      <c r="BV257" s="30"/>
      <c r="BW257" s="30"/>
      <c r="BX257" s="30"/>
      <c r="BY257" s="30"/>
    </row>
    <row r="258" spans="2:77" ht="12" customHeight="1">
      <c r="B258" s="2" t="s">
        <v>166</v>
      </c>
      <c r="C258" s="2"/>
      <c r="D258" s="2"/>
      <c r="E258" s="2"/>
      <c r="F258" s="2"/>
      <c r="G258" s="2"/>
      <c r="H258" s="2"/>
      <c r="I258" s="2"/>
      <c r="J258" s="2"/>
      <c r="K258" s="2"/>
      <c r="L258" s="2"/>
      <c r="M258" s="2"/>
      <c r="N258" s="2"/>
      <c r="P258" s="20">
        <f t="shared" ref="P258:U258" si="1195">P351/P344</f>
        <v>4.8365665692266809E-2</v>
      </c>
      <c r="Q258" s="20">
        <f t="shared" si="1195"/>
        <v>6.2538699690402474E-2</v>
      </c>
      <c r="R258" s="20">
        <f t="shared" si="1195"/>
        <v>8.5445903123585326E-2</v>
      </c>
      <c r="S258" s="20">
        <f t="shared" si="1195"/>
        <v>9.1398985629754861E-2</v>
      </c>
      <c r="T258" s="20">
        <f t="shared" si="1195"/>
        <v>6.5284870331430864E-2</v>
      </c>
      <c r="U258" s="20">
        <f t="shared" si="1195"/>
        <v>6.4415437003405226E-2</v>
      </c>
      <c r="V258" s="20">
        <f t="shared" ref="V258:AA258" si="1196">V351/V344</f>
        <v>6.3275323516287368E-2</v>
      </c>
      <c r="W258" s="20">
        <f t="shared" si="1196"/>
        <v>6.5798376184032475E-2</v>
      </c>
      <c r="X258" s="20">
        <f t="shared" si="1196"/>
        <v>6.6629023150762273E-2</v>
      </c>
      <c r="Y258" s="20">
        <f t="shared" si="1196"/>
        <v>6.281730696370387E-2</v>
      </c>
      <c r="Z258" s="20">
        <f t="shared" si="1196"/>
        <v>6.7179338363319782E-2</v>
      </c>
      <c r="AA258" s="20">
        <f t="shared" si="1196"/>
        <v>6.1940035273368617E-2</v>
      </c>
      <c r="AB258" s="20">
        <f t="shared" ref="AB258:AG258" si="1197">AB351/AB344</f>
        <v>6.3488816148390623E-2</v>
      </c>
      <c r="AC258" s="20">
        <f t="shared" si="1197"/>
        <v>6.2997577016268597E-2</v>
      </c>
      <c r="AD258" s="20">
        <f t="shared" si="1197"/>
        <v>4.8971328518275334E-2</v>
      </c>
      <c r="AE258" s="20">
        <f t="shared" si="1197"/>
        <v>4.457559618060554E-2</v>
      </c>
      <c r="AF258" s="20">
        <f t="shared" si="1197"/>
        <v>4.7905002709048211E-2</v>
      </c>
      <c r="AG258" s="20">
        <f t="shared" si="1197"/>
        <v>4.7055439115604322E-2</v>
      </c>
      <c r="AH258" s="20">
        <f>AH351/AH344</f>
        <v>4.847017220172202E-2</v>
      </c>
      <c r="AI258" s="20">
        <f>AI351/AI344</f>
        <v>4.4424576872090511E-2</v>
      </c>
      <c r="AJ258" s="20">
        <f>AJ351/AJ344</f>
        <v>4.4667119565217392E-2</v>
      </c>
      <c r="AK258" s="20">
        <f>AK351/AK344</f>
        <v>4.5759142255408773E-2</v>
      </c>
      <c r="AL258" s="20">
        <f>AL351/AL344</f>
        <v>9.1960008331597579E-2</v>
      </c>
      <c r="AM258" s="79">
        <f t="shared" ref="AM258:AX258" si="1198">AL258</f>
        <v>9.1960008331597579E-2</v>
      </c>
      <c r="AN258" s="79">
        <f t="shared" si="1198"/>
        <v>9.1960008331597579E-2</v>
      </c>
      <c r="AO258" s="79">
        <f t="shared" si="1198"/>
        <v>9.1960008331597579E-2</v>
      </c>
      <c r="AP258" s="79">
        <f t="shared" si="1198"/>
        <v>9.1960008331597579E-2</v>
      </c>
      <c r="AQ258" s="79">
        <f t="shared" si="1198"/>
        <v>9.1960008331597579E-2</v>
      </c>
      <c r="AR258" s="79">
        <f t="shared" si="1198"/>
        <v>9.1960008331597579E-2</v>
      </c>
      <c r="AS258" s="79">
        <f t="shared" si="1198"/>
        <v>9.1960008331597579E-2</v>
      </c>
      <c r="AT258" s="79">
        <f t="shared" si="1198"/>
        <v>9.1960008331597579E-2</v>
      </c>
      <c r="AU258" s="79">
        <f t="shared" si="1198"/>
        <v>9.1960008331597579E-2</v>
      </c>
      <c r="AV258" s="79">
        <f t="shared" si="1198"/>
        <v>9.1960008331597579E-2</v>
      </c>
      <c r="AW258" s="79">
        <f t="shared" si="1198"/>
        <v>9.1960008331597579E-2</v>
      </c>
      <c r="AX258" s="79">
        <f t="shared" si="1198"/>
        <v>9.1960008331597579E-2</v>
      </c>
      <c r="AY258" s="79">
        <f t="shared" ref="AY258:AY260" si="1199">AX258</f>
        <v>9.1960008331597579E-2</v>
      </c>
      <c r="AZ258" s="79">
        <f t="shared" ref="AZ258:AZ260" si="1200">AY258</f>
        <v>9.1960008331597579E-2</v>
      </c>
      <c r="BA258" s="79">
        <f t="shared" ref="BA258:BA260" si="1201">AZ258</f>
        <v>9.1960008331597579E-2</v>
      </c>
      <c r="BB258" s="79">
        <f t="shared" ref="BB258:BB260" si="1202">BA258</f>
        <v>9.1960008331597579E-2</v>
      </c>
      <c r="BC258" s="79">
        <f t="shared" ref="BC258:BC260" si="1203">BB258</f>
        <v>9.1960008331597579E-2</v>
      </c>
      <c r="BD258" s="79">
        <f t="shared" ref="BD258:BD260" si="1204">BC258</f>
        <v>9.1960008331597579E-2</v>
      </c>
      <c r="BE258" s="79">
        <f t="shared" ref="BE258:BE260" si="1205">BD258</f>
        <v>9.1960008331597579E-2</v>
      </c>
      <c r="BF258" s="79">
        <f t="shared" ref="BF258:BF260" si="1206">BE258</f>
        <v>9.1960008331597579E-2</v>
      </c>
      <c r="BG258" s="79">
        <f t="shared" ref="BG258:BG260" si="1207">BF258</f>
        <v>9.1960008331597579E-2</v>
      </c>
      <c r="BH258" s="79">
        <f t="shared" ref="BH258:BH260" si="1208">BG258</f>
        <v>9.1960008331597579E-2</v>
      </c>
      <c r="BI258" s="79">
        <f t="shared" ref="BI258:BI260" si="1209">BH258</f>
        <v>9.1960008331597579E-2</v>
      </c>
      <c r="BJ258" s="79">
        <f t="shared" ref="BJ258:BJ260" si="1210">BI258</f>
        <v>9.1960008331597579E-2</v>
      </c>
      <c r="BL258" s="30"/>
      <c r="BM258" s="30"/>
      <c r="BN258" s="30"/>
      <c r="BO258" s="30"/>
      <c r="BP258" s="30"/>
      <c r="BQ258" s="30"/>
      <c r="BR258" s="30"/>
      <c r="BS258" s="30"/>
      <c r="BT258" s="30"/>
      <c r="BU258" s="30"/>
      <c r="BV258" s="30"/>
      <c r="BW258" s="30"/>
      <c r="BX258" s="30"/>
      <c r="BY258" s="30"/>
    </row>
    <row r="259" spans="2:77" ht="12" customHeight="1">
      <c r="B259" s="2" t="s">
        <v>62</v>
      </c>
      <c r="C259" s="2"/>
      <c r="D259" s="2"/>
      <c r="E259" s="2"/>
      <c r="F259" s="2"/>
      <c r="G259" s="2"/>
      <c r="H259" s="2"/>
      <c r="I259" s="2"/>
      <c r="J259" s="2"/>
      <c r="K259" s="2"/>
      <c r="L259" s="2"/>
      <c r="M259" s="2"/>
      <c r="N259" s="2"/>
      <c r="P259" s="20">
        <f t="shared" ref="P259:U259" si="1211">P354/P344</f>
        <v>3.8798830720170076E-2</v>
      </c>
      <c r="Q259" s="20">
        <f t="shared" si="1211"/>
        <v>5.1888544891640867E-2</v>
      </c>
      <c r="R259" s="20">
        <f t="shared" si="1211"/>
        <v>4.1987324581258485E-2</v>
      </c>
      <c r="S259" s="20">
        <f t="shared" si="1211"/>
        <v>8.3157227387996621E-2</v>
      </c>
      <c r="T259" s="20">
        <f t="shared" si="1211"/>
        <v>5.9377190347451682E-2</v>
      </c>
      <c r="U259" s="20">
        <f t="shared" si="1211"/>
        <v>6.4131668558456298E-2</v>
      </c>
      <c r="V259" s="20">
        <f t="shared" ref="V259:AA259" si="1212">V354/V344</f>
        <v>5.961624274877287E-2</v>
      </c>
      <c r="W259" s="20">
        <f t="shared" si="1212"/>
        <v>7.5101488497970229E-2</v>
      </c>
      <c r="X259" s="20">
        <f t="shared" si="1212"/>
        <v>6.7677663950955882E-2</v>
      </c>
      <c r="Y259" s="20">
        <f t="shared" si="1212"/>
        <v>7.5926346897022046E-2</v>
      </c>
      <c r="Z259" s="20">
        <f t="shared" si="1212"/>
        <v>5.07109692396982E-2</v>
      </c>
      <c r="AA259" s="20">
        <f t="shared" si="1212"/>
        <v>4.7336860670193999E-2</v>
      </c>
      <c r="AB259" s="20">
        <f t="shared" ref="AB259:AG259" si="1213">AB354/AB344</f>
        <v>6.1374795417348603E-2</v>
      </c>
      <c r="AC259" s="20">
        <f t="shared" si="1213"/>
        <v>6.7093573324102915E-2</v>
      </c>
      <c r="AD259" s="20">
        <f t="shared" si="1213"/>
        <v>7.4742832129568837E-2</v>
      </c>
      <c r="AE259" s="20">
        <f t="shared" si="1213"/>
        <v>9.4141355980998986E-2</v>
      </c>
      <c r="AF259" s="20">
        <f t="shared" si="1213"/>
        <v>7.3911865631208218E-2</v>
      </c>
      <c r="AG259" s="20">
        <f t="shared" si="1213"/>
        <v>8.8192988945054035E-2</v>
      </c>
      <c r="AH259" s="20">
        <f>AH354/AH344</f>
        <v>8.7292435424354248E-2</v>
      </c>
      <c r="AI259" s="20">
        <f>AI354/AI344</f>
        <v>8.2683355427443969E-2</v>
      </c>
      <c r="AJ259" s="20">
        <f>AJ354/AJ344</f>
        <v>7.8125E-2</v>
      </c>
      <c r="AK259" s="20">
        <f>AK354/AK344</f>
        <v>6.6929241541533332E-2</v>
      </c>
      <c r="AL259" s="20">
        <f>AL354/AL344</f>
        <v>6.6444490731097677E-2</v>
      </c>
      <c r="AM259" s="79">
        <f t="shared" ref="AM259:AX259" si="1214">AL259</f>
        <v>6.6444490731097677E-2</v>
      </c>
      <c r="AN259" s="79">
        <f t="shared" si="1214"/>
        <v>6.6444490731097677E-2</v>
      </c>
      <c r="AO259" s="79">
        <f t="shared" si="1214"/>
        <v>6.6444490731097677E-2</v>
      </c>
      <c r="AP259" s="79">
        <f t="shared" si="1214"/>
        <v>6.6444490731097677E-2</v>
      </c>
      <c r="AQ259" s="79">
        <f t="shared" si="1214"/>
        <v>6.6444490731097677E-2</v>
      </c>
      <c r="AR259" s="79">
        <f t="shared" si="1214"/>
        <v>6.6444490731097677E-2</v>
      </c>
      <c r="AS259" s="79">
        <f t="shared" si="1214"/>
        <v>6.6444490731097677E-2</v>
      </c>
      <c r="AT259" s="79">
        <f t="shared" si="1214"/>
        <v>6.6444490731097677E-2</v>
      </c>
      <c r="AU259" s="79">
        <f t="shared" si="1214"/>
        <v>6.6444490731097677E-2</v>
      </c>
      <c r="AV259" s="79">
        <f t="shared" si="1214"/>
        <v>6.6444490731097677E-2</v>
      </c>
      <c r="AW259" s="79">
        <f t="shared" si="1214"/>
        <v>6.6444490731097677E-2</v>
      </c>
      <c r="AX259" s="79">
        <f t="shared" si="1214"/>
        <v>6.6444490731097677E-2</v>
      </c>
      <c r="AY259" s="79">
        <f t="shared" si="1199"/>
        <v>6.6444490731097677E-2</v>
      </c>
      <c r="AZ259" s="79">
        <f t="shared" si="1200"/>
        <v>6.6444490731097677E-2</v>
      </c>
      <c r="BA259" s="79">
        <f t="shared" si="1201"/>
        <v>6.6444490731097677E-2</v>
      </c>
      <c r="BB259" s="79">
        <f t="shared" si="1202"/>
        <v>6.6444490731097677E-2</v>
      </c>
      <c r="BC259" s="79">
        <f t="shared" si="1203"/>
        <v>6.6444490731097677E-2</v>
      </c>
      <c r="BD259" s="79">
        <f t="shared" si="1204"/>
        <v>6.6444490731097677E-2</v>
      </c>
      <c r="BE259" s="79">
        <f t="shared" si="1205"/>
        <v>6.6444490731097677E-2</v>
      </c>
      <c r="BF259" s="79">
        <f t="shared" si="1206"/>
        <v>6.6444490731097677E-2</v>
      </c>
      <c r="BG259" s="79">
        <f t="shared" si="1207"/>
        <v>6.6444490731097677E-2</v>
      </c>
      <c r="BH259" s="79">
        <f t="shared" si="1208"/>
        <v>6.6444490731097677E-2</v>
      </c>
      <c r="BI259" s="79">
        <f t="shared" si="1209"/>
        <v>6.6444490731097677E-2</v>
      </c>
      <c r="BJ259" s="79">
        <f t="shared" si="1210"/>
        <v>6.6444490731097677E-2</v>
      </c>
      <c r="BL259" s="30"/>
      <c r="BM259" s="30"/>
      <c r="BN259" s="30"/>
      <c r="BO259" s="30"/>
      <c r="BP259" s="30"/>
      <c r="BQ259" s="30"/>
      <c r="BR259" s="30"/>
      <c r="BS259" s="30"/>
      <c r="BT259" s="30"/>
      <c r="BU259" s="30"/>
      <c r="BV259" s="30"/>
      <c r="BW259" s="30"/>
      <c r="BX259" s="30"/>
      <c r="BY259" s="30"/>
    </row>
    <row r="260" spans="2:77" ht="12" customHeight="1">
      <c r="B260" s="2" t="s">
        <v>22</v>
      </c>
      <c r="C260" s="2"/>
      <c r="D260" s="2"/>
      <c r="E260" s="2"/>
      <c r="F260" s="2"/>
      <c r="G260" s="2"/>
      <c r="H260" s="2"/>
      <c r="I260" s="2"/>
      <c r="J260" s="2"/>
      <c r="K260" s="2"/>
      <c r="L260" s="2"/>
      <c r="M260" s="2"/>
      <c r="N260" s="2"/>
      <c r="P260" s="20">
        <f t="shared" ref="P260:U260" si="1215">P355/P344</f>
        <v>6.7897953760297641E-2</v>
      </c>
      <c r="Q260" s="20">
        <f t="shared" si="1215"/>
        <v>6.4520123839009291E-2</v>
      </c>
      <c r="R260" s="20">
        <f t="shared" si="1215"/>
        <v>5.9755545495699405E-2</v>
      </c>
      <c r="S260" s="20">
        <f t="shared" si="1215"/>
        <v>5.4628064243448862E-2</v>
      </c>
      <c r="T260" s="20">
        <f t="shared" si="1215"/>
        <v>5.2868729348152593E-2</v>
      </c>
      <c r="U260" s="20">
        <f t="shared" si="1215"/>
        <v>5.2118804388951945E-2</v>
      </c>
      <c r="V260" s="20">
        <f t="shared" ref="V260:AA260" si="1216">V355/V344</f>
        <v>4.9888442659526994E-2</v>
      </c>
      <c r="W260" s="20">
        <f t="shared" si="1216"/>
        <v>5.4803788903924212E-2</v>
      </c>
      <c r="X260" s="20">
        <f t="shared" si="1216"/>
        <v>5.3803339517625233E-2</v>
      </c>
      <c r="Y260" s="20">
        <f t="shared" si="1216"/>
        <v>5.0087141016897777E-2</v>
      </c>
      <c r="Z260" s="20">
        <f t="shared" si="1216"/>
        <v>4.7663958212420199E-2</v>
      </c>
      <c r="AA260" s="20">
        <f t="shared" si="1216"/>
        <v>4.6208112874779543E-2</v>
      </c>
      <c r="AB260" s="20">
        <f t="shared" ref="AB260:AG260" si="1217">AB355/AB344</f>
        <v>4.5349154391707579E-2</v>
      </c>
      <c r="AC260" s="20">
        <f t="shared" si="1217"/>
        <v>4.2748355832467978E-2</v>
      </c>
      <c r="AD260" s="20">
        <f t="shared" si="1217"/>
        <v>4.3061939155176192E-2</v>
      </c>
      <c r="AE260" s="20">
        <f t="shared" si="1217"/>
        <v>3.6658509668442016E-2</v>
      </c>
      <c r="AF260" s="20">
        <f t="shared" si="1217"/>
        <v>3.23731262416471E-2</v>
      </c>
      <c r="AG260" s="20">
        <f t="shared" si="1217"/>
        <v>2.9794928697653392E-2</v>
      </c>
      <c r="AH260" s="20">
        <f>AH355/AH344</f>
        <v>2.9481857318573189E-2</v>
      </c>
      <c r="AI260" s="20">
        <f>AI355/AI344</f>
        <v>2.8763449147578384E-2</v>
      </c>
      <c r="AJ260" s="20">
        <f>AJ355/AJ344</f>
        <v>2.7315443840579708E-2</v>
      </c>
      <c r="AK260" s="20">
        <f>AK355/AK344</f>
        <v>2.8664423839610514E-2</v>
      </c>
      <c r="AL260" s="20">
        <f>AL355/AL344</f>
        <v>2.905644657363049E-2</v>
      </c>
      <c r="AM260" s="79">
        <f t="shared" ref="AM260:AX260" si="1218">AL260</f>
        <v>2.905644657363049E-2</v>
      </c>
      <c r="AN260" s="79">
        <f t="shared" si="1218"/>
        <v>2.905644657363049E-2</v>
      </c>
      <c r="AO260" s="79">
        <f t="shared" si="1218"/>
        <v>2.905644657363049E-2</v>
      </c>
      <c r="AP260" s="79">
        <f t="shared" si="1218"/>
        <v>2.905644657363049E-2</v>
      </c>
      <c r="AQ260" s="79">
        <f t="shared" si="1218"/>
        <v>2.905644657363049E-2</v>
      </c>
      <c r="AR260" s="79">
        <f t="shared" si="1218"/>
        <v>2.905644657363049E-2</v>
      </c>
      <c r="AS260" s="79">
        <f t="shared" si="1218"/>
        <v>2.905644657363049E-2</v>
      </c>
      <c r="AT260" s="79">
        <f t="shared" si="1218"/>
        <v>2.905644657363049E-2</v>
      </c>
      <c r="AU260" s="79">
        <f t="shared" si="1218"/>
        <v>2.905644657363049E-2</v>
      </c>
      <c r="AV260" s="79">
        <f t="shared" si="1218"/>
        <v>2.905644657363049E-2</v>
      </c>
      <c r="AW260" s="79">
        <f t="shared" si="1218"/>
        <v>2.905644657363049E-2</v>
      </c>
      <c r="AX260" s="79">
        <f t="shared" si="1218"/>
        <v>2.905644657363049E-2</v>
      </c>
      <c r="AY260" s="79">
        <f t="shared" si="1199"/>
        <v>2.905644657363049E-2</v>
      </c>
      <c r="AZ260" s="79">
        <f t="shared" si="1200"/>
        <v>2.905644657363049E-2</v>
      </c>
      <c r="BA260" s="79">
        <f t="shared" si="1201"/>
        <v>2.905644657363049E-2</v>
      </c>
      <c r="BB260" s="79">
        <f t="shared" si="1202"/>
        <v>2.905644657363049E-2</v>
      </c>
      <c r="BC260" s="79">
        <f t="shared" si="1203"/>
        <v>2.905644657363049E-2</v>
      </c>
      <c r="BD260" s="79">
        <f t="shared" si="1204"/>
        <v>2.905644657363049E-2</v>
      </c>
      <c r="BE260" s="79">
        <f t="shared" si="1205"/>
        <v>2.905644657363049E-2</v>
      </c>
      <c r="BF260" s="79">
        <f t="shared" si="1206"/>
        <v>2.905644657363049E-2</v>
      </c>
      <c r="BG260" s="79">
        <f t="shared" si="1207"/>
        <v>2.905644657363049E-2</v>
      </c>
      <c r="BH260" s="79">
        <f t="shared" si="1208"/>
        <v>2.905644657363049E-2</v>
      </c>
      <c r="BI260" s="79">
        <f t="shared" si="1209"/>
        <v>2.905644657363049E-2</v>
      </c>
      <c r="BJ260" s="79">
        <f t="shared" si="1210"/>
        <v>2.905644657363049E-2</v>
      </c>
      <c r="BL260" s="30"/>
      <c r="BM260" s="30"/>
      <c r="BN260" s="30"/>
      <c r="BO260" s="30"/>
      <c r="BP260" s="30"/>
      <c r="BQ260" s="30"/>
      <c r="BR260" s="30"/>
      <c r="BS260" s="30"/>
      <c r="BT260" s="30"/>
      <c r="BU260" s="30"/>
      <c r="BV260" s="30"/>
      <c r="BW260" s="30"/>
      <c r="BX260" s="30"/>
      <c r="BY260" s="30"/>
    </row>
    <row r="261" spans="2:77" ht="12" customHeight="1">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L261" s="6"/>
      <c r="BM261" s="6"/>
      <c r="BN261" s="6"/>
      <c r="BO261" s="6"/>
      <c r="BP261" s="6"/>
      <c r="BQ261" s="6"/>
      <c r="BR261" s="6"/>
      <c r="BS261" s="6"/>
      <c r="BT261" s="6"/>
      <c r="BU261" s="6"/>
      <c r="BV261" s="6"/>
      <c r="BW261" s="6"/>
      <c r="BX261" s="6"/>
      <c r="BY261" s="6"/>
    </row>
    <row r="262" spans="2:77" ht="12" customHeight="1">
      <c r="B262" s="58" t="s">
        <v>107</v>
      </c>
      <c r="C262" s="58"/>
      <c r="D262" s="58"/>
      <c r="E262" s="58"/>
      <c r="F262" s="58"/>
      <c r="G262" s="58"/>
      <c r="H262" s="58"/>
      <c r="I262" s="58"/>
      <c r="J262" s="58"/>
      <c r="K262" s="58"/>
      <c r="L262" s="58"/>
      <c r="M262" s="58"/>
      <c r="N262" s="58"/>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L262" s="6"/>
      <c r="BM262" s="6"/>
      <c r="BN262" s="6"/>
      <c r="BO262" s="6"/>
      <c r="BP262" s="6"/>
      <c r="BQ262" s="6"/>
      <c r="BR262" s="6"/>
      <c r="BS262" s="6"/>
      <c r="BT262" s="6"/>
      <c r="BU262" s="6"/>
      <c r="BV262" s="6"/>
      <c r="BW262" s="6"/>
      <c r="BX262" s="6"/>
      <c r="BY262" s="6"/>
    </row>
    <row r="263" spans="2:77" ht="12" customHeight="1">
      <c r="B263" s="2" t="s">
        <v>104</v>
      </c>
      <c r="C263" s="2"/>
      <c r="D263" s="2"/>
      <c r="E263" s="2"/>
      <c r="F263" s="2"/>
      <c r="G263" s="2"/>
      <c r="H263" s="2"/>
      <c r="I263" s="2"/>
      <c r="J263" s="2"/>
      <c r="K263" s="2"/>
      <c r="L263" s="2"/>
      <c r="M263" s="2"/>
      <c r="N263" s="2"/>
      <c r="Q263" s="1"/>
      <c r="R263" s="1"/>
      <c r="S263" s="1"/>
      <c r="T263" s="1"/>
      <c r="U263" s="1"/>
      <c r="V263" s="1"/>
      <c r="W263" s="1"/>
      <c r="X263" s="1"/>
      <c r="Y263" s="1"/>
      <c r="Z263" s="1"/>
      <c r="AA263" s="1"/>
      <c r="AB263" s="1"/>
      <c r="AC263" s="1"/>
      <c r="AD263" s="1"/>
      <c r="AE263" s="1"/>
      <c r="AF263" s="1"/>
      <c r="AG263" s="1"/>
      <c r="AH263" s="1"/>
      <c r="AI263" s="1"/>
      <c r="AJ263" s="1"/>
      <c r="AK263" s="1"/>
      <c r="AL263" s="1"/>
      <c r="AM263" s="1">
        <f t="shared" ref="AM263:AX263" ca="1" si="1219">AL346</f>
        <v>151.9000000000004</v>
      </c>
      <c r="AN263" s="1">
        <f t="shared" ca="1" si="1219"/>
        <v>20</v>
      </c>
      <c r="AO263" s="1">
        <f t="shared" ca="1" si="1219"/>
        <v>20</v>
      </c>
      <c r="AP263" s="1">
        <f t="shared" ca="1" si="1219"/>
        <v>121.13646253458286</v>
      </c>
      <c r="AQ263" s="1">
        <f t="shared" ca="1" si="1219"/>
        <v>45.38212064812187</v>
      </c>
      <c r="AR263" s="1">
        <f t="shared" ca="1" si="1219"/>
        <v>153.77906940375922</v>
      </c>
      <c r="AS263" s="1">
        <f t="shared" ca="1" si="1219"/>
        <v>20.000000000000028</v>
      </c>
      <c r="AT263" s="1">
        <f t="shared" ca="1" si="1219"/>
        <v>152.29623861046954</v>
      </c>
      <c r="AU263" s="1">
        <f t="shared" ca="1" si="1219"/>
        <v>148.53467631817364</v>
      </c>
      <c r="AV263" s="1">
        <f t="shared" ca="1" si="1219"/>
        <v>51.073227628022522</v>
      </c>
      <c r="AW263" s="1">
        <f t="shared" ca="1" si="1219"/>
        <v>20.000000000000028</v>
      </c>
      <c r="AX263" s="1">
        <f t="shared" ca="1" si="1219"/>
        <v>183.93520577847522</v>
      </c>
      <c r="AY263" s="1">
        <f t="shared" ref="AY263" ca="1" si="1220">AX346</f>
        <v>20.000000000000057</v>
      </c>
      <c r="AZ263" s="1">
        <f t="shared" ref="AZ263" ca="1" si="1221">AY346</f>
        <v>20.000000000000057</v>
      </c>
      <c r="BA263" s="1">
        <f t="shared" ref="BA263" ca="1" si="1222">AZ346</f>
        <v>20.000000000000057</v>
      </c>
      <c r="BB263" s="1">
        <f t="shared" ref="BB263" ca="1" si="1223">BA346</f>
        <v>67.80825933777507</v>
      </c>
      <c r="BC263" s="1">
        <f t="shared" ref="BC263" ca="1" si="1224">BB346</f>
        <v>131.86942805166314</v>
      </c>
      <c r="BD263" s="1">
        <f t="shared" ref="BD263" ca="1" si="1225">BC346</f>
        <v>19.999999999999972</v>
      </c>
      <c r="BE263" s="1">
        <f t="shared" ref="BE263" ca="1" si="1226">BD346</f>
        <v>20.000000000000099</v>
      </c>
      <c r="BF263" s="1">
        <f t="shared" ref="BF263" ca="1" si="1227">BE346</f>
        <v>20.000000000000099</v>
      </c>
      <c r="BG263" s="1">
        <f t="shared" ref="BG263" ca="1" si="1228">BF346</f>
        <v>121.00231593129054</v>
      </c>
      <c r="BH263" s="1">
        <f t="shared" ref="BH263" ca="1" si="1229">BG346</f>
        <v>20.000000000000099</v>
      </c>
      <c r="BI263" s="1">
        <f t="shared" ref="BI263" ca="1" si="1230">BH346</f>
        <v>20.000000000000099</v>
      </c>
      <c r="BJ263" s="1">
        <f t="shared" ref="BJ263" ca="1" si="1231">BI346</f>
        <v>20.000000000000099</v>
      </c>
    </row>
    <row r="264" spans="2:77" ht="12" customHeight="1">
      <c r="B264" s="12" t="s">
        <v>101</v>
      </c>
      <c r="C264" s="12"/>
      <c r="D264" s="12"/>
      <c r="E264" s="12"/>
      <c r="F264" s="12"/>
      <c r="G264" s="12"/>
      <c r="H264" s="12"/>
      <c r="I264" s="12"/>
      <c r="J264" s="12"/>
      <c r="K264" s="12"/>
      <c r="L264" s="12"/>
      <c r="M264" s="12"/>
      <c r="N264" s="1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9">
        <f t="shared" ref="AM264:AX264" ca="1" si="1232">AM378+AM382+AM388+AM390</f>
        <v>46.326731346828325</v>
      </c>
      <c r="AN264" s="29">
        <f t="shared" ca="1" si="1232"/>
        <v>48.212068324810559</v>
      </c>
      <c r="AO264" s="29">
        <f t="shared" ca="1" si="1232"/>
        <v>48.436413149126722</v>
      </c>
      <c r="AP264" s="29">
        <f t="shared" ca="1" si="1232"/>
        <v>56.626494754996394</v>
      </c>
      <c r="AQ264" s="29">
        <f t="shared" ca="1" si="1232"/>
        <v>57.054606224270586</v>
      </c>
      <c r="AR264" s="29">
        <f t="shared" ca="1" si="1232"/>
        <v>55.756634448016257</v>
      </c>
      <c r="AS264" s="29">
        <f t="shared" ca="1" si="1232"/>
        <v>58.438641389293707</v>
      </c>
      <c r="AT264" s="29">
        <f t="shared" ca="1" si="1232"/>
        <v>66.763361710679021</v>
      </c>
      <c r="AU264" s="29">
        <f t="shared" ca="1" si="1232"/>
        <v>67.390996536974598</v>
      </c>
      <c r="AV264" s="29">
        <f t="shared" ca="1" si="1232"/>
        <v>65.266147150826455</v>
      </c>
      <c r="AW264" s="29">
        <f t="shared" ca="1" si="1232"/>
        <v>67.277693453902415</v>
      </c>
      <c r="AX264" s="29">
        <f t="shared" ca="1" si="1232"/>
        <v>75.739367796050232</v>
      </c>
      <c r="AY264" s="29">
        <f t="shared" ref="AY264:BJ264" ca="1" si="1233">AY378+AY382+AY388+AY390</f>
        <v>78.783874674838046</v>
      </c>
      <c r="AZ264" s="29">
        <f t="shared" ca="1" si="1233"/>
        <v>73.747679422277741</v>
      </c>
      <c r="BA264" s="29">
        <f t="shared" ca="1" si="1233"/>
        <v>77.470831909805213</v>
      </c>
      <c r="BB264" s="29">
        <f t="shared" ca="1" si="1233"/>
        <v>87.66626251006906</v>
      </c>
      <c r="BC264" s="29">
        <f t="shared" ca="1" si="1233"/>
        <v>89.0999120945649</v>
      </c>
      <c r="BD264" s="29">
        <f t="shared" ca="1" si="1233"/>
        <v>84.871496397220724</v>
      </c>
      <c r="BE264" s="29">
        <f t="shared" ca="1" si="1233"/>
        <v>87.631364290746646</v>
      </c>
      <c r="BF264" s="29">
        <f t="shared" ca="1" si="1233"/>
        <v>99.827494624074419</v>
      </c>
      <c r="BG264" s="29">
        <f t="shared" ca="1" si="1233"/>
        <v>100.67996556905385</v>
      </c>
      <c r="BH264" s="29">
        <f t="shared" ca="1" si="1233"/>
        <v>94.54148718218201</v>
      </c>
      <c r="BI264" s="29">
        <f t="shared" ca="1" si="1233"/>
        <v>97.450002487274617</v>
      </c>
      <c r="BJ264" s="29">
        <f t="shared" ca="1" si="1233"/>
        <v>109.85716929301876</v>
      </c>
    </row>
    <row r="265" spans="2:77" ht="12" customHeight="1">
      <c r="B265" s="12" t="s">
        <v>102</v>
      </c>
      <c r="C265" s="12"/>
      <c r="D265" s="12"/>
      <c r="E265" s="12"/>
      <c r="F265" s="12"/>
      <c r="G265" s="12"/>
      <c r="H265" s="12"/>
      <c r="I265" s="12"/>
      <c r="J265" s="12"/>
      <c r="K265" s="12"/>
      <c r="L265" s="12"/>
      <c r="M265" s="12"/>
      <c r="N265" s="12"/>
      <c r="Q265" s="1"/>
      <c r="R265" s="1"/>
      <c r="S265" s="1"/>
      <c r="T265" s="1"/>
      <c r="U265" s="1"/>
      <c r="V265" s="1"/>
      <c r="W265" s="1"/>
      <c r="X265" s="1"/>
      <c r="Y265" s="1"/>
      <c r="Z265" s="1"/>
      <c r="AA265" s="1"/>
      <c r="AB265" s="1"/>
      <c r="AC265" s="1"/>
      <c r="AD265" s="1"/>
      <c r="AE265" s="1"/>
      <c r="AF265" s="1"/>
      <c r="AG265" s="1"/>
      <c r="AH265" s="1"/>
      <c r="AI265" s="1"/>
      <c r="AJ265" s="1"/>
      <c r="AK265" s="1"/>
      <c r="AL265" s="1"/>
      <c r="AM265" s="1">
        <f t="shared" ref="AM265:AX265" si="1234">AM380+AM381+AM383</f>
        <v>-179.31029320388529</v>
      </c>
      <c r="AN265" s="1">
        <f t="shared" ca="1" si="1234"/>
        <v>-691.0195891233767</v>
      </c>
      <c r="AO265" s="1">
        <f t="shared" ca="1" si="1234"/>
        <v>-197.29995061454383</v>
      </c>
      <c r="AP265" s="1">
        <f t="shared" ca="1" si="1234"/>
        <v>-382.38083664145739</v>
      </c>
      <c r="AQ265" s="1">
        <f t="shared" ca="1" si="1234"/>
        <v>-198.65765746863323</v>
      </c>
      <c r="AR265" s="1">
        <f t="shared" ca="1" si="1234"/>
        <v>-331.70488155467348</v>
      </c>
      <c r="AS265" s="1">
        <f t="shared" ca="1" si="1234"/>
        <v>-176.14240277882422</v>
      </c>
      <c r="AT265" s="1">
        <f t="shared" ca="1" si="1234"/>
        <v>-320.52492400297496</v>
      </c>
      <c r="AU265" s="1">
        <f t="shared" ca="1" si="1234"/>
        <v>-164.85244522712571</v>
      </c>
      <c r="AV265" s="1">
        <f t="shared" ca="1" si="1234"/>
        <v>-309.12496645127646</v>
      </c>
      <c r="AW265" s="1">
        <f t="shared" ca="1" si="1234"/>
        <v>-153.34248767542724</v>
      </c>
      <c r="AX265" s="1">
        <f t="shared" ca="1" si="1234"/>
        <v>-297.505008899578</v>
      </c>
      <c r="AY265" s="1">
        <f t="shared" ref="AY265:BJ265" ca="1" si="1235">AY380+AY381+AY383</f>
        <v>-291.61253012372873</v>
      </c>
      <c r="AZ265" s="1">
        <f t="shared" ca="1" si="1235"/>
        <v>-285.66505134787951</v>
      </c>
      <c r="BA265" s="1">
        <f t="shared" ca="1" si="1235"/>
        <v>-279.66257257203023</v>
      </c>
      <c r="BB265" s="1">
        <f t="shared" ca="1" si="1235"/>
        <v>-273.605093796181</v>
      </c>
      <c r="BC265" s="1">
        <f t="shared" ca="1" si="1235"/>
        <v>-267.49261502033175</v>
      </c>
      <c r="BD265" s="1">
        <f t="shared" ca="1" si="1235"/>
        <v>-261.32513624448251</v>
      </c>
      <c r="BE265" s="1">
        <f t="shared" ca="1" si="1235"/>
        <v>-255.10265746863325</v>
      </c>
      <c r="BF265" s="1">
        <f t="shared" ca="1" si="1235"/>
        <v>-248.82517869278399</v>
      </c>
      <c r="BG265" s="1">
        <f t="shared" ca="1" si="1235"/>
        <v>-242.49269991693473</v>
      </c>
      <c r="BH265" s="1">
        <f t="shared" ca="1" si="1235"/>
        <v>-236.10522114108551</v>
      </c>
      <c r="BI265" s="1">
        <f t="shared" ca="1" si="1235"/>
        <v>-229.66274236523626</v>
      </c>
      <c r="BJ265" s="1">
        <f t="shared" ca="1" si="1235"/>
        <v>-223.165263589387</v>
      </c>
    </row>
    <row r="266" spans="2:77" ht="12" customHeight="1">
      <c r="B266" s="12" t="s">
        <v>106</v>
      </c>
      <c r="C266" s="12"/>
      <c r="D266" s="12"/>
      <c r="E266" s="12"/>
      <c r="F266" s="12"/>
      <c r="G266" s="12"/>
      <c r="H266" s="12"/>
      <c r="I266" s="12"/>
      <c r="J266" s="12"/>
      <c r="K266" s="12"/>
      <c r="L266" s="12"/>
      <c r="M266" s="12"/>
      <c r="N266" s="12"/>
      <c r="Q266" s="1"/>
      <c r="R266" s="1"/>
      <c r="S266" s="1"/>
      <c r="T266" s="1"/>
      <c r="U266" s="1"/>
      <c r="V266" s="1"/>
      <c r="W266" s="1"/>
      <c r="X266" s="1"/>
      <c r="Y266" s="1"/>
      <c r="Z266" s="1"/>
      <c r="AA266" s="1"/>
      <c r="AB266" s="1"/>
      <c r="AC266" s="1"/>
      <c r="AD266" s="1"/>
      <c r="AE266" s="1"/>
      <c r="AF266" s="1"/>
      <c r="AG266" s="1"/>
      <c r="AH266" s="1"/>
      <c r="AI266" s="1"/>
      <c r="AJ266" s="1"/>
      <c r="AK266" s="1"/>
      <c r="AL266" s="1"/>
      <c r="AM266" s="1">
        <f t="shared" ref="AM266:AX266" si="1236">AM387+AM392</f>
        <v>0</v>
      </c>
      <c r="AN266" s="1">
        <f t="shared" si="1236"/>
        <v>0</v>
      </c>
      <c r="AO266" s="1">
        <f t="shared" si="1236"/>
        <v>0</v>
      </c>
      <c r="AP266" s="1">
        <f t="shared" si="1236"/>
        <v>0</v>
      </c>
      <c r="AQ266" s="1">
        <f t="shared" si="1236"/>
        <v>0</v>
      </c>
      <c r="AR266" s="1">
        <f t="shared" si="1236"/>
        <v>0</v>
      </c>
      <c r="AS266" s="1">
        <f t="shared" si="1236"/>
        <v>0</v>
      </c>
      <c r="AT266" s="1">
        <f t="shared" si="1236"/>
        <v>0</v>
      </c>
      <c r="AU266" s="1">
        <f t="shared" si="1236"/>
        <v>0</v>
      </c>
      <c r="AV266" s="1">
        <f t="shared" si="1236"/>
        <v>0</v>
      </c>
      <c r="AW266" s="1">
        <f t="shared" si="1236"/>
        <v>0</v>
      </c>
      <c r="AX266" s="1">
        <f t="shared" si="1236"/>
        <v>0</v>
      </c>
      <c r="AY266" s="1">
        <f t="shared" ref="AY266:BJ266" si="1237">AY387+AY392</f>
        <v>0</v>
      </c>
      <c r="AZ266" s="1">
        <f t="shared" si="1237"/>
        <v>0</v>
      </c>
      <c r="BA266" s="1">
        <f t="shared" si="1237"/>
        <v>0</v>
      </c>
      <c r="BB266" s="1">
        <f t="shared" si="1237"/>
        <v>0</v>
      </c>
      <c r="BC266" s="1">
        <f t="shared" si="1237"/>
        <v>0</v>
      </c>
      <c r="BD266" s="1">
        <f t="shared" si="1237"/>
        <v>0</v>
      </c>
      <c r="BE266" s="1">
        <f t="shared" si="1237"/>
        <v>0</v>
      </c>
      <c r="BF266" s="1">
        <f t="shared" si="1237"/>
        <v>0</v>
      </c>
      <c r="BG266" s="1">
        <f t="shared" si="1237"/>
        <v>0</v>
      </c>
      <c r="BH266" s="1">
        <f t="shared" si="1237"/>
        <v>0</v>
      </c>
      <c r="BI266" s="1">
        <f t="shared" si="1237"/>
        <v>0</v>
      </c>
      <c r="BJ266" s="1">
        <f t="shared" si="1237"/>
        <v>0</v>
      </c>
    </row>
    <row r="267" spans="2:77" ht="12" customHeight="1">
      <c r="B267" s="12" t="s">
        <v>103</v>
      </c>
      <c r="C267" s="12"/>
      <c r="D267" s="12"/>
      <c r="E267" s="12"/>
      <c r="F267" s="12"/>
      <c r="G267" s="12"/>
      <c r="H267" s="12"/>
      <c r="I267" s="12"/>
      <c r="J267" s="12"/>
      <c r="K267" s="12"/>
      <c r="L267" s="12"/>
      <c r="M267" s="12"/>
      <c r="N267" s="12"/>
      <c r="Q267" s="1"/>
      <c r="R267" s="1"/>
      <c r="S267" s="1"/>
      <c r="T267" s="1"/>
      <c r="U267" s="1"/>
      <c r="V267" s="1"/>
      <c r="W267" s="1"/>
      <c r="X267" s="1"/>
      <c r="Y267" s="1"/>
      <c r="Z267" s="1"/>
      <c r="AA267" s="1"/>
      <c r="AB267" s="1"/>
      <c r="AC267" s="1"/>
      <c r="AD267" s="1"/>
      <c r="AE267" s="1"/>
      <c r="AF267" s="1"/>
      <c r="AG267" s="1"/>
      <c r="AH267" s="1"/>
      <c r="AI267" s="1"/>
      <c r="AJ267" s="1"/>
      <c r="AK267" s="1"/>
      <c r="AL267" s="1"/>
      <c r="AM267" s="1">
        <f t="shared" ref="AM267:AX267" ca="1" si="1238">AM268-SUM(AM266,AM265,AM264,AM263)</f>
        <v>1.0835618570565657</v>
      </c>
      <c r="AN267" s="1">
        <f t="shared" ca="1" si="1238"/>
        <v>642.8075207985662</v>
      </c>
      <c r="AO267" s="1">
        <f t="shared" ca="1" si="1238"/>
        <v>148.8635374654171</v>
      </c>
      <c r="AP267" s="1">
        <f t="shared" ca="1" si="1238"/>
        <v>224.61787935187817</v>
      </c>
      <c r="AQ267" s="1">
        <f t="shared" ca="1" si="1238"/>
        <v>116.22093059624076</v>
      </c>
      <c r="AR267" s="1">
        <f t="shared" ca="1" si="1238"/>
        <v>142.169177702898</v>
      </c>
      <c r="AS267" s="1">
        <f t="shared" ca="1" si="1238"/>
        <v>117.70376138953048</v>
      </c>
      <c r="AT267" s="1">
        <f t="shared" ca="1" si="1238"/>
        <v>121.46532368182639</v>
      </c>
      <c r="AU267" s="1">
        <f t="shared" ca="1" si="1238"/>
        <v>-31.073227628022522</v>
      </c>
      <c r="AV267" s="1">
        <f t="shared" ca="1" si="1238"/>
        <v>212.7855916724275</v>
      </c>
      <c r="AW267" s="1">
        <f t="shared" ca="1" si="1238"/>
        <v>86.064794221524792</v>
      </c>
      <c r="AX267" s="1">
        <f t="shared" ca="1" si="1238"/>
        <v>57.830435325052548</v>
      </c>
      <c r="AY267" s="1">
        <f t="shared" ref="AY267:BJ267" ca="1" si="1239">AY268-SUM(AY266,AY265,AY264,AY263)</f>
        <v>212.82865544889063</v>
      </c>
      <c r="AZ267" s="1">
        <f t="shared" ca="1" si="1239"/>
        <v>211.91737192560171</v>
      </c>
      <c r="BA267" s="1">
        <f t="shared" ca="1" si="1239"/>
        <v>202.19174066222496</v>
      </c>
      <c r="BB267" s="1">
        <f t="shared" ca="1" si="1239"/>
        <v>138.13057194833686</v>
      </c>
      <c r="BC267" s="1">
        <f t="shared" ca="1" si="1239"/>
        <v>66.52327487410372</v>
      </c>
      <c r="BD267" s="1">
        <f t="shared" ca="1" si="1239"/>
        <v>176.45363984726183</v>
      </c>
      <c r="BE267" s="1">
        <f t="shared" ca="1" si="1239"/>
        <v>167.47129317788648</v>
      </c>
      <c r="BF267" s="1">
        <f t="shared" ca="1" si="1239"/>
        <v>148.99768406870948</v>
      </c>
      <c r="BG267" s="1">
        <f t="shared" ca="1" si="1239"/>
        <v>40.810418416590338</v>
      </c>
      <c r="BH267" s="1">
        <f t="shared" ca="1" si="1239"/>
        <v>141.56373395890341</v>
      </c>
      <c r="BI267" s="1">
        <f t="shared" ca="1" si="1239"/>
        <v>132.21273987796155</v>
      </c>
      <c r="BJ267" s="1">
        <f t="shared" ca="1" si="1239"/>
        <v>113.30809429636814</v>
      </c>
    </row>
    <row r="268" spans="2:77" ht="12" customHeight="1">
      <c r="B268" s="2" t="s">
        <v>105</v>
      </c>
      <c r="C268" s="428">
        <v>20</v>
      </c>
      <c r="D268" s="2"/>
      <c r="E268" s="2"/>
      <c r="F268" s="2"/>
      <c r="G268" s="2"/>
      <c r="H268" s="2"/>
      <c r="I268" s="2"/>
      <c r="J268" s="2"/>
      <c r="K268" s="2"/>
      <c r="L268" s="2"/>
      <c r="M268" s="2"/>
      <c r="N268" s="2"/>
      <c r="Q268" s="22"/>
      <c r="R268" s="22"/>
      <c r="S268" s="29">
        <f t="shared" ref="S268:X268" ca="1" si="1240">+S397</f>
        <v>328.60000000000008</v>
      </c>
      <c r="T268" s="29">
        <f t="shared" ca="1" si="1240"/>
        <v>267.10000000000008</v>
      </c>
      <c r="U268" s="29">
        <f t="shared" ca="1" si="1240"/>
        <v>213.2000000000001</v>
      </c>
      <c r="V268" s="29">
        <f t="shared" ca="1" si="1240"/>
        <v>148.80000000000004</v>
      </c>
      <c r="W268" s="29">
        <f t="shared" ca="1" si="1240"/>
        <v>125.2</v>
      </c>
      <c r="X268" s="29">
        <f t="shared" ca="1" si="1240"/>
        <v>49.30000000000004</v>
      </c>
      <c r="Y268" s="29">
        <f t="shared" ref="Y268:AD268" ca="1" si="1241">+Y397</f>
        <v>30.400000000000034</v>
      </c>
      <c r="Z268" s="29">
        <f t="shared" ca="1" si="1241"/>
        <v>36.500000000000028</v>
      </c>
      <c r="AA268" s="29">
        <f t="shared" ca="1" si="1241"/>
        <v>26.000000000000036</v>
      </c>
      <c r="AB268" s="29">
        <f t="shared" ca="1" si="1241"/>
        <v>413.5</v>
      </c>
      <c r="AC268" s="29">
        <f t="shared" ca="1" si="1241"/>
        <v>39.800000000000182</v>
      </c>
      <c r="AD268" s="29">
        <f t="shared" ca="1" si="1241"/>
        <v>14.300000000000189</v>
      </c>
      <c r="AE268" s="29">
        <f t="shared" ref="AE268:AJ268" ca="1" si="1242">+AE397</f>
        <v>87.700000000000216</v>
      </c>
      <c r="AF268" s="29">
        <f t="shared" ca="1" si="1242"/>
        <v>13.20000000000023</v>
      </c>
      <c r="AG268" s="29">
        <f t="shared" ca="1" si="1242"/>
        <v>11.000000000000227</v>
      </c>
      <c r="AH268" s="29">
        <f t="shared" ca="1" si="1242"/>
        <v>14.60000000000025</v>
      </c>
      <c r="AI268" s="29">
        <f t="shared" ca="1" si="1242"/>
        <v>20.400000000000205</v>
      </c>
      <c r="AJ268" s="29">
        <f t="shared" ca="1" si="1242"/>
        <v>40.000000000000455</v>
      </c>
      <c r="AK268" s="29">
        <f t="shared" ref="AK268:AL268" ca="1" si="1243">+AK397</f>
        <v>24.600000000000421</v>
      </c>
      <c r="AL268" s="29">
        <f t="shared" ca="1" si="1243"/>
        <v>151.9000000000004</v>
      </c>
      <c r="AM268" s="212">
        <f t="shared" ref="AM268:AX268" ca="1" si="1244">MAX(AL268+AM264+AM265+AM266,$C$268)</f>
        <v>20</v>
      </c>
      <c r="AN268" s="212">
        <f t="shared" ca="1" si="1244"/>
        <v>20</v>
      </c>
      <c r="AO268" s="212">
        <f t="shared" ca="1" si="1244"/>
        <v>20</v>
      </c>
      <c r="AP268" s="212">
        <f t="shared" ca="1" si="1244"/>
        <v>20</v>
      </c>
      <c r="AQ268" s="212">
        <f t="shared" ca="1" si="1244"/>
        <v>20</v>
      </c>
      <c r="AR268" s="212">
        <f t="shared" ca="1" si="1244"/>
        <v>20</v>
      </c>
      <c r="AS268" s="212">
        <f t="shared" ca="1" si="1244"/>
        <v>20</v>
      </c>
      <c r="AT268" s="212">
        <f t="shared" ca="1" si="1244"/>
        <v>20</v>
      </c>
      <c r="AU268" s="212">
        <f t="shared" ca="1" si="1244"/>
        <v>20</v>
      </c>
      <c r="AV268" s="212">
        <f t="shared" ca="1" si="1244"/>
        <v>20</v>
      </c>
      <c r="AW268" s="212">
        <f t="shared" ca="1" si="1244"/>
        <v>20</v>
      </c>
      <c r="AX268" s="212">
        <f t="shared" ca="1" si="1244"/>
        <v>20</v>
      </c>
      <c r="AY268" s="212">
        <f t="shared" ref="AY268" ca="1" si="1245">MAX(AX268+AY264+AY265+AY266,$C$268)</f>
        <v>20</v>
      </c>
      <c r="AZ268" s="212">
        <f t="shared" ref="AZ268" ca="1" si="1246">MAX(AY268+AZ264+AZ265+AZ266,$C$268)</f>
        <v>20</v>
      </c>
      <c r="BA268" s="212">
        <f t="shared" ref="BA268" ca="1" si="1247">MAX(AZ268+BA264+BA265+BA266,$C$268)</f>
        <v>20</v>
      </c>
      <c r="BB268" s="212">
        <f t="shared" ref="BB268" ca="1" si="1248">MAX(BA268+BB264+BB265+BB266,$C$268)</f>
        <v>20</v>
      </c>
      <c r="BC268" s="212">
        <f t="shared" ref="BC268" ca="1" si="1249">MAX(BB268+BC264+BC265+BC266,$C$268)</f>
        <v>20</v>
      </c>
      <c r="BD268" s="212">
        <f t="shared" ref="BD268" ca="1" si="1250">MAX(BC268+BD264+BD265+BD266,$C$268)</f>
        <v>20</v>
      </c>
      <c r="BE268" s="212">
        <f t="shared" ref="BE268" ca="1" si="1251">MAX(BD268+BE264+BE265+BE266,$C$268)</f>
        <v>20</v>
      </c>
      <c r="BF268" s="212">
        <f t="shared" ref="BF268" ca="1" si="1252">MAX(BE268+BF264+BF265+BF266,$C$268)</f>
        <v>20</v>
      </c>
      <c r="BG268" s="212">
        <f t="shared" ref="BG268" ca="1" si="1253">MAX(BF268+BG264+BG265+BG266,$C$268)</f>
        <v>20</v>
      </c>
      <c r="BH268" s="212">
        <f t="shared" ref="BH268" ca="1" si="1254">MAX(BG268+BH264+BH265+BH266,$C$268)</f>
        <v>20</v>
      </c>
      <c r="BI268" s="212">
        <f t="shared" ref="BI268" ca="1" si="1255">MAX(BH268+BI264+BI265+BI266,$C$268)</f>
        <v>20</v>
      </c>
      <c r="BJ268" s="212">
        <f t="shared" ref="BJ268" ca="1" si="1256">MAX(BI268+BJ264+BJ265+BJ266,$C$268)</f>
        <v>20</v>
      </c>
    </row>
    <row r="270" spans="2:77" ht="12" customHeight="1">
      <c r="B270" s="65" t="s">
        <v>134</v>
      </c>
      <c r="C270" s="201"/>
      <c r="D270" s="201"/>
      <c r="E270" s="201"/>
      <c r="F270" s="201"/>
      <c r="G270" s="201"/>
      <c r="H270" s="201"/>
      <c r="I270" s="201"/>
      <c r="J270" s="201"/>
      <c r="K270" s="201"/>
      <c r="L270" s="201"/>
      <c r="M270" s="201"/>
      <c r="N270" s="201"/>
      <c r="Q270" s="6"/>
      <c r="R270" s="6"/>
      <c r="S270" s="6"/>
      <c r="T270" s="6"/>
      <c r="U270" s="6"/>
      <c r="V270" s="6"/>
      <c r="W270" s="6"/>
      <c r="X270" s="6"/>
      <c r="Y270" s="6"/>
      <c r="Z270" s="6"/>
      <c r="AA270" s="6"/>
      <c r="AB270" s="68"/>
      <c r="AC270" s="68"/>
      <c r="AD270" s="68"/>
      <c r="AE270" s="506"/>
      <c r="AF270" s="506"/>
      <c r="AG270" s="506"/>
      <c r="AH270" s="506"/>
      <c r="AI270" s="506"/>
      <c r="AJ270" s="506"/>
      <c r="AK270" s="506"/>
      <c r="AL270" s="506"/>
      <c r="AM270" s="68">
        <f t="shared" ref="AM270:AX270" ca="1" si="1257">IF(AM267&gt;0,AM267,0)</f>
        <v>1.0835618570565657</v>
      </c>
      <c r="AN270" s="68">
        <f t="shared" ca="1" si="1257"/>
        <v>642.8075207985662</v>
      </c>
      <c r="AO270" s="68">
        <f t="shared" ca="1" si="1257"/>
        <v>148.8635374654171</v>
      </c>
      <c r="AP270" s="68">
        <f t="shared" ca="1" si="1257"/>
        <v>224.61787935187817</v>
      </c>
      <c r="AQ270" s="68">
        <f t="shared" ca="1" si="1257"/>
        <v>116.22093059624076</v>
      </c>
      <c r="AR270" s="68">
        <f t="shared" ca="1" si="1257"/>
        <v>142.169177702898</v>
      </c>
      <c r="AS270" s="68">
        <f t="shared" ca="1" si="1257"/>
        <v>117.70376138953048</v>
      </c>
      <c r="AT270" s="68">
        <f t="shared" ca="1" si="1257"/>
        <v>121.46532368182639</v>
      </c>
      <c r="AU270" s="68">
        <f t="shared" ca="1" si="1257"/>
        <v>0</v>
      </c>
      <c r="AV270" s="68">
        <f t="shared" ca="1" si="1257"/>
        <v>212.7855916724275</v>
      </c>
      <c r="AW270" s="68">
        <f t="shared" ca="1" si="1257"/>
        <v>86.064794221524792</v>
      </c>
      <c r="AX270" s="68">
        <f t="shared" ca="1" si="1257"/>
        <v>57.830435325052548</v>
      </c>
      <c r="AY270" s="68">
        <f t="shared" ref="AY270:BJ270" ca="1" si="1258">IF(AY267&gt;0,AY267,0)</f>
        <v>212.82865544889063</v>
      </c>
      <c r="AZ270" s="68">
        <f t="shared" ca="1" si="1258"/>
        <v>211.91737192560171</v>
      </c>
      <c r="BA270" s="68">
        <f t="shared" ca="1" si="1258"/>
        <v>202.19174066222496</v>
      </c>
      <c r="BB270" s="68">
        <f t="shared" ca="1" si="1258"/>
        <v>138.13057194833686</v>
      </c>
      <c r="BC270" s="68">
        <f t="shared" ca="1" si="1258"/>
        <v>66.52327487410372</v>
      </c>
      <c r="BD270" s="68">
        <f t="shared" ca="1" si="1258"/>
        <v>176.45363984726183</v>
      </c>
      <c r="BE270" s="68">
        <f t="shared" ca="1" si="1258"/>
        <v>167.47129317788648</v>
      </c>
      <c r="BF270" s="68">
        <f t="shared" ca="1" si="1258"/>
        <v>148.99768406870948</v>
      </c>
      <c r="BG270" s="68">
        <f t="shared" ca="1" si="1258"/>
        <v>40.810418416590338</v>
      </c>
      <c r="BH270" s="68">
        <f t="shared" ca="1" si="1258"/>
        <v>141.56373395890341</v>
      </c>
      <c r="BI270" s="68">
        <f t="shared" ca="1" si="1258"/>
        <v>132.21273987796155</v>
      </c>
      <c r="BJ270" s="68">
        <f t="shared" ca="1" si="1258"/>
        <v>113.30809429636814</v>
      </c>
      <c r="BL270" s="6"/>
      <c r="BM270" s="6"/>
      <c r="BN270" s="6"/>
      <c r="BO270" s="6"/>
      <c r="BP270" s="6"/>
      <c r="BQ270" s="6"/>
      <c r="BR270" s="6"/>
      <c r="BS270" s="6"/>
      <c r="BT270" s="6"/>
      <c r="BU270" s="6"/>
      <c r="BV270" s="6"/>
      <c r="BW270" s="6"/>
      <c r="BX270" s="6"/>
      <c r="BY270" s="6"/>
    </row>
    <row r="271" spans="2:77" ht="12" customHeight="1">
      <c r="B271" s="66" t="s">
        <v>135</v>
      </c>
      <c r="C271" s="202"/>
      <c r="D271" s="202"/>
      <c r="E271" s="202"/>
      <c r="F271" s="202"/>
      <c r="G271" s="202"/>
      <c r="H271" s="202"/>
      <c r="I271" s="202"/>
      <c r="J271" s="202"/>
      <c r="K271" s="202"/>
      <c r="L271" s="202"/>
      <c r="M271" s="202"/>
      <c r="N271" s="202"/>
      <c r="Q271" s="29"/>
      <c r="R271" s="29"/>
      <c r="S271" s="29"/>
      <c r="T271" s="29"/>
      <c r="U271" s="29"/>
      <c r="V271" s="29"/>
      <c r="W271" s="29"/>
      <c r="X271" s="29"/>
      <c r="Y271" s="29"/>
      <c r="Z271" s="29"/>
      <c r="AA271" s="29"/>
      <c r="AB271" s="430"/>
      <c r="AC271" s="430"/>
      <c r="AD271" s="430"/>
      <c r="AE271" s="507"/>
      <c r="AF271" s="507"/>
      <c r="AG271" s="507"/>
      <c r="AH271" s="507"/>
      <c r="AI271" s="507"/>
      <c r="AJ271" s="507"/>
      <c r="AK271" s="507"/>
      <c r="AL271" s="507"/>
      <c r="AM271" s="430">
        <v>0.35</v>
      </c>
      <c r="AN271" s="430">
        <v>0.35</v>
      </c>
      <c r="AO271" s="430">
        <v>0.35</v>
      </c>
      <c r="AP271" s="430">
        <v>0.35</v>
      </c>
      <c r="AQ271" s="430">
        <v>0.35</v>
      </c>
      <c r="AR271" s="430">
        <v>0.35</v>
      </c>
      <c r="AS271" s="430">
        <v>0.35</v>
      </c>
      <c r="AT271" s="430">
        <v>0.35</v>
      </c>
      <c r="AU271" s="430">
        <v>0.35</v>
      </c>
      <c r="AV271" s="430">
        <v>0.35</v>
      </c>
      <c r="AW271" s="430">
        <v>0.35</v>
      </c>
      <c r="AX271" s="430">
        <v>0.35</v>
      </c>
      <c r="AY271" s="430">
        <v>0.35</v>
      </c>
      <c r="AZ271" s="430">
        <v>0.35</v>
      </c>
      <c r="BA271" s="430">
        <v>0.35</v>
      </c>
      <c r="BB271" s="430">
        <v>0.35</v>
      </c>
      <c r="BC271" s="430">
        <v>0.35</v>
      </c>
      <c r="BD271" s="430">
        <v>0.35</v>
      </c>
      <c r="BE271" s="430">
        <v>0.35</v>
      </c>
      <c r="BF271" s="430">
        <v>0.35</v>
      </c>
      <c r="BG271" s="430">
        <v>0.35</v>
      </c>
      <c r="BH271" s="430">
        <v>0.35</v>
      </c>
      <c r="BI271" s="430">
        <v>0.35</v>
      </c>
      <c r="BJ271" s="430">
        <v>0.35</v>
      </c>
      <c r="BL271" s="29"/>
      <c r="BM271" s="29"/>
      <c r="BN271" s="29"/>
      <c r="BO271" s="29"/>
      <c r="BP271" s="29"/>
      <c r="BQ271" s="29"/>
      <c r="BR271" s="29"/>
      <c r="BS271" s="29"/>
      <c r="BT271" s="29"/>
      <c r="BU271" s="29"/>
      <c r="BV271" s="29"/>
      <c r="BW271" s="29"/>
      <c r="BX271" s="29"/>
      <c r="BY271" s="29"/>
    </row>
    <row r="272" spans="2:77" ht="12" customHeight="1">
      <c r="B272" s="67" t="s">
        <v>136</v>
      </c>
      <c r="C272" s="436"/>
      <c r="D272" s="203"/>
      <c r="E272" s="203"/>
      <c r="F272" s="203"/>
      <c r="G272" s="203"/>
      <c r="H272" s="203"/>
      <c r="I272" s="203"/>
      <c r="J272" s="203"/>
      <c r="K272" s="203"/>
      <c r="L272" s="203"/>
      <c r="M272" s="203"/>
      <c r="N272" s="203"/>
      <c r="Q272" s="29"/>
      <c r="R272" s="29"/>
      <c r="S272" s="29"/>
      <c r="T272" s="29"/>
      <c r="U272" s="29"/>
      <c r="V272" s="29"/>
      <c r="W272" s="29"/>
      <c r="X272" s="29"/>
      <c r="Y272" s="29"/>
      <c r="Z272" s="29"/>
      <c r="AA272" s="29"/>
      <c r="AB272" s="479"/>
      <c r="AC272" s="479"/>
      <c r="AD272" s="479"/>
      <c r="AE272" s="479"/>
      <c r="AF272" s="479"/>
      <c r="AG272" s="479"/>
      <c r="AH272" s="479"/>
      <c r="AI272" s="479"/>
      <c r="AJ272" s="479"/>
      <c r="AK272" s="479"/>
      <c r="AL272" s="479"/>
      <c r="AM272" s="431">
        <f t="shared" ref="AM272:AX272" ca="1" si="1259">+IF(AM267&gt;0,IF(AL290&gt;$C$290,0,AM267),0)</f>
        <v>1.0835618570565657</v>
      </c>
      <c r="AN272" s="431">
        <f t="shared" ca="1" si="1259"/>
        <v>642.8075207985662</v>
      </c>
      <c r="AO272" s="431">
        <f t="shared" ca="1" si="1259"/>
        <v>0</v>
      </c>
      <c r="AP272" s="431">
        <f t="shared" ca="1" si="1259"/>
        <v>0</v>
      </c>
      <c r="AQ272" s="431">
        <f t="shared" ca="1" si="1259"/>
        <v>0</v>
      </c>
      <c r="AR272" s="431">
        <f t="shared" ca="1" si="1259"/>
        <v>142.169177702898</v>
      </c>
      <c r="AS272" s="431">
        <f t="shared" ca="1" si="1259"/>
        <v>0</v>
      </c>
      <c r="AT272" s="431">
        <f t="shared" ca="1" si="1259"/>
        <v>0</v>
      </c>
      <c r="AU272" s="431">
        <f t="shared" ca="1" si="1259"/>
        <v>0</v>
      </c>
      <c r="AV272" s="431">
        <f t="shared" ca="1" si="1259"/>
        <v>212.7855916724275</v>
      </c>
      <c r="AW272" s="431">
        <f t="shared" ca="1" si="1259"/>
        <v>0</v>
      </c>
      <c r="AX272" s="431">
        <f t="shared" ca="1" si="1259"/>
        <v>57.830435325052548</v>
      </c>
      <c r="AY272" s="431">
        <f t="shared" ref="AY272" ca="1" si="1260">+IF(AY267&gt;0,IF(AX290&gt;$C$290,0,AY267),0)</f>
        <v>212.82865544889063</v>
      </c>
      <c r="AZ272" s="431">
        <f t="shared" ref="AZ272" ca="1" si="1261">+IF(AZ267&gt;0,IF(AY290&gt;$C$290,0,AZ267),0)</f>
        <v>211.91737192560171</v>
      </c>
      <c r="BA272" s="431">
        <f t="shared" ref="BA272" ca="1" si="1262">+IF(BA267&gt;0,IF(AZ290&gt;$C$290,0,BA267),0)</f>
        <v>0</v>
      </c>
      <c r="BB272" s="431">
        <f t="shared" ref="BB272" ca="1" si="1263">+IF(BB267&gt;0,IF(BA290&gt;$C$290,0,BB267),0)</f>
        <v>0</v>
      </c>
      <c r="BC272" s="431">
        <f t="shared" ref="BC272" ca="1" si="1264">+IF(BC267&gt;0,IF(BB290&gt;$C$290,0,BC267),0)</f>
        <v>66.52327487410372</v>
      </c>
      <c r="BD272" s="431">
        <f t="shared" ref="BD272" ca="1" si="1265">+IF(BD267&gt;0,IF(BC290&gt;$C$290,0,BD267),0)</f>
        <v>176.45363984726183</v>
      </c>
      <c r="BE272" s="431">
        <f t="shared" ref="BE272" ca="1" si="1266">+IF(BE267&gt;0,IF(BD290&gt;$C$290,0,BE267),0)</f>
        <v>167.47129317788648</v>
      </c>
      <c r="BF272" s="431">
        <f t="shared" ref="BF272" ca="1" si="1267">+IF(BF267&gt;0,IF(BE290&gt;$C$290,0,BF267),0)</f>
        <v>0</v>
      </c>
      <c r="BG272" s="431">
        <f t="shared" ref="BG272" ca="1" si="1268">+IF(BG267&gt;0,IF(BF290&gt;$C$290,0,BG267),0)</f>
        <v>40.810418416590338</v>
      </c>
      <c r="BH272" s="431">
        <f t="shared" ref="BH272" ca="1" si="1269">+IF(BH267&gt;0,IF(BG290&gt;$C$290,0,BH267),0)</f>
        <v>141.56373395890341</v>
      </c>
      <c r="BI272" s="431">
        <f t="shared" ref="BI272" ca="1" si="1270">+IF(BI267&gt;0,IF(BH290&gt;$C$290,0,BI267),0)</f>
        <v>132.21273987796155</v>
      </c>
      <c r="BJ272" s="431">
        <f t="shared" ref="BJ272" ca="1" si="1271">+IF(BJ267&gt;0,IF(BI290&gt;$C$290,0,BJ267),0)</f>
        <v>113.30809429636814</v>
      </c>
      <c r="BL272" s="29"/>
      <c r="BM272" s="29"/>
      <c r="BN272" s="29"/>
      <c r="BO272" s="29"/>
      <c r="BP272" s="29"/>
      <c r="BQ272" s="29"/>
      <c r="BR272" s="29"/>
      <c r="BS272" s="29"/>
      <c r="BT272" s="29"/>
      <c r="BU272" s="29"/>
      <c r="BV272" s="29"/>
      <c r="BW272" s="29"/>
      <c r="BX272" s="29"/>
      <c r="BY272" s="29"/>
    </row>
    <row r="273" spans="2:77" ht="12" customHeight="1">
      <c r="B273" s="67" t="s">
        <v>47</v>
      </c>
      <c r="C273" s="203"/>
      <c r="D273" s="203"/>
      <c r="E273" s="203"/>
      <c r="F273" s="203"/>
      <c r="G273" s="203"/>
      <c r="H273" s="203"/>
      <c r="I273" s="203"/>
      <c r="J273" s="203"/>
      <c r="K273" s="203"/>
      <c r="L273" s="203"/>
      <c r="M273" s="203"/>
      <c r="N273" s="203"/>
      <c r="Q273" s="29"/>
      <c r="R273" s="29"/>
      <c r="S273" s="29"/>
      <c r="T273" s="29"/>
      <c r="U273" s="29"/>
      <c r="V273" s="29"/>
      <c r="W273" s="29"/>
      <c r="X273" s="29"/>
      <c r="Y273" s="29"/>
      <c r="Z273" s="29"/>
      <c r="AA273" s="29"/>
      <c r="AB273" s="282"/>
      <c r="AC273" s="282"/>
      <c r="AD273" s="282"/>
      <c r="AE273" s="282"/>
      <c r="AF273" s="282"/>
      <c r="AG273" s="282"/>
      <c r="AH273" s="282"/>
      <c r="AI273" s="282"/>
      <c r="AJ273" s="282"/>
      <c r="AK273" s="282"/>
      <c r="AL273" s="282"/>
      <c r="AM273" s="282">
        <v>0.02</v>
      </c>
      <c r="AN273" s="282">
        <v>0.02</v>
      </c>
      <c r="AO273" s="282">
        <v>0.02</v>
      </c>
      <c r="AP273" s="282">
        <v>0.02</v>
      </c>
      <c r="AQ273" s="282">
        <v>0.02</v>
      </c>
      <c r="AR273" s="282">
        <v>0.02</v>
      </c>
      <c r="AS273" s="282">
        <v>0.02</v>
      </c>
      <c r="AT273" s="282">
        <v>0.02</v>
      </c>
      <c r="AU273" s="282">
        <v>0.02</v>
      </c>
      <c r="AV273" s="282">
        <v>0.02</v>
      </c>
      <c r="AW273" s="282">
        <v>0.02</v>
      </c>
      <c r="AX273" s="282">
        <v>0.02</v>
      </c>
      <c r="AY273" s="282">
        <v>0.02</v>
      </c>
      <c r="AZ273" s="282">
        <v>0.02</v>
      </c>
      <c r="BA273" s="282">
        <v>0.02</v>
      </c>
      <c r="BB273" s="282">
        <v>0.02</v>
      </c>
      <c r="BC273" s="282">
        <v>0.02</v>
      </c>
      <c r="BD273" s="282">
        <v>0.02</v>
      </c>
      <c r="BE273" s="282">
        <v>0.02</v>
      </c>
      <c r="BF273" s="282">
        <v>0.02</v>
      </c>
      <c r="BG273" s="282">
        <v>0.02</v>
      </c>
      <c r="BH273" s="282">
        <v>0.02</v>
      </c>
      <c r="BI273" s="282">
        <v>0.02</v>
      </c>
      <c r="BJ273" s="282">
        <v>0.02</v>
      </c>
      <c r="BL273" s="29"/>
      <c r="BM273" s="29"/>
      <c r="BN273" s="29"/>
      <c r="BO273" s="29"/>
      <c r="BP273" s="29"/>
      <c r="BQ273" s="29"/>
      <c r="BR273" s="29"/>
      <c r="BS273" s="29"/>
      <c r="BT273" s="29"/>
      <c r="BU273" s="29"/>
      <c r="BV273" s="29"/>
      <c r="BW273" s="29"/>
      <c r="BX273" s="29"/>
      <c r="BY273" s="29"/>
    </row>
    <row r="274" spans="2:77" ht="12" customHeight="1">
      <c r="B274" s="66" t="s">
        <v>137</v>
      </c>
      <c r="C274" s="202"/>
      <c r="D274" s="202"/>
      <c r="E274" s="202"/>
      <c r="F274" s="202"/>
      <c r="G274" s="202"/>
      <c r="H274" s="202"/>
      <c r="I274" s="202"/>
      <c r="J274" s="202"/>
      <c r="K274" s="202"/>
      <c r="L274" s="202"/>
      <c r="M274" s="202"/>
      <c r="N274" s="202"/>
      <c r="Q274" s="29"/>
      <c r="R274" s="29"/>
      <c r="S274" s="29"/>
      <c r="T274" s="29"/>
      <c r="U274" s="29"/>
      <c r="V274" s="29"/>
      <c r="W274" s="29"/>
      <c r="X274" s="29"/>
      <c r="Y274" s="29"/>
      <c r="Z274" s="29"/>
      <c r="AA274" s="29"/>
      <c r="AB274" s="430"/>
      <c r="AC274" s="430"/>
      <c r="AD274" s="430"/>
      <c r="AE274" s="507"/>
      <c r="AF274" s="507"/>
      <c r="AG274" s="507"/>
      <c r="AH274" s="507"/>
      <c r="AI274" s="507"/>
      <c r="AJ274" s="507"/>
      <c r="AK274" s="507"/>
      <c r="AL274" s="507"/>
      <c r="AM274" s="430">
        <v>0.65</v>
      </c>
      <c r="AN274" s="430">
        <v>0.65</v>
      </c>
      <c r="AO274" s="430">
        <v>0.65</v>
      </c>
      <c r="AP274" s="430">
        <v>0.65</v>
      </c>
      <c r="AQ274" s="430">
        <v>0.65</v>
      </c>
      <c r="AR274" s="430">
        <v>0.65</v>
      </c>
      <c r="AS274" s="430">
        <v>0.65</v>
      </c>
      <c r="AT274" s="430">
        <v>0.65</v>
      </c>
      <c r="AU274" s="430">
        <v>0.65</v>
      </c>
      <c r="AV274" s="430">
        <v>0.65</v>
      </c>
      <c r="AW274" s="430">
        <v>0.65</v>
      </c>
      <c r="AX274" s="430">
        <v>0.65</v>
      </c>
      <c r="AY274" s="430">
        <v>0.65</v>
      </c>
      <c r="AZ274" s="430">
        <v>0.65</v>
      </c>
      <c r="BA274" s="430">
        <v>0.65</v>
      </c>
      <c r="BB274" s="430">
        <v>0.65</v>
      </c>
      <c r="BC274" s="430">
        <v>0.65</v>
      </c>
      <c r="BD274" s="430">
        <v>0.65</v>
      </c>
      <c r="BE274" s="430">
        <v>0.65</v>
      </c>
      <c r="BF274" s="430">
        <v>0.65</v>
      </c>
      <c r="BG274" s="430">
        <v>0.65</v>
      </c>
      <c r="BH274" s="430">
        <v>0.65</v>
      </c>
      <c r="BI274" s="430">
        <v>0.65</v>
      </c>
      <c r="BJ274" s="430">
        <v>0.65</v>
      </c>
      <c r="BL274" s="29"/>
      <c r="BM274" s="29"/>
      <c r="BN274" s="29"/>
      <c r="BO274" s="29"/>
      <c r="BP274" s="29"/>
      <c r="BQ274" s="29"/>
      <c r="BR274" s="29"/>
      <c r="BS274" s="29"/>
      <c r="BT274" s="29"/>
      <c r="BU274" s="29"/>
      <c r="BV274" s="29"/>
      <c r="BW274" s="29"/>
      <c r="BX274" s="29"/>
      <c r="BY274" s="29"/>
    </row>
    <row r="275" spans="2:77" ht="12" customHeight="1">
      <c r="B275" s="67" t="s">
        <v>136</v>
      </c>
      <c r="C275" s="203"/>
      <c r="D275" s="203"/>
      <c r="E275" s="203"/>
      <c r="F275" s="203"/>
      <c r="G275" s="203"/>
      <c r="H275" s="203"/>
      <c r="I275" s="203"/>
      <c r="J275" s="203"/>
      <c r="K275" s="203"/>
      <c r="L275" s="203"/>
      <c r="M275" s="203"/>
      <c r="N275" s="203"/>
      <c r="Q275" s="29"/>
      <c r="R275" s="29"/>
      <c r="S275" s="29"/>
      <c r="T275" s="29"/>
      <c r="U275" s="29"/>
      <c r="V275" s="29"/>
      <c r="W275" s="29"/>
      <c r="X275" s="29"/>
      <c r="Y275" s="29"/>
      <c r="Z275" s="29"/>
      <c r="AA275" s="29"/>
      <c r="AB275" s="479">
        <f>7*30</f>
        <v>210</v>
      </c>
      <c r="AE275" s="479">
        <f>+AE280</f>
        <v>265.65000000000003</v>
      </c>
      <c r="AF275" s="479"/>
      <c r="AG275" s="479">
        <f>+AG280</f>
        <v>171.7</v>
      </c>
      <c r="AH275" s="479">
        <f ca="1">+AH280</f>
        <v>0</v>
      </c>
      <c r="AI275" s="479">
        <f>+AI280</f>
        <v>223.21</v>
      </c>
      <c r="AJ275" s="479">
        <f>+AJ280</f>
        <v>205.83333333333337</v>
      </c>
      <c r="AK275" s="479"/>
      <c r="AL275" s="479"/>
      <c r="AM275" s="431">
        <f t="shared" ref="AM275:AX275" ca="1" si="1272">+IF(AM270-AM272&gt;0,AM270,0)</f>
        <v>0</v>
      </c>
      <c r="AN275" s="431">
        <f t="shared" ca="1" si="1272"/>
        <v>0</v>
      </c>
      <c r="AO275" s="431">
        <f t="shared" ca="1" si="1272"/>
        <v>148.8635374654171</v>
      </c>
      <c r="AP275" s="431">
        <f t="shared" ca="1" si="1272"/>
        <v>224.61787935187817</v>
      </c>
      <c r="AQ275" s="431">
        <f t="shared" ca="1" si="1272"/>
        <v>116.22093059624076</v>
      </c>
      <c r="AR275" s="431">
        <f t="shared" ca="1" si="1272"/>
        <v>0</v>
      </c>
      <c r="AS275" s="431">
        <f t="shared" ca="1" si="1272"/>
        <v>117.70376138953048</v>
      </c>
      <c r="AT275" s="431">
        <f t="shared" ca="1" si="1272"/>
        <v>121.46532368182639</v>
      </c>
      <c r="AU275" s="431">
        <f t="shared" ca="1" si="1272"/>
        <v>0</v>
      </c>
      <c r="AV275" s="431">
        <f t="shared" ca="1" si="1272"/>
        <v>0</v>
      </c>
      <c r="AW275" s="431">
        <f t="shared" ca="1" si="1272"/>
        <v>86.064794221524792</v>
      </c>
      <c r="AX275" s="431">
        <f t="shared" ca="1" si="1272"/>
        <v>0</v>
      </c>
      <c r="AY275" s="431">
        <f t="shared" ref="AY275:BJ275" ca="1" si="1273">+IF(AY270-AY272&gt;0,AY270,0)</f>
        <v>0</v>
      </c>
      <c r="AZ275" s="431">
        <f t="shared" ca="1" si="1273"/>
        <v>0</v>
      </c>
      <c r="BA275" s="431">
        <f t="shared" ca="1" si="1273"/>
        <v>202.19174066222496</v>
      </c>
      <c r="BB275" s="431">
        <f t="shared" ca="1" si="1273"/>
        <v>138.13057194833686</v>
      </c>
      <c r="BC275" s="431">
        <f t="shared" ca="1" si="1273"/>
        <v>0</v>
      </c>
      <c r="BD275" s="431">
        <f t="shared" ca="1" si="1273"/>
        <v>0</v>
      </c>
      <c r="BE275" s="431">
        <f t="shared" ca="1" si="1273"/>
        <v>0</v>
      </c>
      <c r="BF275" s="431">
        <f t="shared" ca="1" si="1273"/>
        <v>148.99768406870948</v>
      </c>
      <c r="BG275" s="431">
        <f t="shared" ca="1" si="1273"/>
        <v>0</v>
      </c>
      <c r="BH275" s="431">
        <f t="shared" ca="1" si="1273"/>
        <v>0</v>
      </c>
      <c r="BI275" s="431">
        <f t="shared" ca="1" si="1273"/>
        <v>0</v>
      </c>
      <c r="BJ275" s="431">
        <f t="shared" ca="1" si="1273"/>
        <v>0</v>
      </c>
      <c r="BL275" s="29"/>
      <c r="BM275" s="29"/>
      <c r="BN275" s="29">
        <f>+SUM(O275:R275)</f>
        <v>0</v>
      </c>
      <c r="BO275" s="29">
        <f>+SUM(S275:V275)</f>
        <v>0</v>
      </c>
      <c r="BP275" s="29">
        <f>+SUM(W275:Z275)</f>
        <v>0</v>
      </c>
      <c r="BQ275" s="29">
        <f>+SUM(AA275:AD275)</f>
        <v>210</v>
      </c>
      <c r="BR275" s="29">
        <f ca="1">+SUM(AE275:AH275)</f>
        <v>437.35</v>
      </c>
      <c r="BS275" s="29">
        <f>+SUM(AI275:AL275)</f>
        <v>429.04333333333341</v>
      </c>
      <c r="BT275" s="29">
        <f ca="1">+SUM(AM275:AP275)</f>
        <v>373.48141681729527</v>
      </c>
      <c r="BU275" s="29">
        <f ca="1">+SUM(AQ275:AT275)</f>
        <v>355.39001566759759</v>
      </c>
      <c r="BV275" s="29">
        <f ca="1">+SUM(AU275:AX275)</f>
        <v>86.064794221524792</v>
      </c>
      <c r="BW275" s="29">
        <f ca="1">SUM(AY275:BB275)</f>
        <v>340.32231261056182</v>
      </c>
      <c r="BX275" s="29">
        <f ca="1">SUM(BC275:BF275)</f>
        <v>148.99768406870948</v>
      </c>
      <c r="BY275" s="29">
        <f ca="1">SUM(BG275:BJ275)</f>
        <v>0</v>
      </c>
    </row>
    <row r="276" spans="2:77" ht="12" customHeight="1">
      <c r="B276" s="66" t="s">
        <v>138</v>
      </c>
      <c r="C276" s="202"/>
      <c r="D276" s="202"/>
      <c r="E276" s="202"/>
      <c r="F276" s="202"/>
      <c r="G276" s="202"/>
      <c r="H276" s="202"/>
      <c r="I276" s="202"/>
      <c r="J276" s="202"/>
      <c r="K276" s="202"/>
      <c r="L276" s="202"/>
      <c r="M276" s="202"/>
      <c r="N276" s="202"/>
      <c r="Q276" s="29"/>
      <c r="R276" s="29"/>
      <c r="S276" s="29"/>
      <c r="T276" s="29"/>
      <c r="U276" s="29"/>
      <c r="V276" s="29"/>
      <c r="W276" s="29"/>
      <c r="X276" s="29"/>
      <c r="Y276" s="29"/>
      <c r="Z276" s="29"/>
      <c r="AA276" s="29"/>
      <c r="AB276" s="432"/>
      <c r="AC276" s="432"/>
      <c r="AD276" s="432"/>
      <c r="AE276" s="508"/>
      <c r="AF276" s="508"/>
      <c r="AG276" s="508"/>
      <c r="AH276" s="508"/>
      <c r="AI276" s="508"/>
      <c r="AJ276" s="508"/>
      <c r="AK276" s="508"/>
      <c r="AL276" s="508"/>
      <c r="AM276" s="432">
        <f t="shared" ref="AM276:AX276" si="1274">1-AM274-AM271</f>
        <v>0</v>
      </c>
      <c r="AN276" s="432">
        <f t="shared" si="1274"/>
        <v>0</v>
      </c>
      <c r="AO276" s="432">
        <f t="shared" si="1274"/>
        <v>0</v>
      </c>
      <c r="AP276" s="432">
        <f t="shared" si="1274"/>
        <v>0</v>
      </c>
      <c r="AQ276" s="432">
        <f t="shared" si="1274"/>
        <v>0</v>
      </c>
      <c r="AR276" s="432">
        <f t="shared" si="1274"/>
        <v>0</v>
      </c>
      <c r="AS276" s="432">
        <f t="shared" si="1274"/>
        <v>0</v>
      </c>
      <c r="AT276" s="432">
        <f t="shared" si="1274"/>
        <v>0</v>
      </c>
      <c r="AU276" s="432">
        <f t="shared" si="1274"/>
        <v>0</v>
      </c>
      <c r="AV276" s="432">
        <f t="shared" si="1274"/>
        <v>0</v>
      </c>
      <c r="AW276" s="432">
        <f t="shared" si="1274"/>
        <v>0</v>
      </c>
      <c r="AX276" s="432">
        <f t="shared" si="1274"/>
        <v>0</v>
      </c>
      <c r="AY276" s="432">
        <f t="shared" ref="AY276:BJ276" si="1275">1-AY274-AY271</f>
        <v>0</v>
      </c>
      <c r="AZ276" s="432">
        <f t="shared" si="1275"/>
        <v>0</v>
      </c>
      <c r="BA276" s="432">
        <f t="shared" si="1275"/>
        <v>0</v>
      </c>
      <c r="BB276" s="432">
        <f t="shared" si="1275"/>
        <v>0</v>
      </c>
      <c r="BC276" s="432">
        <f t="shared" si="1275"/>
        <v>0</v>
      </c>
      <c r="BD276" s="432">
        <f t="shared" si="1275"/>
        <v>0</v>
      </c>
      <c r="BE276" s="432">
        <f t="shared" si="1275"/>
        <v>0</v>
      </c>
      <c r="BF276" s="432">
        <f t="shared" si="1275"/>
        <v>0</v>
      </c>
      <c r="BG276" s="432">
        <f t="shared" si="1275"/>
        <v>0</v>
      </c>
      <c r="BH276" s="432">
        <f t="shared" si="1275"/>
        <v>0</v>
      </c>
      <c r="BI276" s="432">
        <f t="shared" si="1275"/>
        <v>0</v>
      </c>
      <c r="BJ276" s="432">
        <f t="shared" si="1275"/>
        <v>0</v>
      </c>
      <c r="BL276" s="29"/>
      <c r="BM276" s="29"/>
      <c r="BN276" s="29"/>
      <c r="BO276" s="29"/>
      <c r="BP276" s="29"/>
      <c r="BQ276" s="29"/>
      <c r="BR276" s="29"/>
      <c r="BS276" s="29"/>
      <c r="BT276" s="29"/>
      <c r="BU276" s="29"/>
      <c r="BV276" s="29"/>
      <c r="BW276" s="29"/>
      <c r="BX276" s="29"/>
      <c r="BY276" s="29"/>
    </row>
    <row r="277" spans="2:77" ht="12" customHeight="1">
      <c r="B277" s="67" t="s">
        <v>136</v>
      </c>
      <c r="C277" s="203"/>
      <c r="D277" s="203"/>
      <c r="E277" s="203"/>
      <c r="F277" s="203"/>
      <c r="G277" s="203"/>
      <c r="H277" s="203"/>
      <c r="I277" s="203"/>
      <c r="J277" s="203"/>
      <c r="K277" s="203"/>
      <c r="L277" s="203"/>
      <c r="M277" s="203"/>
      <c r="N277" s="203"/>
      <c r="Q277" s="29"/>
      <c r="R277" s="29"/>
      <c r="S277" s="29"/>
      <c r="T277" s="29"/>
      <c r="U277" s="29"/>
      <c r="V277" s="29"/>
      <c r="W277" s="29"/>
      <c r="X277" s="29"/>
      <c r="Y277" s="29"/>
      <c r="Z277" s="29"/>
      <c r="AA277" s="29"/>
      <c r="AB277" s="68"/>
      <c r="AC277" s="68"/>
      <c r="AD277" s="68"/>
      <c r="AE277" s="506"/>
      <c r="AF277" s="506"/>
      <c r="AG277" s="506"/>
      <c r="AH277" s="506"/>
      <c r="AI277" s="506"/>
      <c r="AJ277" s="506"/>
      <c r="AK277" s="506"/>
      <c r="AL277" s="506"/>
      <c r="AM277" s="68">
        <f t="shared" ref="AM277:AX277" ca="1" si="1276">+IF(AM270-AM272-AM275&gt;0,AM270-AM272-AM275,0)</f>
        <v>0</v>
      </c>
      <c r="AN277" s="68">
        <f t="shared" ca="1" si="1276"/>
        <v>0</v>
      </c>
      <c r="AO277" s="68">
        <f t="shared" ca="1" si="1276"/>
        <v>0</v>
      </c>
      <c r="AP277" s="68">
        <f t="shared" ca="1" si="1276"/>
        <v>0</v>
      </c>
      <c r="AQ277" s="68">
        <f t="shared" ca="1" si="1276"/>
        <v>0</v>
      </c>
      <c r="AR277" s="68">
        <f t="shared" ca="1" si="1276"/>
        <v>0</v>
      </c>
      <c r="AS277" s="68">
        <f t="shared" ca="1" si="1276"/>
        <v>0</v>
      </c>
      <c r="AT277" s="68">
        <f t="shared" ca="1" si="1276"/>
        <v>0</v>
      </c>
      <c r="AU277" s="68">
        <f t="shared" ca="1" si="1276"/>
        <v>0</v>
      </c>
      <c r="AV277" s="68">
        <f t="shared" ca="1" si="1276"/>
        <v>0</v>
      </c>
      <c r="AW277" s="68">
        <f t="shared" ca="1" si="1276"/>
        <v>0</v>
      </c>
      <c r="AX277" s="68">
        <f t="shared" ca="1" si="1276"/>
        <v>0</v>
      </c>
      <c r="AY277" s="68">
        <f t="shared" ref="AY277:BJ277" ca="1" si="1277">+IF(AY270-AY272-AY275&gt;0,AY270-AY272-AY275,0)</f>
        <v>0</v>
      </c>
      <c r="AZ277" s="68">
        <f t="shared" ca="1" si="1277"/>
        <v>0</v>
      </c>
      <c r="BA277" s="68">
        <f t="shared" ca="1" si="1277"/>
        <v>0</v>
      </c>
      <c r="BB277" s="68">
        <f t="shared" ca="1" si="1277"/>
        <v>0</v>
      </c>
      <c r="BC277" s="68">
        <f t="shared" ca="1" si="1277"/>
        <v>0</v>
      </c>
      <c r="BD277" s="68">
        <f t="shared" ca="1" si="1277"/>
        <v>0</v>
      </c>
      <c r="BE277" s="68">
        <f t="shared" ca="1" si="1277"/>
        <v>0</v>
      </c>
      <c r="BF277" s="68">
        <f t="shared" ca="1" si="1277"/>
        <v>0</v>
      </c>
      <c r="BG277" s="68">
        <f t="shared" ca="1" si="1277"/>
        <v>0</v>
      </c>
      <c r="BH277" s="68">
        <f t="shared" ca="1" si="1277"/>
        <v>0</v>
      </c>
      <c r="BI277" s="68">
        <f t="shared" ca="1" si="1277"/>
        <v>0</v>
      </c>
      <c r="BJ277" s="68">
        <f t="shared" ca="1" si="1277"/>
        <v>0</v>
      </c>
      <c r="BL277" s="29"/>
      <c r="BM277" s="29"/>
      <c r="BN277" s="29"/>
      <c r="BO277" s="29"/>
      <c r="BP277" s="29"/>
      <c r="BQ277" s="29"/>
      <c r="BR277" s="29"/>
      <c r="BS277" s="29"/>
      <c r="BT277" s="29"/>
      <c r="BU277" s="29"/>
      <c r="BV277" s="29"/>
      <c r="BW277" s="29"/>
      <c r="BX277" s="29"/>
      <c r="BY277" s="29"/>
    </row>
    <row r="278" spans="2:77" ht="12" customHeight="1">
      <c r="B278" s="65"/>
      <c r="C278" s="201"/>
      <c r="D278" s="201"/>
      <c r="E278" s="201"/>
      <c r="F278" s="201"/>
      <c r="G278" s="201"/>
      <c r="H278" s="201"/>
      <c r="I278" s="201"/>
      <c r="J278" s="201"/>
      <c r="K278" s="201"/>
      <c r="L278" s="201"/>
      <c r="M278" s="201"/>
      <c r="N278" s="201"/>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L278" s="29"/>
      <c r="BM278" s="29"/>
      <c r="BN278" s="29"/>
      <c r="BO278" s="29"/>
      <c r="BP278" s="29"/>
      <c r="BQ278" s="29"/>
      <c r="BR278" s="29"/>
      <c r="BS278" s="29"/>
      <c r="BT278" s="29"/>
      <c r="BU278" s="29"/>
      <c r="BV278" s="29"/>
      <c r="BW278" s="29"/>
      <c r="BX278" s="29"/>
      <c r="BY278" s="29"/>
    </row>
    <row r="279" spans="2:77" ht="12" customHeight="1">
      <c r="B279" s="8" t="s">
        <v>81</v>
      </c>
      <c r="C279" s="8"/>
      <c r="D279" s="8"/>
      <c r="E279" s="8"/>
      <c r="F279" s="8"/>
      <c r="G279" s="8"/>
      <c r="H279" s="8"/>
      <c r="I279" s="8"/>
      <c r="J279" s="8"/>
      <c r="K279" s="8"/>
      <c r="L279" s="8"/>
      <c r="M279" s="8"/>
      <c r="N279" s="8"/>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L279" s="6"/>
      <c r="BM279" s="6"/>
      <c r="BN279" s="6"/>
      <c r="BO279" s="6"/>
      <c r="BP279" s="6"/>
      <c r="BQ279" s="6"/>
      <c r="BR279" s="6"/>
      <c r="BS279" s="6"/>
      <c r="BT279" s="6"/>
      <c r="BU279" s="6"/>
      <c r="BV279" s="6"/>
      <c r="BW279" s="6"/>
      <c r="BX279" s="6"/>
      <c r="BY279" s="6"/>
    </row>
    <row r="280" spans="2:77" ht="12" customHeight="1">
      <c r="B280" s="2" t="s">
        <v>492</v>
      </c>
      <c r="C280" s="427">
        <v>0.96</v>
      </c>
      <c r="D280" s="2"/>
      <c r="E280" s="2"/>
      <c r="F280" s="2"/>
      <c r="G280" s="2"/>
      <c r="H280" s="2"/>
      <c r="I280" s="2"/>
      <c r="J280" s="2"/>
      <c r="K280" s="2"/>
      <c r="L280" s="2"/>
      <c r="M280" s="2"/>
      <c r="N280" s="2"/>
      <c r="Q280" s="29"/>
      <c r="R280" s="29"/>
      <c r="S280" s="29"/>
      <c r="T280" s="29"/>
      <c r="U280" s="29"/>
      <c r="V280" s="29"/>
      <c r="W280" s="29"/>
      <c r="X280" s="29"/>
      <c r="Y280" s="29"/>
      <c r="Z280" s="29"/>
      <c r="AA280" s="29"/>
      <c r="AB280" s="29">
        <f>+AB275</f>
        <v>210</v>
      </c>
      <c r="AC280" s="29">
        <f>+AC275</f>
        <v>0</v>
      </c>
      <c r="AD280" s="29">
        <f>+AD275</f>
        <v>0</v>
      </c>
      <c r="AE280" s="504">
        <f>+AE282*AE283</f>
        <v>265.65000000000003</v>
      </c>
      <c r="AF280" s="29">
        <f>+AF275</f>
        <v>0</v>
      </c>
      <c r="AG280" s="504">
        <f>+AG282*AG283</f>
        <v>171.7</v>
      </c>
      <c r="AH280" s="29">
        <f ca="1">+AH275</f>
        <v>0</v>
      </c>
      <c r="AI280" s="504">
        <f>+AI282*AI283</f>
        <v>223.21</v>
      </c>
      <c r="AJ280" s="504">
        <f>+AJ281/C280</f>
        <v>205.83333333333337</v>
      </c>
      <c r="AK280" s="29">
        <f>+AK275</f>
        <v>0</v>
      </c>
      <c r="AL280" s="29">
        <f>+AL275</f>
        <v>0</v>
      </c>
      <c r="AM280" s="29">
        <f t="shared" ref="AM280:BJ280" ca="1" si="1278">AM281/$C$280</f>
        <v>0</v>
      </c>
      <c r="AN280" s="29">
        <f t="shared" ca="1" si="1278"/>
        <v>0</v>
      </c>
      <c r="AO280" s="29">
        <f t="shared" ca="1" si="1278"/>
        <v>260.41666666666669</v>
      </c>
      <c r="AP280" s="29">
        <f t="shared" ca="1" si="1278"/>
        <v>260.41666666666669</v>
      </c>
      <c r="AQ280" s="29">
        <f t="shared" ca="1" si="1278"/>
        <v>260.41666666666669</v>
      </c>
      <c r="AR280" s="29">
        <f t="shared" ca="1" si="1278"/>
        <v>0</v>
      </c>
      <c r="AS280" s="29">
        <f t="shared" ca="1" si="1278"/>
        <v>260.41666666666669</v>
      </c>
      <c r="AT280" s="29">
        <f t="shared" ca="1" si="1278"/>
        <v>260.41666666666669</v>
      </c>
      <c r="AU280" s="29">
        <f t="shared" ca="1" si="1278"/>
        <v>0</v>
      </c>
      <c r="AV280" s="29">
        <f t="shared" ca="1" si="1278"/>
        <v>0</v>
      </c>
      <c r="AW280" s="29">
        <f t="shared" ca="1" si="1278"/>
        <v>260.41666666666669</v>
      </c>
      <c r="AX280" s="29">
        <f t="shared" ca="1" si="1278"/>
        <v>0</v>
      </c>
      <c r="AY280" s="29">
        <f t="shared" ca="1" si="1278"/>
        <v>0</v>
      </c>
      <c r="AZ280" s="29">
        <f t="shared" ca="1" si="1278"/>
        <v>0</v>
      </c>
      <c r="BA280" s="29">
        <f t="shared" ca="1" si="1278"/>
        <v>260.41666666666669</v>
      </c>
      <c r="BB280" s="29">
        <f t="shared" ca="1" si="1278"/>
        <v>260.41666666666669</v>
      </c>
      <c r="BC280" s="29">
        <f t="shared" ca="1" si="1278"/>
        <v>0</v>
      </c>
      <c r="BD280" s="29">
        <f t="shared" ca="1" si="1278"/>
        <v>0</v>
      </c>
      <c r="BE280" s="29">
        <f t="shared" ca="1" si="1278"/>
        <v>0</v>
      </c>
      <c r="BF280" s="29">
        <f t="shared" ca="1" si="1278"/>
        <v>260.41666666666669</v>
      </c>
      <c r="BG280" s="29">
        <f t="shared" ca="1" si="1278"/>
        <v>0</v>
      </c>
      <c r="BH280" s="29">
        <f t="shared" ca="1" si="1278"/>
        <v>0</v>
      </c>
      <c r="BI280" s="29">
        <f t="shared" ca="1" si="1278"/>
        <v>0</v>
      </c>
      <c r="BJ280" s="29">
        <f t="shared" ca="1" si="1278"/>
        <v>0</v>
      </c>
      <c r="BL280" s="29"/>
      <c r="BM280" s="29"/>
      <c r="BN280" s="29"/>
      <c r="BO280" s="29"/>
      <c r="BP280" s="29"/>
      <c r="BQ280" s="29"/>
      <c r="BR280" s="29"/>
      <c r="BS280" s="29"/>
      <c r="BT280" s="29"/>
      <c r="BU280" s="29"/>
      <c r="BV280" s="29"/>
      <c r="BW280" s="29"/>
      <c r="BX280" s="29"/>
      <c r="BY280" s="29"/>
    </row>
    <row r="281" spans="2:77" ht="12" customHeight="1">
      <c r="B281" s="2" t="s">
        <v>82</v>
      </c>
      <c r="C281" s="428">
        <v>250</v>
      </c>
      <c r="D281" s="2"/>
      <c r="E281" s="2"/>
      <c r="F281" s="2"/>
      <c r="G281" s="2"/>
      <c r="H281" s="2"/>
      <c r="I281" s="2"/>
      <c r="J281" s="2"/>
      <c r="K281" s="2"/>
      <c r="L281" s="2"/>
      <c r="M281" s="2"/>
      <c r="N281" s="2"/>
      <c r="Q281" s="45"/>
      <c r="R281" s="45"/>
      <c r="S281" s="343">
        <f>360.5-23.4</f>
        <v>337.1</v>
      </c>
      <c r="T281" s="343">
        <v>0</v>
      </c>
      <c r="U281" s="343">
        <v>0</v>
      </c>
      <c r="V281" s="343">
        <v>0</v>
      </c>
      <c r="W281" s="343">
        <v>0</v>
      </c>
      <c r="X281" s="456">
        <v>355.4</v>
      </c>
      <c r="Y281" s="456">
        <v>0</v>
      </c>
      <c r="Z281" s="456">
        <v>0</v>
      </c>
      <c r="AA281" s="456">
        <v>0</v>
      </c>
      <c r="AB281" s="452">
        <v>203</v>
      </c>
      <c r="AC281" s="456">
        <v>0</v>
      </c>
      <c r="AD281" s="456">
        <v>0</v>
      </c>
      <c r="AE281" s="452">
        <v>255</v>
      </c>
      <c r="AF281" s="456">
        <v>0</v>
      </c>
      <c r="AG281" s="456">
        <f>379.1*3.4/7.82</f>
        <v>164.82608695652175</v>
      </c>
      <c r="AH281" s="456">
        <v>0</v>
      </c>
      <c r="AI281" s="452">
        <f>379.1*((7.82-3.4)/7.82)</f>
        <v>214.27391304347825</v>
      </c>
      <c r="AJ281" s="29">
        <f>+AJ389</f>
        <v>197.60000000000002</v>
      </c>
      <c r="AK281" s="456">
        <v>0</v>
      </c>
      <c r="AL281" s="456">
        <v>0</v>
      </c>
      <c r="AM281" s="29">
        <f t="shared" ref="AM281:AX281" ca="1" si="1279">IF(AM275&gt;0,$C$281,0)</f>
        <v>0</v>
      </c>
      <c r="AN281" s="29">
        <f t="shared" ca="1" si="1279"/>
        <v>0</v>
      </c>
      <c r="AO281" s="29">
        <f t="shared" ca="1" si="1279"/>
        <v>250</v>
      </c>
      <c r="AP281" s="29">
        <f t="shared" ca="1" si="1279"/>
        <v>250</v>
      </c>
      <c r="AQ281" s="29">
        <f t="shared" ca="1" si="1279"/>
        <v>250</v>
      </c>
      <c r="AR281" s="29">
        <f t="shared" ca="1" si="1279"/>
        <v>0</v>
      </c>
      <c r="AS281" s="29">
        <f t="shared" ca="1" si="1279"/>
        <v>250</v>
      </c>
      <c r="AT281" s="29">
        <f t="shared" ca="1" si="1279"/>
        <v>250</v>
      </c>
      <c r="AU281" s="29">
        <f t="shared" ca="1" si="1279"/>
        <v>0</v>
      </c>
      <c r="AV281" s="29">
        <f t="shared" ca="1" si="1279"/>
        <v>0</v>
      </c>
      <c r="AW281" s="29">
        <f t="shared" ca="1" si="1279"/>
        <v>250</v>
      </c>
      <c r="AX281" s="29">
        <f t="shared" ca="1" si="1279"/>
        <v>0</v>
      </c>
      <c r="AY281" s="29">
        <f t="shared" ref="AY281:BJ281" ca="1" si="1280">IF(AY275&gt;0,$C$281,0)</f>
        <v>0</v>
      </c>
      <c r="AZ281" s="29">
        <f t="shared" ca="1" si="1280"/>
        <v>0</v>
      </c>
      <c r="BA281" s="29">
        <f t="shared" ca="1" si="1280"/>
        <v>250</v>
      </c>
      <c r="BB281" s="29">
        <f t="shared" ca="1" si="1280"/>
        <v>250</v>
      </c>
      <c r="BC281" s="29">
        <f t="shared" ca="1" si="1280"/>
        <v>0</v>
      </c>
      <c r="BD281" s="29">
        <f t="shared" ca="1" si="1280"/>
        <v>0</v>
      </c>
      <c r="BE281" s="29">
        <f t="shared" ca="1" si="1280"/>
        <v>0</v>
      </c>
      <c r="BF281" s="29">
        <f t="shared" ca="1" si="1280"/>
        <v>250</v>
      </c>
      <c r="BG281" s="29">
        <f t="shared" ca="1" si="1280"/>
        <v>0</v>
      </c>
      <c r="BH281" s="29">
        <f t="shared" ca="1" si="1280"/>
        <v>0</v>
      </c>
      <c r="BI281" s="29">
        <f t="shared" ca="1" si="1280"/>
        <v>0</v>
      </c>
      <c r="BJ281" s="29">
        <f t="shared" ca="1" si="1280"/>
        <v>0</v>
      </c>
      <c r="BK281" s="46"/>
      <c r="BL281" s="29"/>
      <c r="BM281" s="29"/>
      <c r="BN281" s="29">
        <f>+SUM(O281:R281)</f>
        <v>0</v>
      </c>
      <c r="BO281" s="29">
        <f>+SUM(S281:V281)</f>
        <v>337.1</v>
      </c>
      <c r="BP281" s="29">
        <f>+SUM(W281:Z281)</f>
        <v>355.4</v>
      </c>
      <c r="BQ281" s="29">
        <f>+SUM(AA281:AD281)</f>
        <v>203</v>
      </c>
      <c r="BR281" s="29">
        <f>+SUM(AE281:AH281)</f>
        <v>419.82608695652175</v>
      </c>
      <c r="BS281" s="29">
        <f>+SUM(AI281:AL281)</f>
        <v>411.8739130434783</v>
      </c>
      <c r="BT281" s="29">
        <f ca="1">+SUM(AM281:AP281)</f>
        <v>500</v>
      </c>
      <c r="BU281" s="29">
        <f ca="1">+SUM(AQ281:AT281)</f>
        <v>750</v>
      </c>
      <c r="BV281" s="29">
        <f ca="1">+SUM(AU281:AX281)</f>
        <v>250</v>
      </c>
      <c r="BW281" s="29">
        <f ca="1">SUM(AY281:BB281)</f>
        <v>500</v>
      </c>
      <c r="BX281" s="29">
        <f ca="1">SUM(BC281:BF281)</f>
        <v>250</v>
      </c>
      <c r="BY281" s="29">
        <f ca="1">SUM(BG281:BJ281)</f>
        <v>0</v>
      </c>
    </row>
    <row r="282" spans="2:77" ht="12" customHeight="1">
      <c r="B282" s="2" t="s">
        <v>83</v>
      </c>
      <c r="C282" s="2"/>
      <c r="D282" s="2"/>
      <c r="E282" s="2"/>
      <c r="F282" s="2"/>
      <c r="G282" s="2"/>
      <c r="H282" s="2"/>
      <c r="I282" s="2"/>
      <c r="J282" s="2"/>
      <c r="K282" s="2"/>
      <c r="L282" s="2"/>
      <c r="M282" s="2"/>
      <c r="N282" s="2"/>
      <c r="Q282" s="45"/>
      <c r="R282" s="45"/>
      <c r="S282" s="45"/>
      <c r="T282" s="45"/>
      <c r="U282" s="45"/>
      <c r="V282" s="45"/>
      <c r="W282" s="45"/>
      <c r="X282" s="45"/>
      <c r="Y282" s="45"/>
      <c r="Z282" s="45"/>
      <c r="AA282" s="45"/>
      <c r="AB282" s="212">
        <f>AB280/AB283</f>
        <v>7</v>
      </c>
      <c r="AC282" s="212">
        <f>AC280/AC283</f>
        <v>0</v>
      </c>
      <c r="AD282" s="212">
        <f>AD280/AD283</f>
        <v>0</v>
      </c>
      <c r="AE282" s="480">
        <v>6.9</v>
      </c>
      <c r="AF282" s="212">
        <f>AF280/AF283</f>
        <v>0</v>
      </c>
      <c r="AG282" s="480">
        <v>3.4</v>
      </c>
      <c r="AH282" s="212">
        <f ca="1">AH280/AH283</f>
        <v>0</v>
      </c>
      <c r="AI282" s="480">
        <f>7.82-3.4</f>
        <v>4.42</v>
      </c>
      <c r="AJ282" s="212">
        <f>+AJ79-AI79</f>
        <v>3.5657340000000062</v>
      </c>
      <c r="AK282" s="212">
        <f>AK280/AK283</f>
        <v>0</v>
      </c>
      <c r="AL282" s="212">
        <f>AL280/AL283</f>
        <v>0</v>
      </c>
      <c r="AM282" s="212">
        <f t="shared" ref="AM282:AX282" ca="1" si="1281">AM280/AM283</f>
        <v>0</v>
      </c>
      <c r="AN282" s="212">
        <f t="shared" ca="1" si="1281"/>
        <v>0</v>
      </c>
      <c r="AO282" s="212">
        <f t="shared" ca="1" si="1281"/>
        <v>4.5113031376518293</v>
      </c>
      <c r="AP282" s="212">
        <f t="shared" ca="1" si="1281"/>
        <v>4.5113031376518293</v>
      </c>
      <c r="AQ282" s="212">
        <f t="shared" ca="1" si="1281"/>
        <v>4.5113031376518293</v>
      </c>
      <c r="AR282" s="212">
        <f t="shared" ca="1" si="1281"/>
        <v>0</v>
      </c>
      <c r="AS282" s="212">
        <f t="shared" ca="1" si="1281"/>
        <v>4.5113031376518293</v>
      </c>
      <c r="AT282" s="212">
        <f t="shared" ca="1" si="1281"/>
        <v>4.5113031376518293</v>
      </c>
      <c r="AU282" s="212">
        <f t="shared" ca="1" si="1281"/>
        <v>0</v>
      </c>
      <c r="AV282" s="212">
        <f t="shared" ca="1" si="1281"/>
        <v>0</v>
      </c>
      <c r="AW282" s="212">
        <f t="shared" ca="1" si="1281"/>
        <v>4.5113031376518293</v>
      </c>
      <c r="AX282" s="212">
        <f t="shared" ca="1" si="1281"/>
        <v>0</v>
      </c>
      <c r="AY282" s="212">
        <f t="shared" ref="AY282:BJ282" ca="1" si="1282">AY280/AY283</f>
        <v>0</v>
      </c>
      <c r="AZ282" s="212">
        <f t="shared" ca="1" si="1282"/>
        <v>0</v>
      </c>
      <c r="BA282" s="212">
        <f t="shared" ca="1" si="1282"/>
        <v>4.5113031376518293</v>
      </c>
      <c r="BB282" s="212">
        <f t="shared" ca="1" si="1282"/>
        <v>4.5113031376518293</v>
      </c>
      <c r="BC282" s="212">
        <f t="shared" ca="1" si="1282"/>
        <v>0</v>
      </c>
      <c r="BD282" s="212">
        <f t="shared" ca="1" si="1282"/>
        <v>0</v>
      </c>
      <c r="BE282" s="212">
        <f t="shared" ca="1" si="1282"/>
        <v>0</v>
      </c>
      <c r="BF282" s="212">
        <f t="shared" ca="1" si="1282"/>
        <v>4.5113031376518293</v>
      </c>
      <c r="BG282" s="212">
        <f t="shared" ca="1" si="1282"/>
        <v>0</v>
      </c>
      <c r="BH282" s="212">
        <f t="shared" ca="1" si="1282"/>
        <v>0</v>
      </c>
      <c r="BI282" s="212">
        <f t="shared" ca="1" si="1282"/>
        <v>0</v>
      </c>
      <c r="BJ282" s="212">
        <f t="shared" ca="1" si="1282"/>
        <v>0</v>
      </c>
      <c r="BK282" s="46"/>
      <c r="BL282" s="29"/>
      <c r="BM282" s="29"/>
      <c r="BN282" s="29"/>
      <c r="BO282" s="29"/>
      <c r="BP282" s="29"/>
      <c r="BQ282" s="29"/>
      <c r="BR282" s="29"/>
      <c r="BS282" s="29"/>
      <c r="BT282" s="29"/>
      <c r="BU282" s="29"/>
      <c r="BV282" s="29"/>
      <c r="BW282" s="29"/>
      <c r="BX282" s="29"/>
      <c r="BY282" s="29"/>
    </row>
    <row r="283" spans="2:77" ht="12" customHeight="1">
      <c r="B283" s="2" t="s">
        <v>84</v>
      </c>
      <c r="C283" s="2"/>
      <c r="D283" s="2"/>
      <c r="E283" s="2"/>
      <c r="F283" s="2"/>
      <c r="G283" s="2"/>
      <c r="H283" s="2"/>
      <c r="I283" s="2"/>
      <c r="J283" s="2"/>
      <c r="K283" s="2"/>
      <c r="L283" s="2"/>
      <c r="M283" s="2"/>
      <c r="N283" s="2"/>
      <c r="Q283" s="45"/>
      <c r="R283" s="45"/>
      <c r="S283" s="342">
        <v>19</v>
      </c>
      <c r="T283" s="342">
        <v>19</v>
      </c>
      <c r="U283" s="342">
        <v>19</v>
      </c>
      <c r="V283" s="342">
        <v>20</v>
      </c>
      <c r="W283" s="342">
        <v>20</v>
      </c>
      <c r="X283" s="342">
        <v>25</v>
      </c>
      <c r="Y283" s="342">
        <v>25</v>
      </c>
      <c r="Z283" s="342">
        <v>25</v>
      </c>
      <c r="AA283" s="342">
        <v>25</v>
      </c>
      <c r="AB283" s="496">
        <v>30</v>
      </c>
      <c r="AC283" s="478">
        <v>30</v>
      </c>
      <c r="AD283" s="478">
        <v>30</v>
      </c>
      <c r="AE283" s="478">
        <v>38.5</v>
      </c>
      <c r="AF283" s="478">
        <f>+AE283</f>
        <v>38.5</v>
      </c>
      <c r="AG283" s="478">
        <v>50.5</v>
      </c>
      <c r="AH283" s="478">
        <f>+AG283</f>
        <v>50.5</v>
      </c>
      <c r="AI283" s="478">
        <v>50.5</v>
      </c>
      <c r="AJ283" s="289">
        <f>+AJ280/AJ282</f>
        <v>57.725375289725207</v>
      </c>
      <c r="AK283" s="478">
        <f>+AJ283</f>
        <v>57.725375289725207</v>
      </c>
      <c r="AL283" s="478">
        <f>+AK283</f>
        <v>57.725375289725207</v>
      </c>
      <c r="AM283" s="289">
        <f t="shared" ref="AM283:AX283" si="1283">+AL283</f>
        <v>57.725375289725207</v>
      </c>
      <c r="AN283" s="289">
        <f t="shared" si="1283"/>
        <v>57.725375289725207</v>
      </c>
      <c r="AO283" s="289">
        <f t="shared" si="1283"/>
        <v>57.725375289725207</v>
      </c>
      <c r="AP283" s="289">
        <f t="shared" si="1283"/>
        <v>57.725375289725207</v>
      </c>
      <c r="AQ283" s="289">
        <f t="shared" si="1283"/>
        <v>57.725375289725207</v>
      </c>
      <c r="AR283" s="289">
        <f t="shared" si="1283"/>
        <v>57.725375289725207</v>
      </c>
      <c r="AS283" s="289">
        <f t="shared" si="1283"/>
        <v>57.725375289725207</v>
      </c>
      <c r="AT283" s="289">
        <f t="shared" si="1283"/>
        <v>57.725375289725207</v>
      </c>
      <c r="AU283" s="289">
        <f t="shared" si="1283"/>
        <v>57.725375289725207</v>
      </c>
      <c r="AV283" s="289">
        <f t="shared" si="1283"/>
        <v>57.725375289725207</v>
      </c>
      <c r="AW283" s="289">
        <f t="shared" si="1283"/>
        <v>57.725375289725207</v>
      </c>
      <c r="AX283" s="289">
        <f t="shared" si="1283"/>
        <v>57.725375289725207</v>
      </c>
      <c r="AY283" s="289">
        <f t="shared" ref="AY283" si="1284">+AX283</f>
        <v>57.725375289725207</v>
      </c>
      <c r="AZ283" s="289">
        <f t="shared" ref="AZ283" si="1285">+AY283</f>
        <v>57.725375289725207</v>
      </c>
      <c r="BA283" s="289">
        <f t="shared" ref="BA283" si="1286">+AZ283</f>
        <v>57.725375289725207</v>
      </c>
      <c r="BB283" s="289">
        <f t="shared" ref="BB283" si="1287">+BA283</f>
        <v>57.725375289725207</v>
      </c>
      <c r="BC283" s="289">
        <f t="shared" ref="BC283" si="1288">+BB283</f>
        <v>57.725375289725207</v>
      </c>
      <c r="BD283" s="289">
        <f t="shared" ref="BD283" si="1289">+BC283</f>
        <v>57.725375289725207</v>
      </c>
      <c r="BE283" s="289">
        <f t="shared" ref="BE283" si="1290">+BD283</f>
        <v>57.725375289725207</v>
      </c>
      <c r="BF283" s="289">
        <f t="shared" ref="BF283" si="1291">+BE283</f>
        <v>57.725375289725207</v>
      </c>
      <c r="BG283" s="289">
        <f t="shared" ref="BG283" si="1292">+BF283</f>
        <v>57.725375289725207</v>
      </c>
      <c r="BH283" s="289">
        <f t="shared" ref="BH283" si="1293">+BG283</f>
        <v>57.725375289725207</v>
      </c>
      <c r="BI283" s="289">
        <f t="shared" ref="BI283" si="1294">+BH283</f>
        <v>57.725375289725207</v>
      </c>
      <c r="BJ283" s="289">
        <f t="shared" ref="BJ283" si="1295">+BI283</f>
        <v>57.725375289725207</v>
      </c>
      <c r="BK283" s="46"/>
      <c r="BL283" s="28"/>
      <c r="BM283" s="28"/>
      <c r="BN283" s="28"/>
      <c r="BO283" s="28"/>
      <c r="BP283" s="28"/>
      <c r="BQ283" s="28"/>
      <c r="BR283" s="28"/>
      <c r="BS283" s="28"/>
      <c r="BT283" s="28"/>
      <c r="BU283" s="28"/>
      <c r="BV283" s="28"/>
      <c r="BW283" s="28"/>
      <c r="BX283" s="28"/>
      <c r="BY283" s="28"/>
    </row>
    <row r="284" spans="2:77" ht="12" customHeight="1">
      <c r="B284" s="2" t="s">
        <v>89</v>
      </c>
      <c r="C284" s="2"/>
      <c r="D284" s="2"/>
      <c r="E284" s="2"/>
      <c r="F284" s="2"/>
      <c r="G284" s="2"/>
      <c r="H284" s="2"/>
      <c r="I284" s="2"/>
      <c r="J284" s="2"/>
      <c r="K284" s="2"/>
      <c r="L284" s="2"/>
      <c r="M284" s="2"/>
      <c r="N284" s="2"/>
      <c r="Q284" s="45"/>
      <c r="R284" s="45"/>
      <c r="S284" s="45"/>
      <c r="T284" s="45"/>
      <c r="U284" s="45"/>
      <c r="V284" s="45"/>
      <c r="W284" s="45"/>
      <c r="X284" s="45"/>
      <c r="Y284" s="45"/>
      <c r="Z284" s="45"/>
      <c r="AA284" s="45"/>
      <c r="AB284" s="182">
        <v>45</v>
      </c>
      <c r="AC284" s="182">
        <v>45</v>
      </c>
      <c r="AD284" s="182">
        <v>45</v>
      </c>
      <c r="AE284" s="503">
        <v>10</v>
      </c>
      <c r="AF284" s="182">
        <v>45</v>
      </c>
      <c r="AG284" s="182">
        <v>45</v>
      </c>
      <c r="AH284" s="182">
        <v>45</v>
      </c>
      <c r="AI284" s="503">
        <v>90</v>
      </c>
      <c r="AJ284" s="182">
        <v>45</v>
      </c>
      <c r="AK284" s="182">
        <v>45</v>
      </c>
      <c r="AL284" s="182">
        <v>45</v>
      </c>
      <c r="AM284" s="182">
        <v>45</v>
      </c>
      <c r="AN284" s="182">
        <v>45</v>
      </c>
      <c r="AO284" s="182">
        <v>45</v>
      </c>
      <c r="AP284" s="182">
        <v>45</v>
      </c>
      <c r="AQ284" s="182">
        <v>45</v>
      </c>
      <c r="AR284" s="182">
        <v>45</v>
      </c>
      <c r="AS284" s="182">
        <v>45</v>
      </c>
      <c r="AT284" s="182">
        <v>45</v>
      </c>
      <c r="AU284" s="182">
        <v>45</v>
      </c>
      <c r="AV284" s="182">
        <v>45</v>
      </c>
      <c r="AW284" s="182">
        <v>45</v>
      </c>
      <c r="AX284" s="182">
        <v>45</v>
      </c>
      <c r="AY284" s="182">
        <v>45</v>
      </c>
      <c r="AZ284" s="182">
        <v>45</v>
      </c>
      <c r="BA284" s="182">
        <v>45</v>
      </c>
      <c r="BB284" s="182">
        <v>45</v>
      </c>
      <c r="BC284" s="182">
        <v>45</v>
      </c>
      <c r="BD284" s="182">
        <v>45</v>
      </c>
      <c r="BE284" s="182">
        <v>45</v>
      </c>
      <c r="BF284" s="182">
        <v>45</v>
      </c>
      <c r="BG284" s="182">
        <v>45</v>
      </c>
      <c r="BH284" s="182">
        <v>45</v>
      </c>
      <c r="BI284" s="182">
        <v>45</v>
      </c>
      <c r="BJ284" s="182">
        <v>45</v>
      </c>
      <c r="BK284" s="46"/>
      <c r="BL284" s="19"/>
      <c r="BM284" s="19"/>
      <c r="BN284" s="19"/>
      <c r="BO284" s="19"/>
      <c r="BP284" s="19"/>
      <c r="BQ284" s="19"/>
      <c r="BR284" s="19"/>
      <c r="BS284" s="19"/>
      <c r="BT284" s="19"/>
      <c r="BU284" s="19"/>
      <c r="BV284" s="19"/>
      <c r="BW284" s="19"/>
      <c r="BX284" s="19"/>
      <c r="BY284" s="19"/>
    </row>
    <row r="286" spans="2:77" ht="12" customHeight="1">
      <c r="B286" t="s">
        <v>108</v>
      </c>
    </row>
    <row r="287" spans="2:77" ht="12" customHeight="1">
      <c r="B287" s="471" t="s">
        <v>118</v>
      </c>
      <c r="W287" s="1">
        <f>+W358+W359+W356</f>
        <v>540.5</v>
      </c>
      <c r="X287" s="1">
        <f>+X358+X359+X356</f>
        <v>540</v>
      </c>
      <c r="Y287" s="1">
        <f>+Y358+Y359+Y356</f>
        <v>569.20000000000005</v>
      </c>
      <c r="Z287" s="1">
        <f>+Z358+Z359+Z356</f>
        <v>673.19999999999993</v>
      </c>
      <c r="AA287" s="1">
        <f t="shared" ref="AA287:AX287" si="1296">+AA358+AA359+AA356+AA360</f>
        <v>692.4</v>
      </c>
      <c r="AB287" s="1">
        <f t="shared" si="1296"/>
        <v>741.9</v>
      </c>
      <c r="AC287" s="1">
        <f t="shared" si="1296"/>
        <v>995.5</v>
      </c>
      <c r="AD287" s="1">
        <f t="shared" si="1296"/>
        <v>1008.7</v>
      </c>
      <c r="AE287" s="1">
        <f t="shared" si="1296"/>
        <v>1021.8</v>
      </c>
      <c r="AF287" s="1">
        <f t="shared" si="1296"/>
        <v>1107.1000000000001</v>
      </c>
      <c r="AG287" s="1">
        <f t="shared" si="1296"/>
        <v>1077.6000000000001</v>
      </c>
      <c r="AH287" s="1">
        <f t="shared" si="1296"/>
        <v>1250.8999999999999</v>
      </c>
      <c r="AI287" s="1">
        <f t="shared" si="1296"/>
        <v>1744.2</v>
      </c>
      <c r="AJ287" s="1">
        <f t="shared" si="1296"/>
        <v>1844.2</v>
      </c>
      <c r="AK287" s="1">
        <f t="shared" ref="AK287:AL287" si="1297">+AK358+AK359+AK356+AK360</f>
        <v>2024.6000000000001</v>
      </c>
      <c r="AL287" s="1">
        <f t="shared" si="1297"/>
        <v>2099.5</v>
      </c>
      <c r="AM287" s="1">
        <f t="shared" ca="1" si="1296"/>
        <v>2100.5835618570563</v>
      </c>
      <c r="AN287" s="1">
        <f t="shared" ca="1" si="1296"/>
        <v>2743.391082655623</v>
      </c>
      <c r="AO287" s="1">
        <f t="shared" ca="1" si="1296"/>
        <v>2743.391082655623</v>
      </c>
      <c r="AP287" s="1">
        <f t="shared" ca="1" si="1296"/>
        <v>2743.391082655623</v>
      </c>
      <c r="AQ287" s="1">
        <f t="shared" ca="1" si="1296"/>
        <v>2743.391082655623</v>
      </c>
      <c r="AR287" s="1">
        <f t="shared" ca="1" si="1296"/>
        <v>2885.5602603585207</v>
      </c>
      <c r="AS287" s="1">
        <f t="shared" ca="1" si="1296"/>
        <v>2885.5602603585207</v>
      </c>
      <c r="AT287" s="1">
        <f t="shared" ca="1" si="1296"/>
        <v>2885.5602603585207</v>
      </c>
      <c r="AU287" s="1">
        <f t="shared" ca="1" si="1296"/>
        <v>2885.5602603585207</v>
      </c>
      <c r="AV287" s="1">
        <f t="shared" ca="1" si="1296"/>
        <v>3098.3458520309482</v>
      </c>
      <c r="AW287" s="1">
        <f t="shared" ca="1" si="1296"/>
        <v>3098.3458520309482</v>
      </c>
      <c r="AX287" s="1">
        <f t="shared" ca="1" si="1296"/>
        <v>3156.176287356001</v>
      </c>
      <c r="AY287" s="1">
        <f t="shared" ref="AY287:BJ287" ca="1" si="1298">+AY358+AY359+AY356+AY360</f>
        <v>3369.0049428048915</v>
      </c>
      <c r="AZ287" s="1">
        <f t="shared" ca="1" si="1298"/>
        <v>3580.9223147304929</v>
      </c>
      <c r="BA287" s="1">
        <f t="shared" ca="1" si="1298"/>
        <v>3580.9223147304929</v>
      </c>
      <c r="BB287" s="1">
        <f t="shared" ca="1" si="1298"/>
        <v>3580.9223147304929</v>
      </c>
      <c r="BC287" s="1">
        <f t="shared" ca="1" si="1298"/>
        <v>3647.4455896045965</v>
      </c>
      <c r="BD287" s="1">
        <f t="shared" ca="1" si="1298"/>
        <v>3823.8992294518584</v>
      </c>
      <c r="BE287" s="1">
        <f t="shared" ca="1" si="1298"/>
        <v>3991.3705226297452</v>
      </c>
      <c r="BF287" s="1">
        <f t="shared" ca="1" si="1298"/>
        <v>3991.3705226297452</v>
      </c>
      <c r="BG287" s="1">
        <f t="shared" ca="1" si="1298"/>
        <v>4032.1809410463356</v>
      </c>
      <c r="BH287" s="1">
        <f t="shared" ca="1" si="1298"/>
        <v>4173.7446750052386</v>
      </c>
      <c r="BI287" s="1">
        <f t="shared" ca="1" si="1298"/>
        <v>4305.9574148832007</v>
      </c>
      <c r="BJ287" s="1">
        <f t="shared" ca="1" si="1298"/>
        <v>4419.2655091795687</v>
      </c>
    </row>
    <row r="288" spans="2:77" ht="12" customHeight="1">
      <c r="B288" s="459" t="s">
        <v>532</v>
      </c>
      <c r="W288" s="1">
        <f t="shared" ref="W288:AD288" ca="1" si="1299">+W346</f>
        <v>125.2</v>
      </c>
      <c r="X288" s="1">
        <f t="shared" ca="1" si="1299"/>
        <v>49.30000000000004</v>
      </c>
      <c r="Y288" s="1">
        <f t="shared" ca="1" si="1299"/>
        <v>30.400000000000034</v>
      </c>
      <c r="Z288" s="1">
        <f t="shared" ca="1" si="1299"/>
        <v>36.500000000000028</v>
      </c>
      <c r="AA288" s="1">
        <f t="shared" ca="1" si="1299"/>
        <v>26.000000000000036</v>
      </c>
      <c r="AB288" s="1">
        <f t="shared" ca="1" si="1299"/>
        <v>413.5</v>
      </c>
      <c r="AC288" s="1">
        <f t="shared" ca="1" si="1299"/>
        <v>39.800000000000182</v>
      </c>
      <c r="AD288" s="1">
        <f t="shared" ca="1" si="1299"/>
        <v>14.300000000000189</v>
      </c>
      <c r="AE288" s="1">
        <f t="shared" ref="AE288:AJ288" ca="1" si="1300">+AE346</f>
        <v>87.700000000000216</v>
      </c>
      <c r="AF288" s="1">
        <f t="shared" ca="1" si="1300"/>
        <v>13.20000000000023</v>
      </c>
      <c r="AG288" s="1">
        <f t="shared" ca="1" si="1300"/>
        <v>11.000000000000227</v>
      </c>
      <c r="AH288" s="1">
        <f t="shared" ca="1" si="1300"/>
        <v>14.60000000000025</v>
      </c>
      <c r="AI288" s="1">
        <f t="shared" ca="1" si="1300"/>
        <v>20.400000000000205</v>
      </c>
      <c r="AJ288" s="1">
        <f t="shared" ca="1" si="1300"/>
        <v>40.000000000000455</v>
      </c>
      <c r="AK288" s="1">
        <f t="shared" ref="AK288:AL288" ca="1" si="1301">+AK346</f>
        <v>24.600000000000421</v>
      </c>
      <c r="AL288" s="1">
        <f t="shared" ca="1" si="1301"/>
        <v>151.9000000000004</v>
      </c>
      <c r="AM288" s="1">
        <f t="shared" ref="AM288:AX288" ca="1" si="1302">+AM346</f>
        <v>20</v>
      </c>
      <c r="AN288" s="1">
        <f t="shared" ca="1" si="1302"/>
        <v>20</v>
      </c>
      <c r="AO288" s="1">
        <f t="shared" ca="1" si="1302"/>
        <v>121.13646253458286</v>
      </c>
      <c r="AP288" s="1">
        <f ca="1">+AP346</f>
        <v>45.38212064812187</v>
      </c>
      <c r="AQ288" s="1">
        <f t="shared" ca="1" si="1302"/>
        <v>153.77906940375922</v>
      </c>
      <c r="AR288" s="1">
        <f t="shared" ca="1" si="1302"/>
        <v>20.000000000000028</v>
      </c>
      <c r="AS288" s="1">
        <f ca="1">+AS346</f>
        <v>152.29623861046954</v>
      </c>
      <c r="AT288" s="1">
        <f t="shared" ca="1" si="1302"/>
        <v>148.53467631817364</v>
      </c>
      <c r="AU288" s="1">
        <f t="shared" ca="1" si="1302"/>
        <v>51.073227628022522</v>
      </c>
      <c r="AV288" s="1">
        <f t="shared" ca="1" si="1302"/>
        <v>20.000000000000028</v>
      </c>
      <c r="AW288" s="1">
        <f t="shared" ca="1" si="1302"/>
        <v>183.93520577847522</v>
      </c>
      <c r="AX288" s="1">
        <f t="shared" ca="1" si="1302"/>
        <v>20.000000000000057</v>
      </c>
      <c r="AY288" s="1">
        <f t="shared" ref="AY288:BJ288" ca="1" si="1303">+AY346</f>
        <v>20.000000000000057</v>
      </c>
      <c r="AZ288" s="1">
        <f t="shared" ca="1" si="1303"/>
        <v>20.000000000000057</v>
      </c>
      <c r="BA288" s="1">
        <f t="shared" ca="1" si="1303"/>
        <v>67.80825933777507</v>
      </c>
      <c r="BB288" s="1">
        <f t="shared" ca="1" si="1303"/>
        <v>131.86942805166314</v>
      </c>
      <c r="BC288" s="1">
        <f t="shared" ca="1" si="1303"/>
        <v>19.999999999999972</v>
      </c>
      <c r="BD288" s="1">
        <f t="shared" ca="1" si="1303"/>
        <v>20.000000000000099</v>
      </c>
      <c r="BE288" s="1">
        <f t="shared" ca="1" si="1303"/>
        <v>20.000000000000099</v>
      </c>
      <c r="BF288" s="1">
        <f t="shared" ca="1" si="1303"/>
        <v>121.00231593129054</v>
      </c>
      <c r="BG288" s="1">
        <f t="shared" ca="1" si="1303"/>
        <v>20.000000000000099</v>
      </c>
      <c r="BH288" s="1">
        <f t="shared" ca="1" si="1303"/>
        <v>20.000000000000099</v>
      </c>
      <c r="BI288" s="1">
        <f t="shared" ca="1" si="1303"/>
        <v>20.000000000000099</v>
      </c>
      <c r="BJ288" s="1">
        <f t="shared" ca="1" si="1303"/>
        <v>19.999999999999787</v>
      </c>
    </row>
    <row r="289" spans="1:77" ht="12" customHeight="1">
      <c r="B289" s="2" t="s">
        <v>490</v>
      </c>
      <c r="D289" s="2"/>
      <c r="E289" s="2"/>
      <c r="F289" s="2"/>
      <c r="G289" s="2"/>
      <c r="H289" s="2"/>
      <c r="I289" s="2"/>
      <c r="J289" s="2"/>
      <c r="K289" s="2"/>
      <c r="L289" s="2"/>
      <c r="M289" s="2"/>
      <c r="N289" s="2"/>
      <c r="P289" s="1">
        <f t="shared" ref="P289:Z289" si="1304">(P358+P359+P356)/P32/4</f>
        <v>5.2701754385964907</v>
      </c>
      <c r="Q289" s="1">
        <f t="shared" si="1304"/>
        <v>5.3995016611295679</v>
      </c>
      <c r="R289" s="1">
        <f t="shared" si="1304"/>
        <v>4.904929577464789</v>
      </c>
      <c r="S289" s="1">
        <f t="shared" si="1304"/>
        <v>4.4126984126984121</v>
      </c>
      <c r="T289" s="1">
        <f t="shared" si="1304"/>
        <v>4.4220779220779214</v>
      </c>
      <c r="U289" s="1">
        <f t="shared" si="1304"/>
        <v>3.7246575342465751</v>
      </c>
      <c r="V289" s="1">
        <f t="shared" si="1304"/>
        <v>3.3941102756892234</v>
      </c>
      <c r="W289" s="1">
        <f t="shared" si="1304"/>
        <v>3.2404076738609109</v>
      </c>
      <c r="X289" s="1">
        <f t="shared" si="1304"/>
        <v>3.3088235294117645</v>
      </c>
      <c r="Y289" s="1">
        <f t="shared" si="1304"/>
        <v>3.3720379146919437</v>
      </c>
      <c r="Z289" s="1">
        <f t="shared" si="1304"/>
        <v>3.7735426008968598</v>
      </c>
      <c r="AA289" s="1">
        <f>AA287/AA32/4</f>
        <v>3.8381374722838131</v>
      </c>
      <c r="AB289" s="1">
        <f t="shared" ref="AB289:AX289" si="1305">AB287/AB32/4</f>
        <v>3.9378980891719744</v>
      </c>
      <c r="AC289" s="1">
        <f t="shared" si="1305"/>
        <v>4.218220338983051</v>
      </c>
      <c r="AD289" s="1">
        <f t="shared" si="1305"/>
        <v>4.168181818181818</v>
      </c>
      <c r="AE289" s="1">
        <f t="shared" ref="AE289:AJ289" si="1306">AE287/AE32/4</f>
        <v>4.0741626794258368</v>
      </c>
      <c r="AF289" s="1">
        <f t="shared" si="1306"/>
        <v>3.9709469153515076</v>
      </c>
      <c r="AG289" s="1">
        <f t="shared" si="1306"/>
        <v>3.6853625170998634</v>
      </c>
      <c r="AH289" s="1">
        <f t="shared" si="1306"/>
        <v>4.2839041095890398</v>
      </c>
      <c r="AI289" s="1">
        <f t="shared" si="1306"/>
        <v>5.4033457249070622</v>
      </c>
      <c r="AJ289" s="1">
        <f t="shared" si="1306"/>
        <v>5.0776431718061668</v>
      </c>
      <c r="AK289" s="1">
        <f t="shared" ref="AK289:AL289" si="1307">AK287/AK32/4</f>
        <v>5.277893639207508</v>
      </c>
      <c r="AL289" s="1">
        <f t="shared" si="1307"/>
        <v>5.0371880998080618</v>
      </c>
      <c r="AM289" s="1">
        <f t="shared" ca="1" si="1305"/>
        <v>4.936242408188706</v>
      </c>
      <c r="AN289" s="1">
        <f t="shared" ca="1" si="1305"/>
        <v>6.0724250028269084</v>
      </c>
      <c r="AO289" s="1">
        <f t="shared" ca="1" si="1305"/>
        <v>5.8197097305546217</v>
      </c>
      <c r="AP289" s="1">
        <f t="shared" ca="1" si="1305"/>
        <v>5.3674238055086629</v>
      </c>
      <c r="AQ289" s="1">
        <f t="shared" ca="1" si="1305"/>
        <v>5.226844904168245</v>
      </c>
      <c r="AR289" s="1">
        <f t="shared" ca="1" si="1305"/>
        <v>5.4492614620578479</v>
      </c>
      <c r="AS289" s="1">
        <f t="shared" ca="1" si="1305"/>
        <v>5.2918331926152584</v>
      </c>
      <c r="AT289" s="1">
        <f t="shared" ca="1" si="1305"/>
        <v>4.932376983227547</v>
      </c>
      <c r="AU289" s="1">
        <f t="shared" ca="1" si="1305"/>
        <v>4.8319214063703866</v>
      </c>
      <c r="AV289" s="1">
        <f t="shared" ca="1" si="1305"/>
        <v>5.1670154653669691</v>
      </c>
      <c r="AW289" s="1">
        <f t="shared" ca="1" si="1305"/>
        <v>5.0402217122938637</v>
      </c>
      <c r="AX289" s="1">
        <f t="shared" ca="1" si="1305"/>
        <v>4.8059898655150812</v>
      </c>
      <c r="AY289" s="1">
        <f t="shared" ref="AY289:BJ289" ca="1" si="1308">AY287/AY32/4</f>
        <v>5.0070381869416352</v>
      </c>
      <c r="AZ289" s="1">
        <f t="shared" ca="1" si="1308"/>
        <v>5.2814313658538126</v>
      </c>
      <c r="BA289" s="1">
        <f t="shared" ca="1" si="1308"/>
        <v>5.1350481556624814</v>
      </c>
      <c r="BB289" s="1">
        <f t="shared" ca="1" si="1308"/>
        <v>4.7922713881960366</v>
      </c>
      <c r="BC289" s="1">
        <f t="shared" ca="1" si="1308"/>
        <v>4.788150474866244</v>
      </c>
      <c r="BD289" s="1">
        <f t="shared" ca="1" si="1308"/>
        <v>5.0046997672446683</v>
      </c>
      <c r="BE289" s="1">
        <f t="shared" ca="1" si="1308"/>
        <v>5.1011728999622399</v>
      </c>
      <c r="BF289" s="1">
        <f t="shared" ca="1" si="1308"/>
        <v>4.7800183999276209</v>
      </c>
      <c r="BG289" s="1">
        <f t="shared" ca="1" si="1308"/>
        <v>4.7547860915767322</v>
      </c>
      <c r="BH289" s="1">
        <f t="shared" ca="1" si="1308"/>
        <v>4.9244549598935947</v>
      </c>
      <c r="BI289" s="1">
        <f t="shared" ca="1" si="1308"/>
        <v>4.9777804126463039</v>
      </c>
      <c r="BJ289" s="1">
        <f t="shared" ca="1" si="1308"/>
        <v>4.8022928496590103</v>
      </c>
      <c r="BL289" s="6"/>
      <c r="BM289" s="6"/>
      <c r="BN289" s="6"/>
      <c r="BO289" s="6"/>
      <c r="BP289" s="6"/>
      <c r="BQ289" s="6"/>
      <c r="BR289" s="6"/>
      <c r="BS289" s="6"/>
      <c r="BT289" s="6"/>
      <c r="BU289" s="6"/>
      <c r="BV289" s="6"/>
      <c r="BW289" s="6"/>
      <c r="BX289" s="6"/>
      <c r="BY289" s="6"/>
    </row>
    <row r="290" spans="1:77" ht="12" customHeight="1">
      <c r="B290" s="2" t="s">
        <v>491</v>
      </c>
      <c r="C290" s="429">
        <v>5</v>
      </c>
      <c r="D290" s="2"/>
      <c r="E290" s="2"/>
      <c r="F290" s="2"/>
      <c r="G290" s="2"/>
      <c r="H290" s="2"/>
      <c r="I290" s="2"/>
      <c r="J290" s="2"/>
      <c r="K290" s="2"/>
      <c r="L290" s="2"/>
      <c r="M290" s="2"/>
      <c r="N290" s="2"/>
      <c r="P290" s="1">
        <f t="shared" ref="P290:Z290" ca="1" si="1309">(P358+P359+P356-P346)/P32/4</f>
        <v>5.257894736842105</v>
      </c>
      <c r="Q290" s="1">
        <f t="shared" ca="1" si="1309"/>
        <v>5.3729235880398667</v>
      </c>
      <c r="R290" s="1">
        <f t="shared" ca="1" si="1309"/>
        <v>4.759683098591549</v>
      </c>
      <c r="S290" s="1">
        <f t="shared" ca="1" si="1309"/>
        <v>1.8047619047619039</v>
      </c>
      <c r="T290" s="1">
        <f t="shared" ca="1" si="1309"/>
        <v>2.2540584415584406</v>
      </c>
      <c r="U290" s="1">
        <f t="shared" ca="1" si="1309"/>
        <v>2.2643835616438346</v>
      </c>
      <c r="V290" s="1">
        <f t="shared" ca="1" si="1309"/>
        <v>2.4617794486215536</v>
      </c>
      <c r="W290" s="1">
        <f t="shared" ca="1" si="1309"/>
        <v>2.4898081534772181</v>
      </c>
      <c r="X290" s="1">
        <f t="shared" ca="1" si="1309"/>
        <v>3.0067401960784306</v>
      </c>
      <c r="Y290" s="1">
        <f t="shared" ca="1" si="1309"/>
        <v>3.1919431279620856</v>
      </c>
      <c r="Z290" s="1">
        <f t="shared" ca="1" si="1309"/>
        <v>3.568946188340806</v>
      </c>
      <c r="AA290" s="1">
        <f ca="1">(AA287-AA288)/AA32/4</f>
        <v>3.6940133037694003</v>
      </c>
      <c r="AB290" s="1">
        <f t="shared" ref="AB290:AX290" ca="1" si="1310">(AB287-AB288)/AB32/4</f>
        <v>1.7430997876857748</v>
      </c>
      <c r="AC290" s="1">
        <f t="shared" ca="1" si="1310"/>
        <v>4.0495762711864405</v>
      </c>
      <c r="AD290" s="1">
        <f t="shared" ca="1" si="1310"/>
        <v>4.1090909090909085</v>
      </c>
      <c r="AE290" s="1">
        <f t="shared" ref="AE290:AJ290" ca="1" si="1311">(AE287-AE288)/AE32/4</f>
        <v>3.7244816586921834</v>
      </c>
      <c r="AF290" s="1">
        <f t="shared" ca="1" si="1311"/>
        <v>3.9236011477761839</v>
      </c>
      <c r="AG290" s="1">
        <f t="shared" ca="1" si="1311"/>
        <v>3.6477428180574547</v>
      </c>
      <c r="AH290" s="1">
        <f t="shared" ca="1" si="1311"/>
        <v>4.2339041095890391</v>
      </c>
      <c r="AI290" s="1">
        <f t="shared" ca="1" si="1311"/>
        <v>5.3401486988847564</v>
      </c>
      <c r="AJ290" s="1">
        <f t="shared" ca="1" si="1311"/>
        <v>4.9675110132158569</v>
      </c>
      <c r="AK290" s="1">
        <f t="shared" ref="AK290:AL290" ca="1" si="1312">(AK287-AK288)/AK32/4</f>
        <v>5.2137643378519281</v>
      </c>
      <c r="AL290" s="1">
        <f t="shared" ca="1" si="1312"/>
        <v>4.6727447216890594</v>
      </c>
      <c r="AM290" s="1">
        <f t="shared" ca="1" si="1310"/>
        <v>4.8892436360586915</v>
      </c>
      <c r="AN290" s="1">
        <f t="shared" ca="1" si="1310"/>
        <v>6.0281555215909428</v>
      </c>
      <c r="AO290" s="1">
        <f t="shared" ca="1" si="1310"/>
        <v>5.5627361425763988</v>
      </c>
      <c r="AP290" s="1">
        <f t="shared" ca="1" si="1310"/>
        <v>5.278634031330566</v>
      </c>
      <c r="AQ290" s="1">
        <f t="shared" ca="1" si="1310"/>
        <v>4.933857385778154</v>
      </c>
      <c r="AR290" s="1">
        <f t="shared" ca="1" si="1310"/>
        <v>5.4114922874755731</v>
      </c>
      <c r="AS290" s="1">
        <f t="shared" ca="1" si="1310"/>
        <v>5.0125368973130753</v>
      </c>
      <c r="AT290" s="1">
        <f t="shared" ca="1" si="1310"/>
        <v>4.6784820884482965</v>
      </c>
      <c r="AU290" s="1">
        <f t="shared" ca="1" si="1310"/>
        <v>4.7463983884460941</v>
      </c>
      <c r="AV290" s="1">
        <f t="shared" ca="1" si="1310"/>
        <v>5.1336620844848451</v>
      </c>
      <c r="AW290" s="1">
        <f t="shared" ca="1" si="1310"/>
        <v>4.741005852575614</v>
      </c>
      <c r="AX290" s="1">
        <f t="shared" ca="1" si="1310"/>
        <v>4.7755353570976116</v>
      </c>
      <c r="AY290" s="1">
        <f t="shared" ref="AY290:BJ290" ca="1" si="1313">(AY287-AY288)/AY32/4</f>
        <v>4.9773140501597348</v>
      </c>
      <c r="AZ290" s="1">
        <f t="shared" ca="1" si="1313"/>
        <v>5.2519337621547431</v>
      </c>
      <c r="BA290" s="1">
        <f t="shared" ca="1" si="1313"/>
        <v>5.0378110065574111</v>
      </c>
      <c r="BB290" s="1">
        <f t="shared" ca="1" si="1313"/>
        <v>4.6157933661986998</v>
      </c>
      <c r="BC290" s="1">
        <f t="shared" ca="1" si="1313"/>
        <v>4.7618956597785962</v>
      </c>
      <c r="BD290" s="1">
        <f t="shared" ca="1" si="1313"/>
        <v>4.9785238694663052</v>
      </c>
      <c r="BE290" s="1">
        <f t="shared" ca="1" si="1313"/>
        <v>5.0756118909251668</v>
      </c>
      <c r="BF290" s="1">
        <f t="shared" ca="1" si="1313"/>
        <v>4.6351074493390634</v>
      </c>
      <c r="BG290" s="1">
        <f t="shared" ca="1" si="1313"/>
        <v>4.7312019014766582</v>
      </c>
      <c r="BH290" s="1">
        <f t="shared" ca="1" si="1313"/>
        <v>4.9008576613363353</v>
      </c>
      <c r="BI290" s="1">
        <f t="shared" ca="1" si="1313"/>
        <v>4.9546599777091584</v>
      </c>
      <c r="BJ290" s="1">
        <f t="shared" ca="1" si="1313"/>
        <v>4.7805594062183125</v>
      </c>
      <c r="BL290" s="6"/>
      <c r="BM290" s="6"/>
      <c r="BN290" s="6"/>
      <c r="BO290" s="6"/>
      <c r="BP290" s="6"/>
      <c r="BQ290" s="6"/>
      <c r="BR290" s="6"/>
      <c r="BS290" s="6"/>
      <c r="BT290" s="6"/>
      <c r="BU290" s="6"/>
      <c r="BV290" s="6"/>
      <c r="BW290" s="6"/>
      <c r="BX290" s="6"/>
      <c r="BY290" s="6"/>
    </row>
    <row r="292" spans="1:77" ht="12" customHeight="1">
      <c r="B292" s="3" t="s">
        <v>13</v>
      </c>
      <c r="C292" s="3"/>
      <c r="D292" s="3"/>
      <c r="E292" s="3"/>
      <c r="F292" s="3"/>
      <c r="G292" s="3"/>
      <c r="H292" s="3"/>
      <c r="I292" s="3"/>
      <c r="J292" s="3"/>
      <c r="K292" s="3"/>
      <c r="L292" s="3"/>
      <c r="M292" s="3"/>
      <c r="N292" s="3"/>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L292" s="5"/>
      <c r="BM292" s="5"/>
      <c r="BN292" s="5"/>
      <c r="BO292" s="5"/>
      <c r="BP292" s="5"/>
      <c r="BQ292" s="5"/>
      <c r="BR292" s="5"/>
      <c r="BS292" s="5"/>
      <c r="BT292" s="5"/>
      <c r="BU292" s="5"/>
      <c r="BV292" s="5"/>
      <c r="BW292" s="5"/>
      <c r="BX292" s="5"/>
      <c r="BY292" s="5"/>
    </row>
    <row r="293" spans="1:77" ht="12" customHeight="1">
      <c r="A293" s="206" t="s">
        <v>293</v>
      </c>
      <c r="B293" s="4" t="s">
        <v>46</v>
      </c>
      <c r="C293" s="4"/>
      <c r="D293" s="4"/>
      <c r="E293" s="4"/>
      <c r="F293" s="4"/>
      <c r="G293" s="4"/>
      <c r="H293" s="4"/>
      <c r="I293" s="4"/>
      <c r="J293" s="4"/>
      <c r="K293" s="4"/>
      <c r="L293" s="4"/>
      <c r="M293" s="4"/>
      <c r="N293" s="4"/>
      <c r="O293" s="5" t="str">
        <f t="shared" ref="O293:BJ293" si="1314">O$1</f>
        <v>1Q '12A</v>
      </c>
      <c r="P293" s="5" t="str">
        <f t="shared" si="1314"/>
        <v>2Q '12A</v>
      </c>
      <c r="Q293" s="5" t="str">
        <f t="shared" si="1314"/>
        <v>3Q '12A</v>
      </c>
      <c r="R293" s="5" t="str">
        <f t="shared" si="1314"/>
        <v>4Q '12A</v>
      </c>
      <c r="S293" s="5" t="str">
        <f t="shared" si="1314"/>
        <v>1Q '13A</v>
      </c>
      <c r="T293" s="5" t="str">
        <f t="shared" si="1314"/>
        <v>2Q '13A</v>
      </c>
      <c r="U293" s="5" t="str">
        <f t="shared" si="1314"/>
        <v>3Q '13A</v>
      </c>
      <c r="V293" s="5" t="str">
        <f t="shared" si="1314"/>
        <v>4Q '13A</v>
      </c>
      <c r="W293" s="5" t="str">
        <f t="shared" si="1314"/>
        <v>1Q '14A</v>
      </c>
      <c r="X293" s="5" t="str">
        <f t="shared" si="1314"/>
        <v>2Q '14A</v>
      </c>
      <c r="Y293" s="5" t="str">
        <f t="shared" si="1314"/>
        <v>3Q '14A</v>
      </c>
      <c r="Z293" s="5" t="str">
        <f t="shared" si="1314"/>
        <v>4Q '14A</v>
      </c>
      <c r="AA293" s="5" t="str">
        <f t="shared" si="1314"/>
        <v>1Q '15A</v>
      </c>
      <c r="AB293" s="5" t="str">
        <f t="shared" si="1314"/>
        <v>2Q '15A</v>
      </c>
      <c r="AC293" s="5" t="str">
        <f t="shared" si="1314"/>
        <v>3Q '15A</v>
      </c>
      <c r="AD293" s="5" t="str">
        <f t="shared" si="1314"/>
        <v>4Q '15A</v>
      </c>
      <c r="AE293" s="5" t="str">
        <f t="shared" si="1314"/>
        <v>1Q '16A</v>
      </c>
      <c r="AF293" s="5" t="str">
        <f t="shared" si="1314"/>
        <v>2Q '16A</v>
      </c>
      <c r="AG293" s="5" t="str">
        <f t="shared" si="1314"/>
        <v>3Q '16A</v>
      </c>
      <c r="AH293" s="5" t="str">
        <f t="shared" si="1314"/>
        <v>4Q '16A</v>
      </c>
      <c r="AI293" s="5" t="str">
        <f t="shared" si="1314"/>
        <v>1Q '17A</v>
      </c>
      <c r="AJ293" s="5" t="str">
        <f t="shared" si="1314"/>
        <v>2Q '17A</v>
      </c>
      <c r="AK293" s="5" t="str">
        <f t="shared" si="1314"/>
        <v>3Q '17A</v>
      </c>
      <c r="AL293" s="5" t="str">
        <f t="shared" si="1314"/>
        <v>4Q '17A</v>
      </c>
      <c r="AM293" s="5" t="str">
        <f t="shared" si="1314"/>
        <v>1Q '18E</v>
      </c>
      <c r="AN293" s="5" t="str">
        <f t="shared" si="1314"/>
        <v>2Q '18E</v>
      </c>
      <c r="AO293" s="5" t="str">
        <f t="shared" si="1314"/>
        <v>3Q '18E</v>
      </c>
      <c r="AP293" s="5" t="str">
        <f t="shared" si="1314"/>
        <v>4Q '18E</v>
      </c>
      <c r="AQ293" s="5" t="str">
        <f t="shared" si="1314"/>
        <v>1Q '19E</v>
      </c>
      <c r="AR293" s="5" t="str">
        <f t="shared" si="1314"/>
        <v>2Q '19E</v>
      </c>
      <c r="AS293" s="5" t="str">
        <f t="shared" si="1314"/>
        <v>3Q '19E</v>
      </c>
      <c r="AT293" s="5" t="str">
        <f t="shared" si="1314"/>
        <v>4Q '19E</v>
      </c>
      <c r="AU293" s="5" t="str">
        <f t="shared" si="1314"/>
        <v>1Q '20E</v>
      </c>
      <c r="AV293" s="5" t="str">
        <f t="shared" si="1314"/>
        <v>2Q '20E</v>
      </c>
      <c r="AW293" s="5" t="str">
        <f t="shared" si="1314"/>
        <v>3Q '20E</v>
      </c>
      <c r="AX293" s="5" t="str">
        <f t="shared" si="1314"/>
        <v>4Q '20E</v>
      </c>
      <c r="AY293" s="5" t="str">
        <f t="shared" si="1314"/>
        <v>1Q '21E</v>
      </c>
      <c r="AZ293" s="5" t="str">
        <f t="shared" si="1314"/>
        <v>2Q '21E</v>
      </c>
      <c r="BA293" s="5" t="str">
        <f t="shared" si="1314"/>
        <v>3Q '21E</v>
      </c>
      <c r="BB293" s="5" t="str">
        <f t="shared" si="1314"/>
        <v>4Q '21E</v>
      </c>
      <c r="BC293" s="5" t="str">
        <f t="shared" si="1314"/>
        <v>1Q '22E</v>
      </c>
      <c r="BD293" s="5" t="str">
        <f t="shared" si="1314"/>
        <v>2Q '22E</v>
      </c>
      <c r="BE293" s="5" t="str">
        <f t="shared" si="1314"/>
        <v>3Q '22E</v>
      </c>
      <c r="BF293" s="5" t="str">
        <f t="shared" si="1314"/>
        <v>4Q '22E</v>
      </c>
      <c r="BG293" s="5" t="str">
        <f t="shared" si="1314"/>
        <v>1Q '23E</v>
      </c>
      <c r="BH293" s="5" t="str">
        <f t="shared" si="1314"/>
        <v>2Q '23E</v>
      </c>
      <c r="BI293" s="5" t="str">
        <f t="shared" si="1314"/>
        <v>3Q '23E</v>
      </c>
      <c r="BJ293" s="5" t="str">
        <f t="shared" si="1314"/>
        <v>4Q '23E</v>
      </c>
      <c r="BL293" s="5"/>
      <c r="BM293" s="5"/>
      <c r="BN293" s="5"/>
      <c r="BO293" s="5"/>
      <c r="BP293" s="5"/>
      <c r="BQ293" s="5"/>
      <c r="BR293" s="5"/>
      <c r="BS293" s="5"/>
      <c r="BT293" s="5"/>
      <c r="BU293" s="5"/>
      <c r="BV293" s="5"/>
      <c r="BW293" s="5"/>
      <c r="BX293" s="5"/>
      <c r="BY293" s="5"/>
    </row>
    <row r="295" spans="1:77" ht="12" customHeight="1">
      <c r="B295" t="s">
        <v>51</v>
      </c>
      <c r="P295" s="275">
        <v>3.0000000000000001E-3</v>
      </c>
      <c r="Q295" s="275">
        <v>3.0000000000000001E-3</v>
      </c>
      <c r="R295" s="275">
        <v>3.0000000000000001E-3</v>
      </c>
      <c r="S295" s="275">
        <v>3.0000000000000001E-3</v>
      </c>
      <c r="T295" s="275">
        <v>3.0000000000000001E-3</v>
      </c>
      <c r="U295" s="275">
        <v>3.0000000000000001E-3</v>
      </c>
      <c r="V295" s="275">
        <v>3.0000000000000001E-3</v>
      </c>
      <c r="W295" s="275">
        <v>3.0000000000000001E-3</v>
      </c>
      <c r="X295" s="275">
        <v>3.0000000000000001E-3</v>
      </c>
      <c r="Y295" s="275">
        <v>3.0000000000000001E-3</v>
      </c>
      <c r="Z295" s="275">
        <v>3.0000000000000001E-3</v>
      </c>
      <c r="AA295" s="275">
        <v>3.0000000000000001E-3</v>
      </c>
      <c r="AB295" s="275">
        <v>3.0000000000000001E-3</v>
      </c>
      <c r="AC295" s="275">
        <v>3.0000000000000001E-3</v>
      </c>
      <c r="AD295" s="275">
        <v>3.0000000000000001E-3</v>
      </c>
      <c r="AE295" s="275">
        <v>3.0000000000000001E-3</v>
      </c>
      <c r="AF295" s="275">
        <v>3.0000000000000001E-3</v>
      </c>
      <c r="AG295" s="275">
        <v>3.0000000000000001E-3</v>
      </c>
      <c r="AH295" s="275">
        <v>3.0000000000000001E-3</v>
      </c>
      <c r="AI295" s="275">
        <v>3.0000000000000001E-3</v>
      </c>
      <c r="AJ295" s="275">
        <v>3.0000000000000001E-3</v>
      </c>
      <c r="AK295" s="275">
        <v>3.0000000000000001E-3</v>
      </c>
      <c r="AL295" s="275">
        <v>3.0000000000000001E-3</v>
      </c>
      <c r="AM295" s="275">
        <v>1.7017000000000001E-2</v>
      </c>
      <c r="AN295" s="275">
        <v>2.0688300000000003E-2</v>
      </c>
      <c r="AO295" s="275">
        <v>2.10656E-2</v>
      </c>
      <c r="AP295" s="275">
        <v>2.2580700000000002E-2</v>
      </c>
      <c r="AQ295" s="275">
        <v>2.3996200000000002E-2</v>
      </c>
      <c r="AR295" s="275">
        <v>2.4843799999999999E-2</v>
      </c>
      <c r="AS295" s="275">
        <v>2.5163099999999997E-2</v>
      </c>
      <c r="AT295" s="275">
        <v>2.5659399999999999E-2</v>
      </c>
      <c r="AU295" s="275">
        <v>2.5713900000000001E-2</v>
      </c>
      <c r="AV295" s="275">
        <v>2.6232399999999999E-2</v>
      </c>
      <c r="AW295" s="275">
        <v>2.6744500000000004E-2</v>
      </c>
      <c r="AX295" s="275">
        <v>2.7241300000000003E-2</v>
      </c>
      <c r="AY295" s="275">
        <v>2.6723499999999997E-2</v>
      </c>
      <c r="AZ295" s="275">
        <v>2.70228E-2</v>
      </c>
      <c r="BA295" s="275">
        <v>2.73177E-2</v>
      </c>
      <c r="BB295" s="275">
        <v>2.7604400000000001E-2</v>
      </c>
      <c r="BC295" s="275">
        <v>2.7240000000000004E-2</v>
      </c>
      <c r="BD295" s="275">
        <v>2.7430200000000002E-2</v>
      </c>
      <c r="BE295" s="275">
        <v>2.7616900000000003E-2</v>
      </c>
      <c r="BF295" s="275">
        <v>2.7802400000000001E-2</v>
      </c>
      <c r="BG295" s="275">
        <v>2.7800099999999998E-2</v>
      </c>
      <c r="BH295" s="275">
        <v>2.7945500000000002E-2</v>
      </c>
      <c r="BI295" s="275">
        <v>2.8101400000000002E-2</v>
      </c>
      <c r="BJ295" s="275">
        <v>2.8243299999999999E-2</v>
      </c>
      <c r="BL295" s="24"/>
      <c r="BM295" s="24"/>
      <c r="BN295" s="24"/>
      <c r="BO295" s="24"/>
      <c r="BP295" s="24"/>
      <c r="BQ295" s="24"/>
      <c r="BR295" s="24"/>
      <c r="BS295" s="24"/>
      <c r="BT295" s="24"/>
      <c r="BU295" s="24"/>
      <c r="BV295" s="24"/>
      <c r="BW295" s="24"/>
      <c r="BX295" s="24"/>
      <c r="BY295" s="24"/>
    </row>
    <row r="296" spans="1:77" ht="12" customHeight="1">
      <c r="B296" t="s">
        <v>52</v>
      </c>
      <c r="P296" s="275">
        <v>1.4999999999999999E-2</v>
      </c>
      <c r="Q296" s="275">
        <v>1.4999999999999999E-2</v>
      </c>
      <c r="R296" s="275">
        <v>1.4999999999999999E-2</v>
      </c>
      <c r="S296" s="275">
        <v>1.4999999999999999E-2</v>
      </c>
      <c r="T296" s="275">
        <v>1.4999999999999999E-2</v>
      </c>
      <c r="U296" s="275">
        <v>1.4999999999999999E-2</v>
      </c>
      <c r="V296" s="275">
        <v>1.4999999999999999E-2</v>
      </c>
      <c r="W296" s="275">
        <v>1.4999999999999999E-2</v>
      </c>
      <c r="X296" s="275">
        <v>1.4999999999999999E-2</v>
      </c>
      <c r="Y296" s="275">
        <v>1.4999999999999999E-2</v>
      </c>
      <c r="Z296" s="275">
        <v>1.4999999999999999E-2</v>
      </c>
      <c r="AA296" s="275">
        <v>1.4999999999999999E-2</v>
      </c>
      <c r="AB296" s="275">
        <v>1.4999999999999999E-2</v>
      </c>
      <c r="AC296" s="275">
        <v>1.4999999999999999E-2</v>
      </c>
      <c r="AD296" s="275">
        <v>1.4999999999999999E-2</v>
      </c>
      <c r="AE296" s="275">
        <v>1.4999999999999999E-2</v>
      </c>
      <c r="AF296" s="275">
        <v>1.4999999999999999E-2</v>
      </c>
      <c r="AG296" s="275">
        <v>1.4999999999999999E-2</v>
      </c>
      <c r="AH296" s="275">
        <v>1.4999999999999999E-2</v>
      </c>
      <c r="AI296" s="275">
        <v>1.4999999999999999E-2</v>
      </c>
      <c r="AJ296" s="275">
        <v>1.4999999999999999E-2</v>
      </c>
      <c r="AK296" s="275">
        <v>1.4999999999999999E-2</v>
      </c>
      <c r="AL296" s="275">
        <v>1.4999999999999999E-2</v>
      </c>
      <c r="AM296" s="275">
        <v>1.4999999999999999E-2</v>
      </c>
      <c r="AN296" s="275">
        <v>1.4999999999999999E-2</v>
      </c>
      <c r="AO296" s="275">
        <v>1.4999999999999999E-2</v>
      </c>
      <c r="AP296" s="275">
        <v>1.4999999999999999E-2</v>
      </c>
      <c r="AQ296" s="275">
        <v>1.4999999999999999E-2</v>
      </c>
      <c r="AR296" s="275">
        <v>1.4999999999999999E-2</v>
      </c>
      <c r="AS296" s="275">
        <v>1.4999999999999999E-2</v>
      </c>
      <c r="AT296" s="275">
        <v>1.4999999999999999E-2</v>
      </c>
      <c r="AU296" s="275">
        <v>1.4999999999999999E-2</v>
      </c>
      <c r="AV296" s="275">
        <v>1.4999999999999999E-2</v>
      </c>
      <c r="AW296" s="275">
        <v>1.4999999999999999E-2</v>
      </c>
      <c r="AX296" s="275">
        <v>1.4999999999999999E-2</v>
      </c>
      <c r="AY296" s="275">
        <v>1.4999999999999999E-2</v>
      </c>
      <c r="AZ296" s="275">
        <v>1.4999999999999999E-2</v>
      </c>
      <c r="BA296" s="275">
        <v>1.4999999999999999E-2</v>
      </c>
      <c r="BB296" s="275">
        <v>1.4999999999999999E-2</v>
      </c>
      <c r="BC296" s="275">
        <v>1.4999999999999999E-2</v>
      </c>
      <c r="BD296" s="275">
        <v>1.4999999999999999E-2</v>
      </c>
      <c r="BE296" s="275">
        <v>1.4999999999999999E-2</v>
      </c>
      <c r="BF296" s="275">
        <v>1.4999999999999999E-2</v>
      </c>
      <c r="BG296" s="275">
        <v>1.4999999999999999E-2</v>
      </c>
      <c r="BH296" s="275">
        <v>1.4999999999999999E-2</v>
      </c>
      <c r="BI296" s="275">
        <v>1.4999999999999999E-2</v>
      </c>
      <c r="BJ296" s="275">
        <v>1.4999999999999999E-2</v>
      </c>
      <c r="BL296" s="24"/>
      <c r="BM296" s="24"/>
      <c r="BN296" s="24"/>
      <c r="BO296" s="24"/>
      <c r="BP296" s="24"/>
      <c r="BQ296" s="24"/>
      <c r="BR296" s="24"/>
      <c r="BS296" s="24"/>
      <c r="BT296" s="24"/>
      <c r="BU296" s="24"/>
      <c r="BV296" s="24"/>
      <c r="BW296" s="24"/>
      <c r="BX296" s="24"/>
      <c r="BY296" s="24"/>
    </row>
    <row r="298" spans="1:77" ht="12" customHeight="1">
      <c r="A298" s="87"/>
      <c r="B298" s="481" t="s">
        <v>49</v>
      </c>
      <c r="C298" s="481"/>
      <c r="D298" s="481"/>
      <c r="E298" s="481"/>
      <c r="F298" s="481"/>
      <c r="G298" s="481"/>
      <c r="H298" s="481"/>
      <c r="I298" s="481"/>
      <c r="J298" s="481"/>
      <c r="K298" s="481"/>
      <c r="L298" s="481"/>
      <c r="M298" s="481"/>
      <c r="N298" s="481"/>
      <c r="O298" s="481"/>
      <c r="P298" s="482">
        <v>524.20000000000005</v>
      </c>
      <c r="Q298" s="483">
        <v>561.5</v>
      </c>
      <c r="R298" s="483">
        <v>612.1</v>
      </c>
      <c r="S298" s="483"/>
      <c r="T298" s="483"/>
      <c r="U298" s="483"/>
      <c r="V298" s="483"/>
      <c r="W298" s="483"/>
      <c r="X298" s="483"/>
      <c r="Y298" s="483"/>
      <c r="Z298" s="483"/>
      <c r="AA298" s="483"/>
      <c r="AB298" s="483"/>
      <c r="AC298" s="483"/>
      <c r="AD298" s="483"/>
      <c r="AE298" s="483"/>
      <c r="AF298" s="483"/>
      <c r="AG298" s="483"/>
      <c r="AH298" s="483"/>
      <c r="AI298" s="483"/>
      <c r="AJ298" s="483"/>
      <c r="AK298" s="483"/>
      <c r="AL298" s="483"/>
      <c r="AM298" s="483"/>
      <c r="AN298" s="483"/>
      <c r="AO298" s="483"/>
      <c r="AP298" s="483"/>
      <c r="AQ298" s="483"/>
      <c r="AR298" s="483"/>
      <c r="AS298" s="483"/>
      <c r="AT298" s="483"/>
      <c r="AU298" s="483"/>
      <c r="AV298" s="483"/>
      <c r="AW298" s="483"/>
      <c r="AX298" s="483"/>
      <c r="AY298" s="483"/>
      <c r="AZ298" s="483"/>
      <c r="BA298" s="483"/>
      <c r="BB298" s="483"/>
      <c r="BC298" s="483"/>
      <c r="BD298" s="483"/>
      <c r="BE298" s="483"/>
      <c r="BF298" s="483"/>
      <c r="BG298" s="483"/>
      <c r="BH298" s="483"/>
      <c r="BI298" s="483"/>
      <c r="BJ298" s="483"/>
      <c r="BN298" s="29"/>
      <c r="BO298" s="29"/>
      <c r="BP298" s="29"/>
      <c r="BQ298" s="29"/>
      <c r="BR298" s="29"/>
      <c r="BS298" s="29"/>
      <c r="BT298" s="29"/>
      <c r="BU298" s="29"/>
      <c r="BV298" s="29"/>
      <c r="BW298" s="29"/>
      <c r="BX298" s="29"/>
      <c r="BY298" s="29"/>
    </row>
    <row r="299" spans="1:77" ht="12" customHeight="1">
      <c r="A299" s="87"/>
    </row>
    <row r="300" spans="1:77" ht="12" customHeight="1">
      <c r="A300" s="87"/>
      <c r="B300" s="484" t="s">
        <v>571</v>
      </c>
      <c r="C300" s="488">
        <v>6.3750000000000001E-2</v>
      </c>
      <c r="D300" s="481"/>
      <c r="E300" s="481"/>
      <c r="F300" s="481"/>
      <c r="G300" s="481"/>
      <c r="H300" s="481"/>
      <c r="I300" s="481"/>
      <c r="J300" s="481"/>
      <c r="K300" s="481"/>
      <c r="L300" s="481"/>
      <c r="M300" s="481"/>
      <c r="N300" s="481"/>
      <c r="O300" s="481"/>
      <c r="P300" s="482"/>
      <c r="Q300" s="483">
        <f t="shared" ref="Q300:AX300" si="1315">P300+Q301</f>
        <v>0</v>
      </c>
      <c r="R300" s="483">
        <f t="shared" si="1315"/>
        <v>525</v>
      </c>
      <c r="S300" s="483">
        <f t="shared" si="1315"/>
        <v>525</v>
      </c>
      <c r="T300" s="483">
        <f t="shared" si="1315"/>
        <v>525</v>
      </c>
      <c r="U300" s="483">
        <f t="shared" si="1315"/>
        <v>525</v>
      </c>
      <c r="V300" s="483">
        <f t="shared" si="1315"/>
        <v>525</v>
      </c>
      <c r="W300" s="483">
        <f t="shared" si="1315"/>
        <v>525</v>
      </c>
      <c r="X300" s="483">
        <f t="shared" si="1315"/>
        <v>525</v>
      </c>
      <c r="Y300" s="483">
        <f t="shared" si="1315"/>
        <v>525</v>
      </c>
      <c r="Z300" s="483">
        <f t="shared" si="1315"/>
        <v>525</v>
      </c>
      <c r="AA300" s="483">
        <f t="shared" si="1315"/>
        <v>374.8</v>
      </c>
      <c r="AB300" s="483">
        <f t="shared" si="1315"/>
        <v>374.8</v>
      </c>
      <c r="AC300" s="483">
        <f t="shared" si="1315"/>
        <v>477.7</v>
      </c>
      <c r="AD300" s="483">
        <f t="shared" si="1315"/>
        <v>477.59999999999997</v>
      </c>
      <c r="AE300" s="483">
        <f t="shared" si="1315"/>
        <v>460.3</v>
      </c>
      <c r="AF300" s="483">
        <f t="shared" si="1315"/>
        <v>461.2</v>
      </c>
      <c r="AG300" s="483">
        <f t="shared" si="1315"/>
        <v>477.4</v>
      </c>
      <c r="AH300" s="483">
        <f t="shared" si="1315"/>
        <v>477.3</v>
      </c>
      <c r="AI300" s="483">
        <f>AH300+AI301</f>
        <v>0</v>
      </c>
      <c r="AJ300" s="483">
        <f t="shared" si="1315"/>
        <v>0</v>
      </c>
      <c r="AK300" s="483">
        <f t="shared" si="1315"/>
        <v>0</v>
      </c>
      <c r="AL300" s="483">
        <f t="shared" si="1315"/>
        <v>0</v>
      </c>
      <c r="AM300" s="483">
        <f t="shared" si="1315"/>
        <v>0</v>
      </c>
      <c r="AN300" s="483">
        <f t="shared" si="1315"/>
        <v>0</v>
      </c>
      <c r="AO300" s="483">
        <f t="shared" si="1315"/>
        <v>0</v>
      </c>
      <c r="AP300" s="483">
        <f t="shared" si="1315"/>
        <v>0</v>
      </c>
      <c r="AQ300" s="483">
        <f t="shared" si="1315"/>
        <v>0</v>
      </c>
      <c r="AR300" s="483">
        <f t="shared" si="1315"/>
        <v>0</v>
      </c>
      <c r="AS300" s="483">
        <f t="shared" si="1315"/>
        <v>0</v>
      </c>
      <c r="AT300" s="483">
        <f t="shared" si="1315"/>
        <v>0</v>
      </c>
      <c r="AU300" s="483">
        <f t="shared" si="1315"/>
        <v>0</v>
      </c>
      <c r="AV300" s="483">
        <f t="shared" si="1315"/>
        <v>0</v>
      </c>
      <c r="AW300" s="483">
        <f t="shared" si="1315"/>
        <v>0</v>
      </c>
      <c r="AX300" s="483">
        <f t="shared" si="1315"/>
        <v>0</v>
      </c>
      <c r="AY300" s="483">
        <f t="shared" ref="AY300" si="1316">AX300+AY301</f>
        <v>0</v>
      </c>
      <c r="AZ300" s="483">
        <f t="shared" ref="AZ300" si="1317">AY300+AZ301</f>
        <v>0</v>
      </c>
      <c r="BA300" s="483">
        <f t="shared" ref="BA300" si="1318">AZ300+BA301</f>
        <v>0</v>
      </c>
      <c r="BB300" s="483">
        <f t="shared" ref="BB300" si="1319">BA300+BB301</f>
        <v>0</v>
      </c>
      <c r="BC300" s="483">
        <f t="shared" ref="BC300" si="1320">BB300+BC301</f>
        <v>0</v>
      </c>
      <c r="BD300" s="483">
        <f t="shared" ref="BD300" si="1321">BC300+BD301</f>
        <v>0</v>
      </c>
      <c r="BE300" s="483">
        <f t="shared" ref="BE300" si="1322">BD300+BE301</f>
        <v>0</v>
      </c>
      <c r="BF300" s="483">
        <f t="shared" ref="BF300" si="1323">BE300+BF301</f>
        <v>0</v>
      </c>
      <c r="BG300" s="483">
        <f t="shared" ref="BG300" si="1324">BF300+BG301</f>
        <v>0</v>
      </c>
      <c r="BH300" s="483">
        <f t="shared" ref="BH300" si="1325">BG300+BH301</f>
        <v>0</v>
      </c>
      <c r="BI300" s="483">
        <f t="shared" ref="BI300" si="1326">BH300+BI301</f>
        <v>0</v>
      </c>
      <c r="BJ300" s="483">
        <f t="shared" ref="BJ300" si="1327">BI300+BJ301</f>
        <v>0</v>
      </c>
      <c r="BN300" s="29"/>
      <c r="BO300" s="29"/>
      <c r="BP300" s="29"/>
      <c r="BQ300" s="29"/>
      <c r="BR300" s="29"/>
      <c r="BS300" s="29"/>
      <c r="BT300" s="29"/>
      <c r="BU300" s="29"/>
      <c r="BV300" s="29"/>
      <c r="BW300" s="29"/>
      <c r="BX300" s="29"/>
      <c r="BY300" s="29"/>
    </row>
    <row r="301" spans="1:77" ht="12" customHeight="1">
      <c r="A301" s="87"/>
      <c r="B301" s="491" t="s">
        <v>568</v>
      </c>
      <c r="C301" s="204"/>
      <c r="D301" s="204"/>
      <c r="E301" s="204"/>
      <c r="F301" s="204"/>
      <c r="G301" s="204"/>
      <c r="H301" s="204"/>
      <c r="I301" s="204"/>
      <c r="J301" s="204"/>
      <c r="K301" s="204"/>
      <c r="L301" s="204"/>
      <c r="M301" s="204"/>
      <c r="N301" s="204"/>
      <c r="Q301" s="23">
        <v>0</v>
      </c>
      <c r="R301" s="22">
        <v>525</v>
      </c>
      <c r="S301" s="23">
        <v>0</v>
      </c>
      <c r="T301" s="23">
        <v>0</v>
      </c>
      <c r="U301" s="23">
        <v>0</v>
      </c>
      <c r="V301" s="23">
        <v>0</v>
      </c>
      <c r="W301" s="23">
        <v>0</v>
      </c>
      <c r="X301" s="23">
        <v>0</v>
      </c>
      <c r="Y301" s="23">
        <v>0</v>
      </c>
      <c r="Z301" s="23">
        <v>0</v>
      </c>
      <c r="AA301" s="480">
        <f>-(525-374.8)</f>
        <v>-150.19999999999999</v>
      </c>
      <c r="AB301" s="501">
        <v>0</v>
      </c>
      <c r="AC301" s="480">
        <f>477.7-AB300</f>
        <v>102.89999999999998</v>
      </c>
      <c r="AD301" s="480">
        <v>-0.1</v>
      </c>
      <c r="AE301" s="480">
        <f>477.6-18.8+1.5-AD300</f>
        <v>-17.299999999999955</v>
      </c>
      <c r="AF301" s="480">
        <f>477.5-17.7+1.4-AE300</f>
        <v>0.89999999999997726</v>
      </c>
      <c r="AG301" s="480">
        <f>477.4-AF300</f>
        <v>16.199999999999989</v>
      </c>
      <c r="AH301" s="480">
        <f>477.3-AG300</f>
        <v>-9.9999999999965894E-2</v>
      </c>
      <c r="AI301" s="480">
        <f>-AH300</f>
        <v>-477.3</v>
      </c>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N301" s="23"/>
      <c r="BO301" s="23"/>
      <c r="BP301" s="23"/>
      <c r="BQ301" s="23"/>
      <c r="BR301" s="23"/>
      <c r="BS301" s="23"/>
      <c r="BT301" s="23"/>
      <c r="BU301" s="23"/>
      <c r="BV301" s="23"/>
      <c r="BW301" s="23"/>
      <c r="BX301" s="23"/>
      <c r="BY301" s="23"/>
    </row>
    <row r="302" spans="1:77" ht="12" customHeight="1">
      <c r="A302" s="87"/>
      <c r="B302" s="491" t="s">
        <v>6</v>
      </c>
      <c r="C302" s="205"/>
      <c r="D302" s="205"/>
      <c r="E302" s="205"/>
      <c r="F302" s="205"/>
      <c r="G302" s="205"/>
      <c r="H302" s="205"/>
      <c r="I302" s="205"/>
      <c r="J302" s="205"/>
      <c r="K302" s="205"/>
      <c r="L302" s="205"/>
      <c r="M302" s="205"/>
      <c r="N302" s="205"/>
      <c r="Q302" s="26"/>
      <c r="R302" s="26"/>
      <c r="S302" s="26"/>
      <c r="T302" s="26"/>
      <c r="U302" s="26"/>
      <c r="V302" s="26"/>
      <c r="W302" s="26"/>
      <c r="X302" s="26"/>
      <c r="Y302" s="26"/>
      <c r="Z302" s="26"/>
      <c r="AA302" s="26"/>
      <c r="AB302" s="26">
        <f t="shared" ref="AB302:AX302" si="1328">+AVERAGE(AA300:AB300)*$C300/4</f>
        <v>5.9733749999999999</v>
      </c>
      <c r="AC302" s="26">
        <f t="shared" si="1328"/>
        <v>6.7933593750000005</v>
      </c>
      <c r="AD302" s="26">
        <f t="shared" si="1328"/>
        <v>7.6125468749999996</v>
      </c>
      <c r="AE302" s="26">
        <f t="shared" si="1328"/>
        <v>7.4738906250000001</v>
      </c>
      <c r="AF302" s="26">
        <f t="shared" si="1328"/>
        <v>7.3432031250000005</v>
      </c>
      <c r="AG302" s="26">
        <f t="shared" si="1328"/>
        <v>7.4794687499999997</v>
      </c>
      <c r="AH302" s="26">
        <f t="shared" si="1328"/>
        <v>7.6077656250000008</v>
      </c>
      <c r="AI302" s="26">
        <f t="shared" si="1328"/>
        <v>3.803484375</v>
      </c>
      <c r="AJ302" s="26">
        <f t="shared" si="1328"/>
        <v>0</v>
      </c>
      <c r="AK302" s="26">
        <f t="shared" si="1328"/>
        <v>0</v>
      </c>
      <c r="AL302" s="26">
        <f t="shared" si="1328"/>
        <v>0</v>
      </c>
      <c r="AM302" s="26">
        <f t="shared" si="1328"/>
        <v>0</v>
      </c>
      <c r="AN302" s="26">
        <f t="shared" si="1328"/>
        <v>0</v>
      </c>
      <c r="AO302" s="26">
        <f t="shared" si="1328"/>
        <v>0</v>
      </c>
      <c r="AP302" s="26">
        <f t="shared" si="1328"/>
        <v>0</v>
      </c>
      <c r="AQ302" s="26">
        <f t="shared" si="1328"/>
        <v>0</v>
      </c>
      <c r="AR302" s="26">
        <f t="shared" si="1328"/>
        <v>0</v>
      </c>
      <c r="AS302" s="26">
        <f t="shared" si="1328"/>
        <v>0</v>
      </c>
      <c r="AT302" s="26">
        <f t="shared" si="1328"/>
        <v>0</v>
      </c>
      <c r="AU302" s="26">
        <f t="shared" si="1328"/>
        <v>0</v>
      </c>
      <c r="AV302" s="26">
        <f t="shared" si="1328"/>
        <v>0</v>
      </c>
      <c r="AW302" s="26">
        <f t="shared" si="1328"/>
        <v>0</v>
      </c>
      <c r="AX302" s="26">
        <f t="shared" si="1328"/>
        <v>0</v>
      </c>
      <c r="AY302" s="26">
        <f t="shared" ref="AY302" si="1329">+AVERAGE(AX300:AY300)*$C300/4</f>
        <v>0</v>
      </c>
      <c r="AZ302" s="26">
        <f t="shared" ref="AZ302" si="1330">+AVERAGE(AY300:AZ300)*$C300/4</f>
        <v>0</v>
      </c>
      <c r="BA302" s="26">
        <f t="shared" ref="BA302" si="1331">+AVERAGE(AZ300:BA300)*$C300/4</f>
        <v>0</v>
      </c>
      <c r="BB302" s="26">
        <f t="shared" ref="BB302" si="1332">+AVERAGE(BA300:BB300)*$C300/4</f>
        <v>0</v>
      </c>
      <c r="BC302" s="26">
        <f t="shared" ref="BC302" si="1333">+AVERAGE(BB300:BC300)*$C300/4</f>
        <v>0</v>
      </c>
      <c r="BD302" s="26">
        <f t="shared" ref="BD302" si="1334">+AVERAGE(BC300:BD300)*$C300/4</f>
        <v>0</v>
      </c>
      <c r="BE302" s="26">
        <f t="shared" ref="BE302" si="1335">+AVERAGE(BD300:BE300)*$C300/4</f>
        <v>0</v>
      </c>
      <c r="BF302" s="26">
        <f t="shared" ref="BF302" si="1336">+AVERAGE(BE300:BF300)*$C300/4</f>
        <v>0</v>
      </c>
      <c r="BG302" s="26">
        <f t="shared" ref="BG302" si="1337">+AVERAGE(BF300:BG300)*$C300/4</f>
        <v>0</v>
      </c>
      <c r="BH302" s="26">
        <f t="shared" ref="BH302" si="1338">+AVERAGE(BG300:BH300)*$C300/4</f>
        <v>0</v>
      </c>
      <c r="BI302" s="26">
        <f t="shared" ref="BI302" si="1339">+AVERAGE(BH300:BI300)*$C300/4</f>
        <v>0</v>
      </c>
      <c r="BJ302" s="26">
        <f t="shared" ref="BJ302" si="1340">+AVERAGE(BI300:BJ300)*$C300/4</f>
        <v>0</v>
      </c>
      <c r="BN302" s="26"/>
      <c r="BO302" s="26"/>
      <c r="BP302" s="26"/>
      <c r="BQ302" s="26"/>
      <c r="BR302" s="26"/>
      <c r="BS302" s="26"/>
      <c r="BT302" s="26"/>
      <c r="BU302" s="26"/>
      <c r="BV302" s="26"/>
      <c r="BW302" s="26"/>
      <c r="BX302" s="26"/>
      <c r="BY302" s="26"/>
    </row>
    <row r="303" spans="1:77" ht="12" customHeight="1">
      <c r="A303" s="87"/>
    </row>
    <row r="304" spans="1:77" ht="12" customHeight="1">
      <c r="A304" s="490"/>
      <c r="B304" s="484" t="s">
        <v>570</v>
      </c>
      <c r="C304" s="488">
        <v>6.3750000000000001E-2</v>
      </c>
      <c r="D304" s="481"/>
      <c r="E304" s="481"/>
      <c r="F304" s="481"/>
      <c r="G304" s="481"/>
      <c r="H304" s="481"/>
      <c r="I304" s="481"/>
      <c r="J304" s="481"/>
      <c r="K304" s="481"/>
      <c r="L304" s="481"/>
      <c r="M304" s="481"/>
      <c r="N304" s="481"/>
      <c r="O304" s="481"/>
      <c r="P304" s="482"/>
      <c r="Q304" s="483"/>
      <c r="R304" s="483"/>
      <c r="S304" s="483"/>
      <c r="T304" s="483"/>
      <c r="U304" s="483"/>
      <c r="V304" s="483"/>
      <c r="W304" s="483"/>
      <c r="X304" s="483"/>
      <c r="Y304" s="483"/>
      <c r="Z304" s="483"/>
      <c r="AA304" s="483"/>
      <c r="AB304" s="483"/>
      <c r="AC304" s="483"/>
      <c r="AD304" s="483"/>
      <c r="AE304" s="483"/>
      <c r="AF304" s="483"/>
      <c r="AG304" s="483"/>
      <c r="AH304" s="483"/>
      <c r="AI304" s="483"/>
      <c r="AJ304" s="483">
        <f t="shared" ref="AJ304:AX304" si="1341">AI304+AJ305</f>
        <v>0</v>
      </c>
      <c r="AK304" s="483">
        <f t="shared" si="1341"/>
        <v>0</v>
      </c>
      <c r="AL304" s="483">
        <f t="shared" si="1341"/>
        <v>0</v>
      </c>
      <c r="AM304" s="483">
        <f t="shared" si="1341"/>
        <v>0</v>
      </c>
      <c r="AN304" s="483">
        <f t="shared" si="1341"/>
        <v>0</v>
      </c>
      <c r="AO304" s="483">
        <f t="shared" si="1341"/>
        <v>0</v>
      </c>
      <c r="AP304" s="483">
        <f t="shared" si="1341"/>
        <v>0</v>
      </c>
      <c r="AQ304" s="483">
        <f t="shared" si="1341"/>
        <v>0</v>
      </c>
      <c r="AR304" s="483">
        <f t="shared" si="1341"/>
        <v>0</v>
      </c>
      <c r="AS304" s="483">
        <f t="shared" si="1341"/>
        <v>0</v>
      </c>
      <c r="AT304" s="483">
        <f t="shared" si="1341"/>
        <v>0</v>
      </c>
      <c r="AU304" s="483">
        <f t="shared" si="1341"/>
        <v>0</v>
      </c>
      <c r="AV304" s="483">
        <f t="shared" si="1341"/>
        <v>0</v>
      </c>
      <c r="AW304" s="483">
        <f t="shared" si="1341"/>
        <v>0</v>
      </c>
      <c r="AX304" s="483">
        <f t="shared" si="1341"/>
        <v>0</v>
      </c>
      <c r="AY304" s="483">
        <f t="shared" ref="AY304" si="1342">AX304+AY305</f>
        <v>0</v>
      </c>
      <c r="AZ304" s="483">
        <f t="shared" ref="AZ304" si="1343">AY304+AZ305</f>
        <v>0</v>
      </c>
      <c r="BA304" s="483">
        <f t="shared" ref="BA304" si="1344">AZ304+BA305</f>
        <v>0</v>
      </c>
      <c r="BB304" s="483">
        <f t="shared" ref="BB304" si="1345">BA304+BB305</f>
        <v>0</v>
      </c>
      <c r="BC304" s="483">
        <f t="shared" ref="BC304" si="1346">BB304+BC305</f>
        <v>0</v>
      </c>
      <c r="BD304" s="483">
        <f t="shared" ref="BD304" si="1347">BC304+BD305</f>
        <v>0</v>
      </c>
      <c r="BE304" s="483">
        <f t="shared" ref="BE304" si="1348">BD304+BE305</f>
        <v>0</v>
      </c>
      <c r="BF304" s="483">
        <f t="shared" ref="BF304" si="1349">BE304+BF305</f>
        <v>0</v>
      </c>
      <c r="BG304" s="483">
        <f t="shared" ref="BG304" si="1350">BF304+BG305</f>
        <v>0</v>
      </c>
      <c r="BH304" s="483">
        <f t="shared" ref="BH304" si="1351">BG304+BH305</f>
        <v>0</v>
      </c>
      <c r="BI304" s="483">
        <f t="shared" ref="BI304" si="1352">BH304+BI305</f>
        <v>0</v>
      </c>
      <c r="BJ304" s="483">
        <f t="shared" ref="BJ304" si="1353">BI304+BJ305</f>
        <v>0</v>
      </c>
      <c r="BN304" s="29"/>
      <c r="BO304" s="29"/>
      <c r="BP304" s="29"/>
      <c r="BQ304" s="29"/>
      <c r="BR304" s="29"/>
      <c r="BS304" s="29"/>
      <c r="BT304" s="29"/>
      <c r="BU304" s="29"/>
      <c r="BV304" s="29"/>
      <c r="BW304" s="29"/>
      <c r="BX304" s="29"/>
      <c r="BY304" s="29"/>
    </row>
    <row r="305" spans="1:77" ht="12" customHeight="1">
      <c r="A305" s="490"/>
      <c r="B305" s="491" t="s">
        <v>568</v>
      </c>
      <c r="C305" s="204"/>
      <c r="D305" s="204"/>
      <c r="E305" s="204"/>
      <c r="F305" s="204"/>
      <c r="G305" s="204"/>
      <c r="H305" s="204"/>
      <c r="I305" s="204"/>
      <c r="J305" s="204"/>
      <c r="K305" s="204"/>
      <c r="L305" s="204"/>
      <c r="M305" s="204"/>
      <c r="N305" s="204"/>
      <c r="Q305" s="23"/>
      <c r="R305" s="22"/>
      <c r="S305" s="23"/>
      <c r="T305" s="23"/>
      <c r="U305" s="23"/>
      <c r="V305" s="23"/>
      <c r="W305" s="23"/>
      <c r="X305" s="23"/>
      <c r="Y305" s="23"/>
      <c r="Z305" s="23"/>
      <c r="AB305" s="23"/>
      <c r="AC305" s="23"/>
      <c r="AD305" s="23"/>
      <c r="AE305" s="23"/>
      <c r="AF305" s="23"/>
      <c r="AG305" s="23"/>
      <c r="AH305" s="23"/>
      <c r="AI305" s="23"/>
      <c r="AJ305" s="29"/>
      <c r="AK305" s="29"/>
      <c r="AL305" s="29"/>
      <c r="AM305" s="29"/>
      <c r="AN305" s="29"/>
      <c r="AO305" s="29"/>
      <c r="AP305" s="29"/>
      <c r="AQ305" s="29"/>
      <c r="AR305" s="29"/>
      <c r="AS305" s="29"/>
      <c r="AT305" s="29"/>
      <c r="AU305" s="29"/>
      <c r="AV305" s="29"/>
      <c r="AW305" s="29"/>
      <c r="AX305" s="29"/>
      <c r="AY305" s="29"/>
      <c r="AZ305" s="29"/>
      <c r="BA305" s="29"/>
      <c r="BB305" s="29"/>
      <c r="BC305" s="29"/>
      <c r="BD305" s="29"/>
      <c r="BE305" s="29"/>
      <c r="BF305" s="29"/>
      <c r="BG305" s="29"/>
      <c r="BH305" s="29"/>
      <c r="BI305" s="29"/>
      <c r="BJ305" s="29"/>
      <c r="BN305" s="23"/>
      <c r="BO305" s="23"/>
      <c r="BP305" s="23"/>
      <c r="BQ305" s="23"/>
      <c r="BR305" s="23"/>
      <c r="BS305" s="23"/>
      <c r="BT305" s="23"/>
      <c r="BU305" s="23"/>
      <c r="BV305" s="23"/>
      <c r="BW305" s="23"/>
      <c r="BX305" s="23"/>
      <c r="BY305" s="23"/>
    </row>
    <row r="306" spans="1:77" ht="12" customHeight="1">
      <c r="A306" s="490"/>
      <c r="B306" s="491" t="s">
        <v>6</v>
      </c>
      <c r="C306" s="205"/>
      <c r="D306" s="205"/>
      <c r="E306" s="205"/>
      <c r="F306" s="205"/>
      <c r="G306" s="205"/>
      <c r="H306" s="205"/>
      <c r="I306" s="205"/>
      <c r="J306" s="205"/>
      <c r="K306" s="205"/>
      <c r="L306" s="205"/>
      <c r="M306" s="205"/>
      <c r="N306" s="205"/>
      <c r="Q306" s="26"/>
      <c r="R306" s="26"/>
      <c r="S306" s="26"/>
      <c r="T306" s="26"/>
      <c r="U306" s="26"/>
      <c r="V306" s="26"/>
      <c r="W306" s="26"/>
      <c r="X306" s="26"/>
      <c r="Y306" s="26"/>
      <c r="Z306" s="26"/>
      <c r="AA306" s="26"/>
      <c r="AB306" s="26"/>
      <c r="AC306" s="26"/>
      <c r="AD306" s="26"/>
      <c r="AE306" s="26"/>
      <c r="AF306" s="26"/>
      <c r="AG306" s="26"/>
      <c r="AH306" s="26"/>
      <c r="AI306" s="26"/>
      <c r="AJ306" s="26">
        <f t="shared" ref="AJ306:AX306" si="1354">+AVERAGE(AI304:AJ304)*$C304/4</f>
        <v>0</v>
      </c>
      <c r="AK306" s="26">
        <f t="shared" si="1354"/>
        <v>0</v>
      </c>
      <c r="AL306" s="26">
        <f t="shared" si="1354"/>
        <v>0</v>
      </c>
      <c r="AM306" s="26">
        <f t="shared" si="1354"/>
        <v>0</v>
      </c>
      <c r="AN306" s="26">
        <f t="shared" si="1354"/>
        <v>0</v>
      </c>
      <c r="AO306" s="26">
        <f t="shared" si="1354"/>
        <v>0</v>
      </c>
      <c r="AP306" s="26">
        <f t="shared" si="1354"/>
        <v>0</v>
      </c>
      <c r="AQ306" s="26">
        <f t="shared" si="1354"/>
        <v>0</v>
      </c>
      <c r="AR306" s="26">
        <f t="shared" si="1354"/>
        <v>0</v>
      </c>
      <c r="AS306" s="26">
        <f t="shared" si="1354"/>
        <v>0</v>
      </c>
      <c r="AT306" s="26">
        <f t="shared" si="1354"/>
        <v>0</v>
      </c>
      <c r="AU306" s="26">
        <f t="shared" si="1354"/>
        <v>0</v>
      </c>
      <c r="AV306" s="26">
        <f t="shared" si="1354"/>
        <v>0</v>
      </c>
      <c r="AW306" s="26">
        <f t="shared" si="1354"/>
        <v>0</v>
      </c>
      <c r="AX306" s="26">
        <f t="shared" si="1354"/>
        <v>0</v>
      </c>
      <c r="AY306" s="26">
        <f t="shared" ref="AY306" si="1355">+AVERAGE(AX304:AY304)*$C304/4</f>
        <v>0</v>
      </c>
      <c r="AZ306" s="26">
        <f t="shared" ref="AZ306" si="1356">+AVERAGE(AY304:AZ304)*$C304/4</f>
        <v>0</v>
      </c>
      <c r="BA306" s="26">
        <f t="shared" ref="BA306" si="1357">+AVERAGE(AZ304:BA304)*$C304/4</f>
        <v>0</v>
      </c>
      <c r="BB306" s="26">
        <f t="shared" ref="BB306" si="1358">+AVERAGE(BA304:BB304)*$C304/4</f>
        <v>0</v>
      </c>
      <c r="BC306" s="26">
        <f t="shared" ref="BC306" si="1359">+AVERAGE(BB304:BC304)*$C304/4</f>
        <v>0</v>
      </c>
      <c r="BD306" s="26">
        <f t="shared" ref="BD306" si="1360">+AVERAGE(BC304:BD304)*$C304/4</f>
        <v>0</v>
      </c>
      <c r="BE306" s="26">
        <f t="shared" ref="BE306" si="1361">+AVERAGE(BD304:BE304)*$C304/4</f>
        <v>0</v>
      </c>
      <c r="BF306" s="26">
        <f t="shared" ref="BF306" si="1362">+AVERAGE(BE304:BF304)*$C304/4</f>
        <v>0</v>
      </c>
      <c r="BG306" s="26">
        <f t="shared" ref="BG306" si="1363">+AVERAGE(BF304:BG304)*$C304/4</f>
        <v>0</v>
      </c>
      <c r="BH306" s="26">
        <f t="shared" ref="BH306" si="1364">+AVERAGE(BG304:BH304)*$C304/4</f>
        <v>0</v>
      </c>
      <c r="BI306" s="26">
        <f t="shared" ref="BI306" si="1365">+AVERAGE(BH304:BI304)*$C304/4</f>
        <v>0</v>
      </c>
      <c r="BJ306" s="26">
        <f t="shared" ref="BJ306" si="1366">+AVERAGE(BI304:BJ304)*$C304/4</f>
        <v>0</v>
      </c>
      <c r="BN306" s="26"/>
      <c r="BO306" s="26"/>
      <c r="BP306" s="26"/>
      <c r="BQ306" s="26"/>
      <c r="BR306" s="26"/>
      <c r="BS306" s="26"/>
      <c r="BT306" s="26"/>
      <c r="BU306" s="26"/>
      <c r="BV306" s="26"/>
      <c r="BW306" s="26"/>
      <c r="BX306" s="26"/>
      <c r="BY306" s="26"/>
    </row>
    <row r="307" spans="1:77" ht="12" customHeight="1">
      <c r="A307" s="87"/>
    </row>
    <row r="308" spans="1:77" ht="12" customHeight="1">
      <c r="A308" s="87"/>
      <c r="B308" s="484" t="s">
        <v>673</v>
      </c>
      <c r="C308" s="488">
        <v>0.05</v>
      </c>
      <c r="D308" s="481"/>
      <c r="E308" s="481"/>
      <c r="F308" s="481"/>
      <c r="G308" s="481"/>
      <c r="H308" s="481"/>
      <c r="I308" s="481"/>
      <c r="J308" s="481"/>
      <c r="K308" s="481"/>
      <c r="L308" s="481"/>
      <c r="M308" s="481"/>
      <c r="N308" s="481"/>
      <c r="O308" s="481"/>
      <c r="P308" s="482"/>
      <c r="Q308" s="483"/>
      <c r="R308" s="483"/>
      <c r="S308" s="483"/>
      <c r="T308" s="483"/>
      <c r="U308" s="483"/>
      <c r="V308" s="483"/>
      <c r="W308" s="483"/>
      <c r="X308" s="483"/>
      <c r="Y308" s="483"/>
      <c r="Z308" s="483"/>
      <c r="AA308" s="483"/>
      <c r="AB308" s="483"/>
      <c r="AC308" s="483"/>
      <c r="AD308" s="483"/>
      <c r="AE308" s="483"/>
      <c r="AF308" s="483"/>
      <c r="AG308" s="483"/>
      <c r="AH308" s="483"/>
      <c r="AI308" s="483">
        <f t="shared" ref="AI308:AJ308" si="1367">AH308+AI309</f>
        <v>500</v>
      </c>
      <c r="AJ308" s="483">
        <f t="shared" si="1367"/>
        <v>500</v>
      </c>
      <c r="AK308" s="483">
        <f t="shared" ref="AK308:AL308" si="1368">AJ308+AK309</f>
        <v>500</v>
      </c>
      <c r="AL308" s="483">
        <f t="shared" si="1368"/>
        <v>706.8</v>
      </c>
      <c r="AM308" s="483">
        <f t="shared" ref="AM308" si="1369">AL308+AM309</f>
        <v>706.8</v>
      </c>
      <c r="AN308" s="483">
        <f t="shared" ref="AN308" si="1370">AM308+AN309</f>
        <v>706.8</v>
      </c>
      <c r="AO308" s="483">
        <f t="shared" ref="AO308" si="1371">AN308+AO309</f>
        <v>706.8</v>
      </c>
      <c r="AP308" s="483">
        <f t="shared" ref="AP308" si="1372">AO308+AP309</f>
        <v>706.8</v>
      </c>
      <c r="AQ308" s="483">
        <f t="shared" ref="AQ308" si="1373">AP308+AQ309</f>
        <v>706.8</v>
      </c>
      <c r="AR308" s="483">
        <f t="shared" ref="AR308" si="1374">AQ308+AR309</f>
        <v>706.8</v>
      </c>
      <c r="AS308" s="483">
        <f t="shared" ref="AS308" si="1375">AR308+AS309</f>
        <v>706.8</v>
      </c>
      <c r="AT308" s="483">
        <f t="shared" ref="AT308" si="1376">AS308+AT309</f>
        <v>706.8</v>
      </c>
      <c r="AU308" s="483">
        <f t="shared" ref="AU308" si="1377">AT308+AU309</f>
        <v>706.8</v>
      </c>
      <c r="AV308" s="483">
        <f t="shared" ref="AV308" si="1378">AU308+AV309</f>
        <v>706.8</v>
      </c>
      <c r="AW308" s="483">
        <f t="shared" ref="AW308" si="1379">AV308+AW309</f>
        <v>706.8</v>
      </c>
      <c r="AX308" s="483">
        <f t="shared" ref="AX308" si="1380">AW308+AX309</f>
        <v>706.8</v>
      </c>
      <c r="AY308" s="483">
        <f t="shared" ref="AY308" si="1381">AX308+AY309</f>
        <v>706.8</v>
      </c>
      <c r="AZ308" s="483">
        <f t="shared" ref="AZ308" si="1382">AY308+AZ309</f>
        <v>706.8</v>
      </c>
      <c r="BA308" s="483">
        <f t="shared" ref="BA308" si="1383">AZ308+BA309</f>
        <v>706.8</v>
      </c>
      <c r="BB308" s="483">
        <f t="shared" ref="BB308" si="1384">BA308+BB309</f>
        <v>706.8</v>
      </c>
      <c r="BC308" s="483">
        <f t="shared" ref="BC308" si="1385">BB308+BC309</f>
        <v>706.8</v>
      </c>
      <c r="BD308" s="483">
        <f t="shared" ref="BD308" si="1386">BC308+BD309</f>
        <v>706.8</v>
      </c>
      <c r="BE308" s="483">
        <f t="shared" ref="BE308" si="1387">BD308+BE309</f>
        <v>706.8</v>
      </c>
      <c r="BF308" s="483">
        <f t="shared" ref="BF308" si="1388">BE308+BF309</f>
        <v>706.8</v>
      </c>
      <c r="BG308" s="483">
        <f t="shared" ref="BG308" si="1389">BF308+BG309</f>
        <v>706.8</v>
      </c>
      <c r="BH308" s="483">
        <f t="shared" ref="BH308" si="1390">BG308+BH309</f>
        <v>706.8</v>
      </c>
      <c r="BI308" s="483">
        <f t="shared" ref="BI308" si="1391">BH308+BI309</f>
        <v>706.8</v>
      </c>
      <c r="BJ308" s="483">
        <f t="shared" ref="BJ308" si="1392">BI308+BJ309</f>
        <v>706.8</v>
      </c>
      <c r="BN308" s="29"/>
      <c r="BO308" s="29"/>
      <c r="BP308" s="29"/>
      <c r="BQ308" s="29"/>
      <c r="BR308" s="29"/>
      <c r="BS308" s="29"/>
      <c r="BT308" s="29"/>
      <c r="BU308" s="29"/>
      <c r="BV308" s="29"/>
      <c r="BW308" s="29"/>
      <c r="BX308" s="29"/>
      <c r="BY308" s="29"/>
    </row>
    <row r="309" spans="1:77" ht="12" customHeight="1">
      <c r="A309" s="87"/>
      <c r="B309" s="491" t="s">
        <v>568</v>
      </c>
      <c r="C309" s="204"/>
      <c r="D309" s="204"/>
      <c r="E309" s="204"/>
      <c r="F309" s="204"/>
      <c r="G309" s="204"/>
      <c r="H309" s="204"/>
      <c r="I309" s="204"/>
      <c r="J309" s="204"/>
      <c r="K309" s="204"/>
      <c r="L309" s="204"/>
      <c r="M309" s="204"/>
      <c r="N309" s="204"/>
      <c r="Q309" s="23"/>
      <c r="R309" s="22"/>
      <c r="S309" s="23"/>
      <c r="T309" s="23"/>
      <c r="U309" s="23"/>
      <c r="V309" s="23"/>
      <c r="W309" s="23"/>
      <c r="X309" s="23"/>
      <c r="Y309" s="23"/>
      <c r="Z309" s="23"/>
      <c r="AB309" s="23"/>
      <c r="AC309" s="23"/>
      <c r="AD309" s="23"/>
      <c r="AE309" s="23"/>
      <c r="AF309" s="23"/>
      <c r="AG309" s="23"/>
      <c r="AH309" s="23"/>
      <c r="AI309" s="452">
        <v>500</v>
      </c>
      <c r="AJ309" s="29"/>
      <c r="AK309" s="29"/>
      <c r="AL309" s="480">
        <f>706.8-AK308</f>
        <v>206.79999999999995</v>
      </c>
      <c r="AM309" s="29"/>
      <c r="AN309" s="29"/>
      <c r="AO309" s="29"/>
      <c r="AP309" s="29"/>
      <c r="AQ309" s="29"/>
      <c r="AR309" s="29"/>
      <c r="AS309" s="29"/>
      <c r="AT309" s="29"/>
      <c r="AU309" s="29"/>
      <c r="AV309" s="29"/>
      <c r="AW309" s="29"/>
      <c r="AX309" s="29"/>
      <c r="AY309" s="29"/>
      <c r="AZ309" s="29"/>
      <c r="BA309" s="29"/>
      <c r="BB309" s="29"/>
      <c r="BC309" s="29"/>
      <c r="BD309" s="29"/>
      <c r="BE309" s="29"/>
      <c r="BF309" s="29"/>
      <c r="BG309" s="29"/>
      <c r="BH309" s="29"/>
      <c r="BI309" s="29"/>
      <c r="BJ309" s="29"/>
      <c r="BN309" s="23"/>
      <c r="BO309" s="23"/>
      <c r="BP309" s="23"/>
      <c r="BQ309" s="23"/>
      <c r="BR309" s="23"/>
      <c r="BS309" s="23"/>
      <c r="BT309" s="23"/>
      <c r="BU309" s="23"/>
      <c r="BV309" s="23"/>
      <c r="BW309" s="23"/>
      <c r="BX309" s="23"/>
      <c r="BY309" s="23"/>
    </row>
    <row r="310" spans="1:77" ht="12" customHeight="1">
      <c r="A310" s="87"/>
      <c r="B310" s="491" t="s">
        <v>6</v>
      </c>
      <c r="C310" s="205"/>
      <c r="D310" s="205"/>
      <c r="E310" s="205"/>
      <c r="F310" s="205"/>
      <c r="G310" s="205"/>
      <c r="H310" s="205"/>
      <c r="I310" s="205"/>
      <c r="J310" s="205"/>
      <c r="K310" s="205"/>
      <c r="L310" s="205"/>
      <c r="M310" s="205"/>
      <c r="N310" s="205"/>
      <c r="Q310" s="26"/>
      <c r="R310" s="26"/>
      <c r="S310" s="26"/>
      <c r="T310" s="26"/>
      <c r="U310" s="26"/>
      <c r="V310" s="26"/>
      <c r="W310" s="26"/>
      <c r="X310" s="26"/>
      <c r="Y310" s="26"/>
      <c r="Z310" s="26"/>
      <c r="AA310" s="26"/>
      <c r="AB310" s="26"/>
      <c r="AC310" s="26"/>
      <c r="AD310" s="26"/>
      <c r="AE310" s="26"/>
      <c r="AF310" s="26"/>
      <c r="AG310" s="26"/>
      <c r="AH310" s="26"/>
      <c r="AI310" s="26">
        <f t="shared" ref="AI310:AJ310" si="1393">+AVERAGE(AH308:AI308)*$C308/4</f>
        <v>6.25</v>
      </c>
      <c r="AJ310" s="26">
        <f t="shared" si="1393"/>
        <v>6.25</v>
      </c>
      <c r="AK310" s="26">
        <f t="shared" ref="AK310:AL310" si="1394">+AVERAGE(AJ308:AK308)*$C308/4</f>
        <v>6.25</v>
      </c>
      <c r="AL310" s="26">
        <f t="shared" si="1394"/>
        <v>7.5425000000000004</v>
      </c>
      <c r="AM310" s="26">
        <f t="shared" ref="AM310" si="1395">+AVERAGE(AL308:AM308)*$C308/4</f>
        <v>8.8349999999999991</v>
      </c>
      <c r="AN310" s="26">
        <f t="shared" ref="AN310" si="1396">+AVERAGE(AM308:AN308)*$C308/4</f>
        <v>8.8349999999999991</v>
      </c>
      <c r="AO310" s="26">
        <f t="shared" ref="AO310" si="1397">+AVERAGE(AN308:AO308)*$C308/4</f>
        <v>8.8349999999999991</v>
      </c>
      <c r="AP310" s="26">
        <f t="shared" ref="AP310" si="1398">+AVERAGE(AO308:AP308)*$C308/4</f>
        <v>8.8349999999999991</v>
      </c>
      <c r="AQ310" s="26">
        <f t="shared" ref="AQ310" si="1399">+AVERAGE(AP308:AQ308)*$C308/4</f>
        <v>8.8349999999999991</v>
      </c>
      <c r="AR310" s="26">
        <f t="shared" ref="AR310" si="1400">+AVERAGE(AQ308:AR308)*$C308/4</f>
        <v>8.8349999999999991</v>
      </c>
      <c r="AS310" s="26">
        <f t="shared" ref="AS310" si="1401">+AVERAGE(AR308:AS308)*$C308/4</f>
        <v>8.8349999999999991</v>
      </c>
      <c r="AT310" s="26">
        <f t="shared" ref="AT310" si="1402">+AVERAGE(AS308:AT308)*$C308/4</f>
        <v>8.8349999999999991</v>
      </c>
      <c r="AU310" s="26">
        <f t="shared" ref="AU310" si="1403">+AVERAGE(AT308:AU308)*$C308/4</f>
        <v>8.8349999999999991</v>
      </c>
      <c r="AV310" s="26">
        <f t="shared" ref="AV310" si="1404">+AVERAGE(AU308:AV308)*$C308/4</f>
        <v>8.8349999999999991</v>
      </c>
      <c r="AW310" s="26">
        <f t="shared" ref="AW310" si="1405">+AVERAGE(AV308:AW308)*$C308/4</f>
        <v>8.8349999999999991</v>
      </c>
      <c r="AX310" s="26">
        <f t="shared" ref="AX310" si="1406">+AVERAGE(AW308:AX308)*$C308/4</f>
        <v>8.8349999999999991</v>
      </c>
      <c r="AY310" s="26">
        <f t="shared" ref="AY310" si="1407">+AVERAGE(AX308:AY308)*$C308/4</f>
        <v>8.8349999999999991</v>
      </c>
      <c r="AZ310" s="26">
        <f t="shared" ref="AZ310" si="1408">+AVERAGE(AY308:AZ308)*$C308/4</f>
        <v>8.8349999999999991</v>
      </c>
      <c r="BA310" s="26">
        <f t="shared" ref="BA310" si="1409">+AVERAGE(AZ308:BA308)*$C308/4</f>
        <v>8.8349999999999991</v>
      </c>
      <c r="BB310" s="26">
        <f t="shared" ref="BB310" si="1410">+AVERAGE(BA308:BB308)*$C308/4</f>
        <v>8.8349999999999991</v>
      </c>
      <c r="BC310" s="26">
        <f t="shared" ref="BC310" si="1411">+AVERAGE(BB308:BC308)*$C308/4</f>
        <v>8.8349999999999991</v>
      </c>
      <c r="BD310" s="26">
        <f t="shared" ref="BD310" si="1412">+AVERAGE(BC308:BD308)*$C308/4</f>
        <v>8.8349999999999991</v>
      </c>
      <c r="BE310" s="26">
        <f t="shared" ref="BE310" si="1413">+AVERAGE(BD308:BE308)*$C308/4</f>
        <v>8.8349999999999991</v>
      </c>
      <c r="BF310" s="26">
        <f t="shared" ref="BF310" si="1414">+AVERAGE(BE308:BF308)*$C308/4</f>
        <v>8.8349999999999991</v>
      </c>
      <c r="BG310" s="26">
        <f t="shared" ref="BG310" si="1415">+AVERAGE(BF308:BG308)*$C308/4</f>
        <v>8.8349999999999991</v>
      </c>
      <c r="BH310" s="26">
        <f t="shared" ref="BH310" si="1416">+AVERAGE(BG308:BH308)*$C308/4</f>
        <v>8.8349999999999991</v>
      </c>
      <c r="BI310" s="26">
        <f t="shared" ref="BI310" si="1417">+AVERAGE(BH308:BI308)*$C308/4</f>
        <v>8.8349999999999991</v>
      </c>
      <c r="BJ310" s="26">
        <f t="shared" ref="BJ310" si="1418">+AVERAGE(BI308:BJ308)*$C308/4</f>
        <v>8.8349999999999991</v>
      </c>
      <c r="BN310" s="26"/>
      <c r="BO310" s="26"/>
      <c r="BP310" s="26"/>
      <c r="BQ310" s="26"/>
      <c r="BR310" s="26"/>
      <c r="BS310" s="26"/>
      <c r="BT310" s="26"/>
      <c r="BU310" s="26"/>
      <c r="BV310" s="26"/>
      <c r="BW310" s="26"/>
      <c r="BX310" s="26"/>
      <c r="BY310" s="26"/>
    </row>
    <row r="311" spans="1:77" ht="12" customHeight="1">
      <c r="A311" s="87"/>
    </row>
    <row r="312" spans="1:77" ht="12" customHeight="1">
      <c r="A312" s="87"/>
      <c r="B312" s="484" t="s">
        <v>674</v>
      </c>
      <c r="C312" s="488">
        <v>5.3749999999999999E-2</v>
      </c>
      <c r="D312" s="481"/>
      <c r="E312" s="481"/>
      <c r="F312" s="481"/>
      <c r="G312" s="481"/>
      <c r="H312" s="481"/>
      <c r="I312" s="481"/>
      <c r="J312" s="481"/>
      <c r="K312" s="481"/>
      <c r="L312" s="481"/>
      <c r="M312" s="481"/>
      <c r="N312" s="481"/>
      <c r="O312" s="481"/>
      <c r="P312" s="482"/>
      <c r="Q312" s="483"/>
      <c r="R312" s="483"/>
      <c r="S312" s="483"/>
      <c r="T312" s="483"/>
      <c r="U312" s="483"/>
      <c r="V312" s="483"/>
      <c r="W312" s="483"/>
      <c r="X312" s="483"/>
      <c r="Y312" s="483"/>
      <c r="Z312" s="483"/>
      <c r="AA312" s="483"/>
      <c r="AB312" s="483"/>
      <c r="AC312" s="483"/>
      <c r="AD312" s="483"/>
      <c r="AE312" s="483"/>
      <c r="AF312" s="483"/>
      <c r="AG312" s="483"/>
      <c r="AH312" s="483"/>
      <c r="AI312" s="483">
        <f t="shared" ref="AI312" si="1419">AH312+AI313</f>
        <v>300</v>
      </c>
      <c r="AJ312" s="483">
        <f t="shared" ref="AJ312" si="1420">AI312+AJ313</f>
        <v>300</v>
      </c>
      <c r="AK312" s="483">
        <f t="shared" ref="AK312:AL312" si="1421">AJ312+AK313</f>
        <v>300</v>
      </c>
      <c r="AL312" s="483">
        <f t="shared" si="1421"/>
        <v>510.5</v>
      </c>
      <c r="AM312" s="483">
        <f t="shared" ref="AM312" si="1422">AL312+AM313</f>
        <v>510.5</v>
      </c>
      <c r="AN312" s="483">
        <f t="shared" ref="AN312" si="1423">AM312+AN313</f>
        <v>510.5</v>
      </c>
      <c r="AO312" s="483">
        <f t="shared" ref="AO312" si="1424">AN312+AO313</f>
        <v>510.5</v>
      </c>
      <c r="AP312" s="483">
        <f t="shared" ref="AP312" si="1425">AO312+AP313</f>
        <v>510.5</v>
      </c>
      <c r="AQ312" s="483">
        <f t="shared" ref="AQ312" si="1426">AP312+AQ313</f>
        <v>510.5</v>
      </c>
      <c r="AR312" s="483">
        <f t="shared" ref="AR312" si="1427">AQ312+AR313</f>
        <v>510.5</v>
      </c>
      <c r="AS312" s="483">
        <f t="shared" ref="AS312" si="1428">AR312+AS313</f>
        <v>510.5</v>
      </c>
      <c r="AT312" s="483">
        <f t="shared" ref="AT312" si="1429">AS312+AT313</f>
        <v>510.5</v>
      </c>
      <c r="AU312" s="483">
        <f t="shared" ref="AU312" si="1430">AT312+AU313</f>
        <v>510.5</v>
      </c>
      <c r="AV312" s="483">
        <f t="shared" ref="AV312" si="1431">AU312+AV313</f>
        <v>510.5</v>
      </c>
      <c r="AW312" s="483">
        <f t="shared" ref="AW312" si="1432">AV312+AW313</f>
        <v>510.5</v>
      </c>
      <c r="AX312" s="483">
        <f t="shared" ref="AX312" si="1433">AW312+AX313</f>
        <v>510.5</v>
      </c>
      <c r="AY312" s="483">
        <f t="shared" ref="AY312" si="1434">AX312+AY313</f>
        <v>510.5</v>
      </c>
      <c r="AZ312" s="483">
        <f t="shared" ref="AZ312" si="1435">AY312+AZ313</f>
        <v>510.5</v>
      </c>
      <c r="BA312" s="483">
        <f t="shared" ref="BA312" si="1436">AZ312+BA313</f>
        <v>510.5</v>
      </c>
      <c r="BB312" s="483">
        <f t="shared" ref="BB312" si="1437">BA312+BB313</f>
        <v>510.5</v>
      </c>
      <c r="BC312" s="483">
        <f t="shared" ref="BC312" si="1438">BB312+BC313</f>
        <v>510.5</v>
      </c>
      <c r="BD312" s="483">
        <f t="shared" ref="BD312" si="1439">BC312+BD313</f>
        <v>510.5</v>
      </c>
      <c r="BE312" s="483">
        <f t="shared" ref="BE312" si="1440">BD312+BE313</f>
        <v>510.5</v>
      </c>
      <c r="BF312" s="483">
        <f t="shared" ref="BF312" si="1441">BE312+BF313</f>
        <v>510.5</v>
      </c>
      <c r="BG312" s="483">
        <f t="shared" ref="BG312" si="1442">BF312+BG313</f>
        <v>510.5</v>
      </c>
      <c r="BH312" s="483">
        <f t="shared" ref="BH312" si="1443">BG312+BH313</f>
        <v>510.5</v>
      </c>
      <c r="BI312" s="483">
        <f t="shared" ref="BI312" si="1444">BH312+BI313</f>
        <v>510.5</v>
      </c>
      <c r="BJ312" s="483">
        <f t="shared" ref="BJ312" si="1445">BI312+BJ313</f>
        <v>510.5</v>
      </c>
      <c r="BN312" s="29"/>
      <c r="BO312" s="29"/>
      <c r="BP312" s="29"/>
      <c r="BQ312" s="29"/>
      <c r="BR312" s="29"/>
      <c r="BS312" s="29"/>
      <c r="BT312" s="29"/>
      <c r="BU312" s="29"/>
      <c r="BV312" s="29"/>
      <c r="BW312" s="29"/>
      <c r="BX312" s="29"/>
      <c r="BY312" s="29"/>
    </row>
    <row r="313" spans="1:77" ht="12" customHeight="1">
      <c r="A313" s="87"/>
      <c r="B313" s="491" t="s">
        <v>568</v>
      </c>
      <c r="C313" s="204"/>
      <c r="D313" s="204"/>
      <c r="E313" s="204"/>
      <c r="F313" s="204"/>
      <c r="G313" s="204"/>
      <c r="H313" s="204"/>
      <c r="I313" s="204"/>
      <c r="J313" s="204"/>
      <c r="K313" s="204"/>
      <c r="L313" s="204"/>
      <c r="M313" s="204"/>
      <c r="N313" s="204"/>
      <c r="Q313" s="23"/>
      <c r="R313" s="22"/>
      <c r="S313" s="23"/>
      <c r="T313" s="23"/>
      <c r="U313" s="23"/>
      <c r="V313" s="23"/>
      <c r="W313" s="23"/>
      <c r="X313" s="23"/>
      <c r="Y313" s="23"/>
      <c r="Z313" s="23"/>
      <c r="AB313" s="23"/>
      <c r="AC313" s="23"/>
      <c r="AD313" s="23"/>
      <c r="AE313" s="23"/>
      <c r="AF313" s="23"/>
      <c r="AG313" s="23"/>
      <c r="AH313" s="23"/>
      <c r="AI313" s="452">
        <v>300</v>
      </c>
      <c r="AJ313" s="29"/>
      <c r="AK313" s="29"/>
      <c r="AL313" s="480">
        <f>510.5-AK312</f>
        <v>210.5</v>
      </c>
      <c r="AM313" s="29"/>
      <c r="AN313" s="29"/>
      <c r="AO313" s="29"/>
      <c r="AP313" s="29"/>
      <c r="AQ313" s="29"/>
      <c r="AR313" s="29"/>
      <c r="AS313" s="29"/>
      <c r="AT313" s="29"/>
      <c r="AU313" s="29"/>
      <c r="AV313" s="29"/>
      <c r="AW313" s="29"/>
      <c r="AX313" s="29"/>
      <c r="AY313" s="29"/>
      <c r="AZ313" s="29"/>
      <c r="BA313" s="29"/>
      <c r="BB313" s="29"/>
      <c r="BC313" s="29"/>
      <c r="BD313" s="29"/>
      <c r="BE313" s="29"/>
      <c r="BF313" s="29"/>
      <c r="BG313" s="29"/>
      <c r="BH313" s="29"/>
      <c r="BI313" s="29"/>
      <c r="BJ313" s="29"/>
      <c r="BN313" s="23"/>
      <c r="BO313" s="23"/>
      <c r="BP313" s="23"/>
      <c r="BQ313" s="23"/>
      <c r="BR313" s="23"/>
      <c r="BS313" s="23"/>
      <c r="BT313" s="23"/>
      <c r="BU313" s="23"/>
      <c r="BV313" s="23"/>
      <c r="BW313" s="23"/>
      <c r="BX313" s="23"/>
      <c r="BY313" s="23"/>
    </row>
    <row r="314" spans="1:77" ht="12" customHeight="1">
      <c r="A314" s="87"/>
      <c r="B314" s="491" t="s">
        <v>6</v>
      </c>
      <c r="C314" s="205"/>
      <c r="D314" s="205"/>
      <c r="E314" s="205"/>
      <c r="F314" s="205"/>
      <c r="G314" s="205"/>
      <c r="H314" s="205"/>
      <c r="I314" s="205"/>
      <c r="J314" s="205"/>
      <c r="K314" s="205"/>
      <c r="L314" s="205"/>
      <c r="M314" s="205"/>
      <c r="N314" s="205"/>
      <c r="Q314" s="26"/>
      <c r="R314" s="26"/>
      <c r="S314" s="26"/>
      <c r="T314" s="26"/>
      <c r="U314" s="26"/>
      <c r="V314" s="26"/>
      <c r="W314" s="26"/>
      <c r="X314" s="26"/>
      <c r="Y314" s="26"/>
      <c r="Z314" s="26"/>
      <c r="AA314" s="26"/>
      <c r="AB314" s="26"/>
      <c r="AC314" s="26"/>
      <c r="AD314" s="26"/>
      <c r="AE314" s="26"/>
      <c r="AF314" s="26"/>
      <c r="AG314" s="26"/>
      <c r="AH314" s="26"/>
      <c r="AI314" s="26">
        <f t="shared" ref="AI314" si="1446">+AVERAGE(AH312:AI312)*$C312/4</f>
        <v>4.03125</v>
      </c>
      <c r="AJ314" s="26">
        <f t="shared" ref="AJ314" si="1447">+AVERAGE(AI312:AJ312)*$C312/4</f>
        <v>4.03125</v>
      </c>
      <c r="AK314" s="26">
        <f t="shared" ref="AK314:AL314" si="1448">+AVERAGE(AJ312:AK312)*$C312/4</f>
        <v>4.03125</v>
      </c>
      <c r="AL314" s="26">
        <f t="shared" si="1448"/>
        <v>5.4455468749999998</v>
      </c>
      <c r="AM314" s="26">
        <f t="shared" ref="AM314" si="1449">+AVERAGE(AL312:AM312)*$C312/4</f>
        <v>6.8598437499999996</v>
      </c>
      <c r="AN314" s="26">
        <f t="shared" ref="AN314" si="1450">+AVERAGE(AM312:AN312)*$C312/4</f>
        <v>6.8598437499999996</v>
      </c>
      <c r="AO314" s="26">
        <f t="shared" ref="AO314" si="1451">+AVERAGE(AN312:AO312)*$C312/4</f>
        <v>6.8598437499999996</v>
      </c>
      <c r="AP314" s="26">
        <f t="shared" ref="AP314" si="1452">+AVERAGE(AO312:AP312)*$C312/4</f>
        <v>6.8598437499999996</v>
      </c>
      <c r="AQ314" s="26">
        <f t="shared" ref="AQ314" si="1453">+AVERAGE(AP312:AQ312)*$C312/4</f>
        <v>6.8598437499999996</v>
      </c>
      <c r="AR314" s="26">
        <f t="shared" ref="AR314" si="1454">+AVERAGE(AQ312:AR312)*$C312/4</f>
        <v>6.8598437499999996</v>
      </c>
      <c r="AS314" s="26">
        <f t="shared" ref="AS314" si="1455">+AVERAGE(AR312:AS312)*$C312/4</f>
        <v>6.8598437499999996</v>
      </c>
      <c r="AT314" s="26">
        <f t="shared" ref="AT314" si="1456">+AVERAGE(AS312:AT312)*$C312/4</f>
        <v>6.8598437499999996</v>
      </c>
      <c r="AU314" s="26">
        <f t="shared" ref="AU314" si="1457">+AVERAGE(AT312:AU312)*$C312/4</f>
        <v>6.8598437499999996</v>
      </c>
      <c r="AV314" s="26">
        <f t="shared" ref="AV314" si="1458">+AVERAGE(AU312:AV312)*$C312/4</f>
        <v>6.8598437499999996</v>
      </c>
      <c r="AW314" s="26">
        <f t="shared" ref="AW314" si="1459">+AVERAGE(AV312:AW312)*$C312/4</f>
        <v>6.8598437499999996</v>
      </c>
      <c r="AX314" s="26">
        <f t="shared" ref="AX314" si="1460">+AVERAGE(AW312:AX312)*$C312/4</f>
        <v>6.8598437499999996</v>
      </c>
      <c r="AY314" s="26">
        <f t="shared" ref="AY314" si="1461">+AVERAGE(AX312:AY312)*$C312/4</f>
        <v>6.8598437499999996</v>
      </c>
      <c r="AZ314" s="26">
        <f t="shared" ref="AZ314" si="1462">+AVERAGE(AY312:AZ312)*$C312/4</f>
        <v>6.8598437499999996</v>
      </c>
      <c r="BA314" s="26">
        <f t="shared" ref="BA314" si="1463">+AVERAGE(AZ312:BA312)*$C312/4</f>
        <v>6.8598437499999996</v>
      </c>
      <c r="BB314" s="26">
        <f t="shared" ref="BB314" si="1464">+AVERAGE(BA312:BB312)*$C312/4</f>
        <v>6.8598437499999996</v>
      </c>
      <c r="BC314" s="26">
        <f t="shared" ref="BC314" si="1465">+AVERAGE(BB312:BC312)*$C312/4</f>
        <v>6.8598437499999996</v>
      </c>
      <c r="BD314" s="26">
        <f t="shared" ref="BD314" si="1466">+AVERAGE(BC312:BD312)*$C312/4</f>
        <v>6.8598437499999996</v>
      </c>
      <c r="BE314" s="26">
        <f t="shared" ref="BE314" si="1467">+AVERAGE(BD312:BE312)*$C312/4</f>
        <v>6.8598437499999996</v>
      </c>
      <c r="BF314" s="26">
        <f t="shared" ref="BF314" si="1468">+AVERAGE(BE312:BF312)*$C312/4</f>
        <v>6.8598437499999996</v>
      </c>
      <c r="BG314" s="26">
        <f t="shared" ref="BG314" si="1469">+AVERAGE(BF312:BG312)*$C312/4</f>
        <v>6.8598437499999996</v>
      </c>
      <c r="BH314" s="26">
        <f t="shared" ref="BH314" si="1470">+AVERAGE(BG312:BH312)*$C312/4</f>
        <v>6.8598437499999996</v>
      </c>
      <c r="BI314" s="26">
        <f t="shared" ref="BI314" si="1471">+AVERAGE(BH312:BI312)*$C312/4</f>
        <v>6.8598437499999996</v>
      </c>
      <c r="BJ314" s="26">
        <f t="shared" ref="BJ314" si="1472">+AVERAGE(BI312:BJ312)*$C312/4</f>
        <v>6.8598437499999996</v>
      </c>
      <c r="BN314" s="26"/>
      <c r="BO314" s="26"/>
      <c r="BP314" s="26"/>
      <c r="BQ314" s="26"/>
      <c r="BR314" s="26"/>
      <c r="BS314" s="26"/>
      <c r="BT314" s="26"/>
      <c r="BU314" s="26"/>
      <c r="BV314" s="26"/>
      <c r="BW314" s="26"/>
      <c r="BX314" s="26"/>
      <c r="BY314" s="26"/>
    </row>
    <row r="315" spans="1:77" ht="12" customHeight="1">
      <c r="A315" s="87"/>
    </row>
    <row r="316" spans="1:77" ht="12" customHeight="1">
      <c r="A316" s="87"/>
      <c r="B316" s="487" t="s">
        <v>567</v>
      </c>
      <c r="C316" s="488">
        <v>1.6500000000000001E-2</v>
      </c>
      <c r="D316" s="485"/>
      <c r="E316" s="485"/>
      <c r="F316" s="485"/>
      <c r="G316" s="485"/>
      <c r="H316" s="485"/>
      <c r="I316" s="485"/>
      <c r="J316" s="485"/>
      <c r="K316" s="485"/>
      <c r="L316" s="485"/>
      <c r="M316" s="485"/>
      <c r="N316" s="485"/>
      <c r="O316" s="481"/>
      <c r="P316" s="486"/>
      <c r="Q316" s="483"/>
      <c r="R316" s="483"/>
      <c r="S316" s="483"/>
      <c r="T316" s="483"/>
      <c r="U316" s="483"/>
      <c r="V316" s="483"/>
      <c r="W316" s="483"/>
      <c r="X316" s="483"/>
      <c r="Y316" s="483"/>
      <c r="Z316" s="483">
        <f t="shared" ref="Z316:AX316" si="1473">Y316+Z317</f>
        <v>150</v>
      </c>
      <c r="AA316" s="483">
        <f t="shared" si="1473"/>
        <v>150</v>
      </c>
      <c r="AB316" s="483">
        <f t="shared" si="1473"/>
        <v>150</v>
      </c>
      <c r="AC316" s="483">
        <f t="shared" si="1473"/>
        <v>300</v>
      </c>
      <c r="AD316" s="483">
        <f t="shared" si="1473"/>
        <v>300</v>
      </c>
      <c r="AE316" s="483">
        <f t="shared" si="1473"/>
        <v>550</v>
      </c>
      <c r="AF316" s="483">
        <f t="shared" si="1473"/>
        <v>550</v>
      </c>
      <c r="AG316" s="483">
        <f t="shared" si="1473"/>
        <v>550</v>
      </c>
      <c r="AH316" s="483">
        <f t="shared" si="1473"/>
        <v>550</v>
      </c>
      <c r="AI316" s="483">
        <f t="shared" si="1473"/>
        <v>550</v>
      </c>
      <c r="AJ316" s="483">
        <f t="shared" si="1473"/>
        <v>874.8</v>
      </c>
      <c r="AK316" s="483">
        <f t="shared" si="1473"/>
        <v>1200.8</v>
      </c>
      <c r="AL316" s="483">
        <f t="shared" si="1473"/>
        <v>872.1</v>
      </c>
      <c r="AM316" s="483">
        <f t="shared" si="1473"/>
        <v>872.1</v>
      </c>
      <c r="AN316" s="483">
        <f t="shared" si="1473"/>
        <v>872.1</v>
      </c>
      <c r="AO316" s="483">
        <f t="shared" si="1473"/>
        <v>872.1</v>
      </c>
      <c r="AP316" s="483">
        <f t="shared" si="1473"/>
        <v>872.1</v>
      </c>
      <c r="AQ316" s="483">
        <f t="shared" si="1473"/>
        <v>872.1</v>
      </c>
      <c r="AR316" s="483">
        <f t="shared" si="1473"/>
        <v>872.1</v>
      </c>
      <c r="AS316" s="483">
        <f t="shared" si="1473"/>
        <v>872.1</v>
      </c>
      <c r="AT316" s="483">
        <f t="shared" si="1473"/>
        <v>872.1</v>
      </c>
      <c r="AU316" s="483">
        <f t="shared" si="1473"/>
        <v>872.1</v>
      </c>
      <c r="AV316" s="483">
        <f t="shared" si="1473"/>
        <v>872.1</v>
      </c>
      <c r="AW316" s="483">
        <f t="shared" si="1473"/>
        <v>872.1</v>
      </c>
      <c r="AX316" s="483">
        <f t="shared" si="1473"/>
        <v>872.1</v>
      </c>
      <c r="AY316" s="483">
        <f t="shared" ref="AY316" si="1474">AX316+AY317</f>
        <v>872.1</v>
      </c>
      <c r="AZ316" s="483">
        <f t="shared" ref="AZ316" si="1475">AY316+AZ317</f>
        <v>872.1</v>
      </c>
      <c r="BA316" s="483">
        <f t="shared" ref="BA316" si="1476">AZ316+BA317</f>
        <v>872.1</v>
      </c>
      <c r="BB316" s="483">
        <f t="shared" ref="BB316" si="1477">BA316+BB317</f>
        <v>872.1</v>
      </c>
      <c r="BC316" s="483">
        <f t="shared" ref="BC316" si="1478">BB316+BC317</f>
        <v>872.1</v>
      </c>
      <c r="BD316" s="483">
        <f t="shared" ref="BD316" si="1479">BC316+BD317</f>
        <v>872.1</v>
      </c>
      <c r="BE316" s="483">
        <f t="shared" ref="BE316" si="1480">BD316+BE317</f>
        <v>872.1</v>
      </c>
      <c r="BF316" s="483">
        <f t="shared" ref="BF316" si="1481">BE316+BF317</f>
        <v>872.1</v>
      </c>
      <c r="BG316" s="483">
        <f t="shared" ref="BG316" si="1482">BF316+BG317</f>
        <v>872.1</v>
      </c>
      <c r="BH316" s="483">
        <f t="shared" ref="BH316" si="1483">BG316+BH317</f>
        <v>872.1</v>
      </c>
      <c r="BI316" s="483">
        <f t="shared" ref="BI316" si="1484">BH316+BI317</f>
        <v>872.1</v>
      </c>
      <c r="BJ316" s="483">
        <f t="shared" ref="BJ316" si="1485">BI316+BJ317</f>
        <v>872.1</v>
      </c>
      <c r="BN316" s="29"/>
      <c r="BO316" s="29"/>
      <c r="BP316" s="29"/>
      <c r="BQ316" s="29"/>
      <c r="BR316" s="29"/>
      <c r="BS316" s="29"/>
      <c r="BT316" s="29"/>
      <c r="BU316" s="29"/>
      <c r="BV316" s="29"/>
      <c r="BW316" s="29"/>
      <c r="BX316" s="29"/>
      <c r="BY316" s="29"/>
    </row>
    <row r="317" spans="1:77" ht="12" customHeight="1">
      <c r="A317" s="87"/>
      <c r="B317" s="491" t="s">
        <v>48</v>
      </c>
      <c r="C317" s="204"/>
      <c r="D317" s="204"/>
      <c r="E317" s="204"/>
      <c r="F317" s="204"/>
      <c r="G317" s="204"/>
      <c r="H317" s="204"/>
      <c r="I317" s="204"/>
      <c r="J317" s="204"/>
      <c r="K317" s="204"/>
      <c r="L317" s="204"/>
      <c r="M317" s="204"/>
      <c r="N317" s="204"/>
      <c r="Q317" s="23"/>
      <c r="R317" s="23"/>
      <c r="S317" s="23"/>
      <c r="T317" s="23"/>
      <c r="U317" s="23"/>
      <c r="V317" s="23"/>
      <c r="W317" s="23"/>
      <c r="X317" s="23"/>
      <c r="Y317" s="23"/>
      <c r="Z317" s="480">
        <v>150</v>
      </c>
      <c r="AA317" s="29"/>
      <c r="AB317" s="29"/>
      <c r="AC317" s="452">
        <v>150</v>
      </c>
      <c r="AD317" s="452"/>
      <c r="AE317" s="452">
        <v>250</v>
      </c>
      <c r="AF317" s="452"/>
      <c r="AG317" s="452"/>
      <c r="AH317" s="452"/>
      <c r="AI317" s="452"/>
      <c r="AJ317" s="452">
        <f>350-25.2</f>
        <v>324.8</v>
      </c>
      <c r="AK317" s="452">
        <f>350-24</f>
        <v>326</v>
      </c>
      <c r="AL317" s="452">
        <f>250+650-27.9-AK316</f>
        <v>-328.69999999999993</v>
      </c>
      <c r="AM317" s="29"/>
      <c r="AN317" s="29"/>
      <c r="AO317" s="29"/>
      <c r="AP317" s="29"/>
      <c r="AQ317" s="29"/>
      <c r="AR317" s="29"/>
      <c r="AS317" s="29"/>
      <c r="AT317" s="29"/>
      <c r="AU317" s="29"/>
      <c r="AV317" s="29"/>
      <c r="AW317" s="29"/>
      <c r="AX317" s="29"/>
      <c r="AY317" s="29"/>
      <c r="AZ317" s="29"/>
      <c r="BA317" s="29"/>
      <c r="BB317" s="29"/>
      <c r="BC317" s="29"/>
      <c r="BD317" s="29"/>
      <c r="BE317" s="29"/>
      <c r="BF317" s="29"/>
      <c r="BG317" s="29"/>
      <c r="BH317" s="29"/>
      <c r="BI317" s="29"/>
      <c r="BJ317" s="29"/>
      <c r="BN317" s="23"/>
      <c r="BO317" s="23"/>
      <c r="BP317" s="23"/>
      <c r="BQ317" s="23"/>
      <c r="BR317" s="23"/>
      <c r="BS317" s="23"/>
      <c r="BT317" s="23"/>
      <c r="BU317" s="23"/>
      <c r="BV317" s="23"/>
      <c r="BW317" s="23"/>
      <c r="BX317" s="23"/>
      <c r="BY317" s="23"/>
    </row>
    <row r="318" spans="1:77" ht="12" customHeight="1">
      <c r="A318" s="87"/>
      <c r="B318" s="491" t="s">
        <v>6</v>
      </c>
      <c r="C318" s="205"/>
      <c r="D318" s="205"/>
      <c r="E318" s="205"/>
      <c r="F318" s="205"/>
      <c r="G318" s="205"/>
      <c r="H318" s="205"/>
      <c r="I318" s="205"/>
      <c r="J318" s="205"/>
      <c r="K318" s="205"/>
      <c r="L318" s="205"/>
      <c r="M318" s="205"/>
      <c r="N318" s="205"/>
      <c r="Q318" s="26"/>
      <c r="R318" s="26"/>
      <c r="S318" s="26"/>
      <c r="T318" s="26"/>
      <c r="U318" s="26"/>
      <c r="V318" s="26"/>
      <c r="W318" s="26"/>
      <c r="X318" s="26"/>
      <c r="Y318" s="26"/>
      <c r="Z318" s="26">
        <f t="shared" ref="Z318:AX318" si="1486">+AVERAGE(Y316:Z316)*($C316+Z$295)/4</f>
        <v>0.73124999999999996</v>
      </c>
      <c r="AA318" s="26">
        <f t="shared" si="1486"/>
        <v>0.73124999999999996</v>
      </c>
      <c r="AB318" s="26">
        <f t="shared" si="1486"/>
        <v>0.73124999999999996</v>
      </c>
      <c r="AC318" s="26">
        <f t="shared" si="1486"/>
        <v>1.096875</v>
      </c>
      <c r="AD318" s="26">
        <f t="shared" si="1486"/>
        <v>1.4624999999999999</v>
      </c>
      <c r="AE318" s="26">
        <f t="shared" si="1486"/>
        <v>2.0718749999999999</v>
      </c>
      <c r="AF318" s="26">
        <f t="shared" si="1486"/>
        <v>2.6812499999999999</v>
      </c>
      <c r="AG318" s="26">
        <f t="shared" si="1486"/>
        <v>2.6812499999999999</v>
      </c>
      <c r="AH318" s="26">
        <f t="shared" si="1486"/>
        <v>2.6812499999999999</v>
      </c>
      <c r="AI318" s="26">
        <f t="shared" si="1486"/>
        <v>2.6812499999999999</v>
      </c>
      <c r="AJ318" s="26">
        <f t="shared" si="1486"/>
        <v>3.47295</v>
      </c>
      <c r="AK318" s="26">
        <f t="shared" si="1486"/>
        <v>5.0592749999999995</v>
      </c>
      <c r="AL318" s="26">
        <f t="shared" si="1486"/>
        <v>5.0526937500000004</v>
      </c>
      <c r="AM318" s="26">
        <f t="shared" si="1486"/>
        <v>7.3075439250000009</v>
      </c>
      <c r="AN318" s="26">
        <f t="shared" si="1486"/>
        <v>8.1079791075000021</v>
      </c>
      <c r="AO318" s="26">
        <f t="shared" si="1486"/>
        <v>8.1902399400000014</v>
      </c>
      <c r="AP318" s="26">
        <f t="shared" si="1486"/>
        <v>8.5205696175000014</v>
      </c>
      <c r="AQ318" s="26">
        <f t="shared" si="1486"/>
        <v>8.8291840050000001</v>
      </c>
      <c r="AR318" s="26">
        <f t="shared" si="1486"/>
        <v>9.013981995</v>
      </c>
      <c r="AS318" s="26">
        <f t="shared" si="1486"/>
        <v>9.0835973774999985</v>
      </c>
      <c r="AT318" s="26">
        <f t="shared" si="1486"/>
        <v>9.1918031849999995</v>
      </c>
      <c r="AU318" s="26">
        <f t="shared" si="1486"/>
        <v>9.2036855474999992</v>
      </c>
      <c r="AV318" s="26">
        <f t="shared" si="1486"/>
        <v>9.3167315100000003</v>
      </c>
      <c r="AW318" s="26">
        <f t="shared" si="1486"/>
        <v>9.4283821125000014</v>
      </c>
      <c r="AX318" s="26">
        <f t="shared" si="1486"/>
        <v>9.5366969325000017</v>
      </c>
      <c r="AY318" s="26">
        <f t="shared" ref="AY318" si="1487">+AVERAGE(AX316:AY316)*($C316+AY$295)/4</f>
        <v>9.4238035875000001</v>
      </c>
      <c r="AZ318" s="26">
        <f t="shared" ref="AZ318" si="1488">+AVERAGE(AY316:AZ316)*($C316+AZ$295)/4</f>
        <v>9.4890584699999998</v>
      </c>
      <c r="BA318" s="26">
        <f t="shared" ref="BA318" si="1489">+AVERAGE(AZ316:BA316)*($C316+BA$295)/4</f>
        <v>9.5533540425000005</v>
      </c>
      <c r="BB318" s="26">
        <f t="shared" ref="BB318" si="1490">+AVERAGE(BA316:BB316)*($C316+BB$295)/4</f>
        <v>9.6158618100000002</v>
      </c>
      <c r="BC318" s="26">
        <f t="shared" ref="BC318" si="1491">+AVERAGE(BB316:BC316)*($C316+BC$295)/4</f>
        <v>9.5364135000000001</v>
      </c>
      <c r="BD318" s="26">
        <f t="shared" ref="BD318" si="1492">+AVERAGE(BC316:BD316)*($C316+BD$295)/4</f>
        <v>9.5778818550000011</v>
      </c>
      <c r="BE318" s="26">
        <f t="shared" ref="BE318" si="1493">+AVERAGE(BD316:BE316)*($C316+BE$295)/4</f>
        <v>9.618587122500001</v>
      </c>
      <c r="BF318" s="26">
        <f t="shared" ref="BF318" si="1494">+AVERAGE(BE316:BF316)*($C316+BF$295)/4</f>
        <v>9.659030760000002</v>
      </c>
      <c r="BG318" s="26">
        <f t="shared" ref="BG318" si="1495">+AVERAGE(BF316:BG316)*($C316+BG$295)/4</f>
        <v>9.6585293024999999</v>
      </c>
      <c r="BH318" s="26">
        <f t="shared" ref="BH318" si="1496">+AVERAGE(BG316:BH316)*($C316+BH$295)/4</f>
        <v>9.6902301375000004</v>
      </c>
      <c r="BI318" s="26">
        <f t="shared" ref="BI318" si="1497">+AVERAGE(BH316:BI316)*($C316+BI$295)/4</f>
        <v>9.7242202350000007</v>
      </c>
      <c r="BJ318" s="26">
        <f t="shared" ref="BJ318" si="1498">+AVERAGE(BI316:BJ316)*($C316+BJ$295)/4</f>
        <v>9.7551579825000001</v>
      </c>
      <c r="BN318" s="26"/>
      <c r="BO318" s="26"/>
      <c r="BP318" s="26"/>
      <c r="BQ318" s="26"/>
      <c r="BR318" s="26"/>
      <c r="BS318" s="26"/>
      <c r="BT318" s="26"/>
      <c r="BU318" s="26"/>
      <c r="BV318" s="26"/>
      <c r="BW318" s="26"/>
      <c r="BX318" s="26"/>
      <c r="BY318" s="26"/>
    </row>
    <row r="319" spans="1:77" ht="12" customHeight="1">
      <c r="A319" s="87"/>
    </row>
    <row r="320" spans="1:77" ht="12" customHeight="1">
      <c r="A320" s="87"/>
      <c r="B320" s="481" t="s">
        <v>53</v>
      </c>
      <c r="C320" s="493">
        <f>+C324</f>
        <v>1.7000000000000001E-2</v>
      </c>
      <c r="D320" s="481"/>
      <c r="E320" s="481"/>
      <c r="F320" s="481"/>
      <c r="G320" s="481"/>
      <c r="H320" s="481"/>
      <c r="I320" s="481"/>
      <c r="J320" s="481"/>
      <c r="K320" s="481"/>
      <c r="L320" s="481"/>
      <c r="M320" s="481"/>
      <c r="N320" s="481"/>
      <c r="O320" s="481"/>
      <c r="P320" s="482"/>
      <c r="Q320" s="483"/>
      <c r="R320" s="483"/>
      <c r="S320" s="483"/>
      <c r="T320" s="483"/>
      <c r="U320" s="483"/>
      <c r="V320" s="483"/>
      <c r="W320" s="483"/>
      <c r="X320" s="483"/>
      <c r="Y320" s="483"/>
      <c r="Z320" s="483"/>
      <c r="AA320" s="483"/>
      <c r="AB320" s="483"/>
      <c r="AC320" s="483"/>
      <c r="AD320" s="483"/>
      <c r="AE320" s="483"/>
      <c r="AF320" s="483"/>
      <c r="AG320" s="483"/>
      <c r="AH320" s="483"/>
      <c r="AI320" s="483"/>
      <c r="AJ320" s="483">
        <f t="shared" ref="AJ320:AX320" si="1499">AI320+AJ321</f>
        <v>0</v>
      </c>
      <c r="AK320" s="483">
        <f t="shared" si="1499"/>
        <v>0</v>
      </c>
      <c r="AL320" s="483">
        <f t="shared" si="1499"/>
        <v>0</v>
      </c>
      <c r="AM320" s="483">
        <f t="shared" ca="1" si="1499"/>
        <v>1.0835618570565657</v>
      </c>
      <c r="AN320" s="483">
        <f t="shared" ca="1" si="1499"/>
        <v>643.89108265562277</v>
      </c>
      <c r="AO320" s="483">
        <f t="shared" ca="1" si="1499"/>
        <v>643.89108265562277</v>
      </c>
      <c r="AP320" s="483">
        <f t="shared" ca="1" si="1499"/>
        <v>643.89108265562277</v>
      </c>
      <c r="AQ320" s="483">
        <f t="shared" ca="1" si="1499"/>
        <v>643.89108265562277</v>
      </c>
      <c r="AR320" s="483">
        <f t="shared" ca="1" si="1499"/>
        <v>786.06026035852074</v>
      </c>
      <c r="AS320" s="483">
        <f t="shared" ca="1" si="1499"/>
        <v>786.06026035852074</v>
      </c>
      <c r="AT320" s="483">
        <f t="shared" ca="1" si="1499"/>
        <v>786.06026035852074</v>
      </c>
      <c r="AU320" s="483">
        <f t="shared" ca="1" si="1499"/>
        <v>786.06026035852074</v>
      </c>
      <c r="AV320" s="483">
        <f t="shared" ca="1" si="1499"/>
        <v>998.84585203094821</v>
      </c>
      <c r="AW320" s="483">
        <f t="shared" ca="1" si="1499"/>
        <v>998.84585203094821</v>
      </c>
      <c r="AX320" s="483">
        <f t="shared" ca="1" si="1499"/>
        <v>1056.6762873560008</v>
      </c>
      <c r="AY320" s="483">
        <f t="shared" ref="AY320" ca="1" si="1500">AX320+AY321</f>
        <v>1269.5049428048915</v>
      </c>
      <c r="AZ320" s="483">
        <f t="shared" ref="AZ320" ca="1" si="1501">AY320+AZ321</f>
        <v>1481.4223147304931</v>
      </c>
      <c r="BA320" s="483">
        <f t="shared" ref="BA320" ca="1" si="1502">AZ320+BA321</f>
        <v>1481.4223147304931</v>
      </c>
      <c r="BB320" s="483">
        <f t="shared" ref="BB320" ca="1" si="1503">BA320+BB321</f>
        <v>1481.4223147304931</v>
      </c>
      <c r="BC320" s="483">
        <f t="shared" ref="BC320" ca="1" si="1504">BB320+BC321</f>
        <v>1547.9455896045968</v>
      </c>
      <c r="BD320" s="483">
        <f t="shared" ref="BD320" ca="1" si="1505">BC320+BD321</f>
        <v>1724.3992294518587</v>
      </c>
      <c r="BE320" s="483">
        <f t="shared" ref="BE320" ca="1" si="1506">BD320+BE321</f>
        <v>1891.8705226297452</v>
      </c>
      <c r="BF320" s="483">
        <f t="shared" ref="BF320" ca="1" si="1507">BE320+BF321</f>
        <v>1891.8705226297452</v>
      </c>
      <c r="BG320" s="483">
        <f t="shared" ref="BG320" ca="1" si="1508">BF320+BG321</f>
        <v>1932.6809410463356</v>
      </c>
      <c r="BH320" s="483">
        <f t="shared" ref="BH320" ca="1" si="1509">BG320+BH321</f>
        <v>2074.2446750052391</v>
      </c>
      <c r="BI320" s="483">
        <f t="shared" ref="BI320" ca="1" si="1510">BH320+BI321</f>
        <v>2206.4574148832007</v>
      </c>
      <c r="BJ320" s="483">
        <f t="shared" ref="BJ320" ca="1" si="1511">BI320+BJ321</f>
        <v>2319.7655091795687</v>
      </c>
      <c r="BN320" s="29"/>
      <c r="BO320" s="29"/>
      <c r="BP320" s="29"/>
      <c r="BQ320" s="29"/>
      <c r="BR320" s="29"/>
      <c r="BS320" s="29"/>
      <c r="BT320" s="29"/>
      <c r="BU320" s="29"/>
      <c r="BV320" s="29"/>
      <c r="BW320" s="29"/>
      <c r="BX320" s="29"/>
      <c r="BY320" s="29"/>
    </row>
    <row r="321" spans="1:77" ht="12" customHeight="1">
      <c r="A321" s="87"/>
      <c r="B321" s="491" t="s">
        <v>48</v>
      </c>
      <c r="C321" s="204"/>
      <c r="D321" s="204"/>
      <c r="E321" s="204"/>
      <c r="F321" s="204"/>
      <c r="G321" s="204"/>
      <c r="H321" s="204"/>
      <c r="I321" s="204"/>
      <c r="J321" s="204"/>
      <c r="K321" s="204"/>
      <c r="L321" s="204"/>
      <c r="M321" s="204"/>
      <c r="N321" s="204"/>
      <c r="Q321" s="29"/>
      <c r="R321" s="29"/>
      <c r="S321" s="29"/>
      <c r="T321" s="29"/>
      <c r="U321" s="29"/>
      <c r="V321" s="29"/>
      <c r="W321" s="29"/>
      <c r="X321" s="29"/>
      <c r="Y321" s="29"/>
      <c r="Z321" s="29"/>
      <c r="AA321" s="29"/>
      <c r="AB321" s="29"/>
      <c r="AC321" s="29"/>
      <c r="AD321" s="29"/>
      <c r="AE321" s="29"/>
      <c r="AF321" s="29"/>
      <c r="AG321" s="29"/>
      <c r="AH321" s="29"/>
      <c r="AI321" s="29"/>
      <c r="AJ321" s="29">
        <f>AJ272</f>
        <v>0</v>
      </c>
      <c r="AK321" s="29">
        <f>AK272</f>
        <v>0</v>
      </c>
      <c r="AL321" s="29">
        <f>AL272</f>
        <v>0</v>
      </c>
      <c r="AM321" s="29">
        <f t="shared" ref="AM321:AX321" ca="1" si="1512">AM272</f>
        <v>1.0835618570565657</v>
      </c>
      <c r="AN321" s="29">
        <f t="shared" ca="1" si="1512"/>
        <v>642.8075207985662</v>
      </c>
      <c r="AO321" s="29">
        <f t="shared" ca="1" si="1512"/>
        <v>0</v>
      </c>
      <c r="AP321" s="29">
        <f t="shared" ca="1" si="1512"/>
        <v>0</v>
      </c>
      <c r="AQ321" s="29">
        <f t="shared" ca="1" si="1512"/>
        <v>0</v>
      </c>
      <c r="AR321" s="29">
        <f t="shared" ca="1" si="1512"/>
        <v>142.169177702898</v>
      </c>
      <c r="AS321" s="29">
        <f t="shared" ca="1" si="1512"/>
        <v>0</v>
      </c>
      <c r="AT321" s="29">
        <f t="shared" ca="1" si="1512"/>
        <v>0</v>
      </c>
      <c r="AU321" s="29">
        <f t="shared" ca="1" si="1512"/>
        <v>0</v>
      </c>
      <c r="AV321" s="29">
        <f t="shared" ca="1" si="1512"/>
        <v>212.7855916724275</v>
      </c>
      <c r="AW321" s="29">
        <f t="shared" ca="1" si="1512"/>
        <v>0</v>
      </c>
      <c r="AX321" s="29">
        <f t="shared" ca="1" si="1512"/>
        <v>57.830435325052548</v>
      </c>
      <c r="AY321" s="29">
        <f t="shared" ref="AY321:BJ321" ca="1" si="1513">AY272</f>
        <v>212.82865544889063</v>
      </c>
      <c r="AZ321" s="29">
        <f t="shared" ca="1" si="1513"/>
        <v>211.91737192560171</v>
      </c>
      <c r="BA321" s="29">
        <f t="shared" ca="1" si="1513"/>
        <v>0</v>
      </c>
      <c r="BB321" s="29">
        <f t="shared" ca="1" si="1513"/>
        <v>0</v>
      </c>
      <c r="BC321" s="29">
        <f t="shared" ca="1" si="1513"/>
        <v>66.52327487410372</v>
      </c>
      <c r="BD321" s="29">
        <f t="shared" ca="1" si="1513"/>
        <v>176.45363984726183</v>
      </c>
      <c r="BE321" s="29">
        <f t="shared" ca="1" si="1513"/>
        <v>167.47129317788648</v>
      </c>
      <c r="BF321" s="29">
        <f t="shared" ca="1" si="1513"/>
        <v>0</v>
      </c>
      <c r="BG321" s="29">
        <f t="shared" ca="1" si="1513"/>
        <v>40.810418416590338</v>
      </c>
      <c r="BH321" s="29">
        <f t="shared" ca="1" si="1513"/>
        <v>141.56373395890341</v>
      </c>
      <c r="BI321" s="29">
        <f t="shared" ca="1" si="1513"/>
        <v>132.21273987796155</v>
      </c>
      <c r="BJ321" s="29">
        <f t="shared" ca="1" si="1513"/>
        <v>113.30809429636814</v>
      </c>
      <c r="BN321" s="29"/>
      <c r="BO321" s="29"/>
      <c r="BP321" s="29"/>
      <c r="BQ321" s="29"/>
      <c r="BR321" s="29"/>
      <c r="BS321" s="29"/>
      <c r="BT321" s="29"/>
      <c r="BU321" s="29"/>
      <c r="BV321" s="29"/>
      <c r="BW321" s="29"/>
      <c r="BX321" s="29"/>
      <c r="BY321" s="29"/>
    </row>
    <row r="322" spans="1:77" ht="12" customHeight="1">
      <c r="A322" s="87"/>
      <c r="B322" s="491" t="s">
        <v>6</v>
      </c>
      <c r="C322" s="205"/>
      <c r="D322" s="205"/>
      <c r="E322" s="205"/>
      <c r="F322" s="205"/>
      <c r="G322" s="205"/>
      <c r="H322" s="205"/>
      <c r="I322" s="205"/>
      <c r="J322" s="205"/>
      <c r="K322" s="205"/>
      <c r="L322" s="205"/>
      <c r="M322" s="205"/>
      <c r="N322" s="205"/>
      <c r="Q322" s="26"/>
      <c r="R322" s="26"/>
      <c r="S322" s="26"/>
      <c r="T322" s="26"/>
      <c r="U322" s="26"/>
      <c r="V322" s="26"/>
      <c r="W322" s="26"/>
      <c r="X322" s="26"/>
      <c r="Y322" s="26"/>
      <c r="Z322" s="26"/>
      <c r="AA322" s="26"/>
      <c r="AB322" s="26"/>
      <c r="AC322" s="26"/>
      <c r="AD322" s="26"/>
      <c r="AE322" s="26"/>
      <c r="AF322" s="26"/>
      <c r="AG322" s="26"/>
      <c r="AH322" s="26"/>
      <c r="AI322" s="26"/>
      <c r="AJ322" s="26">
        <f t="shared" ref="AJ322:AX322" si="1514">+AVERAGE(AI320:AJ320)*($C320+AJ$295)/4</f>
        <v>0</v>
      </c>
      <c r="AK322" s="26">
        <f t="shared" si="1514"/>
        <v>0</v>
      </c>
      <c r="AL322" s="26">
        <f t="shared" si="1514"/>
        <v>0</v>
      </c>
      <c r="AM322" s="26">
        <f t="shared" ca="1" si="1514"/>
        <v>4.6074404614366501E-3</v>
      </c>
      <c r="AN322" s="26">
        <f t="shared" ca="1" si="1514"/>
        <v>3.0384997368484021</v>
      </c>
      <c r="AO322" s="26">
        <f t="shared" ca="1" si="1514"/>
        <v>6.1275250989839689</v>
      </c>
      <c r="AP322" s="26">
        <f t="shared" ca="1" si="1514"/>
        <v>6.3714149438168528</v>
      </c>
      <c r="AQ322" s="26">
        <f t="shared" ca="1" si="1514"/>
        <v>6.599271900691611</v>
      </c>
      <c r="AR322" s="26">
        <f t="shared" ca="1" si="1514"/>
        <v>7.4793247508519025</v>
      </c>
      <c r="AS322" s="26">
        <f t="shared" ca="1" si="1514"/>
        <v>8.2856843408805858</v>
      </c>
      <c r="AT322" s="26">
        <f t="shared" ca="1" si="1514"/>
        <v>8.3832147676845707</v>
      </c>
      <c r="AU322" s="26">
        <f t="shared" ca="1" si="1514"/>
        <v>8.3939248387319552</v>
      </c>
      <c r="AV322" s="26">
        <f t="shared" ca="1" si="1514"/>
        <v>9.6457218766583104</v>
      </c>
      <c r="AW322" s="26">
        <f t="shared" ca="1" si="1514"/>
        <v>10.923503093541955</v>
      </c>
      <c r="AX322" s="26">
        <f t="shared" ca="1" si="1514"/>
        <v>11.367371453157478</v>
      </c>
      <c r="AY322" s="26">
        <f t="shared" ref="AY322" ca="1" si="1515">+AVERAGE(AX320:AY320)*($C320+AY$295)/4</f>
        <v>12.713598127117473</v>
      </c>
      <c r="AZ322" s="26">
        <f t="shared" ref="AZ322" ca="1" si="1516">+AVERAGE(AY320:AZ320)*($C320+AZ$295)/4</f>
        <v>15.13794005912859</v>
      </c>
      <c r="BA322" s="26">
        <f t="shared" ref="BA322" ca="1" si="1517">+AVERAGE(AZ320:BA320)*($C320+BA$295)/4</f>
        <v>16.413307429382893</v>
      </c>
      <c r="BB322" s="26">
        <f t="shared" ref="BB322" ca="1" si="1518">+AVERAGE(BA320:BB320)*($C320+BB$295)/4</f>
        <v>16.519488373791201</v>
      </c>
      <c r="BC322" s="26">
        <f t="shared" ref="BC322" ca="1" si="1519">+AVERAGE(BB320:BC320)*($C320+BC$295)/4</f>
        <v>16.752404510973047</v>
      </c>
      <c r="BD322" s="26">
        <f t="shared" ref="BD322" ca="1" si="1520">+AVERAGE(BC320:BD320)*($C320+BD$295)/4</f>
        <v>18.173866847455265</v>
      </c>
      <c r="BE322" s="26">
        <f t="shared" ref="BE322" ca="1" si="1521">+AVERAGE(BD320:BE320)*($C320+BE$295)/4</f>
        <v>20.168343237706214</v>
      </c>
      <c r="BF322" s="26">
        <f t="shared" ref="BF322" ca="1" si="1522">+AVERAGE(BE320:BF320)*($C320+BF$295)/4</f>
        <v>21.190084975766727</v>
      </c>
      <c r="BG322" s="26">
        <f t="shared" ref="BG322" ca="1" si="1523">+AVERAGE(BF320:BG320)*($C320+BG$295)/4</f>
        <v>21.417536003479345</v>
      </c>
      <c r="BH322" s="26">
        <f t="shared" ref="BH322" ca="1" si="1524">+AVERAGE(BG320:BH320)*($C320+BH$295)/4</f>
        <v>22.511659409530758</v>
      </c>
      <c r="BI322" s="26">
        <f t="shared" ref="BI322" ca="1" si="1525">+AVERAGE(BH320:BI320)*($C320+BI$295)/4</f>
        <v>24.133207154611814</v>
      </c>
      <c r="BJ322" s="26">
        <f t="shared" ref="BJ322" ca="1" si="1526">+AVERAGE(BI320:BJ320)*($C320+BJ$295)/4</f>
        <v>25.597657702531137</v>
      </c>
      <c r="BN322" s="26"/>
      <c r="BO322" s="26"/>
      <c r="BP322" s="26"/>
      <c r="BQ322" s="26"/>
      <c r="BR322" s="26"/>
      <c r="BS322" s="26"/>
      <c r="BT322" s="26"/>
      <c r="BU322" s="26"/>
      <c r="BV322" s="26"/>
      <c r="BW322" s="26"/>
      <c r="BX322" s="26"/>
      <c r="BY322" s="26"/>
    </row>
    <row r="323" spans="1:77" ht="12" customHeight="1">
      <c r="A323" s="87"/>
    </row>
    <row r="324" spans="1:77" ht="12" customHeight="1">
      <c r="A324" s="87"/>
      <c r="B324" s="487" t="s">
        <v>569</v>
      </c>
      <c r="C324" s="488">
        <v>1.7000000000000001E-2</v>
      </c>
      <c r="D324" s="485"/>
      <c r="E324" s="485"/>
      <c r="F324" s="485"/>
      <c r="G324" s="485"/>
      <c r="H324" s="485"/>
      <c r="I324" s="485"/>
      <c r="J324" s="485"/>
      <c r="K324" s="485"/>
      <c r="L324" s="485"/>
      <c r="M324" s="485"/>
      <c r="N324" s="485"/>
      <c r="O324" s="481"/>
      <c r="P324" s="486">
        <v>0</v>
      </c>
      <c r="Q324" s="483">
        <f t="shared" ref="Q324:AX324" si="1527">P324+Q325</f>
        <v>0</v>
      </c>
      <c r="R324" s="483">
        <f t="shared" si="1527"/>
        <v>0</v>
      </c>
      <c r="S324" s="483">
        <f t="shared" si="1527"/>
        <v>0</v>
      </c>
      <c r="T324" s="483">
        <f t="shared" si="1527"/>
        <v>0</v>
      </c>
      <c r="U324" s="483">
        <f t="shared" si="1527"/>
        <v>0</v>
      </c>
      <c r="V324" s="483">
        <f t="shared" si="1527"/>
        <v>0</v>
      </c>
      <c r="W324" s="483">
        <f t="shared" si="1527"/>
        <v>0</v>
      </c>
      <c r="X324" s="483">
        <f t="shared" si="1527"/>
        <v>0</v>
      </c>
      <c r="Y324" s="483">
        <f t="shared" si="1527"/>
        <v>0</v>
      </c>
      <c r="Z324" s="483">
        <f t="shared" si="1527"/>
        <v>0</v>
      </c>
      <c r="AA324" s="483">
        <f t="shared" si="1527"/>
        <v>155</v>
      </c>
      <c r="AB324" s="483">
        <f t="shared" si="1527"/>
        <v>205</v>
      </c>
      <c r="AC324" s="483">
        <f t="shared" si="1527"/>
        <v>205</v>
      </c>
      <c r="AD324" s="483">
        <f t="shared" si="1527"/>
        <v>235</v>
      </c>
      <c r="AE324" s="483">
        <f t="shared" si="1527"/>
        <v>0</v>
      </c>
      <c r="AF324" s="483">
        <f t="shared" si="1527"/>
        <v>85</v>
      </c>
      <c r="AG324" s="483">
        <f t="shared" si="1527"/>
        <v>55</v>
      </c>
      <c r="AH324" s="483">
        <f t="shared" si="1527"/>
        <v>235</v>
      </c>
      <c r="AI324" s="483">
        <f t="shared" si="1527"/>
        <v>405</v>
      </c>
      <c r="AJ324" s="483">
        <f t="shared" si="1527"/>
        <v>157.69999999999999</v>
      </c>
      <c r="AK324" s="483">
        <f t="shared" si="1527"/>
        <v>337.7</v>
      </c>
      <c r="AL324" s="483">
        <f t="shared" si="1527"/>
        <v>0</v>
      </c>
      <c r="AM324" s="483">
        <f t="shared" si="1527"/>
        <v>0</v>
      </c>
      <c r="AN324" s="483">
        <f t="shared" si="1527"/>
        <v>0</v>
      </c>
      <c r="AO324" s="483">
        <f t="shared" si="1527"/>
        <v>0</v>
      </c>
      <c r="AP324" s="483">
        <f t="shared" si="1527"/>
        <v>0</v>
      </c>
      <c r="AQ324" s="483">
        <f t="shared" si="1527"/>
        <v>0</v>
      </c>
      <c r="AR324" s="483">
        <f t="shared" si="1527"/>
        <v>0</v>
      </c>
      <c r="AS324" s="483">
        <f t="shared" si="1527"/>
        <v>0</v>
      </c>
      <c r="AT324" s="483">
        <f t="shared" si="1527"/>
        <v>0</v>
      </c>
      <c r="AU324" s="483">
        <f t="shared" si="1527"/>
        <v>0</v>
      </c>
      <c r="AV324" s="483">
        <f t="shared" si="1527"/>
        <v>0</v>
      </c>
      <c r="AW324" s="483">
        <f t="shared" si="1527"/>
        <v>0</v>
      </c>
      <c r="AX324" s="483">
        <f t="shared" si="1527"/>
        <v>0</v>
      </c>
      <c r="AY324" s="483">
        <f t="shared" ref="AY324" si="1528">AX324+AY325</f>
        <v>0</v>
      </c>
      <c r="AZ324" s="483">
        <f t="shared" ref="AZ324" si="1529">AY324+AZ325</f>
        <v>0</v>
      </c>
      <c r="BA324" s="483">
        <f t="shared" ref="BA324" si="1530">AZ324+BA325</f>
        <v>0</v>
      </c>
      <c r="BB324" s="483">
        <f t="shared" ref="BB324" si="1531">BA324+BB325</f>
        <v>0</v>
      </c>
      <c r="BC324" s="483">
        <f t="shared" ref="BC324" si="1532">BB324+BC325</f>
        <v>0</v>
      </c>
      <c r="BD324" s="483">
        <f t="shared" ref="BD324" si="1533">BC324+BD325</f>
        <v>0</v>
      </c>
      <c r="BE324" s="483">
        <f t="shared" ref="BE324" si="1534">BD324+BE325</f>
        <v>0</v>
      </c>
      <c r="BF324" s="483">
        <f t="shared" ref="BF324" si="1535">BE324+BF325</f>
        <v>0</v>
      </c>
      <c r="BG324" s="483">
        <f t="shared" ref="BG324" si="1536">BF324+BG325</f>
        <v>0</v>
      </c>
      <c r="BH324" s="483">
        <f t="shared" ref="BH324" si="1537">BG324+BH325</f>
        <v>0</v>
      </c>
      <c r="BI324" s="483">
        <f t="shared" ref="BI324" si="1538">BH324+BI325</f>
        <v>0</v>
      </c>
      <c r="BJ324" s="483">
        <f t="shared" ref="BJ324" si="1539">BI324+BJ325</f>
        <v>0</v>
      </c>
      <c r="BN324" s="29"/>
      <c r="BO324" s="29"/>
      <c r="BP324" s="29"/>
      <c r="BQ324" s="29"/>
      <c r="BR324" s="29"/>
      <c r="BS324" s="29"/>
      <c r="BT324" s="29"/>
      <c r="BU324" s="29"/>
      <c r="BV324" s="29"/>
      <c r="BW324" s="29"/>
      <c r="BX324" s="29"/>
      <c r="BY324" s="29"/>
    </row>
    <row r="325" spans="1:77" ht="12" customHeight="1">
      <c r="A325" s="87"/>
      <c r="B325" s="491" t="s">
        <v>48</v>
      </c>
      <c r="C325" s="204"/>
      <c r="D325" s="204"/>
      <c r="E325" s="204"/>
      <c r="F325" s="204"/>
      <c r="G325" s="204"/>
      <c r="H325" s="204"/>
      <c r="I325" s="204"/>
      <c r="J325" s="204"/>
      <c r="K325" s="204"/>
      <c r="L325" s="204"/>
      <c r="M325" s="204"/>
      <c r="N325" s="204"/>
      <c r="Q325" s="23">
        <v>0</v>
      </c>
      <c r="R325" s="23">
        <v>0</v>
      </c>
      <c r="S325" s="23">
        <v>0</v>
      </c>
      <c r="T325" s="23">
        <v>0</v>
      </c>
      <c r="U325" s="23">
        <v>0</v>
      </c>
      <c r="V325" s="23">
        <v>0</v>
      </c>
      <c r="W325" s="23">
        <v>0</v>
      </c>
      <c r="X325" s="23">
        <v>0</v>
      </c>
      <c r="Y325" s="23">
        <v>0</v>
      </c>
      <c r="Z325" s="23">
        <v>0</v>
      </c>
      <c r="AA325" s="480">
        <v>155</v>
      </c>
      <c r="AB325" s="480">
        <f>205-AA324</f>
        <v>50</v>
      </c>
      <c r="AC325" s="480">
        <f>205-AB324</f>
        <v>0</v>
      </c>
      <c r="AD325" s="480">
        <v>30</v>
      </c>
      <c r="AE325" s="480">
        <v>-235</v>
      </c>
      <c r="AF325" s="480">
        <v>85</v>
      </c>
      <c r="AG325" s="480">
        <v>-30</v>
      </c>
      <c r="AH325" s="480">
        <v>180</v>
      </c>
      <c r="AI325" s="480">
        <f>405-AH324</f>
        <v>170</v>
      </c>
      <c r="AJ325" s="480">
        <f>157.7-AI324</f>
        <v>-247.3</v>
      </c>
      <c r="AK325" s="480">
        <f>337.7-AJ324</f>
        <v>180</v>
      </c>
      <c r="AL325" s="480">
        <f>0-AK324</f>
        <v>-337.7</v>
      </c>
      <c r="AM325" s="23">
        <v>0</v>
      </c>
      <c r="AN325" s="23">
        <v>0</v>
      </c>
      <c r="AO325" s="23">
        <v>0</v>
      </c>
      <c r="AP325" s="23">
        <v>0</v>
      </c>
      <c r="AQ325" s="23">
        <v>0</v>
      </c>
      <c r="AR325" s="23">
        <v>0</v>
      </c>
      <c r="AS325" s="23">
        <v>0</v>
      </c>
      <c r="AT325" s="23">
        <v>0</v>
      </c>
      <c r="AU325" s="23">
        <v>0</v>
      </c>
      <c r="AV325" s="23">
        <v>0</v>
      </c>
      <c r="AW325" s="23">
        <v>0</v>
      </c>
      <c r="AX325" s="23">
        <v>0</v>
      </c>
      <c r="AY325" s="23">
        <v>0</v>
      </c>
      <c r="AZ325" s="23">
        <v>0</v>
      </c>
      <c r="BA325" s="23">
        <v>0</v>
      </c>
      <c r="BB325" s="23">
        <v>0</v>
      </c>
      <c r="BC325" s="23">
        <v>0</v>
      </c>
      <c r="BD325" s="23">
        <v>0</v>
      </c>
      <c r="BE325" s="23">
        <v>0</v>
      </c>
      <c r="BF325" s="23">
        <v>0</v>
      </c>
      <c r="BG325" s="23">
        <v>0</v>
      </c>
      <c r="BH325" s="23">
        <v>0</v>
      </c>
      <c r="BI325" s="23">
        <v>0</v>
      </c>
      <c r="BJ325" s="23">
        <v>0</v>
      </c>
      <c r="BN325" s="23"/>
      <c r="BO325" s="23"/>
      <c r="BP325" s="23"/>
      <c r="BQ325" s="23"/>
      <c r="BR325" s="23"/>
      <c r="BS325" s="23"/>
      <c r="BT325" s="23"/>
      <c r="BU325" s="23"/>
      <c r="BV325" s="23"/>
      <c r="BW325" s="23"/>
      <c r="BX325" s="23"/>
      <c r="BY325" s="23"/>
    </row>
    <row r="326" spans="1:77" ht="12" customHeight="1">
      <c r="A326" s="87"/>
      <c r="B326" s="491" t="s">
        <v>6</v>
      </c>
      <c r="C326" s="205"/>
      <c r="D326" s="205"/>
      <c r="E326" s="205"/>
      <c r="F326" s="205"/>
      <c r="G326" s="205"/>
      <c r="H326" s="205"/>
      <c r="I326" s="205"/>
      <c r="J326" s="205"/>
      <c r="K326" s="205"/>
      <c r="L326" s="205"/>
      <c r="M326" s="205"/>
      <c r="N326" s="205"/>
      <c r="Q326" s="26">
        <f t="shared" ref="Q326:AX326" si="1540">+AVERAGE(P324:Q324)*($C324+Q$295)/4</f>
        <v>0</v>
      </c>
      <c r="R326" s="26">
        <f t="shared" si="1540"/>
        <v>0</v>
      </c>
      <c r="S326" s="26">
        <f t="shared" si="1540"/>
        <v>0</v>
      </c>
      <c r="T326" s="26">
        <f t="shared" si="1540"/>
        <v>0</v>
      </c>
      <c r="U326" s="26">
        <f t="shared" si="1540"/>
        <v>0</v>
      </c>
      <c r="V326" s="26">
        <f t="shared" si="1540"/>
        <v>0</v>
      </c>
      <c r="W326" s="26">
        <f t="shared" si="1540"/>
        <v>0</v>
      </c>
      <c r="X326" s="26">
        <f t="shared" si="1540"/>
        <v>0</v>
      </c>
      <c r="Y326" s="26">
        <f t="shared" si="1540"/>
        <v>0</v>
      </c>
      <c r="Z326" s="26">
        <f t="shared" si="1540"/>
        <v>0</v>
      </c>
      <c r="AA326" s="26">
        <f t="shared" si="1540"/>
        <v>0.38750000000000001</v>
      </c>
      <c r="AB326" s="26">
        <f t="shared" si="1540"/>
        <v>0.9</v>
      </c>
      <c r="AC326" s="26">
        <f t="shared" si="1540"/>
        <v>1.0249999999999999</v>
      </c>
      <c r="AD326" s="26">
        <f t="shared" si="1540"/>
        <v>1.1000000000000001</v>
      </c>
      <c r="AE326" s="26">
        <f t="shared" si="1540"/>
        <v>0.58750000000000002</v>
      </c>
      <c r="AF326" s="26">
        <f t="shared" si="1540"/>
        <v>0.21249999999999999</v>
      </c>
      <c r="AG326" s="26">
        <f t="shared" si="1540"/>
        <v>0.35000000000000003</v>
      </c>
      <c r="AH326" s="26">
        <f t="shared" si="1540"/>
        <v>0.72499999999999998</v>
      </c>
      <c r="AI326" s="26">
        <f t="shared" si="1540"/>
        <v>1.6</v>
      </c>
      <c r="AJ326" s="26">
        <f t="shared" si="1540"/>
        <v>1.4067500000000002</v>
      </c>
      <c r="AK326" s="26">
        <f t="shared" si="1540"/>
        <v>1.2384999999999999</v>
      </c>
      <c r="AL326" s="26">
        <f t="shared" si="1540"/>
        <v>0.84424999999999994</v>
      </c>
      <c r="AM326" s="26">
        <f t="shared" si="1540"/>
        <v>0</v>
      </c>
      <c r="AN326" s="26">
        <f t="shared" si="1540"/>
        <v>0</v>
      </c>
      <c r="AO326" s="26">
        <f t="shared" si="1540"/>
        <v>0</v>
      </c>
      <c r="AP326" s="26">
        <f t="shared" si="1540"/>
        <v>0</v>
      </c>
      <c r="AQ326" s="26">
        <f t="shared" si="1540"/>
        <v>0</v>
      </c>
      <c r="AR326" s="26">
        <f t="shared" si="1540"/>
        <v>0</v>
      </c>
      <c r="AS326" s="26">
        <f t="shared" si="1540"/>
        <v>0</v>
      </c>
      <c r="AT326" s="26">
        <f t="shared" si="1540"/>
        <v>0</v>
      </c>
      <c r="AU326" s="26">
        <f t="shared" si="1540"/>
        <v>0</v>
      </c>
      <c r="AV326" s="26">
        <f t="shared" si="1540"/>
        <v>0</v>
      </c>
      <c r="AW326" s="26">
        <f t="shared" si="1540"/>
        <v>0</v>
      </c>
      <c r="AX326" s="26">
        <f t="shared" si="1540"/>
        <v>0</v>
      </c>
      <c r="AY326" s="26">
        <f t="shared" ref="AY326" si="1541">+AVERAGE(AX324:AY324)*($C324+AY$295)/4</f>
        <v>0</v>
      </c>
      <c r="AZ326" s="26">
        <f t="shared" ref="AZ326" si="1542">+AVERAGE(AY324:AZ324)*($C324+AZ$295)/4</f>
        <v>0</v>
      </c>
      <c r="BA326" s="26">
        <f t="shared" ref="BA326" si="1543">+AVERAGE(AZ324:BA324)*($C324+BA$295)/4</f>
        <v>0</v>
      </c>
      <c r="BB326" s="26">
        <f t="shared" ref="BB326" si="1544">+AVERAGE(BA324:BB324)*($C324+BB$295)/4</f>
        <v>0</v>
      </c>
      <c r="BC326" s="26">
        <f t="shared" ref="BC326" si="1545">+AVERAGE(BB324:BC324)*($C324+BC$295)/4</f>
        <v>0</v>
      </c>
      <c r="BD326" s="26">
        <f t="shared" ref="BD326" si="1546">+AVERAGE(BC324:BD324)*($C324+BD$295)/4</f>
        <v>0</v>
      </c>
      <c r="BE326" s="26">
        <f t="shared" ref="BE326" si="1547">+AVERAGE(BD324:BE324)*($C324+BE$295)/4</f>
        <v>0</v>
      </c>
      <c r="BF326" s="26">
        <f t="shared" ref="BF326" si="1548">+AVERAGE(BE324:BF324)*($C324+BF$295)/4</f>
        <v>0</v>
      </c>
      <c r="BG326" s="26">
        <f t="shared" ref="BG326" si="1549">+AVERAGE(BF324:BG324)*($C324+BG$295)/4</f>
        <v>0</v>
      </c>
      <c r="BH326" s="26">
        <f t="shared" ref="BH326" si="1550">+AVERAGE(BG324:BH324)*($C324+BH$295)/4</f>
        <v>0</v>
      </c>
      <c r="BI326" s="26">
        <f t="shared" ref="BI326" si="1551">+AVERAGE(BH324:BI324)*($C324+BI$295)/4</f>
        <v>0</v>
      </c>
      <c r="BJ326" s="26">
        <f t="shared" ref="BJ326" si="1552">+AVERAGE(BI324:BJ324)*($C324+BJ$295)/4</f>
        <v>0</v>
      </c>
      <c r="BN326" s="26"/>
      <c r="BO326" s="26"/>
      <c r="BP326" s="26"/>
      <c r="BQ326" s="26"/>
      <c r="BR326" s="26"/>
      <c r="BS326" s="26"/>
      <c r="BT326" s="26"/>
      <c r="BU326" s="26"/>
      <c r="BV326" s="26"/>
      <c r="BW326" s="26"/>
      <c r="BX326" s="26"/>
      <c r="BY326" s="26"/>
    </row>
    <row r="327" spans="1:77" ht="12" customHeight="1">
      <c r="A327" s="87"/>
      <c r="B327" s="491"/>
      <c r="C327" s="205"/>
      <c r="D327" s="205"/>
      <c r="E327" s="205"/>
      <c r="F327" s="205"/>
      <c r="G327" s="205"/>
      <c r="H327" s="205"/>
      <c r="I327" s="205"/>
      <c r="J327" s="205"/>
      <c r="K327" s="205"/>
      <c r="L327" s="205"/>
      <c r="M327" s="205"/>
      <c r="N327" s="205"/>
      <c r="Q327" s="26"/>
      <c r="R327" s="26"/>
      <c r="S327" s="26"/>
      <c r="T327" s="26"/>
      <c r="U327" s="26"/>
      <c r="V327" s="26"/>
      <c r="W327" s="26"/>
      <c r="X327" s="26"/>
      <c r="Y327" s="26"/>
      <c r="Z327" s="26"/>
      <c r="AA327" s="26"/>
      <c r="AB327" s="26"/>
      <c r="AC327" s="26"/>
      <c r="AD327" s="26"/>
      <c r="AE327" s="26"/>
      <c r="AF327" s="26"/>
      <c r="AG327" s="26"/>
      <c r="AH327" s="26"/>
      <c r="AI327" s="26"/>
      <c r="AJ327" s="26"/>
      <c r="AK327" s="26"/>
      <c r="AL327" s="26"/>
      <c r="AM327" s="26"/>
      <c r="AN327" s="26"/>
      <c r="AO327" s="26"/>
      <c r="AP327" s="26"/>
      <c r="AQ327" s="26"/>
      <c r="AR327" s="26"/>
      <c r="AS327" s="26"/>
      <c r="AT327" s="26"/>
      <c r="AU327" s="26"/>
      <c r="AV327" s="26"/>
      <c r="AW327" s="26"/>
      <c r="AX327" s="26"/>
      <c r="AY327" s="26"/>
      <c r="AZ327" s="26"/>
      <c r="BA327" s="26"/>
      <c r="BB327" s="26"/>
      <c r="BC327" s="26"/>
      <c r="BD327" s="26"/>
      <c r="BE327" s="26"/>
      <c r="BF327" s="26"/>
      <c r="BG327" s="26"/>
      <c r="BH327" s="26"/>
      <c r="BI327" s="26"/>
      <c r="BJ327" s="26"/>
      <c r="BN327" s="26"/>
      <c r="BO327" s="26"/>
      <c r="BP327" s="26"/>
      <c r="BQ327" s="26"/>
      <c r="BR327" s="26"/>
      <c r="BS327" s="26"/>
      <c r="BT327" s="26"/>
      <c r="BU327" s="26"/>
      <c r="BV327" s="26"/>
      <c r="BW327" s="26"/>
      <c r="BX327" s="26"/>
      <c r="BY327" s="26"/>
    </row>
    <row r="328" spans="1:77" ht="12" customHeight="1">
      <c r="A328" s="490"/>
      <c r="B328" s="484" t="s">
        <v>575</v>
      </c>
      <c r="C328" s="488">
        <v>0.25</v>
      </c>
      <c r="D328" s="481"/>
      <c r="E328" s="481"/>
      <c r="F328" s="481"/>
      <c r="G328" s="481"/>
      <c r="H328" s="481"/>
      <c r="I328" s="481"/>
      <c r="J328" s="481"/>
      <c r="K328" s="481"/>
      <c r="L328" s="481"/>
      <c r="M328" s="481"/>
      <c r="N328" s="481"/>
      <c r="O328" s="482">
        <f t="shared" ref="O328:AB328" si="1553">+O356</f>
        <v>41.4</v>
      </c>
      <c r="P328" s="482">
        <f t="shared" si="1553"/>
        <v>39.299999999999997</v>
      </c>
      <c r="Q328" s="482">
        <f t="shared" si="1553"/>
        <v>38</v>
      </c>
      <c r="R328" s="482">
        <f t="shared" si="1553"/>
        <v>32.200000000000003</v>
      </c>
      <c r="S328" s="482">
        <f t="shared" si="1553"/>
        <v>31</v>
      </c>
      <c r="T328" s="482">
        <f t="shared" si="1553"/>
        <v>19.8</v>
      </c>
      <c r="U328" s="482">
        <f t="shared" si="1553"/>
        <v>18.8</v>
      </c>
      <c r="V328" s="482">
        <f t="shared" si="1553"/>
        <v>16.7</v>
      </c>
      <c r="W328" s="482">
        <f t="shared" si="1553"/>
        <v>15.5</v>
      </c>
      <c r="X328" s="482">
        <f t="shared" si="1553"/>
        <v>15</v>
      </c>
      <c r="Y328" s="482">
        <f t="shared" si="1553"/>
        <v>14.2</v>
      </c>
      <c r="Z328" s="482">
        <f t="shared" si="1553"/>
        <v>13.4</v>
      </c>
      <c r="AA328" s="482">
        <f t="shared" si="1553"/>
        <v>12.6</v>
      </c>
      <c r="AB328" s="482">
        <f t="shared" si="1553"/>
        <v>12.1</v>
      </c>
      <c r="AC328" s="482">
        <f t="shared" ref="AC328:AH328" si="1554">+AC356</f>
        <v>12.8</v>
      </c>
      <c r="AD328" s="482">
        <f t="shared" si="1554"/>
        <v>12.2</v>
      </c>
      <c r="AE328" s="482">
        <f t="shared" si="1554"/>
        <v>11.5</v>
      </c>
      <c r="AF328" s="482">
        <f t="shared" si="1554"/>
        <v>10.9</v>
      </c>
      <c r="AG328" s="482">
        <f t="shared" si="1554"/>
        <v>11.9</v>
      </c>
      <c r="AH328" s="482">
        <f t="shared" si="1554"/>
        <v>10.8</v>
      </c>
      <c r="AI328" s="482">
        <f t="shared" ref="AI328" si="1555">+AI356</f>
        <v>12.4</v>
      </c>
      <c r="AJ328" s="483">
        <f t="shared" ref="AJ328:AX328" si="1556">AI328+AJ329</f>
        <v>11.7</v>
      </c>
      <c r="AK328" s="483">
        <f t="shared" si="1556"/>
        <v>11.7</v>
      </c>
      <c r="AL328" s="483">
        <f t="shared" si="1556"/>
        <v>10.1</v>
      </c>
      <c r="AM328" s="483">
        <f t="shared" si="1556"/>
        <v>10.1</v>
      </c>
      <c r="AN328" s="483">
        <f t="shared" si="1556"/>
        <v>10.1</v>
      </c>
      <c r="AO328" s="483">
        <f t="shared" si="1556"/>
        <v>10.1</v>
      </c>
      <c r="AP328" s="483">
        <f t="shared" si="1556"/>
        <v>10.1</v>
      </c>
      <c r="AQ328" s="483">
        <f t="shared" si="1556"/>
        <v>10.1</v>
      </c>
      <c r="AR328" s="483">
        <f t="shared" si="1556"/>
        <v>10.1</v>
      </c>
      <c r="AS328" s="483">
        <f t="shared" si="1556"/>
        <v>10.1</v>
      </c>
      <c r="AT328" s="483">
        <f t="shared" si="1556"/>
        <v>10.1</v>
      </c>
      <c r="AU328" s="483">
        <f t="shared" si="1556"/>
        <v>10.1</v>
      </c>
      <c r="AV328" s="483">
        <f t="shared" si="1556"/>
        <v>10.1</v>
      </c>
      <c r="AW328" s="483">
        <f t="shared" si="1556"/>
        <v>10.1</v>
      </c>
      <c r="AX328" s="483">
        <f t="shared" si="1556"/>
        <v>10.1</v>
      </c>
      <c r="AY328" s="483">
        <f t="shared" ref="AY328" si="1557">AX328+AY329</f>
        <v>10.1</v>
      </c>
      <c r="AZ328" s="483">
        <f t="shared" ref="AZ328" si="1558">AY328+AZ329</f>
        <v>10.1</v>
      </c>
      <c r="BA328" s="483">
        <f t="shared" ref="BA328" si="1559">AZ328+BA329</f>
        <v>10.1</v>
      </c>
      <c r="BB328" s="483">
        <f t="shared" ref="BB328" si="1560">BA328+BB329</f>
        <v>10.1</v>
      </c>
      <c r="BC328" s="483">
        <f t="shared" ref="BC328" si="1561">BB328+BC329</f>
        <v>10.1</v>
      </c>
      <c r="BD328" s="483">
        <f t="shared" ref="BD328" si="1562">BC328+BD329</f>
        <v>10.1</v>
      </c>
      <c r="BE328" s="483">
        <f t="shared" ref="BE328" si="1563">BD328+BE329</f>
        <v>10.1</v>
      </c>
      <c r="BF328" s="483">
        <f t="shared" ref="BF328" si="1564">BE328+BF329</f>
        <v>10.1</v>
      </c>
      <c r="BG328" s="483">
        <f t="shared" ref="BG328" si="1565">BF328+BG329</f>
        <v>10.1</v>
      </c>
      <c r="BH328" s="483">
        <f t="shared" ref="BH328" si="1566">BG328+BH329</f>
        <v>10.1</v>
      </c>
      <c r="BI328" s="483">
        <f t="shared" ref="BI328" si="1567">BH328+BI329</f>
        <v>10.1</v>
      </c>
      <c r="BJ328" s="483">
        <f t="shared" ref="BJ328" si="1568">BI328+BJ329</f>
        <v>10.1</v>
      </c>
      <c r="BN328" s="29"/>
      <c r="BO328" s="29"/>
      <c r="BP328" s="29"/>
      <c r="BQ328" s="29"/>
      <c r="BR328" s="29"/>
      <c r="BS328" s="29"/>
      <c r="BT328" s="29"/>
      <c r="BU328" s="29"/>
      <c r="BV328" s="29"/>
      <c r="BW328" s="29"/>
      <c r="BX328" s="29"/>
      <c r="BY328" s="29"/>
    </row>
    <row r="329" spans="1:77" ht="12" customHeight="1">
      <c r="A329" s="490"/>
      <c r="B329" s="491" t="s">
        <v>568</v>
      </c>
      <c r="C329" s="204"/>
      <c r="D329" s="204"/>
      <c r="E329" s="204"/>
      <c r="F329" s="204"/>
      <c r="G329" s="204"/>
      <c r="H329" s="204"/>
      <c r="I329" s="204"/>
      <c r="J329" s="204"/>
      <c r="K329" s="204"/>
      <c r="L329" s="204"/>
      <c r="M329" s="204"/>
      <c r="N329" s="204"/>
      <c r="Q329" s="23"/>
      <c r="R329" s="22"/>
      <c r="S329" s="23"/>
      <c r="T329" s="23"/>
      <c r="U329" s="23"/>
      <c r="V329" s="23"/>
      <c r="W329" s="23"/>
      <c r="X329" s="23"/>
      <c r="Y329" s="23"/>
      <c r="Z329" s="23"/>
      <c r="AB329" s="23"/>
      <c r="AC329" s="23"/>
      <c r="AD329" s="23"/>
      <c r="AE329" s="480"/>
      <c r="AF329" s="480"/>
      <c r="AG329" s="480"/>
      <c r="AH329" s="480"/>
      <c r="AI329" s="480"/>
      <c r="AJ329" s="452">
        <f>11.7-AI328</f>
        <v>-0.70000000000000107</v>
      </c>
      <c r="AK329" s="29"/>
      <c r="AL329" s="452">
        <f>10.1-AK328</f>
        <v>-1.5999999999999996</v>
      </c>
      <c r="AM329" s="29"/>
      <c r="AN329" s="29"/>
      <c r="AO329" s="29"/>
      <c r="AP329" s="29"/>
      <c r="AQ329" s="29"/>
      <c r="AR329" s="29"/>
      <c r="AS329" s="29"/>
      <c r="AT329" s="29"/>
      <c r="AU329" s="29"/>
      <c r="AV329" s="29"/>
      <c r="AW329" s="29"/>
      <c r="AX329" s="29"/>
      <c r="AY329" s="29"/>
      <c r="AZ329" s="29"/>
      <c r="BA329" s="29"/>
      <c r="BB329" s="29"/>
      <c r="BC329" s="29"/>
      <c r="BD329" s="29"/>
      <c r="BE329" s="29"/>
      <c r="BF329" s="29"/>
      <c r="BG329" s="29"/>
      <c r="BH329" s="29"/>
      <c r="BI329" s="29"/>
      <c r="BJ329" s="29"/>
      <c r="BN329" s="23"/>
      <c r="BO329" s="23"/>
      <c r="BP329" s="23"/>
      <c r="BQ329" s="23"/>
      <c r="BR329" s="23"/>
      <c r="BS329" s="23"/>
      <c r="BT329" s="23"/>
      <c r="BU329" s="23"/>
      <c r="BV329" s="23"/>
      <c r="BW329" s="23"/>
      <c r="BX329" s="23"/>
      <c r="BY329" s="23"/>
    </row>
    <row r="330" spans="1:77" ht="12" customHeight="1">
      <c r="A330" s="490"/>
      <c r="B330" s="491" t="s">
        <v>6</v>
      </c>
      <c r="C330" s="205"/>
      <c r="D330" s="205"/>
      <c r="E330" s="205"/>
      <c r="F330" s="205"/>
      <c r="G330" s="205"/>
      <c r="H330" s="205"/>
      <c r="I330" s="205"/>
      <c r="J330" s="205"/>
      <c r="K330" s="205"/>
      <c r="L330" s="205"/>
      <c r="M330" s="205"/>
      <c r="N330" s="205"/>
      <c r="Q330" s="26"/>
      <c r="R330" s="26"/>
      <c r="S330" s="26"/>
      <c r="T330" s="26"/>
      <c r="U330" s="26"/>
      <c r="V330" s="26"/>
      <c r="W330" s="26"/>
      <c r="X330" s="26"/>
      <c r="Y330" s="26"/>
      <c r="Z330" s="26"/>
      <c r="AA330" s="26"/>
      <c r="AB330" s="26"/>
      <c r="AC330" s="26"/>
      <c r="AD330" s="26"/>
      <c r="AE330" s="26"/>
      <c r="AF330" s="26"/>
      <c r="AG330" s="26"/>
      <c r="AH330" s="26"/>
      <c r="AI330" s="26"/>
      <c r="AJ330" s="26">
        <f t="shared" ref="AJ330:AX330" si="1569">+AVERAGE(AI328:AJ328)*$C328/4</f>
        <v>0.75312500000000004</v>
      </c>
      <c r="AK330" s="26">
        <f t="shared" si="1569"/>
        <v>0.73124999999999996</v>
      </c>
      <c r="AL330" s="26">
        <f t="shared" si="1569"/>
        <v>0.68124999999999991</v>
      </c>
      <c r="AM330" s="26">
        <f t="shared" si="1569"/>
        <v>0.63124999999999998</v>
      </c>
      <c r="AN330" s="26">
        <f t="shared" si="1569"/>
        <v>0.63124999999999998</v>
      </c>
      <c r="AO330" s="26">
        <f t="shared" si="1569"/>
        <v>0.63124999999999998</v>
      </c>
      <c r="AP330" s="26">
        <f t="shared" si="1569"/>
        <v>0.63124999999999998</v>
      </c>
      <c r="AQ330" s="26">
        <f t="shared" si="1569"/>
        <v>0.63124999999999998</v>
      </c>
      <c r="AR330" s="26">
        <f t="shared" si="1569"/>
        <v>0.63124999999999998</v>
      </c>
      <c r="AS330" s="26">
        <f t="shared" si="1569"/>
        <v>0.63124999999999998</v>
      </c>
      <c r="AT330" s="26">
        <f t="shared" si="1569"/>
        <v>0.63124999999999998</v>
      </c>
      <c r="AU330" s="26">
        <f t="shared" si="1569"/>
        <v>0.63124999999999998</v>
      </c>
      <c r="AV330" s="26">
        <f t="shared" si="1569"/>
        <v>0.63124999999999998</v>
      </c>
      <c r="AW330" s="26">
        <f t="shared" si="1569"/>
        <v>0.63124999999999998</v>
      </c>
      <c r="AX330" s="26">
        <f t="shared" si="1569"/>
        <v>0.63124999999999998</v>
      </c>
      <c r="AY330" s="26">
        <f t="shared" ref="AY330" si="1570">+AVERAGE(AX328:AY328)*$C328/4</f>
        <v>0.63124999999999998</v>
      </c>
      <c r="AZ330" s="26">
        <f t="shared" ref="AZ330" si="1571">+AVERAGE(AY328:AZ328)*$C328/4</f>
        <v>0.63124999999999998</v>
      </c>
      <c r="BA330" s="26">
        <f t="shared" ref="BA330" si="1572">+AVERAGE(AZ328:BA328)*$C328/4</f>
        <v>0.63124999999999998</v>
      </c>
      <c r="BB330" s="26">
        <f t="shared" ref="BB330" si="1573">+AVERAGE(BA328:BB328)*$C328/4</f>
        <v>0.63124999999999998</v>
      </c>
      <c r="BC330" s="26">
        <f t="shared" ref="BC330" si="1574">+AVERAGE(BB328:BC328)*$C328/4</f>
        <v>0.63124999999999998</v>
      </c>
      <c r="BD330" s="26">
        <f t="shared" ref="BD330" si="1575">+AVERAGE(BC328:BD328)*$C328/4</f>
        <v>0.63124999999999998</v>
      </c>
      <c r="BE330" s="26">
        <f t="shared" ref="BE330" si="1576">+AVERAGE(BD328:BE328)*$C328/4</f>
        <v>0.63124999999999998</v>
      </c>
      <c r="BF330" s="26">
        <f t="shared" ref="BF330" si="1577">+AVERAGE(BE328:BF328)*$C328/4</f>
        <v>0.63124999999999998</v>
      </c>
      <c r="BG330" s="26">
        <f t="shared" ref="BG330" si="1578">+AVERAGE(BF328:BG328)*$C328/4</f>
        <v>0.63124999999999998</v>
      </c>
      <c r="BH330" s="26">
        <f t="shared" ref="BH330" si="1579">+AVERAGE(BG328:BH328)*$C328/4</f>
        <v>0.63124999999999998</v>
      </c>
      <c r="BI330" s="26">
        <f t="shared" ref="BI330" si="1580">+AVERAGE(BH328:BI328)*$C328/4</f>
        <v>0.63124999999999998</v>
      </c>
      <c r="BJ330" s="26">
        <f t="shared" ref="BJ330" si="1581">+AVERAGE(BI328:BJ328)*$C328/4</f>
        <v>0.63124999999999998</v>
      </c>
      <c r="BN330" s="26"/>
      <c r="BO330" s="26"/>
      <c r="BP330" s="26"/>
      <c r="BQ330" s="26"/>
      <c r="BR330" s="26"/>
      <c r="BS330" s="26"/>
      <c r="BT330" s="26"/>
      <c r="BU330" s="26"/>
      <c r="BV330" s="26"/>
      <c r="BW330" s="26"/>
      <c r="BX330" s="26"/>
      <c r="BY330" s="26"/>
    </row>
    <row r="331" spans="1:77" ht="12" customHeight="1">
      <c r="A331" s="490"/>
      <c r="B331" s="491"/>
      <c r="C331" s="205"/>
      <c r="D331" s="205"/>
      <c r="E331" s="205"/>
      <c r="F331" s="205"/>
      <c r="G331" s="205"/>
      <c r="H331" s="205"/>
      <c r="I331" s="205"/>
      <c r="J331" s="205"/>
      <c r="K331" s="205"/>
      <c r="L331" s="205"/>
      <c r="M331" s="205"/>
      <c r="N331" s="205"/>
      <c r="Q331" s="26"/>
      <c r="R331" s="26"/>
      <c r="S331" s="26"/>
      <c r="T331" s="26"/>
      <c r="U331" s="26"/>
      <c r="V331" s="26"/>
      <c r="W331" s="26"/>
      <c r="X331" s="26"/>
      <c r="Y331" s="26"/>
      <c r="Z331" s="26"/>
      <c r="AA331" s="26"/>
      <c r="AB331" s="26"/>
      <c r="AC331" s="26"/>
      <c r="AD331" s="26"/>
      <c r="AE331" s="26"/>
      <c r="AF331" s="26"/>
      <c r="AG331" s="26"/>
      <c r="AH331" s="26"/>
      <c r="AI331" s="26"/>
      <c r="AJ331" s="26"/>
      <c r="AK331" s="26"/>
      <c r="AL331" s="26"/>
      <c r="AM331" s="26"/>
      <c r="AN331" s="26"/>
      <c r="AO331" s="26"/>
      <c r="AP331" s="26"/>
      <c r="AQ331" s="26"/>
      <c r="AR331" s="26"/>
      <c r="AS331" s="26"/>
      <c r="AT331" s="26"/>
      <c r="AU331" s="26"/>
      <c r="AV331" s="26"/>
      <c r="AW331" s="26"/>
      <c r="AX331" s="26"/>
      <c r="AY331" s="26"/>
      <c r="AZ331" s="26"/>
      <c r="BA331" s="26"/>
      <c r="BB331" s="26"/>
      <c r="BC331" s="26"/>
      <c r="BD331" s="26"/>
      <c r="BE331" s="26"/>
      <c r="BF331" s="26"/>
      <c r="BG331" s="26"/>
      <c r="BH331" s="26"/>
      <c r="BI331" s="26"/>
      <c r="BJ331" s="26"/>
      <c r="BN331" s="26"/>
      <c r="BO331" s="26"/>
      <c r="BP331" s="26"/>
      <c r="BQ331" s="26"/>
      <c r="BR331" s="26"/>
      <c r="BS331" s="26"/>
      <c r="BT331" s="26"/>
      <c r="BU331" s="26"/>
      <c r="BV331" s="26"/>
      <c r="BW331" s="26"/>
      <c r="BX331" s="26"/>
      <c r="BY331" s="26"/>
    </row>
    <row r="332" spans="1:77" ht="12" customHeight="1">
      <c r="A332" s="490"/>
      <c r="B332" s="484" t="s">
        <v>581</v>
      </c>
      <c r="C332" s="488">
        <v>1.7000000000000001E-2</v>
      </c>
      <c r="D332" s="481"/>
      <c r="E332" s="481"/>
      <c r="F332" s="481"/>
      <c r="G332" s="481"/>
      <c r="H332" s="481"/>
      <c r="I332" s="481"/>
      <c r="J332" s="481"/>
      <c r="K332" s="481"/>
      <c r="L332" s="481"/>
      <c r="M332" s="481"/>
      <c r="N332" s="481"/>
      <c r="O332" s="482"/>
      <c r="P332" s="482"/>
      <c r="Q332" s="482"/>
      <c r="R332" s="482"/>
      <c r="S332" s="482"/>
      <c r="T332" s="482"/>
      <c r="U332" s="482"/>
      <c r="V332" s="482"/>
      <c r="W332" s="482"/>
      <c r="X332" s="482"/>
      <c r="Y332" s="482"/>
      <c r="Z332" s="482"/>
      <c r="AA332" s="482"/>
      <c r="AB332" s="482"/>
      <c r="AC332" s="482">
        <f t="shared" ref="AC332:AH332" si="1582">+AC361</f>
        <v>151.9</v>
      </c>
      <c r="AD332" s="482">
        <f t="shared" si="1582"/>
        <v>150</v>
      </c>
      <c r="AE332" s="482">
        <f t="shared" si="1582"/>
        <v>147</v>
      </c>
      <c r="AF332" s="482">
        <f t="shared" si="1582"/>
        <v>144.30000000000001</v>
      </c>
      <c r="AG332" s="482">
        <f t="shared" si="1582"/>
        <v>141.9</v>
      </c>
      <c r="AH332" s="482">
        <f t="shared" si="1582"/>
        <v>135.69999999999999</v>
      </c>
      <c r="AI332" s="482">
        <f t="shared" ref="AI332" si="1583">+AI361</f>
        <v>134.5</v>
      </c>
      <c r="AJ332" s="483">
        <f t="shared" ref="AJ332:AX332" si="1584">+AJ361</f>
        <v>134</v>
      </c>
      <c r="AK332" s="483">
        <f t="shared" si="1584"/>
        <v>133.30000000000001</v>
      </c>
      <c r="AL332" s="483">
        <f t="shared" ref="AL332" si="1585">+AL361</f>
        <v>131.9</v>
      </c>
      <c r="AM332" s="483">
        <f t="shared" si="1584"/>
        <v>131.9</v>
      </c>
      <c r="AN332" s="483">
        <f t="shared" si="1584"/>
        <v>131.9</v>
      </c>
      <c r="AO332" s="483">
        <f t="shared" si="1584"/>
        <v>131.9</v>
      </c>
      <c r="AP332" s="483">
        <f t="shared" si="1584"/>
        <v>131.9</v>
      </c>
      <c r="AQ332" s="483">
        <f t="shared" si="1584"/>
        <v>131.9</v>
      </c>
      <c r="AR332" s="483">
        <f t="shared" si="1584"/>
        <v>131.9</v>
      </c>
      <c r="AS332" s="483">
        <f t="shared" si="1584"/>
        <v>131.9</v>
      </c>
      <c r="AT332" s="483">
        <f t="shared" si="1584"/>
        <v>131.9</v>
      </c>
      <c r="AU332" s="483">
        <f t="shared" si="1584"/>
        <v>131.9</v>
      </c>
      <c r="AV332" s="483">
        <f t="shared" si="1584"/>
        <v>131.9</v>
      </c>
      <c r="AW332" s="483">
        <f t="shared" si="1584"/>
        <v>131.9</v>
      </c>
      <c r="AX332" s="483">
        <f t="shared" si="1584"/>
        <v>131.9</v>
      </c>
      <c r="AY332" s="483">
        <f t="shared" ref="AY332:BJ332" si="1586">+AY361</f>
        <v>131.9</v>
      </c>
      <c r="AZ332" s="483">
        <f t="shared" si="1586"/>
        <v>131.9</v>
      </c>
      <c r="BA332" s="483">
        <f t="shared" si="1586"/>
        <v>131.9</v>
      </c>
      <c r="BB332" s="483">
        <f t="shared" si="1586"/>
        <v>131.9</v>
      </c>
      <c r="BC332" s="483">
        <f t="shared" si="1586"/>
        <v>131.9</v>
      </c>
      <c r="BD332" s="483">
        <f t="shared" si="1586"/>
        <v>131.9</v>
      </c>
      <c r="BE332" s="483">
        <f t="shared" si="1586"/>
        <v>131.9</v>
      </c>
      <c r="BF332" s="483">
        <f t="shared" si="1586"/>
        <v>131.9</v>
      </c>
      <c r="BG332" s="483">
        <f t="shared" si="1586"/>
        <v>131.9</v>
      </c>
      <c r="BH332" s="483">
        <f t="shared" si="1586"/>
        <v>131.9</v>
      </c>
      <c r="BI332" s="483">
        <f t="shared" si="1586"/>
        <v>131.9</v>
      </c>
      <c r="BJ332" s="483">
        <f t="shared" si="1586"/>
        <v>131.9</v>
      </c>
      <c r="BN332" s="29"/>
      <c r="BO332" s="29"/>
      <c r="BP332" s="29"/>
      <c r="BQ332" s="29"/>
      <c r="BR332" s="29"/>
      <c r="BS332" s="29"/>
      <c r="BT332" s="29"/>
      <c r="BU332" s="29"/>
      <c r="BV332" s="29"/>
      <c r="BW332" s="29"/>
      <c r="BX332" s="29"/>
      <c r="BY332" s="29"/>
    </row>
    <row r="333" spans="1:77" ht="12" customHeight="1">
      <c r="A333" s="490"/>
      <c r="B333" s="491" t="s">
        <v>568</v>
      </c>
      <c r="C333" s="204"/>
      <c r="D333" s="204"/>
      <c r="E333" s="204"/>
      <c r="F333" s="204"/>
      <c r="G333" s="204"/>
      <c r="H333" s="204"/>
      <c r="I333" s="204"/>
      <c r="J333" s="204"/>
      <c r="K333" s="204"/>
      <c r="L333" s="204"/>
      <c r="M333" s="204"/>
      <c r="N333" s="204"/>
      <c r="Q333" s="23"/>
      <c r="R333" s="22"/>
      <c r="S333" s="23"/>
      <c r="T333" s="23"/>
      <c r="U333" s="23"/>
      <c r="V333" s="23"/>
      <c r="W333" s="23"/>
      <c r="X333" s="23"/>
      <c r="Y333" s="23"/>
      <c r="Z333" s="23"/>
      <c r="AB333" s="23"/>
      <c r="AC333" s="23"/>
      <c r="AD333" s="23"/>
      <c r="AE333" s="23"/>
      <c r="AF333" s="23"/>
      <c r="AG333" s="23"/>
      <c r="AH333" s="23"/>
      <c r="AI333" s="23"/>
      <c r="AJ333" s="23"/>
      <c r="AK333" s="29"/>
      <c r="AL333" s="29"/>
      <c r="AM333" s="29"/>
      <c r="AN333" s="29"/>
      <c r="AO333" s="29"/>
      <c r="AP333" s="29"/>
      <c r="AQ333" s="29"/>
      <c r="AR333" s="29"/>
      <c r="AS333" s="29"/>
      <c r="AT333" s="29"/>
      <c r="AU333" s="29"/>
      <c r="AV333" s="29"/>
      <c r="AW333" s="29"/>
      <c r="AX333" s="29"/>
      <c r="AY333" s="29"/>
      <c r="AZ333" s="29"/>
      <c r="BA333" s="29"/>
      <c r="BB333" s="29"/>
      <c r="BC333" s="29"/>
      <c r="BD333" s="29"/>
      <c r="BE333" s="29"/>
      <c r="BF333" s="29"/>
      <c r="BG333" s="29"/>
      <c r="BH333" s="29"/>
      <c r="BI333" s="29"/>
      <c r="BJ333" s="29"/>
      <c r="BN333" s="23"/>
      <c r="BO333" s="23"/>
      <c r="BP333" s="23"/>
      <c r="BQ333" s="23"/>
      <c r="BR333" s="23"/>
      <c r="BS333" s="23"/>
      <c r="BT333" s="23"/>
      <c r="BU333" s="23"/>
      <c r="BV333" s="23"/>
      <c r="BW333" s="23"/>
      <c r="BX333" s="23"/>
      <c r="BY333" s="23"/>
    </row>
    <row r="334" spans="1:77" ht="12" customHeight="1">
      <c r="A334" s="490"/>
      <c r="B334" s="491" t="s">
        <v>6</v>
      </c>
      <c r="C334" s="205"/>
      <c r="D334" s="205"/>
      <c r="E334" s="205"/>
      <c r="F334" s="205"/>
      <c r="G334" s="205"/>
      <c r="H334" s="205"/>
      <c r="I334" s="205"/>
      <c r="J334" s="205"/>
      <c r="K334" s="205"/>
      <c r="L334" s="205"/>
      <c r="M334" s="205"/>
      <c r="N334" s="205"/>
      <c r="Q334" s="26"/>
      <c r="R334" s="26"/>
      <c r="S334" s="26"/>
      <c r="T334" s="26"/>
      <c r="U334" s="26"/>
      <c r="V334" s="26"/>
      <c r="W334" s="26"/>
      <c r="X334" s="26"/>
      <c r="Y334" s="26"/>
      <c r="Z334" s="26"/>
      <c r="AA334" s="26"/>
      <c r="AB334" s="26"/>
      <c r="AC334" s="26"/>
      <c r="AD334" s="26"/>
      <c r="AE334" s="26"/>
      <c r="AF334" s="26"/>
      <c r="AG334" s="26"/>
      <c r="AH334" s="26"/>
      <c r="AI334" s="26"/>
      <c r="AJ334" s="26"/>
      <c r="AK334" s="26">
        <f t="shared" ref="AK334:AX334" si="1587">+AVERAGE(AJ332:AK332)*$C332/4</f>
        <v>0.56801250000000003</v>
      </c>
      <c r="AL334" s="26">
        <f t="shared" si="1587"/>
        <v>0.56355000000000011</v>
      </c>
      <c r="AM334" s="26">
        <f t="shared" si="1587"/>
        <v>0.56057500000000005</v>
      </c>
      <c r="AN334" s="26">
        <f t="shared" si="1587"/>
        <v>0.56057500000000005</v>
      </c>
      <c r="AO334" s="26">
        <f t="shared" si="1587"/>
        <v>0.56057500000000005</v>
      </c>
      <c r="AP334" s="26">
        <f t="shared" si="1587"/>
        <v>0.56057500000000005</v>
      </c>
      <c r="AQ334" s="26">
        <f t="shared" si="1587"/>
        <v>0.56057500000000005</v>
      </c>
      <c r="AR334" s="26">
        <f t="shared" si="1587"/>
        <v>0.56057500000000005</v>
      </c>
      <c r="AS334" s="26">
        <f t="shared" si="1587"/>
        <v>0.56057500000000005</v>
      </c>
      <c r="AT334" s="26">
        <f t="shared" si="1587"/>
        <v>0.56057500000000005</v>
      </c>
      <c r="AU334" s="26">
        <f t="shared" si="1587"/>
        <v>0.56057500000000005</v>
      </c>
      <c r="AV334" s="26">
        <f t="shared" si="1587"/>
        <v>0.56057500000000005</v>
      </c>
      <c r="AW334" s="26">
        <f t="shared" si="1587"/>
        <v>0.56057500000000005</v>
      </c>
      <c r="AX334" s="26">
        <f t="shared" si="1587"/>
        <v>0.56057500000000005</v>
      </c>
      <c r="AY334" s="26">
        <f t="shared" ref="AY334" si="1588">+AVERAGE(AX332:AY332)*$C332/4</f>
        <v>0.56057500000000005</v>
      </c>
      <c r="AZ334" s="26">
        <f t="shared" ref="AZ334" si="1589">+AVERAGE(AY332:AZ332)*$C332/4</f>
        <v>0.56057500000000005</v>
      </c>
      <c r="BA334" s="26">
        <f t="shared" ref="BA334" si="1590">+AVERAGE(AZ332:BA332)*$C332/4</f>
        <v>0.56057500000000005</v>
      </c>
      <c r="BB334" s="26">
        <f t="shared" ref="BB334" si="1591">+AVERAGE(BA332:BB332)*$C332/4</f>
        <v>0.56057500000000005</v>
      </c>
      <c r="BC334" s="26">
        <f t="shared" ref="BC334" si="1592">+AVERAGE(BB332:BC332)*$C332/4</f>
        <v>0.56057500000000005</v>
      </c>
      <c r="BD334" s="26">
        <f t="shared" ref="BD334" si="1593">+AVERAGE(BC332:BD332)*$C332/4</f>
        <v>0.56057500000000005</v>
      </c>
      <c r="BE334" s="26">
        <f t="shared" ref="BE334" si="1594">+AVERAGE(BD332:BE332)*$C332/4</f>
        <v>0.56057500000000005</v>
      </c>
      <c r="BF334" s="26">
        <f t="shared" ref="BF334" si="1595">+AVERAGE(BE332:BF332)*$C332/4</f>
        <v>0.56057500000000005</v>
      </c>
      <c r="BG334" s="26">
        <f t="shared" ref="BG334" si="1596">+AVERAGE(BF332:BG332)*$C332/4</f>
        <v>0.56057500000000005</v>
      </c>
      <c r="BH334" s="26">
        <f t="shared" ref="BH334" si="1597">+AVERAGE(BG332:BH332)*$C332/4</f>
        <v>0.56057500000000005</v>
      </c>
      <c r="BI334" s="26">
        <f t="shared" ref="BI334" si="1598">+AVERAGE(BH332:BI332)*$C332/4</f>
        <v>0.56057500000000005</v>
      </c>
      <c r="BJ334" s="26">
        <f t="shared" ref="BJ334" si="1599">+AVERAGE(BI332:BJ332)*$C332/4</f>
        <v>0.56057500000000005</v>
      </c>
      <c r="BN334" s="26"/>
      <c r="BO334" s="26"/>
      <c r="BP334" s="26"/>
      <c r="BQ334" s="26"/>
      <c r="BR334" s="26"/>
      <c r="BS334" s="26"/>
      <c r="BT334" s="26"/>
      <c r="BU334" s="26"/>
      <c r="BV334" s="26"/>
      <c r="BW334" s="26"/>
      <c r="BX334" s="26"/>
      <c r="BY334" s="26"/>
    </row>
    <row r="335" spans="1:77" ht="12" customHeight="1">
      <c r="A335" s="490"/>
      <c r="B335" s="491"/>
      <c r="C335" s="205"/>
      <c r="D335" s="205"/>
      <c r="E335" s="205"/>
      <c r="F335" s="205"/>
      <c r="G335" s="205"/>
      <c r="H335" s="205"/>
      <c r="I335" s="205"/>
      <c r="J335" s="205"/>
      <c r="K335" s="205"/>
      <c r="L335" s="205"/>
      <c r="M335" s="205"/>
      <c r="N335" s="205"/>
      <c r="Q335" s="26"/>
      <c r="R335" s="26"/>
      <c r="S335" s="26"/>
      <c r="T335" s="26"/>
      <c r="U335" s="26"/>
      <c r="V335" s="26"/>
      <c r="W335" s="26"/>
      <c r="X335" s="26"/>
      <c r="Y335" s="26"/>
      <c r="Z335" s="26"/>
      <c r="AA335" s="26"/>
      <c r="AB335" s="26"/>
      <c r="AC335" s="26"/>
      <c r="AD335" s="26"/>
      <c r="AE335" s="26"/>
      <c r="AF335" s="26"/>
      <c r="AG335" s="26"/>
      <c r="AH335" s="26"/>
      <c r="AI335" s="26"/>
      <c r="AJ335" s="26"/>
      <c r="AK335" s="26"/>
      <c r="AL335" s="26"/>
      <c r="AM335" s="26"/>
      <c r="AN335" s="26"/>
      <c r="AO335" s="26"/>
      <c r="AP335" s="26"/>
      <c r="AQ335" s="26"/>
      <c r="AR335" s="26"/>
      <c r="AS335" s="26"/>
      <c r="AT335" s="26"/>
      <c r="AU335" s="26"/>
      <c r="AV335" s="26"/>
      <c r="AW335" s="26"/>
      <c r="AX335" s="26"/>
      <c r="AY335" s="26"/>
      <c r="AZ335" s="26"/>
      <c r="BA335" s="26"/>
      <c r="BB335" s="26"/>
      <c r="BC335" s="26"/>
      <c r="BD335" s="26"/>
      <c r="BE335" s="26"/>
      <c r="BF335" s="26"/>
      <c r="BG335" s="26"/>
      <c r="BH335" s="26"/>
      <c r="BI335" s="26"/>
      <c r="BJ335" s="26"/>
      <c r="BN335" s="26"/>
      <c r="BO335" s="26"/>
      <c r="BP335" s="26"/>
      <c r="BQ335" s="26"/>
      <c r="BR335" s="26"/>
      <c r="BS335" s="26"/>
      <c r="BT335" s="26"/>
      <c r="BU335" s="26"/>
      <c r="BV335" s="26"/>
      <c r="BW335" s="26"/>
      <c r="BX335" s="26"/>
      <c r="BY335" s="26"/>
    </row>
    <row r="336" spans="1:77" ht="12" customHeight="1">
      <c r="A336" s="490"/>
      <c r="B336" s="491" t="s">
        <v>637</v>
      </c>
      <c r="C336" s="205"/>
      <c r="D336" s="205"/>
      <c r="E336" s="205"/>
      <c r="F336" s="205"/>
      <c r="G336" s="205"/>
      <c r="H336" s="205"/>
      <c r="I336" s="205"/>
      <c r="J336" s="205"/>
      <c r="K336" s="205"/>
      <c r="L336" s="205"/>
      <c r="M336" s="205"/>
      <c r="N336" s="205"/>
      <c r="Q336" s="26"/>
      <c r="R336" s="26"/>
      <c r="S336" s="26"/>
      <c r="T336" s="26"/>
      <c r="U336" s="26"/>
      <c r="V336" s="26"/>
      <c r="W336" s="26"/>
      <c r="X336" s="26"/>
      <c r="Y336" s="26"/>
      <c r="Z336" s="26"/>
      <c r="AA336" s="26"/>
      <c r="AB336" s="26"/>
      <c r="AC336" s="26"/>
      <c r="AD336" s="26"/>
      <c r="AE336" s="26"/>
      <c r="AF336" s="26"/>
      <c r="AG336" s="26"/>
      <c r="AH336" s="26"/>
      <c r="AI336" s="26"/>
      <c r="AJ336" s="26"/>
      <c r="AK336" s="502"/>
      <c r="AL336" s="502"/>
      <c r="AM336" s="502"/>
      <c r="AN336" s="502"/>
      <c r="AO336" s="502"/>
      <c r="AP336" s="502"/>
      <c r="AQ336" s="502"/>
      <c r="AR336" s="502"/>
      <c r="AS336" s="502"/>
      <c r="AT336" s="502"/>
      <c r="AU336" s="502"/>
      <c r="AV336" s="502"/>
      <c r="AW336" s="502"/>
      <c r="AX336" s="502"/>
      <c r="AY336" s="502"/>
      <c r="AZ336" s="502"/>
      <c r="BA336" s="502"/>
      <c r="BB336" s="502"/>
      <c r="BC336" s="502"/>
      <c r="BD336" s="502"/>
      <c r="BE336" s="502"/>
      <c r="BF336" s="502"/>
      <c r="BG336" s="502"/>
      <c r="BH336" s="502"/>
      <c r="BI336" s="502"/>
      <c r="BJ336" s="502"/>
      <c r="BN336" s="26"/>
      <c r="BO336" s="26"/>
      <c r="BP336" s="26"/>
      <c r="BQ336" s="26"/>
      <c r="BR336" s="26"/>
      <c r="BS336" s="26"/>
      <c r="BT336" s="26"/>
      <c r="BU336" s="26"/>
      <c r="BV336" s="26"/>
      <c r="BW336" s="26"/>
      <c r="BX336" s="26"/>
      <c r="BY336" s="26"/>
    </row>
    <row r="338" spans="1:79" ht="12" customHeight="1">
      <c r="B338" s="451" t="s">
        <v>583</v>
      </c>
      <c r="O338" s="489">
        <f t="shared" ref="O338:AC338" si="1600">-O34</f>
        <v>10.3</v>
      </c>
      <c r="P338" s="489">
        <f t="shared" si="1600"/>
        <v>9.6999999999999993</v>
      </c>
      <c r="Q338" s="489">
        <f t="shared" si="1600"/>
        <v>11.3</v>
      </c>
      <c r="R338" s="489">
        <f t="shared" si="1600"/>
        <v>10.5</v>
      </c>
      <c r="S338" s="489">
        <f t="shared" si="1600"/>
        <v>10.9</v>
      </c>
      <c r="T338" s="489">
        <f t="shared" si="1600"/>
        <v>10.8</v>
      </c>
      <c r="U338" s="489">
        <f t="shared" si="1600"/>
        <v>10.5</v>
      </c>
      <c r="V338" s="489">
        <f t="shared" si="1600"/>
        <v>11.5</v>
      </c>
      <c r="W338" s="489">
        <f t="shared" si="1600"/>
        <v>10.7</v>
      </c>
      <c r="X338" s="489">
        <f t="shared" si="1600"/>
        <v>10.7</v>
      </c>
      <c r="Y338" s="489">
        <f t="shared" si="1600"/>
        <v>9</v>
      </c>
      <c r="Z338" s="489">
        <f t="shared" si="1600"/>
        <v>9.1</v>
      </c>
      <c r="AA338" s="489">
        <f t="shared" si="1600"/>
        <v>8.4</v>
      </c>
      <c r="AB338" s="489">
        <f t="shared" si="1600"/>
        <v>8.6999999999999993</v>
      </c>
      <c r="AC338" s="489">
        <f t="shared" si="1600"/>
        <v>12.1</v>
      </c>
      <c r="AD338" s="489">
        <f t="shared" ref="AD338:AI338" si="1601">-AD34</f>
        <v>12</v>
      </c>
      <c r="AE338" s="489">
        <f t="shared" si="1601"/>
        <v>12.1</v>
      </c>
      <c r="AF338" s="489">
        <f t="shared" si="1601"/>
        <v>11.5</v>
      </c>
      <c r="AG338" s="489">
        <f t="shared" si="1601"/>
        <v>13.8</v>
      </c>
      <c r="AH338" s="489">
        <f t="shared" si="1601"/>
        <v>11.4</v>
      </c>
      <c r="AI338" s="489">
        <f t="shared" si="1601"/>
        <v>13.6</v>
      </c>
      <c r="AJ338" s="489">
        <f t="shared" ref="AJ338" si="1602">-AJ34</f>
        <v>16.5</v>
      </c>
      <c r="AK338" s="1">
        <f t="shared" ref="AK338:AX338" si="1603">SUM(AK322,AK326,AK318,AK330,AK334)+AK336+AK310+AK314</f>
        <v>17.878287499999999</v>
      </c>
      <c r="AL338" s="1">
        <f t="shared" ref="AL338" si="1604">SUM(AL322,AL326,AL318,AL330,AL334)+AL336+AL310+AL314</f>
        <v>20.129790624999998</v>
      </c>
      <c r="AM338" s="1">
        <f t="shared" ca="1" si="1603"/>
        <v>24.198820115461434</v>
      </c>
      <c r="AN338" s="1">
        <f t="shared" ca="1" si="1603"/>
        <v>28.033147594348403</v>
      </c>
      <c r="AO338" s="1">
        <f t="shared" ca="1" si="1603"/>
        <v>31.20443378898397</v>
      </c>
      <c r="AP338" s="1">
        <f t="shared" ca="1" si="1603"/>
        <v>31.778653311316855</v>
      </c>
      <c r="AQ338" s="1">
        <f t="shared" ca="1" si="1603"/>
        <v>32.315124655691605</v>
      </c>
      <c r="AR338" s="1">
        <f t="shared" ca="1" si="1603"/>
        <v>33.379975495851909</v>
      </c>
      <c r="AS338" s="1">
        <f t="shared" ca="1" si="1603"/>
        <v>34.25595046838059</v>
      </c>
      <c r="AT338" s="1">
        <f t="shared" ca="1" si="1603"/>
        <v>34.461686702684574</v>
      </c>
      <c r="AU338" s="1">
        <f t="shared" ca="1" si="1603"/>
        <v>34.484279136231962</v>
      </c>
      <c r="AV338" s="1">
        <f t="shared" ca="1" si="1603"/>
        <v>35.849122136658309</v>
      </c>
      <c r="AW338" s="1">
        <f t="shared" ca="1" si="1603"/>
        <v>37.238553956041955</v>
      </c>
      <c r="AX338" s="1">
        <f t="shared" ca="1" si="1603"/>
        <v>37.79073713565748</v>
      </c>
      <c r="AY338" s="1">
        <f t="shared" ref="AY338:BJ338" ca="1" si="1605">SUM(AY322,AY326,AY318,AY330,AY334)+AY336+AY310+AY314</f>
        <v>39.024070464617481</v>
      </c>
      <c r="AZ338" s="1">
        <f t="shared" ca="1" si="1605"/>
        <v>41.513667279128597</v>
      </c>
      <c r="BA338" s="1">
        <f t="shared" ca="1" si="1605"/>
        <v>42.853330221882899</v>
      </c>
      <c r="BB338" s="1">
        <f t="shared" ca="1" si="1605"/>
        <v>43.022018933791202</v>
      </c>
      <c r="BC338" s="1">
        <f t="shared" ca="1" si="1605"/>
        <v>43.175486760973044</v>
      </c>
      <c r="BD338" s="1">
        <f t="shared" ca="1" si="1605"/>
        <v>44.638417452455272</v>
      </c>
      <c r="BE338" s="1">
        <f t="shared" ca="1" si="1605"/>
        <v>46.673599110206212</v>
      </c>
      <c r="BF338" s="1">
        <f t="shared" ca="1" si="1605"/>
        <v>47.735784485766729</v>
      </c>
      <c r="BG338" s="1">
        <f t="shared" ca="1" si="1605"/>
        <v>47.962734055979354</v>
      </c>
      <c r="BH338" s="1">
        <f t="shared" ca="1" si="1605"/>
        <v>49.088558297030758</v>
      </c>
      <c r="BI338" s="1">
        <f t="shared" ca="1" si="1605"/>
        <v>50.744096139611813</v>
      </c>
      <c r="BJ338" s="1">
        <f t="shared" ca="1" si="1605"/>
        <v>52.239484435031144</v>
      </c>
      <c r="BN338" s="1"/>
      <c r="BO338" s="1"/>
      <c r="BP338" s="1"/>
      <c r="BQ338" s="1"/>
      <c r="BR338" s="1"/>
      <c r="BS338" s="1"/>
      <c r="BT338" s="1"/>
      <c r="BU338" s="1"/>
      <c r="BV338" s="1"/>
      <c r="BW338" s="1"/>
      <c r="BX338" s="1"/>
      <c r="BY338" s="1"/>
    </row>
    <row r="339" spans="1:79" ht="12" customHeight="1">
      <c r="B339" s="451" t="s">
        <v>584</v>
      </c>
      <c r="AA339" s="1">
        <f t="shared" ref="AA339:AB339" si="1606">+AA298+AA300+AA316+AA320+AA324+AA304</f>
        <v>679.8</v>
      </c>
      <c r="AB339" s="1">
        <f t="shared" si="1606"/>
        <v>729.8</v>
      </c>
      <c r="AC339" s="1">
        <f t="shared" ref="AC339:AH339" si="1607">+AC298+AC300+AC316+AC320+AC324+AC304</f>
        <v>982.7</v>
      </c>
      <c r="AD339" s="1">
        <f t="shared" si="1607"/>
        <v>1012.5999999999999</v>
      </c>
      <c r="AE339" s="1">
        <f t="shared" si="1607"/>
        <v>1010.3</v>
      </c>
      <c r="AF339" s="1">
        <f t="shared" si="1607"/>
        <v>1096.2</v>
      </c>
      <c r="AG339" s="1">
        <f t="shared" si="1607"/>
        <v>1082.4000000000001</v>
      </c>
      <c r="AH339" s="1">
        <f t="shared" si="1607"/>
        <v>1262.3</v>
      </c>
      <c r="AI339" s="1">
        <f>+AI298+AI300+AI316+AI320+AI324+AI304+AI308+AI312</f>
        <v>1755</v>
      </c>
      <c r="AJ339" s="1">
        <f>+AJ298+AJ300+AJ316+AJ320+AJ324+AJ304+AJ308+AJ312</f>
        <v>1832.5</v>
      </c>
      <c r="AK339" s="1">
        <f t="shared" ref="AK339:AX339" si="1608">+AK298+AK316+AK320+AK324+AK308+AK312</f>
        <v>2338.5</v>
      </c>
      <c r="AL339" s="1">
        <f t="shared" ref="AL339" si="1609">+AL298+AL316+AL320+AL324+AL308+AL312</f>
        <v>2089.4</v>
      </c>
      <c r="AM339" s="1">
        <f t="shared" ca="1" si="1608"/>
        <v>2090.4835618570564</v>
      </c>
      <c r="AN339" s="1">
        <f t="shared" ca="1" si="1608"/>
        <v>2733.2910826556226</v>
      </c>
      <c r="AO339" s="1">
        <f t="shared" ca="1" si="1608"/>
        <v>2733.2910826556226</v>
      </c>
      <c r="AP339" s="1">
        <f t="shared" ca="1" si="1608"/>
        <v>2733.2910826556226</v>
      </c>
      <c r="AQ339" s="1">
        <f t="shared" ca="1" si="1608"/>
        <v>2733.2910826556226</v>
      </c>
      <c r="AR339" s="1">
        <f t="shared" ca="1" si="1608"/>
        <v>2875.4602603585208</v>
      </c>
      <c r="AS339" s="1">
        <f t="shared" ca="1" si="1608"/>
        <v>2875.4602603585208</v>
      </c>
      <c r="AT339" s="1">
        <f t="shared" ca="1" si="1608"/>
        <v>2875.4602603585208</v>
      </c>
      <c r="AU339" s="1">
        <f t="shared" ca="1" si="1608"/>
        <v>2875.4602603585208</v>
      </c>
      <c r="AV339" s="1">
        <f t="shared" ca="1" si="1608"/>
        <v>3088.2458520309483</v>
      </c>
      <c r="AW339" s="1">
        <f t="shared" ca="1" si="1608"/>
        <v>3088.2458520309483</v>
      </c>
      <c r="AX339" s="1">
        <f t="shared" ca="1" si="1608"/>
        <v>3146.0762873560006</v>
      </c>
      <c r="AY339" s="1">
        <f t="shared" ref="AY339:BJ339" ca="1" si="1610">+AY298+AY316+AY320+AY324+AY308+AY312</f>
        <v>3358.9049428048911</v>
      </c>
      <c r="AZ339" s="1">
        <f t="shared" ca="1" si="1610"/>
        <v>3570.8223147304934</v>
      </c>
      <c r="BA339" s="1">
        <f t="shared" ca="1" si="1610"/>
        <v>3570.8223147304934</v>
      </c>
      <c r="BB339" s="1">
        <f t="shared" ca="1" si="1610"/>
        <v>3570.8223147304934</v>
      </c>
      <c r="BC339" s="1">
        <f t="shared" ca="1" si="1610"/>
        <v>3637.3455896045971</v>
      </c>
      <c r="BD339" s="1">
        <f t="shared" ca="1" si="1610"/>
        <v>3813.799229451859</v>
      </c>
      <c r="BE339" s="1">
        <f t="shared" ca="1" si="1610"/>
        <v>3981.2705226297448</v>
      </c>
      <c r="BF339" s="1">
        <f t="shared" ca="1" si="1610"/>
        <v>3981.2705226297448</v>
      </c>
      <c r="BG339" s="1">
        <f t="shared" ca="1" si="1610"/>
        <v>4022.0809410463353</v>
      </c>
      <c r="BH339" s="1">
        <f t="shared" ca="1" si="1610"/>
        <v>4163.6446750052392</v>
      </c>
      <c r="BI339" s="1">
        <f t="shared" ca="1" si="1610"/>
        <v>4295.8574148832004</v>
      </c>
      <c r="BJ339" s="1">
        <f t="shared" ca="1" si="1610"/>
        <v>4409.1655091795683</v>
      </c>
    </row>
    <row r="340" spans="1:79" ht="12" customHeight="1">
      <c r="AE340" s="1"/>
      <c r="AF340" s="1"/>
      <c r="AG340" s="1"/>
      <c r="AH340" s="1"/>
      <c r="AI340" s="1"/>
    </row>
    <row r="341" spans="1:79" ht="12" customHeight="1">
      <c r="B341" s="3" t="s">
        <v>13</v>
      </c>
      <c r="C341" s="3"/>
      <c r="D341" s="3"/>
      <c r="E341" s="3"/>
      <c r="F341" s="3"/>
      <c r="G341" s="3"/>
      <c r="H341" s="3"/>
      <c r="I341" s="3"/>
      <c r="J341" s="3"/>
      <c r="K341" s="3"/>
      <c r="L341" s="3"/>
      <c r="M341" s="3"/>
      <c r="N341" s="3"/>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L341" s="5"/>
      <c r="BM341" s="5"/>
      <c r="BN341" s="5"/>
      <c r="BO341" s="5"/>
      <c r="BP341" s="5"/>
      <c r="BQ341" s="5"/>
      <c r="BR341" s="5"/>
      <c r="BS341" s="5"/>
      <c r="BT341" s="5"/>
      <c r="BU341" s="5"/>
      <c r="BV341" s="5"/>
      <c r="BW341" s="5"/>
      <c r="BX341" s="5"/>
      <c r="BY341" s="5"/>
    </row>
    <row r="342" spans="1:79" ht="12" customHeight="1">
      <c r="A342" s="206" t="s">
        <v>293</v>
      </c>
      <c r="B342" s="4" t="s">
        <v>14</v>
      </c>
      <c r="C342" s="4"/>
      <c r="D342" s="4"/>
      <c r="E342" s="4"/>
      <c r="F342" s="4"/>
      <c r="G342" s="4"/>
      <c r="H342" s="4"/>
      <c r="I342" s="4"/>
      <c r="J342" s="4"/>
      <c r="K342" s="4"/>
      <c r="L342" s="4"/>
      <c r="M342" s="4"/>
      <c r="N342" s="4"/>
      <c r="O342" s="5" t="str">
        <f t="shared" ref="O342:BJ342" si="1611">O$1</f>
        <v>1Q '12A</v>
      </c>
      <c r="P342" s="5" t="str">
        <f t="shared" si="1611"/>
        <v>2Q '12A</v>
      </c>
      <c r="Q342" s="5" t="str">
        <f t="shared" si="1611"/>
        <v>3Q '12A</v>
      </c>
      <c r="R342" s="5" t="str">
        <f t="shared" si="1611"/>
        <v>4Q '12A</v>
      </c>
      <c r="S342" s="5" t="str">
        <f t="shared" si="1611"/>
        <v>1Q '13A</v>
      </c>
      <c r="T342" s="5" t="str">
        <f t="shared" si="1611"/>
        <v>2Q '13A</v>
      </c>
      <c r="U342" s="5" t="str">
        <f t="shared" si="1611"/>
        <v>3Q '13A</v>
      </c>
      <c r="V342" s="5" t="str">
        <f t="shared" si="1611"/>
        <v>4Q '13A</v>
      </c>
      <c r="W342" s="5" t="str">
        <f t="shared" si="1611"/>
        <v>1Q '14A</v>
      </c>
      <c r="X342" s="5" t="str">
        <f t="shared" si="1611"/>
        <v>2Q '14A</v>
      </c>
      <c r="Y342" s="5" t="str">
        <f t="shared" si="1611"/>
        <v>3Q '14A</v>
      </c>
      <c r="Z342" s="5" t="str">
        <f t="shared" si="1611"/>
        <v>4Q '14A</v>
      </c>
      <c r="AA342" s="5" t="str">
        <f t="shared" si="1611"/>
        <v>1Q '15A</v>
      </c>
      <c r="AB342" s="5" t="str">
        <f t="shared" si="1611"/>
        <v>2Q '15A</v>
      </c>
      <c r="AC342" s="5" t="str">
        <f t="shared" si="1611"/>
        <v>3Q '15A</v>
      </c>
      <c r="AD342" s="5" t="str">
        <f t="shared" si="1611"/>
        <v>4Q '15A</v>
      </c>
      <c r="AE342" s="5" t="str">
        <f t="shared" si="1611"/>
        <v>1Q '16A</v>
      </c>
      <c r="AF342" s="5" t="str">
        <f t="shared" si="1611"/>
        <v>2Q '16A</v>
      </c>
      <c r="AG342" s="5" t="str">
        <f t="shared" si="1611"/>
        <v>3Q '16A</v>
      </c>
      <c r="AH342" s="5" t="str">
        <f t="shared" si="1611"/>
        <v>4Q '16A</v>
      </c>
      <c r="AI342" s="5" t="str">
        <f t="shared" si="1611"/>
        <v>1Q '17A</v>
      </c>
      <c r="AJ342" s="5" t="str">
        <f t="shared" si="1611"/>
        <v>2Q '17A</v>
      </c>
      <c r="AK342" s="5" t="str">
        <f t="shared" si="1611"/>
        <v>3Q '17A</v>
      </c>
      <c r="AL342" s="5" t="str">
        <f t="shared" si="1611"/>
        <v>4Q '17A</v>
      </c>
      <c r="AM342" s="5" t="str">
        <f t="shared" si="1611"/>
        <v>1Q '18E</v>
      </c>
      <c r="AN342" s="5" t="str">
        <f t="shared" si="1611"/>
        <v>2Q '18E</v>
      </c>
      <c r="AO342" s="5" t="str">
        <f t="shared" si="1611"/>
        <v>3Q '18E</v>
      </c>
      <c r="AP342" s="5" t="str">
        <f t="shared" si="1611"/>
        <v>4Q '18E</v>
      </c>
      <c r="AQ342" s="5" t="str">
        <f t="shared" si="1611"/>
        <v>1Q '19E</v>
      </c>
      <c r="AR342" s="5" t="str">
        <f t="shared" si="1611"/>
        <v>2Q '19E</v>
      </c>
      <c r="AS342" s="5" t="str">
        <f t="shared" si="1611"/>
        <v>3Q '19E</v>
      </c>
      <c r="AT342" s="5" t="str">
        <f t="shared" si="1611"/>
        <v>4Q '19E</v>
      </c>
      <c r="AU342" s="5" t="str">
        <f t="shared" si="1611"/>
        <v>1Q '20E</v>
      </c>
      <c r="AV342" s="5" t="str">
        <f t="shared" si="1611"/>
        <v>2Q '20E</v>
      </c>
      <c r="AW342" s="5" t="str">
        <f t="shared" si="1611"/>
        <v>3Q '20E</v>
      </c>
      <c r="AX342" s="5" t="str">
        <f t="shared" si="1611"/>
        <v>4Q '20E</v>
      </c>
      <c r="AY342" s="5" t="str">
        <f t="shared" si="1611"/>
        <v>1Q '21E</v>
      </c>
      <c r="AZ342" s="5" t="str">
        <f t="shared" si="1611"/>
        <v>2Q '21E</v>
      </c>
      <c r="BA342" s="5" t="str">
        <f t="shared" si="1611"/>
        <v>3Q '21E</v>
      </c>
      <c r="BB342" s="5" t="str">
        <f t="shared" si="1611"/>
        <v>4Q '21E</v>
      </c>
      <c r="BC342" s="5" t="str">
        <f t="shared" si="1611"/>
        <v>1Q '22E</v>
      </c>
      <c r="BD342" s="5" t="str">
        <f t="shared" si="1611"/>
        <v>2Q '22E</v>
      </c>
      <c r="BE342" s="5" t="str">
        <f t="shared" si="1611"/>
        <v>3Q '22E</v>
      </c>
      <c r="BF342" s="5" t="str">
        <f t="shared" si="1611"/>
        <v>4Q '22E</v>
      </c>
      <c r="BG342" s="5" t="str">
        <f t="shared" si="1611"/>
        <v>1Q '23E</v>
      </c>
      <c r="BH342" s="5" t="str">
        <f t="shared" si="1611"/>
        <v>2Q '23E</v>
      </c>
      <c r="BI342" s="5" t="str">
        <f t="shared" si="1611"/>
        <v>3Q '23E</v>
      </c>
      <c r="BJ342" s="5" t="str">
        <f t="shared" si="1611"/>
        <v>4Q '23E</v>
      </c>
      <c r="BL342" s="5">
        <f t="shared" ref="BL342:BV342" si="1612">BL1</f>
        <v>2010</v>
      </c>
      <c r="BM342" s="5">
        <f t="shared" si="1612"/>
        <v>2011</v>
      </c>
      <c r="BN342" s="5">
        <f t="shared" si="1612"/>
        <v>2012</v>
      </c>
      <c r="BO342" s="5">
        <f t="shared" si="1612"/>
        <v>2013</v>
      </c>
      <c r="BP342" s="5">
        <f t="shared" si="1612"/>
        <v>2014</v>
      </c>
      <c r="BQ342" s="5">
        <f t="shared" si="1612"/>
        <v>2015</v>
      </c>
      <c r="BR342" s="5">
        <f t="shared" si="1612"/>
        <v>2016</v>
      </c>
      <c r="BS342" s="167">
        <f t="shared" si="1612"/>
        <v>2017</v>
      </c>
      <c r="BT342" s="167">
        <f t="shared" si="1612"/>
        <v>2018</v>
      </c>
      <c r="BU342" s="167">
        <f t="shared" si="1612"/>
        <v>2019</v>
      </c>
      <c r="BV342" s="167">
        <f t="shared" si="1612"/>
        <v>2020</v>
      </c>
      <c r="BW342" s="167">
        <f t="shared" ref="BW342:BY342" si="1613">BW1</f>
        <v>2021</v>
      </c>
      <c r="BX342" s="167">
        <f t="shared" si="1613"/>
        <v>2022</v>
      </c>
      <c r="BY342" s="167">
        <f t="shared" si="1613"/>
        <v>2023</v>
      </c>
    </row>
    <row r="343" spans="1:79" ht="12" customHeight="1">
      <c r="B343" s="2"/>
      <c r="C343" s="2"/>
      <c r="D343" s="2"/>
      <c r="E343" s="2"/>
      <c r="F343" s="2"/>
      <c r="G343" s="2"/>
      <c r="H343" s="2"/>
      <c r="I343" s="2"/>
      <c r="J343" s="2"/>
      <c r="K343" s="2"/>
      <c r="L343" s="2"/>
      <c r="M343" s="2"/>
      <c r="N343" s="2"/>
    </row>
    <row r="344" spans="1:79" ht="12" customHeight="1">
      <c r="B344" s="2" t="s">
        <v>15</v>
      </c>
      <c r="C344" s="2"/>
      <c r="D344" s="2"/>
      <c r="E344" s="2"/>
      <c r="F344" s="2"/>
      <c r="G344" s="2"/>
      <c r="H344" s="2"/>
      <c r="I344" s="2"/>
      <c r="J344" s="2"/>
      <c r="K344" s="2"/>
      <c r="L344" s="2"/>
      <c r="M344" s="2"/>
      <c r="N344" s="2"/>
      <c r="O344" s="7">
        <v>705.6</v>
      </c>
      <c r="P344" s="7">
        <v>752.6</v>
      </c>
      <c r="Q344" s="7">
        <v>807.5</v>
      </c>
      <c r="R344" s="7">
        <v>883.6</v>
      </c>
      <c r="S344" s="7">
        <v>946.4</v>
      </c>
      <c r="T344" s="7">
        <v>998.7</v>
      </c>
      <c r="U344" s="7">
        <v>1057.2</v>
      </c>
      <c r="V344" s="7">
        <v>1120.5</v>
      </c>
      <c r="W344" s="7">
        <v>1182.4000000000001</v>
      </c>
      <c r="X344" s="7">
        <v>1239.7</v>
      </c>
      <c r="Y344" s="7">
        <v>1319.7</v>
      </c>
      <c r="Z344" s="7">
        <v>1378.4</v>
      </c>
      <c r="AA344" s="7">
        <v>1417.5</v>
      </c>
      <c r="AB344" s="7">
        <v>1466.4</v>
      </c>
      <c r="AC344" s="452">
        <v>1733.4</v>
      </c>
      <c r="AD344" s="452">
        <v>1827.6</v>
      </c>
      <c r="AE344" s="452">
        <v>2084.1</v>
      </c>
      <c r="AF344" s="452">
        <v>2214.8000000000002</v>
      </c>
      <c r="AG344" s="452">
        <v>2433.3000000000002</v>
      </c>
      <c r="AH344" s="452">
        <v>2601.6</v>
      </c>
      <c r="AI344" s="452">
        <v>3243.7</v>
      </c>
      <c r="AJ344" s="452">
        <v>3532.8</v>
      </c>
      <c r="AK344" s="452">
        <v>3656.1</v>
      </c>
      <c r="AL344" s="452">
        <v>3840.8</v>
      </c>
      <c r="AM344" s="1">
        <f>AL344-AM384</f>
        <v>4021.6782045224386</v>
      </c>
      <c r="AN344" s="1">
        <f ca="1">AM344-AN384</f>
        <v>4714.4505357695025</v>
      </c>
      <c r="AO344" s="1">
        <f t="shared" ref="AO344:AX344" ca="1" si="1614">AN344-AO384</f>
        <v>4913.5914432101836</v>
      </c>
      <c r="AP344" s="1">
        <f t="shared" ca="1" si="1614"/>
        <v>5297.8678457792957</v>
      </c>
      <c r="AQ344" s="1">
        <f t="shared" ca="1" si="1614"/>
        <v>5498.4921159238002</v>
      </c>
      <c r="AR344" s="1">
        <f t="shared" ca="1" si="1614"/>
        <v>5832.2917952102343</v>
      </c>
      <c r="AS344" s="1">
        <f t="shared" ca="1" si="1614"/>
        <v>6010.6289311628261</v>
      </c>
      <c r="AT344" s="1">
        <f t="shared" ca="1" si="1614"/>
        <v>6333.4442186318902</v>
      </c>
      <c r="AU344" s="1">
        <f t="shared" ca="1" si="1614"/>
        <v>6500.670403126197</v>
      </c>
      <c r="AV344" s="1">
        <f t="shared" ca="1" si="1614"/>
        <v>6812.2518927511428</v>
      </c>
      <c r="AW344" s="1">
        <f t="shared" ca="1" si="1614"/>
        <v>6968.1331049918062</v>
      </c>
      <c r="AX344" s="1">
        <f t="shared" ca="1" si="1614"/>
        <v>7268.2584665700015</v>
      </c>
      <c r="AY344" s="1">
        <f t="shared" ref="AY344" ca="1" si="1615">AX344-AY384</f>
        <v>7562.5724133035283</v>
      </c>
      <c r="AZ344" s="1">
        <f t="shared" ref="AZ344" ca="1" si="1616">AY344-AZ384</f>
        <v>7851.0193899675896</v>
      </c>
      <c r="BA344" s="1">
        <f t="shared" ref="BA344" ca="1" si="1617">AZ344-BA384</f>
        <v>8133.543850158334</v>
      </c>
      <c r="BB344" s="1">
        <f t="shared" ref="BB344" ca="1" si="1618">BA344-BB384</f>
        <v>8410.0902561585044</v>
      </c>
      <c r="BC344" s="1">
        <f t="shared" ref="BC344" ca="1" si="1619">BB344-BC384</f>
        <v>8680.6267142905253</v>
      </c>
      <c r="BD344" s="1">
        <f t="shared" ref="BD344" ca="1" si="1620">BC344-BD384</f>
        <v>8945.0974237391747</v>
      </c>
      <c r="BE344" s="1">
        <f t="shared" ref="BE344" ca="1" si="1621">BD344-BE384</f>
        <v>9203.4465965736781</v>
      </c>
      <c r="BF344" s="1">
        <f t="shared" ref="BF344" ca="1" si="1622">BE344-BF384</f>
        <v>9455.6184575520147</v>
      </c>
      <c r="BG344" s="1">
        <f t="shared" ref="BG344" ca="1" si="1623">BF344-BG384</f>
        <v>9701.5572439282168</v>
      </c>
      <c r="BH344" s="1">
        <f t="shared" ref="BH344" ca="1" si="1624">BG344-BH384</f>
        <v>9941.2072052626536</v>
      </c>
      <c r="BI344" s="1">
        <f t="shared" ref="BI344" ca="1" si="1625">BH344-BI384</f>
        <v>10174.51260323522</v>
      </c>
      <c r="BJ344" s="1">
        <f t="shared" ref="BJ344" ca="1" si="1626">BI344-BJ384</f>
        <v>10401.417711461405</v>
      </c>
      <c r="BK344" s="1"/>
      <c r="BL344" s="7">
        <v>498.4</v>
      </c>
      <c r="BM344" s="7">
        <v>660.2</v>
      </c>
      <c r="BN344" s="1">
        <f t="shared" ref="BN344:BN351" si="1627">R344</f>
        <v>883.6</v>
      </c>
      <c r="BO344" s="1">
        <f t="shared" ref="BO344:BO351" si="1628">V344</f>
        <v>1120.5</v>
      </c>
      <c r="BP344" s="1">
        <f t="shared" ref="BP344:BP351" si="1629">Z344</f>
        <v>1378.4</v>
      </c>
      <c r="BQ344" s="1">
        <f t="shared" ref="BQ344:BQ351" si="1630">AD344</f>
        <v>1827.6</v>
      </c>
      <c r="BR344" s="1">
        <f t="shared" ref="BR344:BR351" si="1631">AH344</f>
        <v>2601.6</v>
      </c>
      <c r="BS344" s="1">
        <f t="shared" ref="BS344:BS351" si="1632">AL344</f>
        <v>3840.8</v>
      </c>
      <c r="BT344" s="1">
        <f t="shared" ref="BT344:BT351" ca="1" si="1633">AP344</f>
        <v>5297.8678457792957</v>
      </c>
      <c r="BU344" s="1">
        <f t="shared" ref="BU344:BU351" ca="1" si="1634">AT344</f>
        <v>6333.4442186318902</v>
      </c>
      <c r="BV344" s="1">
        <f t="shared" ref="BV344:BV351" ca="1" si="1635">AX344</f>
        <v>7268.2584665700015</v>
      </c>
      <c r="BW344" s="1">
        <f t="shared" ref="BW344:BW351" ca="1" si="1636">BB344</f>
        <v>8410.0902561585044</v>
      </c>
      <c r="BX344" s="1">
        <f t="shared" ref="BX344:BX351" ca="1" si="1637">BF344</f>
        <v>9455.6184575520147</v>
      </c>
      <c r="BY344" s="1">
        <f t="shared" ref="BY344:BY351" ca="1" si="1638">BJ344</f>
        <v>10401.417711461405</v>
      </c>
    </row>
    <row r="345" spans="1:79" ht="12" customHeight="1">
      <c r="B345" s="2" t="s">
        <v>16</v>
      </c>
      <c r="C345" s="2"/>
      <c r="D345" s="2"/>
      <c r="E345" s="2"/>
      <c r="F345" s="2"/>
      <c r="G345" s="2"/>
      <c r="H345" s="2"/>
      <c r="I345" s="2"/>
      <c r="J345" s="2"/>
      <c r="K345" s="2"/>
      <c r="L345" s="2"/>
      <c r="M345" s="2"/>
      <c r="N345" s="2"/>
      <c r="O345" s="7">
        <v>-142.5</v>
      </c>
      <c r="P345" s="7">
        <v>-149.6</v>
      </c>
      <c r="Q345" s="7">
        <v>-162.9</v>
      </c>
      <c r="R345" s="7">
        <v>-176.7</v>
      </c>
      <c r="S345" s="7">
        <v>-192.1</v>
      </c>
      <c r="T345" s="7">
        <v>-208.7</v>
      </c>
      <c r="U345" s="7">
        <v>-218.6</v>
      </c>
      <c r="V345" s="7">
        <v>-236.7</v>
      </c>
      <c r="W345" s="7">
        <v>-257.60000000000002</v>
      </c>
      <c r="X345" s="7">
        <v>-280.60000000000002</v>
      </c>
      <c r="Y345" s="7">
        <v>-303.5</v>
      </c>
      <c r="Z345" s="7">
        <v>-327</v>
      </c>
      <c r="AA345" s="7">
        <v>-350.1</v>
      </c>
      <c r="AB345" s="7">
        <v>-375.4</v>
      </c>
      <c r="AC345" s="452">
        <v>-404.4</v>
      </c>
      <c r="AD345" s="452">
        <v>-435.6</v>
      </c>
      <c r="AE345" s="452">
        <v>-467.2</v>
      </c>
      <c r="AF345" s="452">
        <v>-503.2</v>
      </c>
      <c r="AG345" s="452">
        <v>-546.4</v>
      </c>
      <c r="AH345" s="452">
        <v>-578.5</v>
      </c>
      <c r="AI345" s="452">
        <v>-625.9</v>
      </c>
      <c r="AJ345" s="452">
        <v>-679.6</v>
      </c>
      <c r="AK345" s="452">
        <v>-722.1</v>
      </c>
      <c r="AL345" s="452">
        <v>-782.4</v>
      </c>
      <c r="AM345" s="1">
        <f t="shared" ref="AM345:AX345" ca="1" si="1639">AL345-AM372-AM373-AM374</f>
        <v>-863.00035877157859</v>
      </c>
      <c r="AN345" s="1">
        <f t="shared" ca="1" si="1639"/>
        <v>-956.85117471429749</v>
      </c>
      <c r="AO345" s="1">
        <f t="shared" ca="1" si="1639"/>
        <v>-1054.7472028863119</v>
      </c>
      <c r="AP345" s="1">
        <f t="shared" ca="1" si="1639"/>
        <v>-1160.0850426981654</v>
      </c>
      <c r="AQ345" s="1">
        <f t="shared" ca="1" si="1639"/>
        <v>-1269.4334130288</v>
      </c>
      <c r="AR345" s="1">
        <f t="shared" ca="1" si="1639"/>
        <v>-1385.2450070541358</v>
      </c>
      <c r="AS345" s="1">
        <f t="shared" ca="1" si="1639"/>
        <v>-1504.651899303238</v>
      </c>
      <c r="AT345" s="1">
        <f t="shared" ca="1" si="1639"/>
        <v>-1630.3152035874598</v>
      </c>
      <c r="AU345" s="1">
        <f t="shared" ca="1" si="1639"/>
        <v>-1759.3647301452559</v>
      </c>
      <c r="AV345" s="1">
        <f t="shared" ca="1" si="1639"/>
        <v>-1894.459395899981</v>
      </c>
      <c r="AW345" s="1">
        <f t="shared" ca="1" si="1639"/>
        <v>-2032.7270283291502</v>
      </c>
      <c r="AX345" s="1">
        <f t="shared" ca="1" si="1639"/>
        <v>-2176.8245609240062</v>
      </c>
      <c r="AY345" s="1">
        <f t="shared" ref="AY345" ca="1" si="1640">AX345-AY372-AY373-AY374</f>
        <v>-2326.7314146955878</v>
      </c>
      <c r="AZ345" s="1">
        <f t="shared" ref="AZ345" ca="1" si="1641">AY345-AZ372-AZ373-AZ374</f>
        <v>-2482.3364403943415</v>
      </c>
      <c r="BA345" s="1">
        <f t="shared" ref="BA345" ca="1" si="1642">AZ345-BA372-BA373-BA374</f>
        <v>-2643.5275131069934</v>
      </c>
      <c r="BB345" s="1">
        <f t="shared" ref="BB345" ca="1" si="1643">BA345-BB372-BB373-BB374</f>
        <v>-2810.1915316836566</v>
      </c>
      <c r="BC345" s="1">
        <f t="shared" ref="BC345" ca="1" si="1644">BB345-BC372-BC373-BC374</f>
        <v>-2982.2148538622741</v>
      </c>
      <c r="BD345" s="1">
        <f t="shared" ref="BD345" ca="1" si="1645">BC345-BD372-BD373-BD374</f>
        <v>-3159.4828548619462</v>
      </c>
      <c r="BE345" s="1">
        <f t="shared" ref="BE345" ca="1" si="1646">BD345-BE372-BE373-BE374</f>
        <v>-3341.8799269207434</v>
      </c>
      <c r="BF345" s="1">
        <f t="shared" ref="BF345" ca="1" si="1647">BE345-BF372-BF373-BF374</f>
        <v>-3529.2894788406747</v>
      </c>
      <c r="BG345" s="1">
        <f t="shared" ref="BG345" ca="1" si="1648">BF345-BG372-BG373-BG374</f>
        <v>-3721.593935539709</v>
      </c>
      <c r="BH345" s="1">
        <f t="shared" ref="BH345" ca="1" si="1649">BG345-BH372-BH373-BH374</f>
        <v>-3918.6747376107405</v>
      </c>
      <c r="BI345" s="1">
        <f t="shared" ref="BI345" ca="1" si="1650">BH345-BI372-BI373-BI374</f>
        <v>-4120.4123408873866</v>
      </c>
      <c r="BJ345" s="1">
        <f t="shared" ref="BJ345" ca="1" si="1651">BI345-BJ372-BJ373-BJ374</f>
        <v>-4326.6862160165201</v>
      </c>
      <c r="BK345" s="1"/>
      <c r="BL345" s="7">
        <v>-94.7</v>
      </c>
      <c r="BM345" s="7">
        <v>-131.19999999999999</v>
      </c>
      <c r="BN345" s="1">
        <f t="shared" si="1627"/>
        <v>-176.7</v>
      </c>
      <c r="BO345" s="1">
        <f t="shared" si="1628"/>
        <v>-236.7</v>
      </c>
      <c r="BP345" s="1">
        <f t="shared" si="1629"/>
        <v>-327</v>
      </c>
      <c r="BQ345" s="1">
        <f t="shared" si="1630"/>
        <v>-435.6</v>
      </c>
      <c r="BR345" s="1">
        <f t="shared" si="1631"/>
        <v>-578.5</v>
      </c>
      <c r="BS345" s="1">
        <f t="shared" si="1632"/>
        <v>-782.4</v>
      </c>
      <c r="BT345" s="1">
        <f t="shared" ca="1" si="1633"/>
        <v>-1160.0850426981654</v>
      </c>
      <c r="BU345" s="1">
        <f t="shared" ca="1" si="1634"/>
        <v>-1630.3152035874598</v>
      </c>
      <c r="BV345" s="1">
        <f t="shared" ca="1" si="1635"/>
        <v>-2176.8245609240062</v>
      </c>
      <c r="BW345" s="1">
        <f t="shared" ca="1" si="1636"/>
        <v>-2810.1915316836566</v>
      </c>
      <c r="BX345" s="1">
        <f t="shared" ca="1" si="1637"/>
        <v>-3529.2894788406747</v>
      </c>
      <c r="BY345" s="1">
        <f t="shared" ca="1" si="1638"/>
        <v>-4326.6862160165201</v>
      </c>
    </row>
    <row r="346" spans="1:79" ht="12" customHeight="1">
      <c r="B346" s="459" t="s">
        <v>17</v>
      </c>
      <c r="C346" s="2"/>
      <c r="D346" s="2"/>
      <c r="E346" s="2"/>
      <c r="F346" s="2"/>
      <c r="G346" s="2"/>
      <c r="H346" s="2"/>
      <c r="I346" s="2"/>
      <c r="J346" s="2"/>
      <c r="K346" s="2"/>
      <c r="L346" s="2"/>
      <c r="M346" s="2"/>
      <c r="N346" s="2"/>
      <c r="O346" s="29">
        <f t="shared" ref="O346:T346" ca="1" si="1652">+O397</f>
        <v>1.8999999999999972</v>
      </c>
      <c r="P346" s="29">
        <f ca="1">+P397</f>
        <v>1.3999999999999972</v>
      </c>
      <c r="Q346" s="29">
        <f t="shared" ca="1" si="1652"/>
        <v>3.2000000000000015</v>
      </c>
      <c r="R346" s="29">
        <f t="shared" ca="1" si="1652"/>
        <v>16.500000000000043</v>
      </c>
      <c r="S346" s="29">
        <f t="shared" ca="1" si="1652"/>
        <v>328.60000000000008</v>
      </c>
      <c r="T346" s="29">
        <f t="shared" ca="1" si="1652"/>
        <v>267.10000000000008</v>
      </c>
      <c r="U346" s="29">
        <f t="shared" ref="U346:Z346" ca="1" si="1653">+U397</f>
        <v>213.2000000000001</v>
      </c>
      <c r="V346" s="29">
        <f t="shared" ca="1" si="1653"/>
        <v>148.80000000000004</v>
      </c>
      <c r="W346" s="29">
        <f t="shared" ca="1" si="1653"/>
        <v>125.2</v>
      </c>
      <c r="X346" s="29">
        <f t="shared" ca="1" si="1653"/>
        <v>49.30000000000004</v>
      </c>
      <c r="Y346" s="29">
        <f t="shared" ca="1" si="1653"/>
        <v>30.400000000000034</v>
      </c>
      <c r="Z346" s="29">
        <f t="shared" ca="1" si="1653"/>
        <v>36.500000000000028</v>
      </c>
      <c r="AA346" s="29">
        <f t="shared" ref="AA346:AF346" ca="1" si="1654">+AA397</f>
        <v>26.000000000000036</v>
      </c>
      <c r="AB346" s="29">
        <f t="shared" ca="1" si="1654"/>
        <v>413.5</v>
      </c>
      <c r="AC346" s="29">
        <f t="shared" ca="1" si="1654"/>
        <v>39.800000000000182</v>
      </c>
      <c r="AD346" s="29">
        <f t="shared" ca="1" si="1654"/>
        <v>14.300000000000189</v>
      </c>
      <c r="AE346" s="29">
        <f t="shared" ca="1" si="1654"/>
        <v>87.700000000000216</v>
      </c>
      <c r="AF346" s="29">
        <f t="shared" ca="1" si="1654"/>
        <v>13.20000000000023</v>
      </c>
      <c r="AG346" s="29">
        <f t="shared" ref="AG346:AL346" ca="1" si="1655">+AG397</f>
        <v>11.000000000000227</v>
      </c>
      <c r="AH346" s="29">
        <f t="shared" ca="1" si="1655"/>
        <v>14.60000000000025</v>
      </c>
      <c r="AI346" s="29">
        <f t="shared" ca="1" si="1655"/>
        <v>20.400000000000205</v>
      </c>
      <c r="AJ346" s="29">
        <f t="shared" ca="1" si="1655"/>
        <v>40.000000000000455</v>
      </c>
      <c r="AK346" s="29">
        <f t="shared" ca="1" si="1655"/>
        <v>24.600000000000421</v>
      </c>
      <c r="AL346" s="29">
        <f t="shared" ca="1" si="1655"/>
        <v>151.9000000000004</v>
      </c>
      <c r="AM346" s="212">
        <f t="shared" ref="AM346:AX346" ca="1" si="1656">AM397</f>
        <v>20</v>
      </c>
      <c r="AN346" s="212">
        <f t="shared" ca="1" si="1656"/>
        <v>20</v>
      </c>
      <c r="AO346" s="212">
        <f t="shared" ca="1" si="1656"/>
        <v>121.13646253458286</v>
      </c>
      <c r="AP346" s="212">
        <f ca="1">AP397</f>
        <v>45.38212064812187</v>
      </c>
      <c r="AQ346" s="212">
        <f t="shared" ca="1" si="1656"/>
        <v>153.77906940375922</v>
      </c>
      <c r="AR346" s="212">
        <f t="shared" ca="1" si="1656"/>
        <v>20.000000000000028</v>
      </c>
      <c r="AS346" s="212">
        <f t="shared" ca="1" si="1656"/>
        <v>152.29623861046954</v>
      </c>
      <c r="AT346" s="212">
        <f t="shared" ca="1" si="1656"/>
        <v>148.53467631817364</v>
      </c>
      <c r="AU346" s="212">
        <f t="shared" ca="1" si="1656"/>
        <v>51.073227628022522</v>
      </c>
      <c r="AV346" s="212">
        <f t="shared" ca="1" si="1656"/>
        <v>20.000000000000028</v>
      </c>
      <c r="AW346" s="212">
        <f t="shared" ca="1" si="1656"/>
        <v>183.93520577847522</v>
      </c>
      <c r="AX346" s="212">
        <f t="shared" ca="1" si="1656"/>
        <v>20.000000000000057</v>
      </c>
      <c r="AY346" s="212">
        <f t="shared" ref="AY346:BJ346" ca="1" si="1657">AY397</f>
        <v>20.000000000000057</v>
      </c>
      <c r="AZ346" s="212">
        <f t="shared" ca="1" si="1657"/>
        <v>20.000000000000057</v>
      </c>
      <c r="BA346" s="212">
        <f t="shared" ca="1" si="1657"/>
        <v>67.80825933777507</v>
      </c>
      <c r="BB346" s="212">
        <f t="shared" ca="1" si="1657"/>
        <v>131.86942805166314</v>
      </c>
      <c r="BC346" s="212">
        <f t="shared" ca="1" si="1657"/>
        <v>19.999999999999972</v>
      </c>
      <c r="BD346" s="212">
        <f t="shared" ca="1" si="1657"/>
        <v>20.000000000000099</v>
      </c>
      <c r="BE346" s="212">
        <f t="shared" ca="1" si="1657"/>
        <v>20.000000000000099</v>
      </c>
      <c r="BF346" s="212">
        <f t="shared" ca="1" si="1657"/>
        <v>121.00231593129054</v>
      </c>
      <c r="BG346" s="212">
        <f t="shared" ca="1" si="1657"/>
        <v>20.000000000000099</v>
      </c>
      <c r="BH346" s="212">
        <f t="shared" ca="1" si="1657"/>
        <v>20.000000000000099</v>
      </c>
      <c r="BI346" s="212">
        <f t="shared" ca="1" si="1657"/>
        <v>20.000000000000099</v>
      </c>
      <c r="BJ346" s="212">
        <f t="shared" ca="1" si="1657"/>
        <v>19.999999999999787</v>
      </c>
      <c r="BK346" s="1"/>
      <c r="BL346" s="7">
        <v>4.9000000000000004</v>
      </c>
      <c r="BM346" s="7">
        <v>0.6</v>
      </c>
      <c r="BN346" s="29">
        <f t="shared" ca="1" si="1627"/>
        <v>16.500000000000043</v>
      </c>
      <c r="BO346" s="29">
        <f t="shared" ca="1" si="1628"/>
        <v>148.80000000000004</v>
      </c>
      <c r="BP346" s="29">
        <f t="shared" ca="1" si="1629"/>
        <v>36.500000000000028</v>
      </c>
      <c r="BQ346" s="29">
        <f t="shared" ca="1" si="1630"/>
        <v>14.300000000000189</v>
      </c>
      <c r="BR346" s="29">
        <f t="shared" ca="1" si="1631"/>
        <v>14.60000000000025</v>
      </c>
      <c r="BS346" s="29">
        <f t="shared" ca="1" si="1632"/>
        <v>151.9000000000004</v>
      </c>
      <c r="BT346" s="29">
        <f t="shared" ca="1" si="1633"/>
        <v>45.38212064812187</v>
      </c>
      <c r="BU346" s="29">
        <f t="shared" ca="1" si="1634"/>
        <v>148.53467631817364</v>
      </c>
      <c r="BV346" s="29">
        <f t="shared" ca="1" si="1635"/>
        <v>20.000000000000057</v>
      </c>
      <c r="BW346" s="29">
        <f t="shared" ca="1" si="1636"/>
        <v>131.86942805166314</v>
      </c>
      <c r="BX346" s="29">
        <f t="shared" ca="1" si="1637"/>
        <v>121.00231593129054</v>
      </c>
      <c r="BY346" s="29">
        <f t="shared" ca="1" si="1638"/>
        <v>19.999999999999787</v>
      </c>
      <c r="BZ346" s="7"/>
      <c r="CA346" s="295"/>
    </row>
    <row r="347" spans="1:79" ht="12" customHeight="1">
      <c r="B347" s="2" t="s">
        <v>681</v>
      </c>
      <c r="C347" s="2"/>
      <c r="D347" s="2"/>
      <c r="E347" s="2"/>
      <c r="F347" s="2"/>
      <c r="G347" s="2"/>
      <c r="H347" s="2"/>
      <c r="I347" s="2"/>
      <c r="J347" s="2"/>
      <c r="K347" s="2"/>
      <c r="L347" s="2"/>
      <c r="M347" s="2"/>
      <c r="N347" s="2"/>
      <c r="O347" s="29"/>
      <c r="P347" s="29"/>
      <c r="Q347" s="29"/>
      <c r="R347" s="29"/>
      <c r="S347" s="29"/>
      <c r="T347" s="29"/>
      <c r="U347" s="29"/>
      <c r="V347" s="29"/>
      <c r="W347" s="29"/>
      <c r="X347" s="29"/>
      <c r="Y347" s="29"/>
      <c r="Z347" s="29"/>
      <c r="AA347" s="29"/>
      <c r="AB347" s="29"/>
      <c r="AC347" s="29"/>
      <c r="AD347" s="29"/>
      <c r="AE347" s="29"/>
      <c r="AF347" s="29"/>
      <c r="AG347" s="29"/>
      <c r="AH347" s="29"/>
      <c r="AI347" s="29"/>
      <c r="AJ347" s="452">
        <v>0.8</v>
      </c>
      <c r="AK347" s="452">
        <v>0.1</v>
      </c>
      <c r="AL347" s="452">
        <v>0</v>
      </c>
      <c r="AM347" s="212">
        <f t="shared" ref="AM347:AX347" si="1658">+AL347</f>
        <v>0</v>
      </c>
      <c r="AN347" s="212">
        <f t="shared" si="1658"/>
        <v>0</v>
      </c>
      <c r="AO347" s="212">
        <f t="shared" si="1658"/>
        <v>0</v>
      </c>
      <c r="AP347" s="212">
        <f t="shared" si="1658"/>
        <v>0</v>
      </c>
      <c r="AQ347" s="212">
        <f t="shared" si="1658"/>
        <v>0</v>
      </c>
      <c r="AR347" s="212">
        <f t="shared" si="1658"/>
        <v>0</v>
      </c>
      <c r="AS347" s="212">
        <f t="shared" si="1658"/>
        <v>0</v>
      </c>
      <c r="AT347" s="212">
        <f t="shared" si="1658"/>
        <v>0</v>
      </c>
      <c r="AU347" s="212">
        <f t="shared" si="1658"/>
        <v>0</v>
      </c>
      <c r="AV347" s="212">
        <f t="shared" si="1658"/>
        <v>0</v>
      </c>
      <c r="AW347" s="212">
        <f t="shared" si="1658"/>
        <v>0</v>
      </c>
      <c r="AX347" s="212">
        <f t="shared" si="1658"/>
        <v>0</v>
      </c>
      <c r="AY347" s="212">
        <f t="shared" ref="AY347" si="1659">+AX347</f>
        <v>0</v>
      </c>
      <c r="AZ347" s="212">
        <f t="shared" ref="AZ347" si="1660">+AY347</f>
        <v>0</v>
      </c>
      <c r="BA347" s="212">
        <f t="shared" ref="BA347" si="1661">+AZ347</f>
        <v>0</v>
      </c>
      <c r="BB347" s="212">
        <f t="shared" ref="BB347" si="1662">+BA347</f>
        <v>0</v>
      </c>
      <c r="BC347" s="212">
        <f t="shared" ref="BC347" si="1663">+BB347</f>
        <v>0</v>
      </c>
      <c r="BD347" s="212">
        <f t="shared" ref="BD347" si="1664">+BC347</f>
        <v>0</v>
      </c>
      <c r="BE347" s="212">
        <f t="shared" ref="BE347" si="1665">+BD347</f>
        <v>0</v>
      </c>
      <c r="BF347" s="212">
        <f t="shared" ref="BF347" si="1666">+BE347</f>
        <v>0</v>
      </c>
      <c r="BG347" s="212">
        <f t="shared" ref="BG347" si="1667">+BF347</f>
        <v>0</v>
      </c>
      <c r="BH347" s="212">
        <f t="shared" ref="BH347" si="1668">+BG347</f>
        <v>0</v>
      </c>
      <c r="BI347" s="212">
        <f t="shared" ref="BI347" si="1669">+BH347</f>
        <v>0</v>
      </c>
      <c r="BJ347" s="212">
        <f t="shared" ref="BJ347" si="1670">+BI347</f>
        <v>0</v>
      </c>
      <c r="BK347" s="1"/>
      <c r="BL347" s="7"/>
      <c r="BM347" s="7"/>
      <c r="BN347" s="29"/>
      <c r="BO347" s="29"/>
      <c r="BP347" s="29"/>
      <c r="BQ347" s="29"/>
      <c r="BR347" s="29">
        <f t="shared" ref="BR347" si="1671">AH347</f>
        <v>0</v>
      </c>
      <c r="BS347" s="29">
        <f t="shared" ref="BS347" si="1672">AL347</f>
        <v>0</v>
      </c>
      <c r="BT347" s="29">
        <f t="shared" ref="BT347" si="1673">AP347</f>
        <v>0</v>
      </c>
      <c r="BU347" s="29">
        <f t="shared" ref="BU347" si="1674">AT347</f>
        <v>0</v>
      </c>
      <c r="BV347" s="29">
        <f t="shared" ref="BV347" si="1675">AX347</f>
        <v>0</v>
      </c>
      <c r="BW347" s="29">
        <f t="shared" si="1636"/>
        <v>0</v>
      </c>
      <c r="BX347" s="29">
        <f t="shared" si="1637"/>
        <v>0</v>
      </c>
      <c r="BY347" s="29">
        <f t="shared" si="1638"/>
        <v>0</v>
      </c>
      <c r="BZ347" s="7"/>
      <c r="CA347" s="295"/>
    </row>
    <row r="348" spans="1:79" ht="12" customHeight="1">
      <c r="B348" s="2" t="s">
        <v>18</v>
      </c>
      <c r="C348" s="2"/>
      <c r="D348" s="2"/>
      <c r="E348" s="2"/>
      <c r="F348" s="2"/>
      <c r="G348" s="2"/>
      <c r="H348" s="2"/>
      <c r="I348" s="2"/>
      <c r="J348" s="2"/>
      <c r="K348" s="2"/>
      <c r="L348" s="2"/>
      <c r="M348" s="2"/>
      <c r="N348" s="2"/>
      <c r="O348" s="22">
        <f>+P348</f>
        <v>276.2</v>
      </c>
      <c r="P348" s="7">
        <v>276.2</v>
      </c>
      <c r="Q348" s="7">
        <v>276.2</v>
      </c>
      <c r="R348" s="7">
        <v>276.2</v>
      </c>
      <c r="S348" s="7">
        <v>276.2</v>
      </c>
      <c r="T348" s="7">
        <v>276.2</v>
      </c>
      <c r="U348" s="7">
        <v>276.2</v>
      </c>
      <c r="V348" s="7">
        <v>276.2</v>
      </c>
      <c r="W348" s="7">
        <v>276.2</v>
      </c>
      <c r="X348" s="7">
        <v>276.2</v>
      </c>
      <c r="Y348" s="7">
        <v>276.2</v>
      </c>
      <c r="Z348" s="7">
        <v>276.2</v>
      </c>
      <c r="AA348" s="7">
        <v>276.2</v>
      </c>
      <c r="AB348" s="7">
        <v>276.2</v>
      </c>
      <c r="AC348" s="452">
        <v>453.4</v>
      </c>
      <c r="AD348" s="452">
        <v>453.4</v>
      </c>
      <c r="AE348" s="452">
        <v>453.4</v>
      </c>
      <c r="AF348" s="452">
        <v>453.4</v>
      </c>
      <c r="AG348" s="452">
        <v>455.1</v>
      </c>
      <c r="AH348" s="452">
        <v>455.1</v>
      </c>
      <c r="AI348" s="452">
        <v>455.1</v>
      </c>
      <c r="AJ348" s="452">
        <v>455.1</v>
      </c>
      <c r="AK348" s="452">
        <v>455.1</v>
      </c>
      <c r="AL348" s="452">
        <v>455.1</v>
      </c>
      <c r="AM348" s="29">
        <f t="shared" ref="AM348:AX348" si="1676">AL348</f>
        <v>455.1</v>
      </c>
      <c r="AN348" s="29">
        <f t="shared" si="1676"/>
        <v>455.1</v>
      </c>
      <c r="AO348" s="29">
        <f t="shared" si="1676"/>
        <v>455.1</v>
      </c>
      <c r="AP348" s="29">
        <f t="shared" si="1676"/>
        <v>455.1</v>
      </c>
      <c r="AQ348" s="29">
        <f t="shared" si="1676"/>
        <v>455.1</v>
      </c>
      <c r="AR348" s="29">
        <f t="shared" si="1676"/>
        <v>455.1</v>
      </c>
      <c r="AS348" s="29">
        <f t="shared" si="1676"/>
        <v>455.1</v>
      </c>
      <c r="AT348" s="29">
        <f t="shared" si="1676"/>
        <v>455.1</v>
      </c>
      <c r="AU348" s="29">
        <f t="shared" si="1676"/>
        <v>455.1</v>
      </c>
      <c r="AV348" s="29">
        <f t="shared" si="1676"/>
        <v>455.1</v>
      </c>
      <c r="AW348" s="29">
        <f t="shared" si="1676"/>
        <v>455.1</v>
      </c>
      <c r="AX348" s="29">
        <f t="shared" si="1676"/>
        <v>455.1</v>
      </c>
      <c r="AY348" s="29">
        <f t="shared" ref="AY348:AY350" si="1677">AX348</f>
        <v>455.1</v>
      </c>
      <c r="AZ348" s="29">
        <f t="shared" ref="AZ348:AZ350" si="1678">AY348</f>
        <v>455.1</v>
      </c>
      <c r="BA348" s="29">
        <f t="shared" ref="BA348:BA350" si="1679">AZ348</f>
        <v>455.1</v>
      </c>
      <c r="BB348" s="29">
        <f t="shared" ref="BB348:BB350" si="1680">BA348</f>
        <v>455.1</v>
      </c>
      <c r="BC348" s="29">
        <f t="shared" ref="BC348:BC350" si="1681">BB348</f>
        <v>455.1</v>
      </c>
      <c r="BD348" s="29">
        <f t="shared" ref="BD348:BD350" si="1682">BC348</f>
        <v>455.1</v>
      </c>
      <c r="BE348" s="29">
        <f t="shared" ref="BE348:BE350" si="1683">BD348</f>
        <v>455.1</v>
      </c>
      <c r="BF348" s="29">
        <f t="shared" ref="BF348:BF350" si="1684">BE348</f>
        <v>455.1</v>
      </c>
      <c r="BG348" s="29">
        <f t="shared" ref="BG348:BG350" si="1685">BF348</f>
        <v>455.1</v>
      </c>
      <c r="BH348" s="29">
        <f t="shared" ref="BH348:BH350" si="1686">BG348</f>
        <v>455.1</v>
      </c>
      <c r="BI348" s="29">
        <f t="shared" ref="BI348:BI350" si="1687">BH348</f>
        <v>455.1</v>
      </c>
      <c r="BJ348" s="29">
        <f t="shared" ref="BJ348:BJ350" si="1688">BI348</f>
        <v>455.1</v>
      </c>
      <c r="BK348" s="1"/>
      <c r="BL348" s="7">
        <v>276.3</v>
      </c>
      <c r="BM348" s="7">
        <v>276.2</v>
      </c>
      <c r="BN348" s="212">
        <f t="shared" si="1627"/>
        <v>276.2</v>
      </c>
      <c r="BO348" s="212">
        <f t="shared" si="1628"/>
        <v>276.2</v>
      </c>
      <c r="BP348" s="212">
        <f t="shared" si="1629"/>
        <v>276.2</v>
      </c>
      <c r="BQ348" s="212">
        <f t="shared" si="1630"/>
        <v>453.4</v>
      </c>
      <c r="BR348" s="212">
        <f t="shared" si="1631"/>
        <v>455.1</v>
      </c>
      <c r="BS348" s="212">
        <f t="shared" si="1632"/>
        <v>455.1</v>
      </c>
      <c r="BT348" s="212">
        <f t="shared" si="1633"/>
        <v>455.1</v>
      </c>
      <c r="BU348" s="212">
        <f t="shared" si="1634"/>
        <v>455.1</v>
      </c>
      <c r="BV348" s="212">
        <f t="shared" si="1635"/>
        <v>455.1</v>
      </c>
      <c r="BW348" s="212">
        <f t="shared" si="1636"/>
        <v>455.1</v>
      </c>
      <c r="BX348" s="212">
        <f t="shared" si="1637"/>
        <v>455.1</v>
      </c>
      <c r="BY348" s="212">
        <f t="shared" si="1638"/>
        <v>455.1</v>
      </c>
      <c r="BZ348" s="7"/>
      <c r="CA348" s="295"/>
    </row>
    <row r="349" spans="1:79" ht="12" customHeight="1">
      <c r="B349" s="2" t="s">
        <v>19</v>
      </c>
      <c r="C349" s="2"/>
      <c r="D349" s="2"/>
      <c r="E349" s="2"/>
      <c r="F349" s="2"/>
      <c r="G349" s="2"/>
      <c r="H349" s="2"/>
      <c r="I349" s="2"/>
      <c r="J349" s="2"/>
      <c r="K349" s="2"/>
      <c r="L349" s="2"/>
      <c r="M349" s="2"/>
      <c r="N349" s="2"/>
      <c r="O349" s="7">
        <f>392.7-O348</f>
        <v>116.5</v>
      </c>
      <c r="P349" s="7">
        <f>387-P348</f>
        <v>110.80000000000001</v>
      </c>
      <c r="Q349" s="7">
        <v>106.7</v>
      </c>
      <c r="R349" s="7">
        <v>102.6</v>
      </c>
      <c r="S349" s="7">
        <v>98.4</v>
      </c>
      <c r="T349" s="7">
        <v>94.1</v>
      </c>
      <c r="U349" s="7">
        <v>89.9</v>
      </c>
      <c r="V349" s="7">
        <v>85.9</v>
      </c>
      <c r="W349" s="7">
        <v>81.7</v>
      </c>
      <c r="X349" s="7">
        <v>77.400000000000006</v>
      </c>
      <c r="Y349" s="7">
        <v>73.2</v>
      </c>
      <c r="Z349" s="7">
        <v>68.900000000000006</v>
      </c>
      <c r="AA349" s="7">
        <v>65.3</v>
      </c>
      <c r="AB349" s="7">
        <v>61.6</v>
      </c>
      <c r="AC349" s="452">
        <v>175.7</v>
      </c>
      <c r="AD349" s="452">
        <v>170.3</v>
      </c>
      <c r="AE349" s="452">
        <v>165.5</v>
      </c>
      <c r="AF349" s="452">
        <v>160.6</v>
      </c>
      <c r="AG349" s="452">
        <v>155.80000000000001</v>
      </c>
      <c r="AH349" s="452">
        <v>150.19999999999999</v>
      </c>
      <c r="AI349" s="452">
        <v>217</v>
      </c>
      <c r="AJ349" s="452">
        <v>216.3</v>
      </c>
      <c r="AK349" s="452">
        <v>209.7</v>
      </c>
      <c r="AL349" s="452">
        <v>203</v>
      </c>
      <c r="AM349" s="29">
        <f t="shared" ref="AM349:AX349" si="1689">AL349</f>
        <v>203</v>
      </c>
      <c r="AN349" s="29">
        <f t="shared" si="1689"/>
        <v>203</v>
      </c>
      <c r="AO349" s="29">
        <f t="shared" si="1689"/>
        <v>203</v>
      </c>
      <c r="AP349" s="29">
        <f t="shared" si="1689"/>
        <v>203</v>
      </c>
      <c r="AQ349" s="29">
        <f t="shared" si="1689"/>
        <v>203</v>
      </c>
      <c r="AR349" s="29">
        <f t="shared" si="1689"/>
        <v>203</v>
      </c>
      <c r="AS349" s="29">
        <f t="shared" si="1689"/>
        <v>203</v>
      </c>
      <c r="AT349" s="29">
        <f t="shared" si="1689"/>
        <v>203</v>
      </c>
      <c r="AU349" s="29">
        <f t="shared" si="1689"/>
        <v>203</v>
      </c>
      <c r="AV349" s="29">
        <f t="shared" si="1689"/>
        <v>203</v>
      </c>
      <c r="AW349" s="29">
        <f t="shared" si="1689"/>
        <v>203</v>
      </c>
      <c r="AX349" s="29">
        <f t="shared" si="1689"/>
        <v>203</v>
      </c>
      <c r="AY349" s="29">
        <f t="shared" si="1677"/>
        <v>203</v>
      </c>
      <c r="AZ349" s="29">
        <f t="shared" si="1678"/>
        <v>203</v>
      </c>
      <c r="BA349" s="29">
        <f t="shared" si="1679"/>
        <v>203</v>
      </c>
      <c r="BB349" s="29">
        <f t="shared" si="1680"/>
        <v>203</v>
      </c>
      <c r="BC349" s="29">
        <f t="shared" si="1681"/>
        <v>203</v>
      </c>
      <c r="BD349" s="29">
        <f t="shared" si="1682"/>
        <v>203</v>
      </c>
      <c r="BE349" s="29">
        <f t="shared" si="1683"/>
        <v>203</v>
      </c>
      <c r="BF349" s="29">
        <f t="shared" si="1684"/>
        <v>203</v>
      </c>
      <c r="BG349" s="29">
        <f t="shared" si="1685"/>
        <v>203</v>
      </c>
      <c r="BH349" s="29">
        <f t="shared" si="1686"/>
        <v>203</v>
      </c>
      <c r="BI349" s="29">
        <f t="shared" si="1687"/>
        <v>203</v>
      </c>
      <c r="BJ349" s="29">
        <f t="shared" si="1688"/>
        <v>203</v>
      </c>
      <c r="BK349" s="1"/>
      <c r="BL349" s="7">
        <v>136.19999999999999</v>
      </c>
      <c r="BM349" s="7">
        <v>120.7</v>
      </c>
      <c r="BN349" s="212">
        <f t="shared" si="1627"/>
        <v>102.6</v>
      </c>
      <c r="BO349" s="212">
        <f t="shared" si="1628"/>
        <v>85.9</v>
      </c>
      <c r="BP349" s="212">
        <f t="shared" si="1629"/>
        <v>68.900000000000006</v>
      </c>
      <c r="BQ349" s="212">
        <f t="shared" si="1630"/>
        <v>170.3</v>
      </c>
      <c r="BR349" s="212">
        <f t="shared" si="1631"/>
        <v>150.19999999999999</v>
      </c>
      <c r="BS349" s="212">
        <f t="shared" si="1632"/>
        <v>203</v>
      </c>
      <c r="BT349" s="212">
        <f t="shared" si="1633"/>
        <v>203</v>
      </c>
      <c r="BU349" s="212">
        <f t="shared" si="1634"/>
        <v>203</v>
      </c>
      <c r="BV349" s="212">
        <f t="shared" si="1635"/>
        <v>203</v>
      </c>
      <c r="BW349" s="212">
        <f t="shared" si="1636"/>
        <v>203</v>
      </c>
      <c r="BX349" s="212">
        <f t="shared" si="1637"/>
        <v>203</v>
      </c>
      <c r="BY349" s="212">
        <f t="shared" si="1638"/>
        <v>203</v>
      </c>
      <c r="BZ349" s="7"/>
      <c r="CA349" s="295"/>
    </row>
    <row r="350" spans="1:79" ht="12" customHeight="1">
      <c r="B350" s="2" t="s">
        <v>36</v>
      </c>
      <c r="C350" s="2"/>
      <c r="D350" s="2"/>
      <c r="E350" s="2"/>
      <c r="F350" s="2"/>
      <c r="G350" s="2"/>
      <c r="H350" s="2"/>
      <c r="I350" s="2"/>
      <c r="J350" s="2"/>
      <c r="K350" s="2"/>
      <c r="L350" s="2"/>
      <c r="M350" s="2"/>
      <c r="N350" s="2"/>
      <c r="O350" s="7">
        <v>0</v>
      </c>
      <c r="P350" s="7">
        <v>3.8</v>
      </c>
      <c r="Q350" s="7">
        <v>9.6</v>
      </c>
      <c r="R350" s="7">
        <v>33.200000000000003</v>
      </c>
      <c r="S350" s="7">
        <v>30</v>
      </c>
      <c r="T350" s="7">
        <v>27.2</v>
      </c>
      <c r="U350" s="7">
        <v>33.9</v>
      </c>
      <c r="V350" s="7">
        <v>41.2</v>
      </c>
      <c r="W350" s="7">
        <v>42.4</v>
      </c>
      <c r="X350" s="7">
        <v>61.5</v>
      </c>
      <c r="Y350" s="7">
        <v>59.1</v>
      </c>
      <c r="Z350" s="7">
        <v>60.9</v>
      </c>
      <c r="AA350" s="7">
        <v>53.9</v>
      </c>
      <c r="AB350" s="7">
        <v>56.3</v>
      </c>
      <c r="AC350" s="452">
        <v>74.5</v>
      </c>
      <c r="AD350" s="452">
        <v>76.099999999999994</v>
      </c>
      <c r="AE350" s="452">
        <v>67.099999999999994</v>
      </c>
      <c r="AF350" s="452">
        <v>66.400000000000006</v>
      </c>
      <c r="AG350" s="452">
        <v>73</v>
      </c>
      <c r="AH350" s="452">
        <v>83.3</v>
      </c>
      <c r="AI350" s="452">
        <v>89.4</v>
      </c>
      <c r="AJ350" s="452">
        <v>93.4</v>
      </c>
      <c r="AK350" s="452">
        <v>93</v>
      </c>
      <c r="AL350" s="452">
        <v>90.5</v>
      </c>
      <c r="AM350" s="29">
        <f t="shared" ref="AM350:AX350" si="1690">AL350</f>
        <v>90.5</v>
      </c>
      <c r="AN350" s="29">
        <f t="shared" si="1690"/>
        <v>90.5</v>
      </c>
      <c r="AO350" s="29">
        <f t="shared" si="1690"/>
        <v>90.5</v>
      </c>
      <c r="AP350" s="29">
        <f t="shared" si="1690"/>
        <v>90.5</v>
      </c>
      <c r="AQ350" s="29">
        <f t="shared" si="1690"/>
        <v>90.5</v>
      </c>
      <c r="AR350" s="29">
        <f t="shared" si="1690"/>
        <v>90.5</v>
      </c>
      <c r="AS350" s="29">
        <f t="shared" si="1690"/>
        <v>90.5</v>
      </c>
      <c r="AT350" s="29">
        <f t="shared" si="1690"/>
        <v>90.5</v>
      </c>
      <c r="AU350" s="29">
        <f t="shared" si="1690"/>
        <v>90.5</v>
      </c>
      <c r="AV350" s="29">
        <f t="shared" si="1690"/>
        <v>90.5</v>
      </c>
      <c r="AW350" s="29">
        <f t="shared" si="1690"/>
        <v>90.5</v>
      </c>
      <c r="AX350" s="29">
        <f t="shared" si="1690"/>
        <v>90.5</v>
      </c>
      <c r="AY350" s="29">
        <f t="shared" si="1677"/>
        <v>90.5</v>
      </c>
      <c r="AZ350" s="29">
        <f t="shared" si="1678"/>
        <v>90.5</v>
      </c>
      <c r="BA350" s="29">
        <f t="shared" si="1679"/>
        <v>90.5</v>
      </c>
      <c r="BB350" s="29">
        <f t="shared" si="1680"/>
        <v>90.5</v>
      </c>
      <c r="BC350" s="29">
        <f t="shared" si="1681"/>
        <v>90.5</v>
      </c>
      <c r="BD350" s="29">
        <f t="shared" si="1682"/>
        <v>90.5</v>
      </c>
      <c r="BE350" s="29">
        <f t="shared" si="1683"/>
        <v>90.5</v>
      </c>
      <c r="BF350" s="29">
        <f t="shared" si="1684"/>
        <v>90.5</v>
      </c>
      <c r="BG350" s="29">
        <f t="shared" si="1685"/>
        <v>90.5</v>
      </c>
      <c r="BH350" s="29">
        <f t="shared" si="1686"/>
        <v>90.5</v>
      </c>
      <c r="BI350" s="29">
        <f t="shared" si="1687"/>
        <v>90.5</v>
      </c>
      <c r="BJ350" s="29">
        <f t="shared" si="1688"/>
        <v>90.5</v>
      </c>
      <c r="BK350" s="1"/>
      <c r="BL350" s="7">
        <v>0</v>
      </c>
      <c r="BM350" s="7">
        <v>0</v>
      </c>
      <c r="BN350" s="212">
        <f t="shared" si="1627"/>
        <v>33.200000000000003</v>
      </c>
      <c r="BO350" s="212">
        <f t="shared" si="1628"/>
        <v>41.2</v>
      </c>
      <c r="BP350" s="212">
        <f t="shared" si="1629"/>
        <v>60.9</v>
      </c>
      <c r="BQ350" s="212">
        <f t="shared" si="1630"/>
        <v>76.099999999999994</v>
      </c>
      <c r="BR350" s="212">
        <f t="shared" si="1631"/>
        <v>83.3</v>
      </c>
      <c r="BS350" s="212">
        <f t="shared" si="1632"/>
        <v>90.5</v>
      </c>
      <c r="BT350" s="212">
        <f t="shared" si="1633"/>
        <v>90.5</v>
      </c>
      <c r="BU350" s="212">
        <f t="shared" si="1634"/>
        <v>90.5</v>
      </c>
      <c r="BV350" s="212">
        <f t="shared" si="1635"/>
        <v>90.5</v>
      </c>
      <c r="BW350" s="212">
        <f t="shared" si="1636"/>
        <v>90.5</v>
      </c>
      <c r="BX350" s="212">
        <f t="shared" si="1637"/>
        <v>90.5</v>
      </c>
      <c r="BY350" s="212">
        <f t="shared" si="1638"/>
        <v>90.5</v>
      </c>
      <c r="BZ350" s="7"/>
      <c r="CA350" s="295"/>
    </row>
    <row r="351" spans="1:79" ht="12" customHeight="1">
      <c r="B351" s="2" t="s">
        <v>12</v>
      </c>
      <c r="C351" s="2"/>
      <c r="D351" s="2"/>
      <c r="E351" s="2"/>
      <c r="F351" s="2"/>
      <c r="G351" s="2"/>
      <c r="H351" s="2"/>
      <c r="I351" s="2"/>
      <c r="J351" s="2"/>
      <c r="K351" s="2"/>
      <c r="L351" s="2"/>
      <c r="M351" s="2"/>
      <c r="N351" s="2"/>
      <c r="O351" s="7">
        <v>29.1</v>
      </c>
      <c r="P351" s="7">
        <v>36.4</v>
      </c>
      <c r="Q351" s="7">
        <v>50.5</v>
      </c>
      <c r="R351" s="7">
        <f>6.3+2.2+67</f>
        <v>75.5</v>
      </c>
      <c r="S351" s="7">
        <f>2.6+23.2+60.7</f>
        <v>86.5</v>
      </c>
      <c r="T351" s="7">
        <f>1.6+63.6</f>
        <v>65.2</v>
      </c>
      <c r="U351" s="7">
        <f>0.9+67.2</f>
        <v>68.100000000000009</v>
      </c>
      <c r="V351" s="7">
        <f>0.6+70.3</f>
        <v>70.899999999999991</v>
      </c>
      <c r="W351" s="7">
        <f>0.9+76.9</f>
        <v>77.800000000000011</v>
      </c>
      <c r="X351" s="7">
        <f>0.5+82.1</f>
        <v>82.6</v>
      </c>
      <c r="Y351" s="7">
        <f>1.3+81.6</f>
        <v>82.899999999999991</v>
      </c>
      <c r="Z351" s="7">
        <f>91.8+0.8</f>
        <v>92.6</v>
      </c>
      <c r="AA351" s="7">
        <f>1.4+86.4</f>
        <v>87.800000000000011</v>
      </c>
      <c r="AB351" s="7">
        <f>1.7+91.4</f>
        <v>93.100000000000009</v>
      </c>
      <c r="AC351" s="452">
        <f>7.1+1.3+100.8</f>
        <v>109.2</v>
      </c>
      <c r="AD351" s="452">
        <f>1.5+88</f>
        <v>89.5</v>
      </c>
      <c r="AE351" s="452">
        <f>92.2+0.7</f>
        <v>92.9</v>
      </c>
      <c r="AF351" s="452">
        <f>0.3+105.8</f>
        <v>106.1</v>
      </c>
      <c r="AG351" s="452">
        <v>114.5</v>
      </c>
      <c r="AH351" s="452">
        <v>126.1</v>
      </c>
      <c r="AI351" s="452">
        <f>143.5+0.6</f>
        <v>144.1</v>
      </c>
      <c r="AJ351" s="452">
        <v>157.80000000000001</v>
      </c>
      <c r="AK351" s="452">
        <v>167.3</v>
      </c>
      <c r="AL351" s="452">
        <v>353.2</v>
      </c>
      <c r="AM351" s="29">
        <f t="shared" ref="AM351:AX351" si="1691">AM344*AM258</f>
        <v>369.83356119488786</v>
      </c>
      <c r="AN351" s="29">
        <f t="shared" ca="1" si="1691"/>
        <v>433.54091054826813</v>
      </c>
      <c r="AO351" s="29">
        <f t="shared" ca="1" si="1691"/>
        <v>451.85391005567504</v>
      </c>
      <c r="AP351" s="29">
        <f t="shared" ca="1" si="1691"/>
        <v>487.19197123756697</v>
      </c>
      <c r="AQ351" s="29">
        <f t="shared" ca="1" si="1691"/>
        <v>505.64138079157624</v>
      </c>
      <c r="AR351" s="29">
        <f t="shared" ca="1" si="1691"/>
        <v>536.3376020798413</v>
      </c>
      <c r="AS351" s="29">
        <f t="shared" ca="1" si="1691"/>
        <v>552.73748658787497</v>
      </c>
      <c r="AT351" s="29">
        <f t="shared" ca="1" si="1691"/>
        <v>582.42358311309715</v>
      </c>
      <c r="AU351" s="29">
        <f t="shared" ca="1" si="1691"/>
        <v>597.80170443245481</v>
      </c>
      <c r="AV351" s="29">
        <f t="shared" ca="1" si="1691"/>
        <v>626.45474081433645</v>
      </c>
      <c r="AW351" s="29">
        <f t="shared" ca="1" si="1691"/>
        <v>640.78957839072746</v>
      </c>
      <c r="AX351" s="29">
        <f t="shared" ca="1" si="1691"/>
        <v>668.38910914198198</v>
      </c>
      <c r="AY351" s="29">
        <f t="shared" ref="AY351:BJ351" ca="1" si="1692">AY344*AY258</f>
        <v>695.45422213570248</v>
      </c>
      <c r="AZ351" s="29">
        <f t="shared" ca="1" si="1692"/>
        <v>721.9798085129537</v>
      </c>
      <c r="BA351" s="29">
        <f t="shared" ca="1" si="1692"/>
        <v>747.96076022597458</v>
      </c>
      <c r="BB351" s="29">
        <f t="shared" ca="1" si="1692"/>
        <v>773.39197002582364</v>
      </c>
      <c r="BC351" s="29">
        <f t="shared" ca="1" si="1692"/>
        <v>798.27050496964523</v>
      </c>
      <c r="BD351" s="29">
        <f t="shared" ca="1" si="1692"/>
        <v>822.59123361400657</v>
      </c>
      <c r="BE351" s="29">
        <f t="shared" ca="1" si="1692"/>
        <v>846.34902570032887</v>
      </c>
      <c r="BF351" s="29">
        <f t="shared" ca="1" si="1692"/>
        <v>869.53875213689116</v>
      </c>
      <c r="BG351" s="29">
        <f t="shared" ca="1" si="1692"/>
        <v>892.15528498110962</v>
      </c>
      <c r="BH351" s="29">
        <f t="shared" ca="1" si="1692"/>
        <v>914.19349742209147</v>
      </c>
      <c r="BI351" s="29">
        <f t="shared" ca="1" si="1692"/>
        <v>935.64826376345536</v>
      </c>
      <c r="BJ351" s="29">
        <f t="shared" ca="1" si="1692"/>
        <v>956.51445940641736</v>
      </c>
      <c r="BK351" s="1"/>
      <c r="BL351" s="7">
        <f>11.6+29.6</f>
        <v>41.2</v>
      </c>
      <c r="BM351" s="7">
        <v>28.2</v>
      </c>
      <c r="BN351" s="29">
        <f t="shared" si="1627"/>
        <v>75.5</v>
      </c>
      <c r="BO351" s="29">
        <f t="shared" si="1628"/>
        <v>70.899999999999991</v>
      </c>
      <c r="BP351" s="29">
        <f t="shared" si="1629"/>
        <v>92.6</v>
      </c>
      <c r="BQ351" s="29">
        <f t="shared" si="1630"/>
        <v>89.5</v>
      </c>
      <c r="BR351" s="29">
        <f t="shared" si="1631"/>
        <v>126.1</v>
      </c>
      <c r="BS351" s="29">
        <f t="shared" si="1632"/>
        <v>353.2</v>
      </c>
      <c r="BT351" s="29">
        <f t="shared" ca="1" si="1633"/>
        <v>487.19197123756697</v>
      </c>
      <c r="BU351" s="29">
        <f t="shared" ca="1" si="1634"/>
        <v>582.42358311309715</v>
      </c>
      <c r="BV351" s="29">
        <f t="shared" ca="1" si="1635"/>
        <v>668.38910914198198</v>
      </c>
      <c r="BW351" s="29">
        <f t="shared" ca="1" si="1636"/>
        <v>773.39197002582364</v>
      </c>
      <c r="BX351" s="29">
        <f t="shared" ca="1" si="1637"/>
        <v>869.53875213689116</v>
      </c>
      <c r="BY351" s="29">
        <f t="shared" ca="1" si="1638"/>
        <v>956.51445940641736</v>
      </c>
      <c r="BZ351" s="7"/>
      <c r="CA351" s="295"/>
    </row>
    <row r="352" spans="1:79" ht="12" customHeight="1">
      <c r="B352" s="10" t="s">
        <v>20</v>
      </c>
      <c r="C352" s="10"/>
      <c r="D352" s="10"/>
      <c r="E352" s="10"/>
      <c r="F352" s="10"/>
      <c r="G352" s="10"/>
      <c r="H352" s="10"/>
      <c r="I352" s="10"/>
      <c r="J352" s="10"/>
      <c r="K352" s="10"/>
      <c r="L352" s="10"/>
      <c r="M352" s="10"/>
      <c r="N352" s="10"/>
      <c r="O352" s="11">
        <f t="shared" ref="O352:W352" ca="1" si="1693">SUM(O343:O351)</f>
        <v>986.80000000000007</v>
      </c>
      <c r="P352" s="11">
        <f t="shared" ca="1" si="1693"/>
        <v>1031.5999999999999</v>
      </c>
      <c r="Q352" s="11">
        <f t="shared" ca="1" si="1693"/>
        <v>1090.8</v>
      </c>
      <c r="R352" s="11">
        <f t="shared" ca="1" si="1693"/>
        <v>1210.9000000000001</v>
      </c>
      <c r="S352" s="11">
        <f t="shared" ca="1" si="1693"/>
        <v>1574.0000000000002</v>
      </c>
      <c r="T352" s="11">
        <f t="shared" ca="1" si="1693"/>
        <v>1519.8000000000002</v>
      </c>
      <c r="U352" s="11">
        <f t="shared" ca="1" si="1693"/>
        <v>1519.9000000000003</v>
      </c>
      <c r="V352" s="11">
        <f t="shared" ca="1" si="1693"/>
        <v>1506.8000000000002</v>
      </c>
      <c r="W352" s="11">
        <f t="shared" ca="1" si="1693"/>
        <v>1528.1000000000001</v>
      </c>
      <c r="X352" s="11">
        <f t="shared" ref="X352:AC352" ca="1" si="1694">SUM(X343:X351)</f>
        <v>1506.1000000000001</v>
      </c>
      <c r="Y352" s="11">
        <f t="shared" ca="1" si="1694"/>
        <v>1538.0000000000002</v>
      </c>
      <c r="Z352" s="11">
        <f t="shared" ca="1" si="1694"/>
        <v>1586.5000000000002</v>
      </c>
      <c r="AA352" s="11">
        <f t="shared" ca="1" si="1694"/>
        <v>1576.6000000000001</v>
      </c>
      <c r="AB352" s="11">
        <f t="shared" ca="1" si="1694"/>
        <v>1991.6999999999998</v>
      </c>
      <c r="AC352" s="11">
        <f t="shared" ca="1" si="1694"/>
        <v>2181.6000000000004</v>
      </c>
      <c r="AD352" s="11">
        <f t="shared" ref="AD352:AI352" ca="1" si="1695">SUM(AD343:AD351)</f>
        <v>2195.6000000000004</v>
      </c>
      <c r="AE352" s="11">
        <f t="shared" ca="1" si="1695"/>
        <v>2483.5</v>
      </c>
      <c r="AF352" s="11">
        <f t="shared" ca="1" si="1695"/>
        <v>2511.3000000000002</v>
      </c>
      <c r="AG352" s="11">
        <f t="shared" ca="1" si="1695"/>
        <v>2696.3000000000006</v>
      </c>
      <c r="AH352" s="11">
        <f t="shared" ca="1" si="1695"/>
        <v>2852.4</v>
      </c>
      <c r="AI352" s="11">
        <f t="shared" ca="1" si="1695"/>
        <v>3543.7999999999997</v>
      </c>
      <c r="AJ352" s="11">
        <f t="shared" ref="AJ352:AX352" ca="1" si="1696">SUM(AJ343:AJ351)</f>
        <v>3816.6000000000013</v>
      </c>
      <c r="AK352" s="11">
        <f t="shared" ref="AK352:AL352" ca="1" si="1697">SUM(AK343:AK351)</f>
        <v>3883.8</v>
      </c>
      <c r="AL352" s="11">
        <f t="shared" ca="1" si="1697"/>
        <v>4312.1000000000004</v>
      </c>
      <c r="AM352" s="11">
        <f t="shared" ca="1" si="1696"/>
        <v>4297.1114069457481</v>
      </c>
      <c r="AN352" s="11">
        <f t="shared" ca="1" si="1696"/>
        <v>4959.740271603474</v>
      </c>
      <c r="AO352" s="11">
        <f t="shared" ca="1" si="1696"/>
        <v>5180.4346129141295</v>
      </c>
      <c r="AP352" s="11">
        <f t="shared" ca="1" si="1696"/>
        <v>5418.9568949668192</v>
      </c>
      <c r="AQ352" s="11">
        <f t="shared" ca="1" si="1696"/>
        <v>5637.0791530903361</v>
      </c>
      <c r="AR352" s="11">
        <f t="shared" ca="1" si="1696"/>
        <v>5751.9843902359398</v>
      </c>
      <c r="AS352" s="11">
        <f t="shared" ca="1" si="1696"/>
        <v>5959.6107570579325</v>
      </c>
      <c r="AT352" s="11">
        <f t="shared" ca="1" si="1696"/>
        <v>6182.6872744757011</v>
      </c>
      <c r="AU352" s="11">
        <f t="shared" ca="1" si="1696"/>
        <v>6138.7806050414192</v>
      </c>
      <c r="AV352" s="11">
        <f t="shared" ca="1" si="1696"/>
        <v>6312.8472376654981</v>
      </c>
      <c r="AW352" s="11">
        <f t="shared" ca="1" si="1696"/>
        <v>6508.7308608318599</v>
      </c>
      <c r="AX352" s="11">
        <f t="shared" ca="1" si="1696"/>
        <v>6528.423014787978</v>
      </c>
      <c r="AY352" s="11">
        <f t="shared" ref="AY352:BJ352" ca="1" si="1698">SUM(AY343:AY351)</f>
        <v>6699.8952207436432</v>
      </c>
      <c r="AZ352" s="11">
        <f t="shared" ca="1" si="1698"/>
        <v>6859.2627580862027</v>
      </c>
      <c r="BA352" s="11">
        <f t="shared" ca="1" si="1698"/>
        <v>7054.3853566150901</v>
      </c>
      <c r="BB352" s="11">
        <f t="shared" ca="1" si="1698"/>
        <v>7253.7601225523349</v>
      </c>
      <c r="BC352" s="11">
        <f t="shared" ca="1" si="1698"/>
        <v>7265.2823653978967</v>
      </c>
      <c r="BD352" s="11">
        <f t="shared" ca="1" si="1698"/>
        <v>7376.8058024912352</v>
      </c>
      <c r="BE352" s="11">
        <f t="shared" ca="1" si="1698"/>
        <v>7476.5156953532642</v>
      </c>
      <c r="BF352" s="11">
        <f t="shared" ca="1" si="1698"/>
        <v>7665.4700467795219</v>
      </c>
      <c r="BG352" s="11">
        <f t="shared" ca="1" si="1698"/>
        <v>7640.7185933696173</v>
      </c>
      <c r="BH352" s="11">
        <f t="shared" ca="1" si="1698"/>
        <v>7705.3259650740047</v>
      </c>
      <c r="BI352" s="11">
        <f t="shared" ca="1" si="1698"/>
        <v>7758.3485261112892</v>
      </c>
      <c r="BJ352" s="11">
        <f t="shared" ca="1" si="1698"/>
        <v>7799.8459548513028</v>
      </c>
      <c r="BK352" s="78"/>
      <c r="BL352" s="11">
        <f t="shared" ref="BL352:BR352" si="1699">SUM(BL343:BL351)</f>
        <v>862.3</v>
      </c>
      <c r="BM352" s="11">
        <f t="shared" si="1699"/>
        <v>954.7</v>
      </c>
      <c r="BN352" s="11">
        <f t="shared" ca="1" si="1699"/>
        <v>1210.9000000000001</v>
      </c>
      <c r="BO352" s="11">
        <f t="shared" ca="1" si="1699"/>
        <v>1506.8000000000002</v>
      </c>
      <c r="BP352" s="11">
        <f t="shared" ca="1" si="1699"/>
        <v>1586.5000000000002</v>
      </c>
      <c r="BQ352" s="11">
        <f t="shared" ca="1" si="1699"/>
        <v>2195.6000000000004</v>
      </c>
      <c r="BR352" s="11">
        <f t="shared" ca="1" si="1699"/>
        <v>2852.4</v>
      </c>
      <c r="BS352" s="11">
        <f ca="1">SUM(BS343:BS351)</f>
        <v>4312.1000000000004</v>
      </c>
      <c r="BT352" s="11">
        <f ca="1">SUM(BT343:BT351)</f>
        <v>5418.9568949668192</v>
      </c>
      <c r="BU352" s="11">
        <f ca="1">SUM(BU343:BU351)</f>
        <v>6182.6872744757011</v>
      </c>
      <c r="BV352" s="11">
        <f ca="1">SUM(BV343:BV351)</f>
        <v>6528.423014787978</v>
      </c>
      <c r="BW352" s="11">
        <f t="shared" ref="BW352:BY352" ca="1" si="1700">SUM(BW343:BW351)</f>
        <v>7253.7601225523349</v>
      </c>
      <c r="BX352" s="11">
        <f t="shared" ca="1" si="1700"/>
        <v>7665.4700467795219</v>
      </c>
      <c r="BY352" s="11">
        <f t="shared" ca="1" si="1700"/>
        <v>7799.8459548513028</v>
      </c>
    </row>
    <row r="353" spans="2:79" ht="12" customHeight="1">
      <c r="O353" s="1"/>
    </row>
    <row r="354" spans="2:79" ht="12" customHeight="1">
      <c r="B354" s="2" t="s">
        <v>21</v>
      </c>
      <c r="C354" s="2"/>
      <c r="D354" s="2"/>
      <c r="E354" s="2"/>
      <c r="F354" s="2"/>
      <c r="G354" s="2"/>
      <c r="H354" s="2"/>
      <c r="I354" s="2"/>
      <c r="J354" s="2"/>
      <c r="K354" s="2"/>
      <c r="L354" s="2"/>
      <c r="M354" s="2"/>
      <c r="N354" s="2"/>
      <c r="O354" s="7">
        <v>13.5</v>
      </c>
      <c r="P354" s="7">
        <v>29.2</v>
      </c>
      <c r="Q354" s="7">
        <v>41.9</v>
      </c>
      <c r="R354" s="7">
        <v>37.1</v>
      </c>
      <c r="S354" s="7">
        <v>78.7</v>
      </c>
      <c r="T354" s="7">
        <v>59.3</v>
      </c>
      <c r="U354" s="7">
        <v>67.8</v>
      </c>
      <c r="V354" s="7">
        <v>66.8</v>
      </c>
      <c r="W354" s="7">
        <v>88.8</v>
      </c>
      <c r="X354" s="7">
        <v>83.9</v>
      </c>
      <c r="Y354" s="7">
        <v>100.2</v>
      </c>
      <c r="Z354" s="7">
        <v>69.900000000000006</v>
      </c>
      <c r="AA354" s="7">
        <v>67.099999999999994</v>
      </c>
      <c r="AB354" s="7">
        <v>90</v>
      </c>
      <c r="AC354" s="452">
        <v>116.3</v>
      </c>
      <c r="AD354" s="452">
        <v>136.6</v>
      </c>
      <c r="AE354" s="452">
        <v>196.2</v>
      </c>
      <c r="AF354" s="452">
        <v>163.69999999999999</v>
      </c>
      <c r="AG354" s="452">
        <v>214.6</v>
      </c>
      <c r="AH354" s="452">
        <v>227.1</v>
      </c>
      <c r="AI354" s="452">
        <v>268.2</v>
      </c>
      <c r="AJ354" s="452">
        <v>276</v>
      </c>
      <c r="AK354" s="452">
        <v>244.7</v>
      </c>
      <c r="AL354" s="452">
        <v>255.2</v>
      </c>
      <c r="AM354" s="29">
        <f t="shared" ref="AM354:AX354" si="1701">AM344*AM259</f>
        <v>267.21836018384874</v>
      </c>
      <c r="AN354" s="29">
        <f t="shared" ca="1" si="1701"/>
        <v>313.24926492615521</v>
      </c>
      <c r="AO354" s="29">
        <f t="shared" ca="1" si="1701"/>
        <v>326.48108110477989</v>
      </c>
      <c r="AP354" s="29">
        <f t="shared" ca="1" si="1701"/>
        <v>352.01413097346284</v>
      </c>
      <c r="AQ354" s="29">
        <f t="shared" ca="1" si="1701"/>
        <v>365.34450843151262</v>
      </c>
      <c r="AR354" s="29">
        <f t="shared" ca="1" si="1701"/>
        <v>387.52365812790345</v>
      </c>
      <c r="AS354" s="29">
        <f t="shared" ca="1" si="1701"/>
        <v>399.37317830471596</v>
      </c>
      <c r="AT354" s="29">
        <f t="shared" ca="1" si="1701"/>
        <v>420.82247568081078</v>
      </c>
      <c r="AU354" s="29">
        <f t="shared" ca="1" si="1701"/>
        <v>431.93373434643962</v>
      </c>
      <c r="AV354" s="29">
        <f t="shared" ca="1" si="1701"/>
        <v>452.63660774580592</v>
      </c>
      <c r="AW354" s="29">
        <f t="shared" ca="1" si="1701"/>
        <v>462.99405550768296</v>
      </c>
      <c r="AX354" s="29">
        <f t="shared" ca="1" si="1701"/>
        <v>482.93573231323268</v>
      </c>
      <c r="AY354" s="29">
        <f t="shared" ref="AY354:BJ354" ca="1" si="1702">AY344*AY259</f>
        <v>502.49127261900128</v>
      </c>
      <c r="AZ354" s="29">
        <f t="shared" ca="1" si="1702"/>
        <v>521.65698508636967</v>
      </c>
      <c r="BA354" s="29">
        <f t="shared" ca="1" si="1702"/>
        <v>540.42917896282188</v>
      </c>
      <c r="BB354" s="29">
        <f t="shared" ca="1" si="1702"/>
        <v>558.80416407301868</v>
      </c>
      <c r="BC354" s="29">
        <f t="shared" ca="1" si="1702"/>
        <v>576.77982125779567</v>
      </c>
      <c r="BD354" s="29">
        <f t="shared" ca="1" si="1702"/>
        <v>594.35244286040336</v>
      </c>
      <c r="BE354" s="29">
        <f t="shared" ca="1" si="1702"/>
        <v>611.51832208019221</v>
      </c>
      <c r="BF354" s="29">
        <f t="shared" ca="1" si="1702"/>
        <v>628.27375295961099</v>
      </c>
      <c r="BG354" s="29">
        <f t="shared" ca="1" si="1702"/>
        <v>644.61503037140199</v>
      </c>
      <c r="BH354" s="29">
        <f t="shared" ca="1" si="1702"/>
        <v>660.53845000599586</v>
      </c>
      <c r="BI354" s="29">
        <f t="shared" ca="1" si="1702"/>
        <v>676.04030835909907</v>
      </c>
      <c r="BJ354" s="29">
        <f t="shared" ca="1" si="1702"/>
        <v>691.11690271947248</v>
      </c>
      <c r="BK354" s="1"/>
      <c r="BL354" s="7">
        <v>11.5</v>
      </c>
      <c r="BM354" s="7">
        <v>22.2</v>
      </c>
      <c r="BN354" s="29">
        <f>R354</f>
        <v>37.1</v>
      </c>
      <c r="BO354" s="29">
        <f>V354</f>
        <v>66.8</v>
      </c>
      <c r="BP354" s="29">
        <f>Z354</f>
        <v>69.900000000000006</v>
      </c>
      <c r="BQ354" s="29">
        <f>AD354</f>
        <v>136.6</v>
      </c>
      <c r="BR354" s="29">
        <f t="shared" ref="BR354:BR363" si="1703">AH354</f>
        <v>227.1</v>
      </c>
      <c r="BS354" s="29">
        <f t="shared" ref="BS354:BS363" si="1704">AL354</f>
        <v>255.2</v>
      </c>
      <c r="BT354" s="29">
        <f t="shared" ref="BT354:BT363" ca="1" si="1705">AP354</f>
        <v>352.01413097346284</v>
      </c>
      <c r="BU354" s="29">
        <f t="shared" ref="BU354:BU363" ca="1" si="1706">AT354</f>
        <v>420.82247568081078</v>
      </c>
      <c r="BV354" s="29">
        <f t="shared" ref="BV354:BV363" ca="1" si="1707">AX354</f>
        <v>482.93573231323268</v>
      </c>
      <c r="BW354" s="29">
        <f t="shared" ref="BW354:BW363" ca="1" si="1708">BB354</f>
        <v>558.80416407301868</v>
      </c>
      <c r="BX354" s="29">
        <f t="shared" ref="BX354:BX363" ca="1" si="1709">BF354</f>
        <v>628.27375295961099</v>
      </c>
      <c r="BY354" s="29">
        <f t="shared" ref="BY354:BY363" ca="1" si="1710">BJ354</f>
        <v>691.11690271947248</v>
      </c>
    </row>
    <row r="355" spans="2:79" ht="12" customHeight="1">
      <c r="B355" s="2" t="s">
        <v>22</v>
      </c>
      <c r="C355" s="2"/>
      <c r="D355" s="2"/>
      <c r="E355" s="2"/>
      <c r="F355" s="2"/>
      <c r="G355" s="2"/>
      <c r="H355" s="2"/>
      <c r="I355" s="2"/>
      <c r="J355" s="2"/>
      <c r="K355" s="2"/>
      <c r="L355" s="2"/>
      <c r="M355" s="2"/>
      <c r="N355" s="2"/>
      <c r="O355" s="7">
        <v>48.8</v>
      </c>
      <c r="P355" s="7">
        <v>51.1</v>
      </c>
      <c r="Q355" s="7">
        <v>52.1</v>
      </c>
      <c r="R355" s="7">
        <v>52.8</v>
      </c>
      <c r="S355" s="7">
        <v>51.7</v>
      </c>
      <c r="T355" s="7">
        <v>52.8</v>
      </c>
      <c r="U355" s="7">
        <v>55.1</v>
      </c>
      <c r="V355" s="7">
        <v>55.9</v>
      </c>
      <c r="W355" s="7">
        <v>64.8</v>
      </c>
      <c r="X355" s="7">
        <v>66.7</v>
      </c>
      <c r="Y355" s="7">
        <v>66.099999999999994</v>
      </c>
      <c r="Z355" s="7">
        <v>65.7</v>
      </c>
      <c r="AA355" s="7">
        <v>65.5</v>
      </c>
      <c r="AB355" s="7">
        <v>66.5</v>
      </c>
      <c r="AC355" s="452">
        <v>74.099999999999994</v>
      </c>
      <c r="AD355" s="452">
        <v>78.7</v>
      </c>
      <c r="AE355" s="452">
        <v>76.400000000000006</v>
      </c>
      <c r="AF355" s="452">
        <v>71.7</v>
      </c>
      <c r="AG355" s="452">
        <v>72.5</v>
      </c>
      <c r="AH355" s="452">
        <v>76.7</v>
      </c>
      <c r="AI355" s="452">
        <v>93.3</v>
      </c>
      <c r="AJ355" s="452">
        <v>96.5</v>
      </c>
      <c r="AK355" s="452">
        <v>104.8</v>
      </c>
      <c r="AL355" s="452">
        <v>111.6</v>
      </c>
      <c r="AM355" s="29">
        <f t="shared" ref="AM355:AX355" si="1711">AM344*AM260</f>
        <v>116.85567788604043</v>
      </c>
      <c r="AN355" s="29">
        <f t="shared" ca="1" si="1711"/>
        <v>136.9851801166102</v>
      </c>
      <c r="AO355" s="29">
        <f t="shared" ca="1" si="1711"/>
        <v>142.77150725428464</v>
      </c>
      <c r="AP355" s="29">
        <f t="shared" ca="1" si="1711"/>
        <v>153.93721401504095</v>
      </c>
      <c r="AQ355" s="29">
        <f t="shared" ca="1" si="1711"/>
        <v>159.76664240186835</v>
      </c>
      <c r="AR355" s="29">
        <f t="shared" ca="1" si="1711"/>
        <v>169.46567494934962</v>
      </c>
      <c r="AS355" s="29">
        <f t="shared" ca="1" si="1711"/>
        <v>174.64751841225041</v>
      </c>
      <c r="AT355" s="29">
        <f t="shared" ca="1" si="1711"/>
        <v>184.02738356574642</v>
      </c>
      <c r="AU355" s="29">
        <f t="shared" ca="1" si="1711"/>
        <v>188.88638226121734</v>
      </c>
      <c r="AV355" s="29">
        <f t="shared" ca="1" si="1711"/>
        <v>197.93983316783675</v>
      </c>
      <c r="AW355" s="29">
        <f t="shared" ca="1" si="1711"/>
        <v>202.46918728314034</v>
      </c>
      <c r="AX355" s="29">
        <f t="shared" ca="1" si="1711"/>
        <v>211.18976381722871</v>
      </c>
      <c r="AY355" s="29">
        <f t="shared" ref="AY355:BJ355" ca="1" si="1712">AY344*AY260</f>
        <v>219.74148128636577</v>
      </c>
      <c r="AZ355" s="29">
        <f t="shared" ca="1" si="1712"/>
        <v>228.1227254531303</v>
      </c>
      <c r="BA355" s="29">
        <f t="shared" ca="1" si="1712"/>
        <v>236.33188233640647</v>
      </c>
      <c r="BB355" s="29">
        <f t="shared" ca="1" si="1712"/>
        <v>244.36733820747995</v>
      </c>
      <c r="BC355" s="29">
        <f t="shared" ca="1" si="1712"/>
        <v>252.22816634941222</v>
      </c>
      <c r="BD355" s="29">
        <f t="shared" ca="1" si="1712"/>
        <v>259.91274538879708</v>
      </c>
      <c r="BE355" s="29">
        <f t="shared" ca="1" si="1712"/>
        <v>267.41945432660447</v>
      </c>
      <c r="BF355" s="29">
        <f t="shared" ca="1" si="1712"/>
        <v>274.74667253249447</v>
      </c>
      <c r="BG355" s="29">
        <f t="shared" ca="1" si="1712"/>
        <v>281.8927797392181</v>
      </c>
      <c r="BH355" s="29">
        <f t="shared" ca="1" si="1712"/>
        <v>288.85615603710477</v>
      </c>
      <c r="BI355" s="29">
        <f t="shared" ca="1" si="1712"/>
        <v>295.63518186863422</v>
      </c>
      <c r="BJ355" s="29">
        <f t="shared" ca="1" si="1712"/>
        <v>302.22823802309222</v>
      </c>
      <c r="BK355" s="1"/>
      <c r="BL355" s="7">
        <v>46.6</v>
      </c>
      <c r="BM355" s="7">
        <v>49</v>
      </c>
      <c r="BN355" s="29">
        <f>R355</f>
        <v>52.8</v>
      </c>
      <c r="BO355" s="29">
        <f>V355</f>
        <v>55.9</v>
      </c>
      <c r="BP355" s="29">
        <f>Z355</f>
        <v>65.7</v>
      </c>
      <c r="BQ355" s="29">
        <f>AD355</f>
        <v>78.7</v>
      </c>
      <c r="BR355" s="29">
        <f t="shared" si="1703"/>
        <v>76.7</v>
      </c>
      <c r="BS355" s="29">
        <f t="shared" si="1704"/>
        <v>111.6</v>
      </c>
      <c r="BT355" s="29">
        <f t="shared" ca="1" si="1705"/>
        <v>153.93721401504095</v>
      </c>
      <c r="BU355" s="29">
        <f t="shared" ca="1" si="1706"/>
        <v>184.02738356574642</v>
      </c>
      <c r="BV355" s="29">
        <f t="shared" ca="1" si="1707"/>
        <v>211.18976381722871</v>
      </c>
      <c r="BW355" s="29">
        <f t="shared" ca="1" si="1708"/>
        <v>244.36733820747995</v>
      </c>
      <c r="BX355" s="29">
        <f t="shared" ca="1" si="1709"/>
        <v>274.74667253249447</v>
      </c>
      <c r="BY355" s="29">
        <f t="shared" ca="1" si="1710"/>
        <v>302.22823802309222</v>
      </c>
    </row>
    <row r="356" spans="2:79" ht="12" customHeight="1">
      <c r="B356" s="2" t="s">
        <v>23</v>
      </c>
      <c r="C356" s="2"/>
      <c r="D356" s="2"/>
      <c r="E356" s="2"/>
      <c r="F356" s="2"/>
      <c r="G356" s="2"/>
      <c r="H356" s="2"/>
      <c r="I356" s="2"/>
      <c r="J356" s="2"/>
      <c r="K356" s="2"/>
      <c r="L356" s="2"/>
      <c r="M356" s="2"/>
      <c r="N356" s="2"/>
      <c r="O356" s="7">
        <v>41.4</v>
      </c>
      <c r="P356" s="7">
        <v>39.299999999999997</v>
      </c>
      <c r="Q356" s="7">
        <v>38</v>
      </c>
      <c r="R356" s="7">
        <v>32.200000000000003</v>
      </c>
      <c r="S356" s="7">
        <v>31</v>
      </c>
      <c r="T356" s="7">
        <v>19.8</v>
      </c>
      <c r="U356" s="7">
        <v>18.8</v>
      </c>
      <c r="V356" s="7">
        <v>16.7</v>
      </c>
      <c r="W356" s="7">
        <v>15.5</v>
      </c>
      <c r="X356" s="7">
        <v>15</v>
      </c>
      <c r="Y356" s="7">
        <v>14.2</v>
      </c>
      <c r="Z356" s="7">
        <v>13.4</v>
      </c>
      <c r="AA356" s="7">
        <v>12.6</v>
      </c>
      <c r="AB356" s="7">
        <v>12.1</v>
      </c>
      <c r="AC356" s="452">
        <v>12.8</v>
      </c>
      <c r="AD356" s="452">
        <v>12.2</v>
      </c>
      <c r="AE356" s="452">
        <v>11.5</v>
      </c>
      <c r="AF356" s="452">
        <v>10.9</v>
      </c>
      <c r="AG356" s="452">
        <v>11.9</v>
      </c>
      <c r="AH356" s="452">
        <v>10.8</v>
      </c>
      <c r="AI356" s="452">
        <v>12.4</v>
      </c>
      <c r="AJ356" s="452">
        <v>11.7</v>
      </c>
      <c r="AK356" s="452">
        <v>10.9</v>
      </c>
      <c r="AL356" s="452">
        <v>10.1</v>
      </c>
      <c r="AM356" s="212">
        <f t="shared" ref="AM356:AX356" si="1713">+AM328</f>
        <v>10.1</v>
      </c>
      <c r="AN356" s="212">
        <f t="shared" si="1713"/>
        <v>10.1</v>
      </c>
      <c r="AO356" s="212">
        <f t="shared" si="1713"/>
        <v>10.1</v>
      </c>
      <c r="AP356" s="212">
        <f t="shared" si="1713"/>
        <v>10.1</v>
      </c>
      <c r="AQ356" s="212">
        <f t="shared" si="1713"/>
        <v>10.1</v>
      </c>
      <c r="AR356" s="212">
        <f t="shared" si="1713"/>
        <v>10.1</v>
      </c>
      <c r="AS356" s="212">
        <f t="shared" si="1713"/>
        <v>10.1</v>
      </c>
      <c r="AT356" s="212">
        <f t="shared" si="1713"/>
        <v>10.1</v>
      </c>
      <c r="AU356" s="212">
        <f t="shared" si="1713"/>
        <v>10.1</v>
      </c>
      <c r="AV356" s="212">
        <f t="shared" si="1713"/>
        <v>10.1</v>
      </c>
      <c r="AW356" s="212">
        <f t="shared" si="1713"/>
        <v>10.1</v>
      </c>
      <c r="AX356" s="212">
        <f t="shared" si="1713"/>
        <v>10.1</v>
      </c>
      <c r="AY356" s="212">
        <f t="shared" ref="AY356:BJ356" si="1714">+AY328</f>
        <v>10.1</v>
      </c>
      <c r="AZ356" s="212">
        <f t="shared" si="1714"/>
        <v>10.1</v>
      </c>
      <c r="BA356" s="212">
        <f t="shared" si="1714"/>
        <v>10.1</v>
      </c>
      <c r="BB356" s="212">
        <f t="shared" si="1714"/>
        <v>10.1</v>
      </c>
      <c r="BC356" s="212">
        <f t="shared" si="1714"/>
        <v>10.1</v>
      </c>
      <c r="BD356" s="212">
        <f t="shared" si="1714"/>
        <v>10.1</v>
      </c>
      <c r="BE356" s="212">
        <f t="shared" si="1714"/>
        <v>10.1</v>
      </c>
      <c r="BF356" s="212">
        <f t="shared" si="1714"/>
        <v>10.1</v>
      </c>
      <c r="BG356" s="212">
        <f t="shared" si="1714"/>
        <v>10.1</v>
      </c>
      <c r="BH356" s="212">
        <f t="shared" si="1714"/>
        <v>10.1</v>
      </c>
      <c r="BI356" s="212">
        <f t="shared" si="1714"/>
        <v>10.1</v>
      </c>
      <c r="BJ356" s="212">
        <f t="shared" si="1714"/>
        <v>10.1</v>
      </c>
      <c r="BK356" s="1"/>
      <c r="BL356" s="7">
        <v>38.4</v>
      </c>
      <c r="BM356" s="7">
        <v>42.9</v>
      </c>
      <c r="BN356" s="29">
        <f>R356</f>
        <v>32.200000000000003</v>
      </c>
      <c r="BO356" s="29">
        <f>V356</f>
        <v>16.7</v>
      </c>
      <c r="BP356" s="29">
        <f>Z356</f>
        <v>13.4</v>
      </c>
      <c r="BQ356" s="29">
        <f>AD356</f>
        <v>12.2</v>
      </c>
      <c r="BR356" s="29">
        <f t="shared" si="1703"/>
        <v>10.8</v>
      </c>
      <c r="BS356" s="29">
        <f t="shared" si="1704"/>
        <v>10.1</v>
      </c>
      <c r="BT356" s="29">
        <f t="shared" si="1705"/>
        <v>10.1</v>
      </c>
      <c r="BU356" s="29">
        <f t="shared" si="1706"/>
        <v>10.1</v>
      </c>
      <c r="BV356" s="29">
        <f t="shared" si="1707"/>
        <v>10.1</v>
      </c>
      <c r="BW356" s="29">
        <f t="shared" si="1708"/>
        <v>10.1</v>
      </c>
      <c r="BX356" s="29">
        <f t="shared" si="1709"/>
        <v>10.1</v>
      </c>
      <c r="BY356" s="29">
        <f t="shared" si="1710"/>
        <v>10.1</v>
      </c>
    </row>
    <row r="357" spans="2:79" ht="12" customHeight="1">
      <c r="B357" s="2" t="s">
        <v>12</v>
      </c>
      <c r="C357" s="2"/>
      <c r="D357" s="2"/>
      <c r="E357" s="2"/>
      <c r="F357" s="2"/>
      <c r="G357" s="2"/>
      <c r="H357" s="2"/>
      <c r="I357" s="2"/>
      <c r="J357" s="2"/>
      <c r="K357" s="2"/>
      <c r="L357" s="2"/>
      <c r="M357" s="2"/>
      <c r="N357" s="2"/>
      <c r="O357" s="7">
        <v>0</v>
      </c>
      <c r="P357" s="7">
        <v>1.6</v>
      </c>
      <c r="Q357" s="7">
        <v>0</v>
      </c>
      <c r="R357" s="7">
        <f>2.9</f>
        <v>2.9</v>
      </c>
      <c r="S357" s="7">
        <f>8.2</f>
        <v>8.1999999999999993</v>
      </c>
      <c r="T357" s="7">
        <f>7.7</f>
        <v>7.7</v>
      </c>
      <c r="U357" s="7">
        <v>7</v>
      </c>
      <c r="V357" s="7">
        <v>8.5</v>
      </c>
      <c r="W357" s="7">
        <v>10.8</v>
      </c>
      <c r="X357" s="7">
        <v>7.4</v>
      </c>
      <c r="Y357" s="7">
        <v>7.4</v>
      </c>
      <c r="Z357" s="7">
        <v>7.3</v>
      </c>
      <c r="AA357" s="7">
        <v>9.1</v>
      </c>
      <c r="AB357" s="7">
        <v>174.9</v>
      </c>
      <c r="AC357" s="452">
        <v>2.7</v>
      </c>
      <c r="AD357" s="452"/>
      <c r="AE357" s="452"/>
      <c r="AF357" s="452"/>
      <c r="AG357" s="452"/>
      <c r="AH357" s="452"/>
      <c r="AI357" s="452"/>
      <c r="AJ357" s="452"/>
      <c r="AK357" s="452"/>
      <c r="AL357" s="452"/>
      <c r="AM357" s="29">
        <f t="shared" ref="AM357:AX357" si="1715">AL357</f>
        <v>0</v>
      </c>
      <c r="AN357" s="29">
        <f t="shared" si="1715"/>
        <v>0</v>
      </c>
      <c r="AO357" s="29">
        <f t="shared" si="1715"/>
        <v>0</v>
      </c>
      <c r="AP357" s="29">
        <f t="shared" si="1715"/>
        <v>0</v>
      </c>
      <c r="AQ357" s="29">
        <f t="shared" si="1715"/>
        <v>0</v>
      </c>
      <c r="AR357" s="29">
        <f t="shared" si="1715"/>
        <v>0</v>
      </c>
      <c r="AS357" s="29">
        <f t="shared" si="1715"/>
        <v>0</v>
      </c>
      <c r="AT357" s="29">
        <f t="shared" si="1715"/>
        <v>0</v>
      </c>
      <c r="AU357" s="29">
        <f t="shared" si="1715"/>
        <v>0</v>
      </c>
      <c r="AV357" s="29">
        <f t="shared" si="1715"/>
        <v>0</v>
      </c>
      <c r="AW357" s="29">
        <f t="shared" si="1715"/>
        <v>0</v>
      </c>
      <c r="AX357" s="29">
        <f t="shared" si="1715"/>
        <v>0</v>
      </c>
      <c r="AY357" s="29">
        <f t="shared" ref="AY357" si="1716">AX357</f>
        <v>0</v>
      </c>
      <c r="AZ357" s="29">
        <f t="shared" ref="AZ357" si="1717">AY357</f>
        <v>0</v>
      </c>
      <c r="BA357" s="29">
        <f t="shared" ref="BA357" si="1718">AZ357</f>
        <v>0</v>
      </c>
      <c r="BB357" s="29">
        <f t="shared" ref="BB357" si="1719">BA357</f>
        <v>0</v>
      </c>
      <c r="BC357" s="29">
        <f t="shared" ref="BC357" si="1720">BB357</f>
        <v>0</v>
      </c>
      <c r="BD357" s="29">
        <f t="shared" ref="BD357" si="1721">BC357</f>
        <v>0</v>
      </c>
      <c r="BE357" s="29">
        <f t="shared" ref="BE357" si="1722">BD357</f>
        <v>0</v>
      </c>
      <c r="BF357" s="29">
        <f t="shared" ref="BF357" si="1723">BE357</f>
        <v>0</v>
      </c>
      <c r="BG357" s="29">
        <f t="shared" ref="BG357" si="1724">BF357</f>
        <v>0</v>
      </c>
      <c r="BH357" s="29">
        <f t="shared" ref="BH357" si="1725">BG357</f>
        <v>0</v>
      </c>
      <c r="BI357" s="29">
        <f t="shared" ref="BI357" si="1726">BH357</f>
        <v>0</v>
      </c>
      <c r="BJ357" s="29">
        <f t="shared" ref="BJ357" si="1727">BI357</f>
        <v>0</v>
      </c>
      <c r="BL357" s="7">
        <v>1.9</v>
      </c>
      <c r="BM357" s="7">
        <v>0.7</v>
      </c>
      <c r="BN357" s="29">
        <f>R357</f>
        <v>2.9</v>
      </c>
      <c r="BO357" s="29">
        <f>V357</f>
        <v>8.5</v>
      </c>
      <c r="BP357" s="29">
        <f>Z357</f>
        <v>7.3</v>
      </c>
      <c r="BQ357" s="29">
        <f>AD357</f>
        <v>0</v>
      </c>
      <c r="BR357" s="29">
        <f t="shared" si="1703"/>
        <v>0</v>
      </c>
      <c r="BS357" s="29">
        <f t="shared" si="1704"/>
        <v>0</v>
      </c>
      <c r="BT357" s="29">
        <f t="shared" si="1705"/>
        <v>0</v>
      </c>
      <c r="BU357" s="29">
        <f t="shared" si="1706"/>
        <v>0</v>
      </c>
      <c r="BV357" s="29">
        <f t="shared" si="1707"/>
        <v>0</v>
      </c>
      <c r="BW357" s="29">
        <f t="shared" si="1708"/>
        <v>0</v>
      </c>
      <c r="BX357" s="29">
        <f t="shared" si="1709"/>
        <v>0</v>
      </c>
      <c r="BY357" s="29">
        <f t="shared" si="1710"/>
        <v>0</v>
      </c>
    </row>
    <row r="358" spans="2:79" ht="12" customHeight="1">
      <c r="B358" s="459" t="s">
        <v>572</v>
      </c>
      <c r="C358" s="12"/>
      <c r="D358" s="12"/>
      <c r="E358" s="12"/>
      <c r="F358" s="12"/>
      <c r="G358" s="12"/>
      <c r="H358" s="12"/>
      <c r="I358" s="12"/>
      <c r="J358" s="12"/>
      <c r="K358" s="12"/>
      <c r="L358" s="12"/>
      <c r="M358" s="12"/>
      <c r="N358" s="12"/>
      <c r="O358" s="7">
        <v>524.20000000000005</v>
      </c>
      <c r="P358" s="7">
        <v>561.5</v>
      </c>
      <c r="Q358" s="7">
        <v>612.1</v>
      </c>
      <c r="R358" s="7"/>
      <c r="S358" s="7"/>
      <c r="T358" s="7"/>
      <c r="U358" s="7"/>
      <c r="V358" s="7"/>
      <c r="W358" s="7"/>
      <c r="X358" s="7"/>
      <c r="Y358" s="7"/>
      <c r="Z358" s="7"/>
      <c r="AA358" s="7"/>
      <c r="AB358" s="7"/>
      <c r="AC358" s="7"/>
      <c r="AD358" s="7"/>
      <c r="AE358" s="7"/>
      <c r="AF358" s="7"/>
      <c r="AG358" s="7"/>
      <c r="AH358" s="7"/>
      <c r="AI358" s="7"/>
      <c r="AJ358" s="7"/>
      <c r="AK358" s="7"/>
      <c r="AL358" s="7"/>
      <c r="AM358" s="1">
        <f t="shared" ref="AM358:AX358" si="1728">AM298</f>
        <v>0</v>
      </c>
      <c r="AN358" s="1">
        <f t="shared" si="1728"/>
        <v>0</v>
      </c>
      <c r="AO358" s="1">
        <f t="shared" si="1728"/>
        <v>0</v>
      </c>
      <c r="AP358" s="1">
        <f t="shared" si="1728"/>
        <v>0</v>
      </c>
      <c r="AQ358" s="1">
        <f t="shared" si="1728"/>
        <v>0</v>
      </c>
      <c r="AR358" s="1">
        <f t="shared" si="1728"/>
        <v>0</v>
      </c>
      <c r="AS358" s="1">
        <f t="shared" si="1728"/>
        <v>0</v>
      </c>
      <c r="AT358" s="1">
        <f t="shared" si="1728"/>
        <v>0</v>
      </c>
      <c r="AU358" s="1">
        <f t="shared" si="1728"/>
        <v>0</v>
      </c>
      <c r="AV358" s="1">
        <f t="shared" si="1728"/>
        <v>0</v>
      </c>
      <c r="AW358" s="1">
        <f t="shared" si="1728"/>
        <v>0</v>
      </c>
      <c r="AX358" s="1">
        <f t="shared" si="1728"/>
        <v>0</v>
      </c>
      <c r="AY358" s="1">
        <f t="shared" ref="AY358:BJ358" si="1729">AY298</f>
        <v>0</v>
      </c>
      <c r="AZ358" s="1">
        <f t="shared" si="1729"/>
        <v>0</v>
      </c>
      <c r="BA358" s="1">
        <f t="shared" si="1729"/>
        <v>0</v>
      </c>
      <c r="BB358" s="1">
        <f t="shared" si="1729"/>
        <v>0</v>
      </c>
      <c r="BC358" s="1">
        <f t="shared" si="1729"/>
        <v>0</v>
      </c>
      <c r="BD358" s="1">
        <f t="shared" si="1729"/>
        <v>0</v>
      </c>
      <c r="BE358" s="1">
        <f t="shared" si="1729"/>
        <v>0</v>
      </c>
      <c r="BF358" s="1">
        <f t="shared" si="1729"/>
        <v>0</v>
      </c>
      <c r="BG358" s="1">
        <f t="shared" si="1729"/>
        <v>0</v>
      </c>
      <c r="BH358" s="1">
        <f t="shared" si="1729"/>
        <v>0</v>
      </c>
      <c r="BI358" s="1">
        <f t="shared" si="1729"/>
        <v>0</v>
      </c>
      <c r="BJ358" s="1">
        <f t="shared" si="1729"/>
        <v>0</v>
      </c>
      <c r="BL358" s="7">
        <v>413.6</v>
      </c>
      <c r="BM358" s="7">
        <v>480.2</v>
      </c>
      <c r="BN358" s="1">
        <f t="shared" ref="BN358:BN363" si="1730">R358</f>
        <v>0</v>
      </c>
      <c r="BO358" s="1">
        <f t="shared" ref="BO358:BO363" si="1731">V358</f>
        <v>0</v>
      </c>
      <c r="BP358" s="1">
        <f t="shared" ref="BP358:BP363" si="1732">Z358</f>
        <v>0</v>
      </c>
      <c r="BQ358" s="1">
        <f t="shared" ref="BQ358:BQ363" si="1733">AD358</f>
        <v>0</v>
      </c>
      <c r="BR358" s="1">
        <f t="shared" si="1703"/>
        <v>0</v>
      </c>
      <c r="BS358" s="1">
        <f t="shared" si="1704"/>
        <v>0</v>
      </c>
      <c r="BT358" s="1">
        <f t="shared" si="1705"/>
        <v>0</v>
      </c>
      <c r="BU358" s="1">
        <f t="shared" si="1706"/>
        <v>0</v>
      </c>
      <c r="BV358" s="1">
        <f t="shared" si="1707"/>
        <v>0</v>
      </c>
      <c r="BW358" s="1">
        <f t="shared" si="1708"/>
        <v>0</v>
      </c>
      <c r="BX358" s="1">
        <f t="shared" si="1709"/>
        <v>0</v>
      </c>
      <c r="BY358" s="1">
        <f t="shared" si="1710"/>
        <v>0</v>
      </c>
      <c r="BZ358" s="7"/>
      <c r="CA358" s="295"/>
    </row>
    <row r="359" spans="2:79" ht="12" customHeight="1">
      <c r="B359" s="459" t="s">
        <v>573</v>
      </c>
      <c r="C359" s="12"/>
      <c r="D359" s="12"/>
      <c r="E359" s="12"/>
      <c r="F359" s="12"/>
      <c r="G359" s="12"/>
      <c r="H359" s="12"/>
      <c r="I359" s="12"/>
      <c r="J359" s="12"/>
      <c r="K359" s="12"/>
      <c r="L359" s="12"/>
      <c r="M359" s="12"/>
      <c r="N359" s="12"/>
      <c r="O359" s="1"/>
      <c r="Q359" s="1"/>
      <c r="R359" s="7">
        <v>525</v>
      </c>
      <c r="S359" s="7">
        <v>525</v>
      </c>
      <c r="T359" s="7">
        <v>525</v>
      </c>
      <c r="U359" s="7">
        <v>525</v>
      </c>
      <c r="V359" s="7">
        <v>525</v>
      </c>
      <c r="W359" s="7">
        <v>525</v>
      </c>
      <c r="X359" s="7">
        <v>525</v>
      </c>
      <c r="Y359" s="7">
        <v>555</v>
      </c>
      <c r="Z359" s="7">
        <v>659.8</v>
      </c>
      <c r="AA359" s="7">
        <v>679.8</v>
      </c>
      <c r="AB359" s="7">
        <v>729.8</v>
      </c>
      <c r="AC359" s="452">
        <v>982.7</v>
      </c>
      <c r="AD359" s="452">
        <v>996.5</v>
      </c>
      <c r="AE359" s="452">
        <v>1010.3</v>
      </c>
      <c r="AF359" s="452">
        <v>1096.2</v>
      </c>
      <c r="AG359" s="452">
        <v>1065.7</v>
      </c>
      <c r="AH359" s="452">
        <v>1240.0999999999999</v>
      </c>
      <c r="AI359" s="452">
        <v>1731.8</v>
      </c>
      <c r="AJ359" s="452">
        <v>1832.5</v>
      </c>
      <c r="AK359" s="452">
        <v>2013.7</v>
      </c>
      <c r="AL359" s="452">
        <v>2089.4</v>
      </c>
      <c r="AM359" s="1">
        <f t="shared" ref="AM359:AX359" si="1734">+AM316+AM324+AM308+AM312</f>
        <v>2089.4</v>
      </c>
      <c r="AN359" s="1">
        <f t="shared" si="1734"/>
        <v>2089.4</v>
      </c>
      <c r="AO359" s="1">
        <f t="shared" si="1734"/>
        <v>2089.4</v>
      </c>
      <c r="AP359" s="1">
        <f t="shared" si="1734"/>
        <v>2089.4</v>
      </c>
      <c r="AQ359" s="1">
        <f t="shared" si="1734"/>
        <v>2089.4</v>
      </c>
      <c r="AR359" s="1">
        <f t="shared" si="1734"/>
        <v>2089.4</v>
      </c>
      <c r="AS359" s="1">
        <f t="shared" si="1734"/>
        <v>2089.4</v>
      </c>
      <c r="AT359" s="1">
        <f t="shared" si="1734"/>
        <v>2089.4</v>
      </c>
      <c r="AU359" s="1">
        <f t="shared" si="1734"/>
        <v>2089.4</v>
      </c>
      <c r="AV359" s="1">
        <f t="shared" si="1734"/>
        <v>2089.4</v>
      </c>
      <c r="AW359" s="1">
        <f t="shared" si="1734"/>
        <v>2089.4</v>
      </c>
      <c r="AX359" s="1">
        <f t="shared" si="1734"/>
        <v>2089.4</v>
      </c>
      <c r="AY359" s="1">
        <f t="shared" ref="AY359:BJ359" si="1735">+AY316+AY324+AY308+AY312</f>
        <v>2089.4</v>
      </c>
      <c r="AZ359" s="1">
        <f t="shared" si="1735"/>
        <v>2089.4</v>
      </c>
      <c r="BA359" s="1">
        <f t="shared" si="1735"/>
        <v>2089.4</v>
      </c>
      <c r="BB359" s="1">
        <f t="shared" si="1735"/>
        <v>2089.4</v>
      </c>
      <c r="BC359" s="1">
        <f t="shared" si="1735"/>
        <v>2089.4</v>
      </c>
      <c r="BD359" s="1">
        <f t="shared" si="1735"/>
        <v>2089.4</v>
      </c>
      <c r="BE359" s="1">
        <f t="shared" si="1735"/>
        <v>2089.4</v>
      </c>
      <c r="BF359" s="1">
        <f t="shared" si="1735"/>
        <v>2089.4</v>
      </c>
      <c r="BG359" s="1">
        <f t="shared" si="1735"/>
        <v>2089.4</v>
      </c>
      <c r="BH359" s="1">
        <f t="shared" si="1735"/>
        <v>2089.4</v>
      </c>
      <c r="BI359" s="1">
        <f t="shared" si="1735"/>
        <v>2089.4</v>
      </c>
      <c r="BJ359" s="1">
        <f t="shared" si="1735"/>
        <v>2089.4</v>
      </c>
      <c r="BL359" s="1" t="e">
        <f>#REF!+#REF!+BL360</f>
        <v>#REF!</v>
      </c>
      <c r="BM359" s="1" t="e">
        <f>#REF!+#REF!+BM360</f>
        <v>#REF!</v>
      </c>
      <c r="BN359" s="1">
        <f t="shared" si="1730"/>
        <v>525</v>
      </c>
      <c r="BO359" s="1">
        <f t="shared" si="1731"/>
        <v>525</v>
      </c>
      <c r="BP359" s="1">
        <f t="shared" si="1732"/>
        <v>659.8</v>
      </c>
      <c r="BQ359" s="1">
        <f t="shared" si="1733"/>
        <v>996.5</v>
      </c>
      <c r="BR359" s="1">
        <f t="shared" si="1703"/>
        <v>1240.0999999999999</v>
      </c>
      <c r="BS359" s="1">
        <f t="shared" si="1704"/>
        <v>2089.4</v>
      </c>
      <c r="BT359" s="1">
        <f t="shared" si="1705"/>
        <v>2089.4</v>
      </c>
      <c r="BU359" s="1">
        <f t="shared" si="1706"/>
        <v>2089.4</v>
      </c>
      <c r="BV359" s="1">
        <f t="shared" si="1707"/>
        <v>2089.4</v>
      </c>
      <c r="BW359" s="1">
        <f t="shared" si="1708"/>
        <v>2089.4</v>
      </c>
      <c r="BX359" s="1">
        <f t="shared" si="1709"/>
        <v>2089.4</v>
      </c>
      <c r="BY359" s="1">
        <f t="shared" si="1710"/>
        <v>2089.4</v>
      </c>
      <c r="BZ359" s="7"/>
      <c r="CA359" s="295"/>
    </row>
    <row r="360" spans="2:79" ht="12" customHeight="1">
      <c r="B360" s="459" t="s">
        <v>574</v>
      </c>
      <c r="C360" s="42"/>
      <c r="D360" s="42"/>
      <c r="E360" s="42"/>
      <c r="F360" s="42"/>
      <c r="G360" s="42"/>
      <c r="H360" s="42"/>
      <c r="I360" s="42"/>
      <c r="J360" s="42"/>
      <c r="K360" s="42"/>
      <c r="L360" s="42"/>
      <c r="M360" s="42"/>
      <c r="N360" s="42"/>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1">
        <f t="shared" ref="AM360:AX360" ca="1" si="1736">+AM320</f>
        <v>1.0835618570565657</v>
      </c>
      <c r="AN360" s="1">
        <f t="shared" ca="1" si="1736"/>
        <v>643.89108265562277</v>
      </c>
      <c r="AO360" s="1">
        <f t="shared" ca="1" si="1736"/>
        <v>643.89108265562277</v>
      </c>
      <c r="AP360" s="1">
        <f t="shared" ca="1" si="1736"/>
        <v>643.89108265562277</v>
      </c>
      <c r="AQ360" s="1">
        <f t="shared" ca="1" si="1736"/>
        <v>643.89108265562277</v>
      </c>
      <c r="AR360" s="1">
        <f t="shared" ca="1" si="1736"/>
        <v>786.06026035852074</v>
      </c>
      <c r="AS360" s="1">
        <f t="shared" ca="1" si="1736"/>
        <v>786.06026035852074</v>
      </c>
      <c r="AT360" s="1">
        <f t="shared" ca="1" si="1736"/>
        <v>786.06026035852074</v>
      </c>
      <c r="AU360" s="1">
        <f t="shared" ca="1" si="1736"/>
        <v>786.06026035852074</v>
      </c>
      <c r="AV360" s="1">
        <f t="shared" ca="1" si="1736"/>
        <v>998.84585203094821</v>
      </c>
      <c r="AW360" s="1">
        <f t="shared" ca="1" si="1736"/>
        <v>998.84585203094821</v>
      </c>
      <c r="AX360" s="1">
        <f t="shared" ca="1" si="1736"/>
        <v>1056.6762873560008</v>
      </c>
      <c r="AY360" s="1">
        <f t="shared" ref="AY360:BJ360" ca="1" si="1737">+AY320</f>
        <v>1269.5049428048915</v>
      </c>
      <c r="AZ360" s="1">
        <f t="shared" ca="1" si="1737"/>
        <v>1481.4223147304931</v>
      </c>
      <c r="BA360" s="1">
        <f t="shared" ca="1" si="1737"/>
        <v>1481.4223147304931</v>
      </c>
      <c r="BB360" s="1">
        <f t="shared" ca="1" si="1737"/>
        <v>1481.4223147304931</v>
      </c>
      <c r="BC360" s="1">
        <f t="shared" ca="1" si="1737"/>
        <v>1547.9455896045968</v>
      </c>
      <c r="BD360" s="1">
        <f t="shared" ca="1" si="1737"/>
        <v>1724.3992294518587</v>
      </c>
      <c r="BE360" s="1">
        <f t="shared" ca="1" si="1737"/>
        <v>1891.8705226297452</v>
      </c>
      <c r="BF360" s="1">
        <f t="shared" ca="1" si="1737"/>
        <v>1891.8705226297452</v>
      </c>
      <c r="BG360" s="1">
        <f t="shared" ca="1" si="1737"/>
        <v>1932.6809410463356</v>
      </c>
      <c r="BH360" s="1">
        <f t="shared" ca="1" si="1737"/>
        <v>2074.2446750052391</v>
      </c>
      <c r="BI360" s="1">
        <f t="shared" ca="1" si="1737"/>
        <v>2206.4574148832007</v>
      </c>
      <c r="BJ360" s="1">
        <f t="shared" ca="1" si="1737"/>
        <v>2319.7655091795687</v>
      </c>
      <c r="BL360" s="7"/>
      <c r="BM360" s="7"/>
      <c r="BN360" s="1">
        <f t="shared" si="1730"/>
        <v>0</v>
      </c>
      <c r="BO360" s="1">
        <f t="shared" si="1731"/>
        <v>0</v>
      </c>
      <c r="BP360" s="1">
        <f t="shared" si="1732"/>
        <v>0</v>
      </c>
      <c r="BQ360" s="1">
        <f t="shared" si="1733"/>
        <v>0</v>
      </c>
      <c r="BR360" s="1">
        <f t="shared" si="1703"/>
        <v>0</v>
      </c>
      <c r="BS360" s="1">
        <f t="shared" si="1704"/>
        <v>0</v>
      </c>
      <c r="BT360" s="1">
        <f t="shared" ca="1" si="1705"/>
        <v>643.89108265562277</v>
      </c>
      <c r="BU360" s="1">
        <f t="shared" ca="1" si="1706"/>
        <v>786.06026035852074</v>
      </c>
      <c r="BV360" s="1">
        <f t="shared" ca="1" si="1707"/>
        <v>1056.6762873560008</v>
      </c>
      <c r="BW360" s="1">
        <f t="shared" ca="1" si="1708"/>
        <v>1481.4223147304931</v>
      </c>
      <c r="BX360" s="1">
        <f t="shared" ca="1" si="1709"/>
        <v>1891.8705226297452</v>
      </c>
      <c r="BY360" s="1">
        <f t="shared" ca="1" si="1710"/>
        <v>2319.7655091795687</v>
      </c>
      <c r="BZ360" s="7"/>
      <c r="CA360" s="295"/>
    </row>
    <row r="361" spans="2:79" ht="12" customHeight="1">
      <c r="B361" s="12" t="s">
        <v>12</v>
      </c>
      <c r="C361" s="12"/>
      <c r="D361" s="12"/>
      <c r="E361" s="12"/>
      <c r="F361" s="12"/>
      <c r="G361" s="12"/>
      <c r="H361" s="12"/>
      <c r="I361" s="12"/>
      <c r="J361" s="12"/>
      <c r="K361" s="12"/>
      <c r="L361" s="12"/>
      <c r="M361" s="12"/>
      <c r="N361" s="12"/>
      <c r="O361" s="7">
        <v>48.5</v>
      </c>
      <c r="P361" s="7">
        <v>48.4</v>
      </c>
      <c r="Q361" s="7">
        <v>49.2</v>
      </c>
      <c r="R361" s="7">
        <v>60.8</v>
      </c>
      <c r="S361" s="7">
        <v>62.9</v>
      </c>
      <c r="T361" s="7">
        <v>54</v>
      </c>
      <c r="U361" s="7">
        <v>55.8</v>
      </c>
      <c r="V361" s="7">
        <v>56.3</v>
      </c>
      <c r="W361" s="7">
        <v>56.4</v>
      </c>
      <c r="X361" s="7">
        <v>57.1</v>
      </c>
      <c r="Y361" s="7">
        <v>55.1</v>
      </c>
      <c r="Z361" s="7">
        <v>53.4</v>
      </c>
      <c r="AA361" s="7">
        <v>51.3</v>
      </c>
      <c r="AB361" s="7">
        <v>52.8</v>
      </c>
      <c r="AC361" s="452">
        <v>151.9</v>
      </c>
      <c r="AD361" s="452">
        <v>150</v>
      </c>
      <c r="AE361" s="452">
        <v>147</v>
      </c>
      <c r="AF361" s="452">
        <v>144.30000000000001</v>
      </c>
      <c r="AG361" s="452">
        <v>141.9</v>
      </c>
      <c r="AH361" s="452">
        <v>135.69999999999999</v>
      </c>
      <c r="AI361" s="452">
        <v>134.5</v>
      </c>
      <c r="AJ361" s="452">
        <v>134</v>
      </c>
      <c r="AK361" s="452">
        <v>133.30000000000001</v>
      </c>
      <c r="AL361" s="452">
        <v>131.9</v>
      </c>
      <c r="AM361" s="29">
        <f t="shared" ref="AM361:AX361" si="1738">AL361</f>
        <v>131.9</v>
      </c>
      <c r="AN361" s="29">
        <f t="shared" si="1738"/>
        <v>131.9</v>
      </c>
      <c r="AO361" s="29">
        <f t="shared" si="1738"/>
        <v>131.9</v>
      </c>
      <c r="AP361" s="29">
        <f t="shared" si="1738"/>
        <v>131.9</v>
      </c>
      <c r="AQ361" s="29">
        <f t="shared" si="1738"/>
        <v>131.9</v>
      </c>
      <c r="AR361" s="29">
        <f t="shared" si="1738"/>
        <v>131.9</v>
      </c>
      <c r="AS361" s="29">
        <f t="shared" si="1738"/>
        <v>131.9</v>
      </c>
      <c r="AT361" s="29">
        <f t="shared" si="1738"/>
        <v>131.9</v>
      </c>
      <c r="AU361" s="29">
        <f t="shared" si="1738"/>
        <v>131.9</v>
      </c>
      <c r="AV361" s="29">
        <f t="shared" si="1738"/>
        <v>131.9</v>
      </c>
      <c r="AW361" s="29">
        <f t="shared" si="1738"/>
        <v>131.9</v>
      </c>
      <c r="AX361" s="29">
        <f t="shared" si="1738"/>
        <v>131.9</v>
      </c>
      <c r="AY361" s="29">
        <f t="shared" ref="AY361" si="1739">AX361</f>
        <v>131.9</v>
      </c>
      <c r="AZ361" s="29">
        <f t="shared" ref="AZ361" si="1740">AY361</f>
        <v>131.9</v>
      </c>
      <c r="BA361" s="29">
        <f t="shared" ref="BA361" si="1741">AZ361</f>
        <v>131.9</v>
      </c>
      <c r="BB361" s="29">
        <f t="shared" ref="BB361" si="1742">BA361</f>
        <v>131.9</v>
      </c>
      <c r="BC361" s="29">
        <f t="shared" ref="BC361" si="1743">BB361</f>
        <v>131.9</v>
      </c>
      <c r="BD361" s="29">
        <f t="shared" ref="BD361" si="1744">BC361</f>
        <v>131.9</v>
      </c>
      <c r="BE361" s="29">
        <f t="shared" ref="BE361" si="1745">BD361</f>
        <v>131.9</v>
      </c>
      <c r="BF361" s="29">
        <f t="shared" ref="BF361" si="1746">BE361</f>
        <v>131.9</v>
      </c>
      <c r="BG361" s="29">
        <f t="shared" ref="BG361" si="1747">BF361</f>
        <v>131.9</v>
      </c>
      <c r="BH361" s="29">
        <f t="shared" ref="BH361" si="1748">BG361</f>
        <v>131.9</v>
      </c>
      <c r="BI361" s="29">
        <f t="shared" ref="BI361" si="1749">BH361</f>
        <v>131.9</v>
      </c>
      <c r="BJ361" s="29">
        <f t="shared" ref="BJ361" si="1750">BI361</f>
        <v>131.9</v>
      </c>
      <c r="BL361" s="7">
        <v>32.5</v>
      </c>
      <c r="BM361" s="7">
        <f>48.2</f>
        <v>48.2</v>
      </c>
      <c r="BN361" s="29">
        <f t="shared" si="1730"/>
        <v>60.8</v>
      </c>
      <c r="BO361" s="29">
        <f t="shared" si="1731"/>
        <v>56.3</v>
      </c>
      <c r="BP361" s="29">
        <f t="shared" si="1732"/>
        <v>53.4</v>
      </c>
      <c r="BQ361" s="29">
        <f t="shared" si="1733"/>
        <v>150</v>
      </c>
      <c r="BR361" s="29">
        <f t="shared" si="1703"/>
        <v>135.69999999999999</v>
      </c>
      <c r="BS361" s="29">
        <f t="shared" si="1704"/>
        <v>131.9</v>
      </c>
      <c r="BT361" s="29">
        <f t="shared" si="1705"/>
        <v>131.9</v>
      </c>
      <c r="BU361" s="29">
        <f t="shared" si="1706"/>
        <v>131.9</v>
      </c>
      <c r="BV361" s="29">
        <f t="shared" si="1707"/>
        <v>131.9</v>
      </c>
      <c r="BW361" s="29">
        <f t="shared" si="1708"/>
        <v>131.9</v>
      </c>
      <c r="BX361" s="29">
        <f t="shared" si="1709"/>
        <v>131.9</v>
      </c>
      <c r="BY361" s="29">
        <f t="shared" si="1710"/>
        <v>131.9</v>
      </c>
    </row>
    <row r="362" spans="2:79" ht="12" customHeight="1">
      <c r="B362" s="2" t="s">
        <v>25</v>
      </c>
      <c r="C362" s="2"/>
      <c r="D362" s="2"/>
      <c r="E362" s="2"/>
      <c r="F362" s="2"/>
      <c r="G362" s="2"/>
      <c r="H362" s="2"/>
      <c r="I362" s="2"/>
      <c r="J362" s="2"/>
      <c r="K362" s="2"/>
      <c r="L362" s="2"/>
      <c r="M362" s="2"/>
      <c r="N362" s="2"/>
      <c r="O362" s="7">
        <v>310.39999999999998</v>
      </c>
      <c r="P362" s="7">
        <v>300.5</v>
      </c>
      <c r="Q362" s="7">
        <v>297.5</v>
      </c>
      <c r="R362" s="7">
        <f>7.1+493</f>
        <v>500.1</v>
      </c>
      <c r="S362" s="7">
        <f>0.2+335.7-3.9</f>
        <v>332</v>
      </c>
      <c r="T362" s="7">
        <f>0.2+337.5-9.7</f>
        <v>328</v>
      </c>
      <c r="U362" s="7">
        <f>0.2+339.4-14.2</f>
        <v>325.39999999999998</v>
      </c>
      <c r="V362" s="7">
        <f>0.2+340.7-18.9</f>
        <v>322</v>
      </c>
      <c r="W362" s="7">
        <f>0.2+342.9-23.5</f>
        <v>319.59999999999997</v>
      </c>
      <c r="X362" s="7">
        <f>0.4+511.1-32.7</f>
        <v>478.8</v>
      </c>
      <c r="Y362" s="7">
        <f>0.4+513.7-40.8</f>
        <v>473.3</v>
      </c>
      <c r="Z362" s="7">
        <f>0.4+516.5-55.9-0.3</f>
        <v>460.7</v>
      </c>
      <c r="AA362" s="7">
        <v>446.2</v>
      </c>
      <c r="AB362" s="7">
        <v>809.7</v>
      </c>
      <c r="AC362" s="452">
        <v>787.9</v>
      </c>
      <c r="AD362" s="452">
        <v>821.6</v>
      </c>
      <c r="AE362" s="452">
        <v>1042.0999999999999</v>
      </c>
      <c r="AF362" s="452">
        <v>1024.5</v>
      </c>
      <c r="AG362" s="452">
        <v>1189.7</v>
      </c>
      <c r="AH362" s="452">
        <v>1162</v>
      </c>
      <c r="AI362" s="452">
        <v>1303.5999999999999</v>
      </c>
      <c r="AJ362" s="452">
        <v>1465.9</v>
      </c>
      <c r="AK362" s="452">
        <v>1376.4</v>
      </c>
      <c r="AL362" s="452">
        <v>1713.9</v>
      </c>
      <c r="AM362" s="1">
        <f t="shared" ref="AM362:AX362" ca="1" si="1751">AL362+AM388+AM389+AM390+AM391+AM392+AM371+AM375</f>
        <v>1680.5538070188015</v>
      </c>
      <c r="AN362" s="1">
        <f t="shared" ca="1" si="1751"/>
        <v>1634.2147439050846</v>
      </c>
      <c r="AO362" s="1">
        <f t="shared" ca="1" si="1751"/>
        <v>1835.8909418994419</v>
      </c>
      <c r="AP362" s="1">
        <f t="shared" ca="1" si="1751"/>
        <v>2037.7144673226921</v>
      </c>
      <c r="AQ362" s="1">
        <f t="shared" ca="1" si="1751"/>
        <v>2236.676919601332</v>
      </c>
      <c r="AR362" s="1">
        <f t="shared" ca="1" si="1751"/>
        <v>2177.5347968001665</v>
      </c>
      <c r="AS362" s="1">
        <f t="shared" ca="1" si="1751"/>
        <v>2368.1297999824455</v>
      </c>
      <c r="AT362" s="1">
        <f t="shared" ca="1" si="1751"/>
        <v>2560.3771548706231</v>
      </c>
      <c r="AU362" s="1">
        <f t="shared" ca="1" si="1751"/>
        <v>2500.5002280752406</v>
      </c>
      <c r="AV362" s="1">
        <f t="shared" ca="1" si="1751"/>
        <v>2432.0249447209067</v>
      </c>
      <c r="AW362" s="1">
        <f t="shared" ca="1" si="1751"/>
        <v>2613.0217660100866</v>
      </c>
      <c r="AX362" s="1">
        <f t="shared" ca="1" si="1751"/>
        <v>2546.2212313015139</v>
      </c>
      <c r="AY362" s="1">
        <f t="shared" ref="AY362" ca="1" si="1752">AX362+AY388+AY389+AY390+AY391+AY392+AY371+AY375</f>
        <v>2476.7575240333831</v>
      </c>
      <c r="AZ362" s="1">
        <f t="shared" ref="AZ362" ca="1" si="1753">AY362+AZ388+AZ389+AZ390+AZ391+AZ392+AZ371+AZ375</f>
        <v>2396.6607328162067</v>
      </c>
      <c r="BA362" s="1">
        <f t="shared" ref="BA362" ca="1" si="1754">AZ362+BA388+BA389+BA390+BA391+BA392+BA371+BA375</f>
        <v>2564.8019805853669</v>
      </c>
      <c r="BB362" s="1">
        <f t="shared" ref="BB362" ca="1" si="1755">BA362+BB388+BB389+BB390+BB391+BB392+BB371+BB375</f>
        <v>2737.76630554134</v>
      </c>
      <c r="BC362" s="1">
        <f t="shared" ref="BC362" ca="1" si="1756">BB362+BC388+BC389+BC390+BC391+BC392+BC371+BC375</f>
        <v>2656.9287881860887</v>
      </c>
      <c r="BD362" s="1">
        <f t="shared" ref="BD362" ca="1" si="1757">BC362+BD388+BD389+BD390+BD391+BD392+BD371+BD375</f>
        <v>2566.7413847901721</v>
      </c>
      <c r="BE362" s="1">
        <f t="shared" ref="BE362" ca="1" si="1758">BD362+BE388+BE389+BE390+BE391+BE392+BE371+BE375</f>
        <v>2474.307396316718</v>
      </c>
      <c r="BF362" s="1">
        <f t="shared" ref="BF362" ca="1" si="1759">BE362+BF388+BF389+BF390+BF391+BF392+BF371+BF375</f>
        <v>2639.1790986576671</v>
      </c>
      <c r="BG362" s="1">
        <f t="shared" ref="BG362" ca="1" si="1760">BF362+BG388+BG389+BG390+BG391+BG392+BG371+BG375</f>
        <v>2550.1298422126583</v>
      </c>
      <c r="BH362" s="1">
        <f t="shared" ref="BH362" ca="1" si="1761">BG362+BH388+BH389+BH390+BH391+BH392+BH371+BH375</f>
        <v>2450.2866840256615</v>
      </c>
      <c r="BI362" s="1">
        <f t="shared" ref="BI362" ca="1" si="1762">BH362+BI388+BI389+BI390+BI391+BI392+BI371+BI375</f>
        <v>2348.8156210003508</v>
      </c>
      <c r="BJ362" s="1">
        <f t="shared" ref="BJ362" ca="1" si="1763">BI362+BJ388+BJ389+BJ390+BJ391+BJ392+BJ371+BJ375</f>
        <v>2255.3353049291654</v>
      </c>
      <c r="BL362" s="7">
        <v>317.8</v>
      </c>
      <c r="BM362" s="7">
        <v>311.5</v>
      </c>
      <c r="BN362" s="1">
        <f t="shared" si="1730"/>
        <v>500.1</v>
      </c>
      <c r="BO362" s="1">
        <f t="shared" si="1731"/>
        <v>322</v>
      </c>
      <c r="BP362" s="1">
        <f t="shared" si="1732"/>
        <v>460.7</v>
      </c>
      <c r="BQ362" s="1">
        <f t="shared" si="1733"/>
        <v>821.6</v>
      </c>
      <c r="BR362" s="1">
        <f t="shared" si="1703"/>
        <v>1162</v>
      </c>
      <c r="BS362" s="1">
        <f t="shared" si="1704"/>
        <v>1713.9</v>
      </c>
      <c r="BT362" s="1">
        <f t="shared" ca="1" si="1705"/>
        <v>2037.7144673226921</v>
      </c>
      <c r="BU362" s="1">
        <f t="shared" ca="1" si="1706"/>
        <v>2560.3771548706231</v>
      </c>
      <c r="BV362" s="1">
        <f t="shared" ca="1" si="1707"/>
        <v>2546.2212313015139</v>
      </c>
      <c r="BW362" s="1">
        <f t="shared" ca="1" si="1708"/>
        <v>2737.76630554134</v>
      </c>
      <c r="BX362" s="1">
        <f t="shared" ca="1" si="1709"/>
        <v>2639.1790986576671</v>
      </c>
      <c r="BY362" s="1">
        <f t="shared" ca="1" si="1710"/>
        <v>2255.3353049291654</v>
      </c>
      <c r="BZ362" s="7"/>
      <c r="CA362" s="295"/>
    </row>
    <row r="363" spans="2:79" ht="12" customHeight="1">
      <c r="B363" s="2" t="s">
        <v>26</v>
      </c>
      <c r="C363" s="2"/>
      <c r="D363" s="2"/>
      <c r="E363" s="2"/>
      <c r="F363" s="2"/>
      <c r="G363" s="2"/>
      <c r="H363" s="2"/>
      <c r="I363" s="2"/>
      <c r="J363" s="2"/>
      <c r="K363" s="2"/>
      <c r="L363" s="2"/>
      <c r="M363" s="2"/>
      <c r="N363" s="2"/>
      <c r="O363" s="7"/>
      <c r="P363" s="7"/>
      <c r="Q363" s="7">
        <v>0</v>
      </c>
      <c r="R363" s="7">
        <v>0</v>
      </c>
      <c r="S363" s="7">
        <v>484.5</v>
      </c>
      <c r="T363" s="7">
        <v>473.2</v>
      </c>
      <c r="U363" s="7">
        <v>465</v>
      </c>
      <c r="V363" s="7">
        <v>455.6</v>
      </c>
      <c r="W363" s="7">
        <v>447.2</v>
      </c>
      <c r="X363" s="7">
        <v>272.2</v>
      </c>
      <c r="Y363" s="7">
        <v>266.7</v>
      </c>
      <c r="Z363" s="7">
        <v>256.3</v>
      </c>
      <c r="AA363" s="7">
        <v>245</v>
      </c>
      <c r="AB363" s="7">
        <v>55.9</v>
      </c>
      <c r="AC363" s="452">
        <v>53.2</v>
      </c>
      <c r="AD363" s="452"/>
      <c r="AE363" s="452"/>
      <c r="AF363" s="452"/>
      <c r="AG363" s="452"/>
      <c r="AH363" s="452"/>
      <c r="AI363" s="452"/>
      <c r="AJ363" s="452"/>
      <c r="AK363" s="452"/>
      <c r="AL363" s="452"/>
      <c r="AM363" s="144">
        <f t="shared" ref="AM363:AX363" si="1764">AL363</f>
        <v>0</v>
      </c>
      <c r="AN363" s="144">
        <f t="shared" si="1764"/>
        <v>0</v>
      </c>
      <c r="AO363" s="144">
        <f t="shared" si="1764"/>
        <v>0</v>
      </c>
      <c r="AP363" s="144">
        <f t="shared" si="1764"/>
        <v>0</v>
      </c>
      <c r="AQ363" s="144">
        <f t="shared" si="1764"/>
        <v>0</v>
      </c>
      <c r="AR363" s="144">
        <f t="shared" si="1764"/>
        <v>0</v>
      </c>
      <c r="AS363" s="144">
        <f t="shared" si="1764"/>
        <v>0</v>
      </c>
      <c r="AT363" s="144">
        <f t="shared" si="1764"/>
        <v>0</v>
      </c>
      <c r="AU363" s="144">
        <f t="shared" si="1764"/>
        <v>0</v>
      </c>
      <c r="AV363" s="144">
        <f t="shared" si="1764"/>
        <v>0</v>
      </c>
      <c r="AW363" s="144">
        <f t="shared" si="1764"/>
        <v>0</v>
      </c>
      <c r="AX363" s="144">
        <f t="shared" si="1764"/>
        <v>0</v>
      </c>
      <c r="AY363" s="144">
        <f t="shared" ref="AY363" si="1765">AX363</f>
        <v>0</v>
      </c>
      <c r="AZ363" s="144">
        <f t="shared" ref="AZ363" si="1766">AY363</f>
        <v>0</v>
      </c>
      <c r="BA363" s="144">
        <f t="shared" ref="BA363" si="1767">AZ363</f>
        <v>0</v>
      </c>
      <c r="BB363" s="144">
        <f t="shared" ref="BB363" si="1768">BA363</f>
        <v>0</v>
      </c>
      <c r="BC363" s="144">
        <f t="shared" ref="BC363" si="1769">BB363</f>
        <v>0</v>
      </c>
      <c r="BD363" s="144">
        <f t="shared" ref="BD363" si="1770">BC363</f>
        <v>0</v>
      </c>
      <c r="BE363" s="144">
        <f t="shared" ref="BE363" si="1771">BD363</f>
        <v>0</v>
      </c>
      <c r="BF363" s="144">
        <f t="shared" ref="BF363" si="1772">BE363</f>
        <v>0</v>
      </c>
      <c r="BG363" s="144">
        <f t="shared" ref="BG363" si="1773">BF363</f>
        <v>0</v>
      </c>
      <c r="BH363" s="144">
        <f t="shared" ref="BH363" si="1774">BG363</f>
        <v>0</v>
      </c>
      <c r="BI363" s="144">
        <f t="shared" ref="BI363" si="1775">BH363</f>
        <v>0</v>
      </c>
      <c r="BJ363" s="144">
        <f t="shared" ref="BJ363" si="1776">BI363</f>
        <v>0</v>
      </c>
      <c r="BL363" s="7">
        <v>0</v>
      </c>
      <c r="BM363" s="7">
        <v>0</v>
      </c>
      <c r="BN363" s="29">
        <f t="shared" si="1730"/>
        <v>0</v>
      </c>
      <c r="BO363" s="29">
        <f t="shared" si="1731"/>
        <v>455.6</v>
      </c>
      <c r="BP363" s="29">
        <f t="shared" si="1732"/>
        <v>256.3</v>
      </c>
      <c r="BQ363" s="29">
        <f t="shared" si="1733"/>
        <v>0</v>
      </c>
      <c r="BR363" s="29">
        <f t="shared" si="1703"/>
        <v>0</v>
      </c>
      <c r="BS363" s="29">
        <f t="shared" si="1704"/>
        <v>0</v>
      </c>
      <c r="BT363" s="29">
        <f t="shared" si="1705"/>
        <v>0</v>
      </c>
      <c r="BU363" s="29">
        <f t="shared" si="1706"/>
        <v>0</v>
      </c>
      <c r="BV363" s="29">
        <f t="shared" si="1707"/>
        <v>0</v>
      </c>
      <c r="BW363" s="29">
        <f t="shared" si="1708"/>
        <v>0</v>
      </c>
      <c r="BX363" s="29">
        <f t="shared" si="1709"/>
        <v>0</v>
      </c>
      <c r="BY363" s="29">
        <f t="shared" si="1710"/>
        <v>0</v>
      </c>
      <c r="BZ363" s="7"/>
      <c r="CA363" s="295"/>
    </row>
    <row r="364" spans="2:79" ht="12" customHeight="1">
      <c r="B364" s="10" t="s">
        <v>27</v>
      </c>
      <c r="C364" s="10"/>
      <c r="D364" s="10"/>
      <c r="E364" s="10"/>
      <c r="F364" s="10"/>
      <c r="G364" s="10"/>
      <c r="H364" s="10"/>
      <c r="I364" s="10"/>
      <c r="J364" s="10"/>
      <c r="K364" s="10"/>
      <c r="L364" s="10"/>
      <c r="M364" s="10"/>
      <c r="N364" s="10"/>
      <c r="O364" s="11">
        <f>SUM(O354:O363)</f>
        <v>986.80000000000007</v>
      </c>
      <c r="P364" s="11">
        <f t="shared" ref="P364:AX364" si="1777">SUM(P354:P363)</f>
        <v>1031.5999999999999</v>
      </c>
      <c r="Q364" s="11">
        <f t="shared" si="1777"/>
        <v>1090.8000000000002</v>
      </c>
      <c r="R364" s="11">
        <f t="shared" si="1777"/>
        <v>1210.9000000000001</v>
      </c>
      <c r="S364" s="11">
        <f t="shared" si="1777"/>
        <v>1574</v>
      </c>
      <c r="T364" s="11">
        <f t="shared" si="1777"/>
        <v>1519.8</v>
      </c>
      <c r="U364" s="11">
        <f t="shared" si="1777"/>
        <v>1519.9</v>
      </c>
      <c r="V364" s="11">
        <f t="shared" si="1777"/>
        <v>1506.7999999999997</v>
      </c>
      <c r="W364" s="11">
        <f t="shared" si="1777"/>
        <v>1528.1</v>
      </c>
      <c r="X364" s="11">
        <f t="shared" si="1777"/>
        <v>1506.1000000000001</v>
      </c>
      <c r="Y364" s="11">
        <f t="shared" si="1777"/>
        <v>1538</v>
      </c>
      <c r="Z364" s="11">
        <f t="shared" si="1777"/>
        <v>1586.5</v>
      </c>
      <c r="AA364" s="11">
        <f t="shared" si="1777"/>
        <v>1576.6</v>
      </c>
      <c r="AB364" s="11">
        <f t="shared" si="1777"/>
        <v>1991.7</v>
      </c>
      <c r="AC364" s="11">
        <f t="shared" ref="AC364:AH364" si="1778">SUM(AC354:AC363)</f>
        <v>2181.6</v>
      </c>
      <c r="AD364" s="11">
        <f t="shared" si="1778"/>
        <v>2195.6</v>
      </c>
      <c r="AE364" s="11">
        <f t="shared" si="1778"/>
        <v>2483.5</v>
      </c>
      <c r="AF364" s="11">
        <f t="shared" si="1778"/>
        <v>2511.3000000000002</v>
      </c>
      <c r="AG364" s="11">
        <f t="shared" si="1778"/>
        <v>2696.3</v>
      </c>
      <c r="AH364" s="11">
        <f t="shared" si="1778"/>
        <v>2852.3999999999996</v>
      </c>
      <c r="AI364" s="11">
        <f t="shared" ref="AI364:AJ364" si="1779">SUM(AI354:AI363)</f>
        <v>3543.7999999999997</v>
      </c>
      <c r="AJ364" s="11">
        <f t="shared" si="1779"/>
        <v>3816.6</v>
      </c>
      <c r="AK364" s="11">
        <f t="shared" ref="AK364:AL364" si="1780">SUM(AK354:AK363)</f>
        <v>3883.8</v>
      </c>
      <c r="AL364" s="11">
        <f t="shared" si="1780"/>
        <v>4312.1000000000004</v>
      </c>
      <c r="AM364" s="11">
        <f t="shared" ca="1" si="1777"/>
        <v>4297.1114069457481</v>
      </c>
      <c r="AN364" s="11">
        <f t="shared" ca="1" si="1777"/>
        <v>4959.740271603473</v>
      </c>
      <c r="AO364" s="11">
        <f t="shared" ca="1" si="1777"/>
        <v>5180.4346129141295</v>
      </c>
      <c r="AP364" s="11">
        <f t="shared" ca="1" si="1777"/>
        <v>5418.9568949668192</v>
      </c>
      <c r="AQ364" s="11">
        <f t="shared" ca="1" si="1777"/>
        <v>5637.0791530903352</v>
      </c>
      <c r="AR364" s="11">
        <f t="shared" ca="1" si="1777"/>
        <v>5751.9843902359407</v>
      </c>
      <c r="AS364" s="11">
        <f t="shared" ca="1" si="1777"/>
        <v>5959.6107570579334</v>
      </c>
      <c r="AT364" s="11">
        <f t="shared" ca="1" si="1777"/>
        <v>6182.687274475702</v>
      </c>
      <c r="AU364" s="11">
        <f t="shared" ca="1" si="1777"/>
        <v>6138.7806050414183</v>
      </c>
      <c r="AV364" s="11">
        <f t="shared" ca="1" si="1777"/>
        <v>6312.8472376654972</v>
      </c>
      <c r="AW364" s="11">
        <f t="shared" ca="1" si="1777"/>
        <v>6508.7308608318581</v>
      </c>
      <c r="AX364" s="11">
        <f t="shared" ca="1" si="1777"/>
        <v>6528.4230147879762</v>
      </c>
      <c r="AY364" s="11">
        <f t="shared" ref="AY364:BJ364" ca="1" si="1781">SUM(AY354:AY363)</f>
        <v>6699.8952207436414</v>
      </c>
      <c r="AZ364" s="11">
        <f t="shared" ca="1" si="1781"/>
        <v>6859.262758086199</v>
      </c>
      <c r="BA364" s="11">
        <f t="shared" ca="1" si="1781"/>
        <v>7054.3853566150883</v>
      </c>
      <c r="BB364" s="11">
        <f t="shared" ca="1" si="1781"/>
        <v>7253.7601225523322</v>
      </c>
      <c r="BC364" s="11">
        <f t="shared" ca="1" si="1781"/>
        <v>7265.282365397894</v>
      </c>
      <c r="BD364" s="11">
        <f t="shared" ca="1" si="1781"/>
        <v>7376.8058024912316</v>
      </c>
      <c r="BE364" s="11">
        <f t="shared" ca="1" si="1781"/>
        <v>7476.5156953532596</v>
      </c>
      <c r="BF364" s="11">
        <f t="shared" ca="1" si="1781"/>
        <v>7665.4700467795174</v>
      </c>
      <c r="BG364" s="11">
        <f t="shared" ca="1" si="1781"/>
        <v>7640.7185933696137</v>
      </c>
      <c r="BH364" s="11">
        <f t="shared" ca="1" si="1781"/>
        <v>7705.3259650740001</v>
      </c>
      <c r="BI364" s="11">
        <f t="shared" ca="1" si="1781"/>
        <v>7758.3485261112846</v>
      </c>
      <c r="BJ364" s="11">
        <f t="shared" ca="1" si="1781"/>
        <v>7799.8459548512983</v>
      </c>
      <c r="BL364" s="11" t="e">
        <f>SUM(BL354,BL355,BL356,BL357,BL358,BL359,BL361,BL362,BL363)</f>
        <v>#REF!</v>
      </c>
      <c r="BM364" s="11" t="e">
        <f>SUM(BM354,BM355,BM356,BM357,BM358,BM359,BM361,BM362,BM363)</f>
        <v>#REF!</v>
      </c>
      <c r="BN364" s="11">
        <f>SUM(BN354,BN355,BN356,BN357,BN358,BN359,BN361,BN362,BN363)</f>
        <v>1210.9000000000001</v>
      </c>
      <c r="BO364" s="11">
        <f t="shared" ref="BO364:BV364" si="1782">SUM(BO354:BO363)</f>
        <v>1506.7999999999997</v>
      </c>
      <c r="BP364" s="11">
        <f t="shared" si="1782"/>
        <v>1586.5</v>
      </c>
      <c r="BQ364" s="11">
        <f t="shared" si="1782"/>
        <v>2195.6</v>
      </c>
      <c r="BR364" s="11">
        <f t="shared" si="1782"/>
        <v>2852.3999999999996</v>
      </c>
      <c r="BS364" s="11">
        <f t="shared" si="1782"/>
        <v>4312.1000000000004</v>
      </c>
      <c r="BT364" s="11">
        <f t="shared" ca="1" si="1782"/>
        <v>5418.9568949668192</v>
      </c>
      <c r="BU364" s="11">
        <f t="shared" ca="1" si="1782"/>
        <v>6182.687274475702</v>
      </c>
      <c r="BV364" s="11">
        <f t="shared" ca="1" si="1782"/>
        <v>6528.4230147879762</v>
      </c>
      <c r="BW364" s="11">
        <f t="shared" ref="BW364:BY364" ca="1" si="1783">SUM(BW354:BW363)</f>
        <v>7253.7601225523322</v>
      </c>
      <c r="BX364" s="11">
        <f t="shared" ca="1" si="1783"/>
        <v>7665.4700467795174</v>
      </c>
      <c r="BY364" s="11">
        <f t="shared" ca="1" si="1783"/>
        <v>7799.8459548512983</v>
      </c>
    </row>
    <row r="366" spans="2:79" ht="12" customHeight="1">
      <c r="O366" s="52" t="str">
        <f t="shared" ref="O366:AX366" ca="1" si="1784">IF(ROUND(O352,3)=ROUND(O364,3),"TRUE",O364-O352)</f>
        <v>TRUE</v>
      </c>
      <c r="P366" s="52" t="str">
        <f t="shared" ca="1" si="1784"/>
        <v>TRUE</v>
      </c>
      <c r="Q366" s="52" t="str">
        <f t="shared" ca="1" si="1784"/>
        <v>TRUE</v>
      </c>
      <c r="R366" s="52" t="str">
        <f t="shared" ca="1" si="1784"/>
        <v>TRUE</v>
      </c>
      <c r="S366" s="52" t="str">
        <f t="shared" ca="1" si="1784"/>
        <v>TRUE</v>
      </c>
      <c r="T366" s="52" t="str">
        <f t="shared" ca="1" si="1784"/>
        <v>TRUE</v>
      </c>
      <c r="U366" s="52" t="str">
        <f t="shared" ca="1" si="1784"/>
        <v>TRUE</v>
      </c>
      <c r="V366" s="52" t="str">
        <f t="shared" ca="1" si="1784"/>
        <v>TRUE</v>
      </c>
      <c r="W366" s="470" t="str">
        <f t="shared" ca="1" si="1784"/>
        <v>TRUE</v>
      </c>
      <c r="X366" s="470" t="str">
        <f t="shared" ca="1" si="1784"/>
        <v>TRUE</v>
      </c>
      <c r="Y366" s="470" t="str">
        <f t="shared" ca="1" si="1784"/>
        <v>TRUE</v>
      </c>
      <c r="Z366" s="470" t="str">
        <f t="shared" ca="1" si="1784"/>
        <v>TRUE</v>
      </c>
      <c r="AA366" s="470" t="str">
        <f t="shared" ca="1" si="1784"/>
        <v>TRUE</v>
      </c>
      <c r="AB366" s="470" t="str">
        <f t="shared" ca="1" si="1784"/>
        <v>TRUE</v>
      </c>
      <c r="AC366" s="470" t="str">
        <f t="shared" ref="AC366:AH366" ca="1" si="1785">IF(ROUND(AC352,3)=ROUND(AC364,3),"TRUE",AC364-AC352)</f>
        <v>TRUE</v>
      </c>
      <c r="AD366" s="470" t="str">
        <f t="shared" ca="1" si="1785"/>
        <v>TRUE</v>
      </c>
      <c r="AE366" s="470" t="str">
        <f t="shared" ca="1" si="1785"/>
        <v>TRUE</v>
      </c>
      <c r="AF366" s="470" t="str">
        <f t="shared" ca="1" si="1785"/>
        <v>TRUE</v>
      </c>
      <c r="AG366" s="470" t="str">
        <f t="shared" ca="1" si="1785"/>
        <v>TRUE</v>
      </c>
      <c r="AH366" s="470" t="str">
        <f t="shared" ca="1" si="1785"/>
        <v>TRUE</v>
      </c>
      <c r="AI366" s="470" t="str">
        <f t="shared" ref="AI366" ca="1" si="1786">IF(ROUND(AI352,3)=ROUND(AI364,3),"TRUE",AI364-AI352)</f>
        <v>TRUE</v>
      </c>
      <c r="AJ366" s="470" t="str">
        <f t="shared" ca="1" si="1784"/>
        <v>TRUE</v>
      </c>
      <c r="AK366" s="470" t="str">
        <f t="shared" ref="AK366:AL366" ca="1" si="1787">IF(ROUND(AK352,3)=ROUND(AK364,3),"TRUE",AK364-AK352)</f>
        <v>TRUE</v>
      </c>
      <c r="AL366" s="470" t="str">
        <f t="shared" ca="1" si="1787"/>
        <v>TRUE</v>
      </c>
      <c r="AM366" s="470" t="str">
        <f t="shared" ca="1" si="1784"/>
        <v>TRUE</v>
      </c>
      <c r="AN366" s="470" t="str">
        <f t="shared" ca="1" si="1784"/>
        <v>TRUE</v>
      </c>
      <c r="AO366" s="470" t="str">
        <f t="shared" ca="1" si="1784"/>
        <v>TRUE</v>
      </c>
      <c r="AP366" s="470" t="str">
        <f t="shared" ca="1" si="1784"/>
        <v>TRUE</v>
      </c>
      <c r="AQ366" s="470" t="str">
        <f t="shared" ca="1" si="1784"/>
        <v>TRUE</v>
      </c>
      <c r="AR366" s="470" t="str">
        <f t="shared" ca="1" si="1784"/>
        <v>TRUE</v>
      </c>
      <c r="AS366" s="470" t="str">
        <f t="shared" ca="1" si="1784"/>
        <v>TRUE</v>
      </c>
      <c r="AT366" s="470" t="str">
        <f t="shared" ca="1" si="1784"/>
        <v>TRUE</v>
      </c>
      <c r="AU366" s="470" t="str">
        <f t="shared" ca="1" si="1784"/>
        <v>TRUE</v>
      </c>
      <c r="AV366" s="470" t="str">
        <f t="shared" ca="1" si="1784"/>
        <v>TRUE</v>
      </c>
      <c r="AW366" s="470" t="str">
        <f t="shared" ca="1" si="1784"/>
        <v>TRUE</v>
      </c>
      <c r="AX366" s="470" t="str">
        <f t="shared" ca="1" si="1784"/>
        <v>TRUE</v>
      </c>
      <c r="AY366" s="470" t="str">
        <f t="shared" ref="AY366:BJ366" ca="1" si="1788">IF(ROUND(AY352,3)=ROUND(AY364,3),"TRUE",AY364-AY352)</f>
        <v>TRUE</v>
      </c>
      <c r="AZ366" s="470" t="str">
        <f t="shared" ca="1" si="1788"/>
        <v>TRUE</v>
      </c>
      <c r="BA366" s="470" t="str">
        <f t="shared" ca="1" si="1788"/>
        <v>TRUE</v>
      </c>
      <c r="BB366" s="470" t="str">
        <f t="shared" ca="1" si="1788"/>
        <v>TRUE</v>
      </c>
      <c r="BC366" s="470" t="str">
        <f t="shared" ca="1" si="1788"/>
        <v>TRUE</v>
      </c>
      <c r="BD366" s="470" t="str">
        <f t="shared" ca="1" si="1788"/>
        <v>TRUE</v>
      </c>
      <c r="BE366" s="470" t="str">
        <f t="shared" ca="1" si="1788"/>
        <v>TRUE</v>
      </c>
      <c r="BF366" s="470" t="str">
        <f t="shared" ca="1" si="1788"/>
        <v>TRUE</v>
      </c>
      <c r="BG366" s="470" t="str">
        <f t="shared" ca="1" si="1788"/>
        <v>TRUE</v>
      </c>
      <c r="BH366" s="470" t="str">
        <f t="shared" ca="1" si="1788"/>
        <v>TRUE</v>
      </c>
      <c r="BI366" s="470" t="str">
        <f t="shared" ca="1" si="1788"/>
        <v>TRUE</v>
      </c>
      <c r="BJ366" s="470" t="str">
        <f t="shared" ca="1" si="1788"/>
        <v>TRUE</v>
      </c>
      <c r="BL366" s="52" t="e">
        <f t="shared" ref="BL366:BV366" si="1789">IF(ROUND(BL352,3)=ROUND(BL364,3),"TRUE",BL364-BL352)</f>
        <v>#REF!</v>
      </c>
      <c r="BM366" s="52" t="e">
        <f t="shared" si="1789"/>
        <v>#REF!</v>
      </c>
      <c r="BN366" s="52" t="str">
        <f t="shared" ca="1" si="1789"/>
        <v>TRUE</v>
      </c>
      <c r="BO366" s="52" t="str">
        <f t="shared" ca="1" si="1789"/>
        <v>TRUE</v>
      </c>
      <c r="BP366" s="52" t="str">
        <f t="shared" ca="1" si="1789"/>
        <v>TRUE</v>
      </c>
      <c r="BQ366" s="52" t="str">
        <f t="shared" ca="1" si="1789"/>
        <v>TRUE</v>
      </c>
      <c r="BR366" s="52" t="str">
        <f t="shared" ca="1" si="1789"/>
        <v>TRUE</v>
      </c>
      <c r="BS366" s="52" t="str">
        <f t="shared" ca="1" si="1789"/>
        <v>TRUE</v>
      </c>
      <c r="BT366" s="52" t="str">
        <f t="shared" ca="1" si="1789"/>
        <v>TRUE</v>
      </c>
      <c r="BU366" s="52" t="str">
        <f t="shared" ca="1" si="1789"/>
        <v>TRUE</v>
      </c>
      <c r="BV366" s="52" t="str">
        <f t="shared" ca="1" si="1789"/>
        <v>TRUE</v>
      </c>
      <c r="BW366" s="52" t="str">
        <f t="shared" ref="BW366:BY366" ca="1" si="1790">IF(ROUND(BW352,3)=ROUND(BW364,3),"TRUE",BW364-BW352)</f>
        <v>TRUE</v>
      </c>
      <c r="BX366" s="52" t="str">
        <f t="shared" ca="1" si="1790"/>
        <v>TRUE</v>
      </c>
      <c r="BY366" s="52" t="str">
        <f t="shared" ca="1" si="1790"/>
        <v>TRUE</v>
      </c>
    </row>
    <row r="368" spans="2:79" ht="12" customHeight="1">
      <c r="B368" s="3" t="s">
        <v>13</v>
      </c>
      <c r="C368" s="3"/>
      <c r="D368" s="3"/>
      <c r="E368" s="3"/>
      <c r="F368" s="3"/>
      <c r="G368" s="3"/>
      <c r="H368" s="3"/>
      <c r="I368" s="3"/>
      <c r="J368" s="3"/>
      <c r="K368" s="3"/>
      <c r="L368" s="3"/>
      <c r="M368" s="3"/>
      <c r="N368" s="3"/>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L368" s="5"/>
      <c r="BM368" s="5"/>
      <c r="BN368" s="5"/>
      <c r="BO368" s="5"/>
      <c r="BP368" s="5"/>
      <c r="BQ368" s="5"/>
      <c r="BR368" s="5"/>
      <c r="BS368" s="5"/>
      <c r="BT368" s="5"/>
      <c r="BU368" s="5"/>
      <c r="BV368" s="5"/>
      <c r="BW368" s="5"/>
      <c r="BX368" s="5"/>
      <c r="BY368" s="5"/>
    </row>
    <row r="369" spans="1:85" ht="12" customHeight="1">
      <c r="A369" s="206" t="s">
        <v>293</v>
      </c>
      <c r="B369" s="4" t="s">
        <v>41</v>
      </c>
      <c r="C369" s="4"/>
      <c r="D369" s="4"/>
      <c r="E369" s="4"/>
      <c r="F369" s="4"/>
      <c r="G369" s="4"/>
      <c r="H369" s="4"/>
      <c r="I369" s="4"/>
      <c r="J369" s="4"/>
      <c r="K369" s="4"/>
      <c r="L369" s="4"/>
      <c r="M369" s="4"/>
      <c r="N369" s="4"/>
      <c r="O369" s="5" t="str">
        <f t="shared" ref="O369:BJ369" si="1791">O$1</f>
        <v>1Q '12A</v>
      </c>
      <c r="P369" s="5" t="str">
        <f t="shared" si="1791"/>
        <v>2Q '12A</v>
      </c>
      <c r="Q369" s="5" t="str">
        <f t="shared" si="1791"/>
        <v>3Q '12A</v>
      </c>
      <c r="R369" s="5" t="str">
        <f t="shared" si="1791"/>
        <v>4Q '12A</v>
      </c>
      <c r="S369" s="5" t="str">
        <f t="shared" si="1791"/>
        <v>1Q '13A</v>
      </c>
      <c r="T369" s="5" t="str">
        <f t="shared" si="1791"/>
        <v>2Q '13A</v>
      </c>
      <c r="U369" s="5" t="str">
        <f t="shared" si="1791"/>
        <v>3Q '13A</v>
      </c>
      <c r="V369" s="5" t="str">
        <f t="shared" si="1791"/>
        <v>4Q '13A</v>
      </c>
      <c r="W369" s="5" t="str">
        <f t="shared" si="1791"/>
        <v>1Q '14A</v>
      </c>
      <c r="X369" s="5" t="str">
        <f t="shared" si="1791"/>
        <v>2Q '14A</v>
      </c>
      <c r="Y369" s="5" t="str">
        <f t="shared" si="1791"/>
        <v>3Q '14A</v>
      </c>
      <c r="Z369" s="5" t="str">
        <f t="shared" si="1791"/>
        <v>4Q '14A</v>
      </c>
      <c r="AA369" s="5" t="str">
        <f t="shared" si="1791"/>
        <v>1Q '15A</v>
      </c>
      <c r="AB369" s="5" t="str">
        <f t="shared" si="1791"/>
        <v>2Q '15A</v>
      </c>
      <c r="AC369" s="5" t="str">
        <f t="shared" si="1791"/>
        <v>3Q '15A</v>
      </c>
      <c r="AD369" s="5" t="str">
        <f t="shared" si="1791"/>
        <v>4Q '15A</v>
      </c>
      <c r="AE369" s="5" t="str">
        <f t="shared" si="1791"/>
        <v>1Q '16A</v>
      </c>
      <c r="AF369" s="5" t="str">
        <f t="shared" si="1791"/>
        <v>2Q '16A</v>
      </c>
      <c r="AG369" s="5" t="str">
        <f t="shared" si="1791"/>
        <v>3Q '16A</v>
      </c>
      <c r="AH369" s="5" t="str">
        <f t="shared" si="1791"/>
        <v>4Q '16A</v>
      </c>
      <c r="AI369" s="5" t="str">
        <f t="shared" si="1791"/>
        <v>1Q '17A</v>
      </c>
      <c r="AJ369" s="5" t="str">
        <f t="shared" si="1791"/>
        <v>2Q '17A</v>
      </c>
      <c r="AK369" s="5" t="str">
        <f t="shared" si="1791"/>
        <v>3Q '17A</v>
      </c>
      <c r="AL369" s="5" t="str">
        <f t="shared" si="1791"/>
        <v>4Q '17A</v>
      </c>
      <c r="AM369" s="5" t="str">
        <f t="shared" si="1791"/>
        <v>1Q '18E</v>
      </c>
      <c r="AN369" s="5" t="str">
        <f t="shared" si="1791"/>
        <v>2Q '18E</v>
      </c>
      <c r="AO369" s="5" t="str">
        <f t="shared" si="1791"/>
        <v>3Q '18E</v>
      </c>
      <c r="AP369" s="5" t="str">
        <f t="shared" si="1791"/>
        <v>4Q '18E</v>
      </c>
      <c r="AQ369" s="5" t="str">
        <f t="shared" si="1791"/>
        <v>1Q '19E</v>
      </c>
      <c r="AR369" s="5" t="str">
        <f t="shared" si="1791"/>
        <v>2Q '19E</v>
      </c>
      <c r="AS369" s="5" t="str">
        <f t="shared" si="1791"/>
        <v>3Q '19E</v>
      </c>
      <c r="AT369" s="5" t="str">
        <f t="shared" si="1791"/>
        <v>4Q '19E</v>
      </c>
      <c r="AU369" s="5" t="str">
        <f t="shared" si="1791"/>
        <v>1Q '20E</v>
      </c>
      <c r="AV369" s="5" t="str">
        <f t="shared" si="1791"/>
        <v>2Q '20E</v>
      </c>
      <c r="AW369" s="5" t="str">
        <f t="shared" si="1791"/>
        <v>3Q '20E</v>
      </c>
      <c r="AX369" s="5" t="str">
        <f t="shared" si="1791"/>
        <v>4Q '20E</v>
      </c>
      <c r="AY369" s="5" t="str">
        <f t="shared" si="1791"/>
        <v>1Q '21E</v>
      </c>
      <c r="AZ369" s="5" t="str">
        <f t="shared" si="1791"/>
        <v>2Q '21E</v>
      </c>
      <c r="BA369" s="5" t="str">
        <f t="shared" si="1791"/>
        <v>3Q '21E</v>
      </c>
      <c r="BB369" s="5" t="str">
        <f t="shared" si="1791"/>
        <v>4Q '21E</v>
      </c>
      <c r="BC369" s="5" t="str">
        <f t="shared" si="1791"/>
        <v>1Q '22E</v>
      </c>
      <c r="BD369" s="5" t="str">
        <f t="shared" si="1791"/>
        <v>2Q '22E</v>
      </c>
      <c r="BE369" s="5" t="str">
        <f t="shared" si="1791"/>
        <v>3Q '22E</v>
      </c>
      <c r="BF369" s="5" t="str">
        <f t="shared" si="1791"/>
        <v>4Q '22E</v>
      </c>
      <c r="BG369" s="5" t="str">
        <f t="shared" si="1791"/>
        <v>1Q '23E</v>
      </c>
      <c r="BH369" s="5" t="str">
        <f t="shared" si="1791"/>
        <v>2Q '23E</v>
      </c>
      <c r="BI369" s="5" t="str">
        <f t="shared" si="1791"/>
        <v>3Q '23E</v>
      </c>
      <c r="BJ369" s="5" t="str">
        <f t="shared" si="1791"/>
        <v>4Q '23E</v>
      </c>
      <c r="BL369" s="5">
        <f t="shared" ref="BL369:BV369" si="1792">BL1</f>
        <v>2010</v>
      </c>
      <c r="BM369" s="5">
        <f t="shared" si="1792"/>
        <v>2011</v>
      </c>
      <c r="BN369" s="5">
        <f t="shared" si="1792"/>
        <v>2012</v>
      </c>
      <c r="BO369" s="5">
        <f t="shared" si="1792"/>
        <v>2013</v>
      </c>
      <c r="BP369" s="5">
        <f t="shared" si="1792"/>
        <v>2014</v>
      </c>
      <c r="BQ369" s="5">
        <f t="shared" si="1792"/>
        <v>2015</v>
      </c>
      <c r="BR369" s="5">
        <f t="shared" si="1792"/>
        <v>2016</v>
      </c>
      <c r="BS369" s="167">
        <f t="shared" si="1792"/>
        <v>2017</v>
      </c>
      <c r="BT369" s="167">
        <f t="shared" si="1792"/>
        <v>2018</v>
      </c>
      <c r="BU369" s="167">
        <f t="shared" si="1792"/>
        <v>2019</v>
      </c>
      <c r="BV369" s="167">
        <f t="shared" si="1792"/>
        <v>2020</v>
      </c>
      <c r="BW369" s="167">
        <f t="shared" ref="BW369:BY369" si="1793">BW1</f>
        <v>2021</v>
      </c>
      <c r="BX369" s="167">
        <f t="shared" si="1793"/>
        <v>2022</v>
      </c>
      <c r="BY369" s="167">
        <f t="shared" si="1793"/>
        <v>2023</v>
      </c>
    </row>
    <row r="370" spans="1:85" ht="12" customHeight="1">
      <c r="R370" s="1"/>
      <c r="AJ370" s="207"/>
      <c r="AK370" s="207"/>
      <c r="AL370" s="207"/>
      <c r="AM370" s="207"/>
      <c r="AN370" s="207"/>
      <c r="AO370" s="207"/>
      <c r="AP370" s="207"/>
      <c r="AQ370" s="207"/>
      <c r="AR370" s="207"/>
      <c r="AS370" s="207"/>
      <c r="AT370" s="207"/>
      <c r="AU370" s="207"/>
      <c r="AV370" s="207"/>
      <c r="AW370" s="207"/>
      <c r="AX370" s="207"/>
      <c r="AY370" s="207"/>
      <c r="AZ370" s="207"/>
      <c r="BA370" s="207"/>
      <c r="BB370" s="207"/>
      <c r="BC370" s="207"/>
      <c r="BD370" s="207"/>
      <c r="BE370" s="207"/>
      <c r="BF370" s="207"/>
      <c r="BG370" s="207"/>
      <c r="BH370" s="207"/>
      <c r="BI370" s="207"/>
      <c r="BJ370" s="207"/>
    </row>
    <row r="371" spans="1:85" ht="12" customHeight="1">
      <c r="B371" s="2" t="s">
        <v>10</v>
      </c>
      <c r="C371" s="2"/>
      <c r="D371" s="2"/>
      <c r="E371" s="2"/>
      <c r="F371" s="2"/>
      <c r="G371" s="2"/>
      <c r="H371" s="2"/>
      <c r="I371" s="2"/>
      <c r="J371" s="2"/>
      <c r="K371" s="2"/>
      <c r="L371" s="2"/>
      <c r="M371" s="2"/>
      <c r="N371" s="2"/>
      <c r="O371" s="123">
        <f t="shared" ref="O371:AC371" si="1794">O45</f>
        <v>-0.69999999999999862</v>
      </c>
      <c r="P371" s="1">
        <f t="shared" si="1794"/>
        <v>-9.8978420000000042</v>
      </c>
      <c r="Q371" s="49">
        <f t="shared" si="1794"/>
        <v>-2.8</v>
      </c>
      <c r="R371" s="49">
        <f t="shared" si="1794"/>
        <v>-6.8999999999999959</v>
      </c>
      <c r="S371" s="49">
        <f t="shared" si="1794"/>
        <v>-23</v>
      </c>
      <c r="T371" s="49">
        <f t="shared" si="1794"/>
        <v>-6.8</v>
      </c>
      <c r="U371" s="49">
        <f t="shared" si="1794"/>
        <v>-2.1999999999999984</v>
      </c>
      <c r="V371" s="285">
        <f t="shared" si="1794"/>
        <v>-3.6000000000000032</v>
      </c>
      <c r="W371" s="49">
        <f t="shared" si="1794"/>
        <v>0.70000000000000195</v>
      </c>
      <c r="X371" s="49">
        <f t="shared" si="1794"/>
        <v>-3.5999999999999956</v>
      </c>
      <c r="Y371" s="49">
        <f t="shared" si="1794"/>
        <v>0.19999999999999574</v>
      </c>
      <c r="Z371" s="49">
        <f t="shared" si="1794"/>
        <v>-11.799999999999994</v>
      </c>
      <c r="AA371" s="49">
        <f t="shared" si="1794"/>
        <v>-7.1999999999999913</v>
      </c>
      <c r="AB371" s="49">
        <f t="shared" si="1794"/>
        <v>-6.4999999999999938</v>
      </c>
      <c r="AC371" s="49">
        <f t="shared" si="1794"/>
        <v>-5.3000000000000096</v>
      </c>
      <c r="AD371" s="49">
        <f t="shared" ref="AD371:AI371" si="1795">AD45</f>
        <v>-1.1999999999999988</v>
      </c>
      <c r="AE371" s="49">
        <f t="shared" si="1795"/>
        <v>5.600000000000005</v>
      </c>
      <c r="AF371" s="49">
        <f t="shared" si="1795"/>
        <v>9.0999999999999872</v>
      </c>
      <c r="AG371" s="49">
        <f t="shared" si="1795"/>
        <v>4.4000000000000101</v>
      </c>
      <c r="AH371" s="49">
        <f t="shared" si="1795"/>
        <v>0.80000000000001847</v>
      </c>
      <c r="AI371" s="49">
        <f t="shared" si="1795"/>
        <v>-30.399999999999981</v>
      </c>
      <c r="AJ371" s="49">
        <f t="shared" ref="AJ371:AK371" si="1796">AJ45</f>
        <v>-0.79999999999999005</v>
      </c>
      <c r="AK371" s="49">
        <f t="shared" si="1796"/>
        <v>-55.1</v>
      </c>
      <c r="AL371" s="49">
        <f t="shared" ref="AL371" si="1797">AL45</f>
        <v>2.7999999999999967</v>
      </c>
      <c r="AM371" s="123">
        <f t="shared" ref="AM371:AX371" ca="1" si="1798">AM45</f>
        <v>3.3380660618489038</v>
      </c>
      <c r="AN371" s="123">
        <f t="shared" ca="1" si="1798"/>
        <v>-6.9342367122314634</v>
      </c>
      <c r="AO371" s="123">
        <f t="shared" ca="1" si="1798"/>
        <v>-9.0160649404339495</v>
      </c>
      <c r="AP371" s="123">
        <f t="shared" ca="1" si="1798"/>
        <v>-7.1172451758467883</v>
      </c>
      <c r="AQ371" s="123">
        <f t="shared" ca="1" si="1798"/>
        <v>-8.162019307537193</v>
      </c>
      <c r="AR371" s="123">
        <f t="shared" ca="1" si="1798"/>
        <v>-14.236525989154501</v>
      </c>
      <c r="AS371" s="123">
        <f t="shared" ca="1" si="1798"/>
        <v>-14.615973717848677</v>
      </c>
      <c r="AT371" s="123">
        <f t="shared" ca="1" si="1798"/>
        <v>-11.266778247432066</v>
      </c>
      <c r="AU371" s="123">
        <f t="shared" ca="1" si="1798"/>
        <v>-11.478871420234309</v>
      </c>
      <c r="AV371" s="123">
        <f t="shared" ca="1" si="1798"/>
        <v>-17.992683018025968</v>
      </c>
      <c r="AW371" s="123">
        <f t="shared" ca="1" si="1798"/>
        <v>-18.645060542606068</v>
      </c>
      <c r="AX371" s="123">
        <f t="shared" ca="1" si="1798"/>
        <v>-14.686684625439568</v>
      </c>
      <c r="AY371" s="123">
        <f t="shared" ref="AY371:BJ371" ca="1" si="1799">AY45</f>
        <v>-17.487634183512732</v>
      </c>
      <c r="AZ371" s="123">
        <f t="shared" ca="1" si="1799"/>
        <v>-24.056465219024833</v>
      </c>
      <c r="BA371" s="123">
        <f t="shared" ca="1" si="1799"/>
        <v>-25.980750385789317</v>
      </c>
      <c r="BB371" s="123">
        <f t="shared" ca="1" si="1799"/>
        <v>-19.316788622730229</v>
      </c>
      <c r="BC371" s="123">
        <f t="shared" ca="1" si="1799"/>
        <v>-20.980367301589347</v>
      </c>
      <c r="BD371" s="123">
        <f t="shared" ca="1" si="1799"/>
        <v>-26.768731931668462</v>
      </c>
      <c r="BE371" s="123">
        <f t="shared" ca="1" si="1799"/>
        <v>-29.169853878025954</v>
      </c>
      <c r="BF371" s="123">
        <f t="shared" ca="1" si="1799"/>
        <v>-22.306111988633951</v>
      </c>
      <c r="BG371" s="123">
        <f t="shared" ca="1" si="1799"/>
        <v>-23.953661810222538</v>
      </c>
      <c r="BH371" s="123">
        <f t="shared" ca="1" si="1799"/>
        <v>-29.609728346308287</v>
      </c>
      <c r="BI371" s="123">
        <f t="shared" ca="1" si="1799"/>
        <v>-31.384583277683127</v>
      </c>
      <c r="BJ371" s="123">
        <f t="shared" ca="1" si="1799"/>
        <v>-23.857842875347021</v>
      </c>
      <c r="BL371" s="49">
        <f>BL45</f>
        <v>3.4999999999999991</v>
      </c>
      <c r="BM371" s="49">
        <f>BM45</f>
        <v>1.4999999999999885</v>
      </c>
      <c r="BN371" s="123">
        <f t="shared" ref="BN371:BN377" si="1800">SUM(O371:R371)</f>
        <v>-20.297841999999999</v>
      </c>
      <c r="BO371" s="1">
        <f t="shared" ref="BO371:BO377" si="1801">SUM(S371:V371)</f>
        <v>-35.6</v>
      </c>
      <c r="BP371" s="1">
        <f t="shared" ref="BP371:BP377" si="1802">SUM(W371:Z371)</f>
        <v>-14.499999999999991</v>
      </c>
      <c r="BQ371" s="1">
        <f t="shared" ref="BQ371:BQ377" si="1803">SUM(AA371:AD371)</f>
        <v>-20.199999999999992</v>
      </c>
      <c r="BR371" s="1">
        <f t="shared" ref="BR371:BR377" si="1804">SUM(AE371:AH371)</f>
        <v>19.90000000000002</v>
      </c>
      <c r="BS371" s="1">
        <f t="shared" ref="BS371:BS377" si="1805">+SUM(AI371:AL371)</f>
        <v>-83.499999999999972</v>
      </c>
      <c r="BT371" s="1">
        <f t="shared" ref="BT371:BT377" ca="1" si="1806">+SUM(AM371:AP371)</f>
        <v>-19.729480766663297</v>
      </c>
      <c r="BU371" s="1">
        <f t="shared" ref="BU371:BU377" ca="1" si="1807">+SUM(AQ371:AT371)</f>
        <v>-48.281297261972433</v>
      </c>
      <c r="BV371" s="1">
        <f t="shared" ref="BV371:BV377" ca="1" si="1808">+SUM(AU371:AX371)</f>
        <v>-62.803299606305913</v>
      </c>
      <c r="BW371" s="1">
        <f t="shared" ref="BW371:BW377" ca="1" si="1809">SUM(AY371:BB371)</f>
        <v>-86.841638411057119</v>
      </c>
      <c r="BX371" s="1">
        <f t="shared" ref="BX371:BX377" ca="1" si="1810">SUM(BC371:BF371)</f>
        <v>-99.225065099917714</v>
      </c>
      <c r="BY371" s="1">
        <f t="shared" ref="BY371:BY377" ca="1" si="1811">SUM(BG371:BJ371)</f>
        <v>-108.80581630956098</v>
      </c>
    </row>
    <row r="372" spans="1:85" ht="12" customHeight="1">
      <c r="B372" s="2" t="s">
        <v>4</v>
      </c>
      <c r="C372" s="2"/>
      <c r="D372" s="2"/>
      <c r="E372" s="2"/>
      <c r="F372" s="2"/>
      <c r="G372" s="2"/>
      <c r="H372" s="2"/>
      <c r="I372" s="2"/>
      <c r="J372" s="2"/>
      <c r="K372" s="2"/>
      <c r="L372" s="2"/>
      <c r="M372" s="2"/>
      <c r="N372" s="2"/>
      <c r="O372" s="123">
        <f t="shared" ref="O372:AC372" si="1812">-O39</f>
        <v>16.399999999999999</v>
      </c>
      <c r="P372" s="29">
        <f t="shared" si="1812"/>
        <v>17.797842000000003</v>
      </c>
      <c r="Q372" s="49">
        <f t="shared" si="1812"/>
        <v>18.8</v>
      </c>
      <c r="R372" s="49">
        <f t="shared" si="1812"/>
        <v>20.399999999999999</v>
      </c>
      <c r="S372" s="285">
        <f t="shared" si="1812"/>
        <v>21.7</v>
      </c>
      <c r="T372" s="285">
        <f t="shared" si="1812"/>
        <v>23</v>
      </c>
      <c r="U372" s="285">
        <f t="shared" si="1812"/>
        <v>23.9</v>
      </c>
      <c r="V372" s="285">
        <f t="shared" si="1812"/>
        <v>26.6</v>
      </c>
      <c r="W372" s="285">
        <f t="shared" si="1812"/>
        <v>27.6</v>
      </c>
      <c r="X372" s="285">
        <f t="shared" si="1812"/>
        <v>29.8</v>
      </c>
      <c r="Y372" s="285">
        <f t="shared" si="1812"/>
        <v>30</v>
      </c>
      <c r="Z372" s="285">
        <f t="shared" si="1812"/>
        <v>30.6</v>
      </c>
      <c r="AA372" s="285">
        <f t="shared" si="1812"/>
        <v>31.1</v>
      </c>
      <c r="AB372" s="285">
        <f t="shared" si="1812"/>
        <v>31.4</v>
      </c>
      <c r="AC372" s="285">
        <f t="shared" si="1812"/>
        <v>39.1</v>
      </c>
      <c r="AD372" s="285">
        <f t="shared" ref="AD372:AI372" si="1813">-AD39</f>
        <v>39.9</v>
      </c>
      <c r="AE372" s="285">
        <f t="shared" si="1813"/>
        <v>39.299999999999997</v>
      </c>
      <c r="AF372" s="285">
        <f t="shared" si="1813"/>
        <v>44.7</v>
      </c>
      <c r="AG372" s="285">
        <f t="shared" si="1813"/>
        <v>50.6</v>
      </c>
      <c r="AH372" s="285">
        <f t="shared" si="1813"/>
        <v>49.3</v>
      </c>
      <c r="AI372" s="285">
        <f t="shared" si="1813"/>
        <v>55.7</v>
      </c>
      <c r="AJ372" s="285">
        <f t="shared" ref="AJ372:AK372" si="1814">-AJ39</f>
        <v>63.7</v>
      </c>
      <c r="AK372" s="285">
        <f t="shared" si="1814"/>
        <v>68.7</v>
      </c>
      <c r="AL372" s="285">
        <f t="shared" ref="AL372" si="1815">-AL39</f>
        <v>70.8</v>
      </c>
      <c r="AM372" s="123">
        <f t="shared" ref="AM372:AX372" si="1816">-AM39</f>
        <v>74.134247261036407</v>
      </c>
      <c r="AN372" s="123">
        <f t="shared" ca="1" si="1816"/>
        <v>86.904576633118296</v>
      </c>
      <c r="AO372" s="123">
        <f t="shared" ca="1" si="1816"/>
        <v>90.575472344116065</v>
      </c>
      <c r="AP372" s="123">
        <f t="shared" ca="1" si="1816"/>
        <v>97.659092762230301</v>
      </c>
      <c r="AQ372" s="123">
        <f t="shared" ca="1" si="1816"/>
        <v>101.35733227645413</v>
      </c>
      <c r="AR372" s="123">
        <f t="shared" ca="1" si="1816"/>
        <v>107.51048195711429</v>
      </c>
      <c r="AS372" s="123">
        <f t="shared" ca="1" si="1816"/>
        <v>110.79788802497606</v>
      </c>
      <c r="AT372" s="123">
        <f t="shared" ca="1" si="1816"/>
        <v>116.74855516536601</v>
      </c>
      <c r="AU372" s="123">
        <f t="shared" ca="1" si="1816"/>
        <v>119.831145735611</v>
      </c>
      <c r="AV372" s="123">
        <f t="shared" ca="1" si="1816"/>
        <v>125.57473286991795</v>
      </c>
      <c r="AW372" s="123">
        <f t="shared" ca="1" si="1816"/>
        <v>128.4481940828525</v>
      </c>
      <c r="AX372" s="123">
        <f t="shared" ca="1" si="1816"/>
        <v>133.98060285179028</v>
      </c>
      <c r="AY372" s="123">
        <f t="shared" ref="AY372:BJ372" ca="1" si="1817">-AY39</f>
        <v>139.40588597737184</v>
      </c>
      <c r="AZ372" s="123">
        <f t="shared" ca="1" si="1817"/>
        <v>144.7230193734913</v>
      </c>
      <c r="BA372" s="123">
        <f t="shared" ca="1" si="1817"/>
        <v>149.93097911664501</v>
      </c>
      <c r="BB372" s="123">
        <f t="shared" ca="1" si="1817"/>
        <v>155.02874144345506</v>
      </c>
      <c r="BC372" s="123">
        <f t="shared" ca="1" si="1817"/>
        <v>160.01571843672394</v>
      </c>
      <c r="BD372" s="123">
        <f t="shared" ca="1" si="1817"/>
        <v>164.8908814832154</v>
      </c>
      <c r="BE372" s="123">
        <f t="shared" ca="1" si="1817"/>
        <v>169.65320220720071</v>
      </c>
      <c r="BF372" s="123">
        <f t="shared" ca="1" si="1817"/>
        <v>174.30165246685138</v>
      </c>
      <c r="BG372" s="123">
        <f t="shared" ca="1" si="1817"/>
        <v>178.83520435068681</v>
      </c>
      <c r="BH372" s="123">
        <f t="shared" ca="1" si="1817"/>
        <v>183.25283017407727</v>
      </c>
      <c r="BI372" s="123">
        <f t="shared" ca="1" si="1817"/>
        <v>187.55350247580026</v>
      </c>
      <c r="BJ372" s="123">
        <f t="shared" ca="1" si="1817"/>
        <v>191.73619401464995</v>
      </c>
      <c r="BL372" s="49">
        <f>-BL39</f>
        <v>36.200000000000003</v>
      </c>
      <c r="BM372" s="49">
        <f>-BM39</f>
        <v>55.5</v>
      </c>
      <c r="BN372" s="123">
        <f t="shared" si="1800"/>
        <v>73.397841999999997</v>
      </c>
      <c r="BO372" s="1">
        <f t="shared" si="1801"/>
        <v>95.199999999999989</v>
      </c>
      <c r="BP372" s="1">
        <f t="shared" si="1802"/>
        <v>118</v>
      </c>
      <c r="BQ372" s="1">
        <f t="shared" si="1803"/>
        <v>141.5</v>
      </c>
      <c r="BR372" s="1">
        <f t="shared" si="1804"/>
        <v>183.89999999999998</v>
      </c>
      <c r="BS372" s="1">
        <f t="shared" si="1805"/>
        <v>258.90000000000003</v>
      </c>
      <c r="BT372" s="1">
        <f t="shared" ca="1" si="1806"/>
        <v>349.27338900050108</v>
      </c>
      <c r="BU372" s="1">
        <f t="shared" ca="1" si="1807"/>
        <v>436.4142574239105</v>
      </c>
      <c r="BV372" s="1">
        <f t="shared" ca="1" si="1808"/>
        <v>507.8346755401717</v>
      </c>
      <c r="BW372" s="1">
        <f t="shared" ca="1" si="1809"/>
        <v>589.08862591096317</v>
      </c>
      <c r="BX372" s="1">
        <f t="shared" ca="1" si="1810"/>
        <v>668.86145459399143</v>
      </c>
      <c r="BY372" s="1">
        <f t="shared" ca="1" si="1811"/>
        <v>741.37773101521429</v>
      </c>
    </row>
    <row r="373" spans="1:85" ht="12" customHeight="1">
      <c r="B373" s="2" t="s">
        <v>32</v>
      </c>
      <c r="C373" s="2"/>
      <c r="D373" s="2"/>
      <c r="E373" s="2"/>
      <c r="F373" s="2"/>
      <c r="G373" s="2"/>
      <c r="H373" s="2"/>
      <c r="I373" s="2"/>
      <c r="J373" s="2"/>
      <c r="K373" s="2"/>
      <c r="L373" s="2"/>
      <c r="M373" s="2"/>
      <c r="N373" s="2"/>
      <c r="O373" s="283">
        <v>0</v>
      </c>
      <c r="P373" s="170">
        <v>0</v>
      </c>
      <c r="Q373" s="170">
        <v>0</v>
      </c>
      <c r="R373" s="170">
        <v>0</v>
      </c>
      <c r="S373" s="283"/>
      <c r="T373" s="283"/>
      <c r="U373" s="283"/>
      <c r="V373" s="283"/>
      <c r="W373" s="283"/>
      <c r="X373" s="283"/>
      <c r="Y373" s="283"/>
      <c r="Z373" s="283"/>
      <c r="AA373" s="283"/>
      <c r="AB373" s="283"/>
      <c r="AC373" s="283"/>
      <c r="AD373" s="283"/>
      <c r="AE373" s="283"/>
      <c r="AF373" s="283"/>
      <c r="AG373" s="283"/>
      <c r="AH373" s="283"/>
      <c r="AI373" s="283"/>
      <c r="AJ373" s="283"/>
      <c r="AK373" s="283"/>
      <c r="AL373" s="283"/>
      <c r="AM373" s="123">
        <f t="shared" ref="AM373:AX373" ca="1" si="1818">-AM56</f>
        <v>7.3661115105421882</v>
      </c>
      <c r="AN373" s="123">
        <f t="shared" ca="1" si="1818"/>
        <v>7.8462393096006497</v>
      </c>
      <c r="AO373" s="123">
        <f t="shared" ca="1" si="1818"/>
        <v>8.2205558278986022</v>
      </c>
      <c r="AP373" s="123">
        <f t="shared" ca="1" si="1818"/>
        <v>8.578747049623173</v>
      </c>
      <c r="AQ373" s="123">
        <f t="shared" ca="1" si="1818"/>
        <v>8.891038054180628</v>
      </c>
      <c r="AR373" s="123">
        <f t="shared" ca="1" si="1818"/>
        <v>9.2011120682215193</v>
      </c>
      <c r="AS373" s="123">
        <f t="shared" ca="1" si="1818"/>
        <v>9.5090042241261319</v>
      </c>
      <c r="AT373" s="123">
        <f t="shared" ca="1" si="1818"/>
        <v>9.8147491188558309</v>
      </c>
      <c r="AU373" s="123">
        <f t="shared" ca="1" si="1818"/>
        <v>10.118380822185133</v>
      </c>
      <c r="AV373" s="123">
        <f t="shared" ca="1" si="1818"/>
        <v>10.419932884807503</v>
      </c>
      <c r="AW373" s="123">
        <f t="shared" ca="1" si="1818"/>
        <v>10.719438346316732</v>
      </c>
      <c r="AX373" s="123">
        <f t="shared" ca="1" si="1818"/>
        <v>11.016929743065868</v>
      </c>
      <c r="AY373" s="123">
        <f t="shared" ref="AY373:BJ373" ca="1" si="1819">-AY56</f>
        <v>11.400967794209812</v>
      </c>
      <c r="AZ373" s="123">
        <f t="shared" ca="1" si="1819"/>
        <v>11.782006325262625</v>
      </c>
      <c r="BA373" s="123">
        <f t="shared" ca="1" si="1819"/>
        <v>12.16009359600695</v>
      </c>
      <c r="BB373" s="123">
        <f t="shared" ca="1" si="1819"/>
        <v>12.535277133208202</v>
      </c>
      <c r="BC373" s="123">
        <f t="shared" ca="1" si="1819"/>
        <v>12.907603741893425</v>
      </c>
      <c r="BD373" s="123">
        <f t="shared" ca="1" si="1819"/>
        <v>13.277119516457093</v>
      </c>
      <c r="BE373" s="123">
        <f t="shared" ca="1" si="1819"/>
        <v>13.643869851596568</v>
      </c>
      <c r="BF373" s="123">
        <f t="shared" ca="1" si="1819"/>
        <v>14.007899453079769</v>
      </c>
      <c r="BG373" s="123">
        <f t="shared" ca="1" si="1819"/>
        <v>14.369252348347676</v>
      </c>
      <c r="BH373" s="123">
        <f t="shared" ca="1" si="1819"/>
        <v>14.727971896954161</v>
      </c>
      <c r="BI373" s="123">
        <f t="shared" ca="1" si="1819"/>
        <v>15.084100800845693</v>
      </c>
      <c r="BJ373" s="123">
        <f t="shared" ca="1" si="1819"/>
        <v>15.437681114483315</v>
      </c>
      <c r="BL373" s="170"/>
      <c r="BM373" s="170">
        <v>0</v>
      </c>
      <c r="BN373" s="123">
        <f t="shared" si="1800"/>
        <v>0</v>
      </c>
      <c r="BO373" s="1">
        <f t="shared" si="1801"/>
        <v>0</v>
      </c>
      <c r="BP373" s="1">
        <f t="shared" si="1802"/>
        <v>0</v>
      </c>
      <c r="BQ373" s="1">
        <f t="shared" si="1803"/>
        <v>0</v>
      </c>
      <c r="BR373" s="1">
        <f t="shared" si="1804"/>
        <v>0</v>
      </c>
      <c r="BS373" s="1">
        <f t="shared" si="1805"/>
        <v>0</v>
      </c>
      <c r="BT373" s="1">
        <f t="shared" ca="1" si="1806"/>
        <v>32.011653697664613</v>
      </c>
      <c r="BU373" s="1">
        <f t="shared" ca="1" si="1807"/>
        <v>37.415903465384105</v>
      </c>
      <c r="BV373" s="1">
        <f t="shared" ca="1" si="1808"/>
        <v>42.274681796375233</v>
      </c>
      <c r="BW373" s="1">
        <f t="shared" ca="1" si="1809"/>
        <v>47.87834484868759</v>
      </c>
      <c r="BX373" s="1">
        <f t="shared" ca="1" si="1810"/>
        <v>53.836492563026852</v>
      </c>
      <c r="BY373" s="1">
        <f t="shared" ca="1" si="1811"/>
        <v>59.619006160630846</v>
      </c>
    </row>
    <row r="374" spans="1:85" ht="12" customHeight="1">
      <c r="B374" s="2" t="s">
        <v>33</v>
      </c>
      <c r="C374" s="2"/>
      <c r="D374" s="2"/>
      <c r="E374" s="2"/>
      <c r="F374" s="2"/>
      <c r="G374" s="2"/>
      <c r="H374" s="2"/>
      <c r="I374" s="2"/>
      <c r="J374" s="2"/>
      <c r="K374" s="2"/>
      <c r="L374" s="2"/>
      <c r="M374" s="2"/>
      <c r="N374" s="2"/>
      <c r="O374" s="123">
        <f>-O57</f>
        <v>0</v>
      </c>
      <c r="P374" s="1">
        <f>-P57</f>
        <v>0</v>
      </c>
      <c r="Q374" s="49">
        <f>-Q57</f>
        <v>0</v>
      </c>
      <c r="R374" s="170">
        <v>0.3</v>
      </c>
      <c r="S374" s="283"/>
      <c r="T374" s="283"/>
      <c r="U374" s="283"/>
      <c r="V374" s="283"/>
      <c r="W374" s="283"/>
      <c r="X374" s="283">
        <v>0.9</v>
      </c>
      <c r="Y374" s="283">
        <v>0.9</v>
      </c>
      <c r="Z374" s="283">
        <v>0.7</v>
      </c>
      <c r="AA374" s="283">
        <v>0.7</v>
      </c>
      <c r="AB374" s="283">
        <f>1.4-AA374</f>
        <v>0.7</v>
      </c>
      <c r="AC374" s="283">
        <f>2.3-AA374-AB374</f>
        <v>0.89999999999999991</v>
      </c>
      <c r="AD374" s="283">
        <v>1.1000000000000001</v>
      </c>
      <c r="AE374" s="283">
        <v>0.9</v>
      </c>
      <c r="AF374" s="283">
        <f>1.5-AE374</f>
        <v>0.6</v>
      </c>
      <c r="AG374" s="283">
        <v>9.6</v>
      </c>
      <c r="AH374" s="283">
        <v>-6.3</v>
      </c>
      <c r="AI374" s="283">
        <v>-1</v>
      </c>
      <c r="AJ374" s="283">
        <f>10.7-AI374</f>
        <v>11.7</v>
      </c>
      <c r="AK374" s="283">
        <v>-8.6</v>
      </c>
      <c r="AL374" s="283">
        <v>14.4</v>
      </c>
      <c r="AM374" s="123">
        <f t="shared" ref="AM374:AX374" si="1820">-AM57</f>
        <v>-0.9</v>
      </c>
      <c r="AN374" s="123">
        <f t="shared" si="1820"/>
        <v>-0.9</v>
      </c>
      <c r="AO374" s="123">
        <f t="shared" si="1820"/>
        <v>-0.9</v>
      </c>
      <c r="AP374" s="123">
        <f t="shared" si="1820"/>
        <v>-0.9</v>
      </c>
      <c r="AQ374" s="123">
        <f t="shared" si="1820"/>
        <v>-0.9</v>
      </c>
      <c r="AR374" s="123">
        <f t="shared" si="1820"/>
        <v>-0.9</v>
      </c>
      <c r="AS374" s="123">
        <f t="shared" si="1820"/>
        <v>-0.9</v>
      </c>
      <c r="AT374" s="123">
        <f t="shared" si="1820"/>
        <v>-0.9</v>
      </c>
      <c r="AU374" s="123">
        <f t="shared" si="1820"/>
        <v>-0.9</v>
      </c>
      <c r="AV374" s="123">
        <f t="shared" si="1820"/>
        <v>-0.9</v>
      </c>
      <c r="AW374" s="123">
        <f t="shared" si="1820"/>
        <v>-0.9</v>
      </c>
      <c r="AX374" s="123">
        <f t="shared" si="1820"/>
        <v>-0.9</v>
      </c>
      <c r="AY374" s="123">
        <f t="shared" ref="AY374:BJ374" si="1821">-AY57</f>
        <v>-0.9</v>
      </c>
      <c r="AZ374" s="123">
        <f t="shared" si="1821"/>
        <v>-0.9</v>
      </c>
      <c r="BA374" s="123">
        <f t="shared" si="1821"/>
        <v>-0.9</v>
      </c>
      <c r="BB374" s="123">
        <f t="shared" si="1821"/>
        <v>-0.9</v>
      </c>
      <c r="BC374" s="123">
        <f t="shared" si="1821"/>
        <v>-0.9</v>
      </c>
      <c r="BD374" s="123">
        <f t="shared" si="1821"/>
        <v>-0.9</v>
      </c>
      <c r="BE374" s="123">
        <f t="shared" si="1821"/>
        <v>-0.9</v>
      </c>
      <c r="BF374" s="123">
        <f t="shared" si="1821"/>
        <v>-0.9</v>
      </c>
      <c r="BG374" s="123">
        <f t="shared" si="1821"/>
        <v>-0.9</v>
      </c>
      <c r="BH374" s="123">
        <f t="shared" si="1821"/>
        <v>-0.9</v>
      </c>
      <c r="BI374" s="123">
        <f t="shared" si="1821"/>
        <v>-0.9</v>
      </c>
      <c r="BJ374" s="123">
        <f t="shared" si="1821"/>
        <v>-0.9</v>
      </c>
      <c r="BL374" s="49">
        <f>-BL57</f>
        <v>0.7</v>
      </c>
      <c r="BM374" s="49">
        <f>-BM57</f>
        <v>0</v>
      </c>
      <c r="BN374" s="123">
        <f t="shared" si="1800"/>
        <v>0.3</v>
      </c>
      <c r="BO374" s="1">
        <f t="shared" si="1801"/>
        <v>0</v>
      </c>
      <c r="BP374" s="1">
        <f t="shared" si="1802"/>
        <v>2.5</v>
      </c>
      <c r="BQ374" s="1">
        <f t="shared" si="1803"/>
        <v>3.4</v>
      </c>
      <c r="BR374" s="1">
        <f t="shared" si="1804"/>
        <v>4.8</v>
      </c>
      <c r="BS374" s="1">
        <f t="shared" si="1805"/>
        <v>16.5</v>
      </c>
      <c r="BT374" s="1">
        <f t="shared" si="1806"/>
        <v>-3.6</v>
      </c>
      <c r="BU374" s="1">
        <f t="shared" si="1807"/>
        <v>-3.6</v>
      </c>
      <c r="BV374" s="1">
        <f t="shared" si="1808"/>
        <v>-3.6</v>
      </c>
      <c r="BW374" s="1">
        <f t="shared" si="1809"/>
        <v>-3.6</v>
      </c>
      <c r="BX374" s="1">
        <f t="shared" si="1810"/>
        <v>-3.6</v>
      </c>
      <c r="BY374" s="1">
        <f t="shared" si="1811"/>
        <v>-3.6</v>
      </c>
    </row>
    <row r="375" spans="1:85" ht="12" customHeight="1">
      <c r="B375" s="2" t="s">
        <v>35</v>
      </c>
      <c r="C375" s="2"/>
      <c r="D375" s="2"/>
      <c r="E375" s="2"/>
      <c r="F375" s="2"/>
      <c r="G375" s="2"/>
      <c r="H375" s="2"/>
      <c r="I375" s="2"/>
      <c r="J375" s="2"/>
      <c r="K375" s="2"/>
      <c r="L375" s="2"/>
      <c r="M375" s="2"/>
      <c r="N375" s="2"/>
      <c r="O375" s="123">
        <f t="shared" ref="O375:AA375" si="1822">O59</f>
        <v>0.5</v>
      </c>
      <c r="P375" s="1">
        <f t="shared" si="1822"/>
        <v>0.4</v>
      </c>
      <c r="Q375" s="49">
        <f t="shared" si="1822"/>
        <v>1.7</v>
      </c>
      <c r="R375" s="49">
        <f t="shared" si="1822"/>
        <v>0.8</v>
      </c>
      <c r="S375" s="285">
        <f t="shared" si="1822"/>
        <v>1.2</v>
      </c>
      <c r="T375" s="285">
        <f t="shared" si="1822"/>
        <v>1.8</v>
      </c>
      <c r="U375" s="285">
        <f t="shared" si="1822"/>
        <v>2</v>
      </c>
      <c r="V375" s="285">
        <f t="shared" si="1822"/>
        <v>1.3</v>
      </c>
      <c r="W375" s="285">
        <f t="shared" si="1822"/>
        <v>2.2000000000000002</v>
      </c>
      <c r="X375" s="285">
        <f t="shared" si="1822"/>
        <v>2.8</v>
      </c>
      <c r="Y375" s="285">
        <f t="shared" si="1822"/>
        <v>2.6</v>
      </c>
      <c r="Z375" s="285">
        <f t="shared" si="1822"/>
        <v>2.7</v>
      </c>
      <c r="AA375" s="285">
        <f t="shared" si="1822"/>
        <v>3</v>
      </c>
      <c r="AB375" s="480">
        <f>6.2-AA375</f>
        <v>3.2</v>
      </c>
      <c r="AC375" s="480">
        <f>10.5-AA375-AB375</f>
        <v>4.3</v>
      </c>
      <c r="AD375" s="480">
        <v>3.9</v>
      </c>
      <c r="AE375" s="480">
        <v>3</v>
      </c>
      <c r="AF375" s="480">
        <f>6.2-AE375</f>
        <v>3.2</v>
      </c>
      <c r="AG375" s="480">
        <v>2.2999999999999998</v>
      </c>
      <c r="AH375" s="480">
        <v>3.8</v>
      </c>
      <c r="AI375" s="480">
        <v>3.7</v>
      </c>
      <c r="AJ375" s="480">
        <f>7.7-AI375</f>
        <v>4</v>
      </c>
      <c r="AK375" s="480">
        <v>3.9</v>
      </c>
      <c r="AL375" s="480">
        <v>3.1</v>
      </c>
      <c r="AM375" s="123">
        <f t="shared" ref="AM375:AX375" ca="1" si="1823">AM59</f>
        <v>3.6936480369526028</v>
      </c>
      <c r="AN375" s="123">
        <f t="shared" ca="1" si="1823"/>
        <v>3.8572168985144022</v>
      </c>
      <c r="AO375" s="123">
        <f t="shared" ca="1" si="1823"/>
        <v>3.9543062347914804</v>
      </c>
      <c r="AP375" s="123">
        <f t="shared" ca="1" si="1823"/>
        <v>4.2329003110403276</v>
      </c>
      <c r="AQ375" s="123">
        <f t="shared" ca="1" si="1823"/>
        <v>4.4466877100633351</v>
      </c>
      <c r="AR375" s="123">
        <f t="shared" ca="1" si="1823"/>
        <v>4.4586864277716103</v>
      </c>
      <c r="AS375" s="123">
        <f t="shared" ca="1" si="1823"/>
        <v>4.57526013991043</v>
      </c>
      <c r="AT375" s="123">
        <f t="shared" ca="1" si="1823"/>
        <v>4.9089956086034823</v>
      </c>
      <c r="AU375" s="123">
        <f t="shared" ca="1" si="1823"/>
        <v>5.0273863310564337</v>
      </c>
      <c r="AV375" s="123">
        <f t="shared" ca="1" si="1823"/>
        <v>5.0399941756072719</v>
      </c>
      <c r="AW375" s="123">
        <f t="shared" ca="1" si="1823"/>
        <v>5.1644763437009278</v>
      </c>
      <c r="AX375" s="123">
        <f t="shared" ca="1" si="1823"/>
        <v>5.519031658785539</v>
      </c>
      <c r="AY375" s="123">
        <f t="shared" ref="AY375:BJ375" ca="1" si="1824">AY59</f>
        <v>5.6568086573006582</v>
      </c>
      <c r="AZ375" s="123">
        <f t="shared" ca="1" si="1824"/>
        <v>5.6983427238897262</v>
      </c>
      <c r="BA375" s="123">
        <f t="shared" ca="1" si="1824"/>
        <v>5.8606668769907246</v>
      </c>
      <c r="BB375" s="123">
        <f t="shared" ca="1" si="1824"/>
        <v>6.2804071430866424</v>
      </c>
      <c r="BC375" s="123">
        <f t="shared" ca="1" si="1824"/>
        <v>6.4027683530630846</v>
      </c>
      <c r="BD375" s="123">
        <f t="shared" ca="1" si="1824"/>
        <v>6.4216874888956825</v>
      </c>
      <c r="BE375" s="123">
        <f t="shared" ca="1" si="1824"/>
        <v>6.5762243577161783</v>
      </c>
      <c r="BF375" s="123">
        <f t="shared" ca="1" si="1824"/>
        <v>7.0181732827266057</v>
      </c>
      <c r="BG375" s="123">
        <f t="shared" ca="1" si="1824"/>
        <v>7.1275449532265993</v>
      </c>
      <c r="BH375" s="123">
        <f t="shared" ca="1" si="1824"/>
        <v>7.1235206735491046</v>
      </c>
      <c r="BI375" s="123">
        <f t="shared" ca="1" si="1824"/>
        <v>7.2704707666102957</v>
      </c>
      <c r="BJ375" s="123">
        <f t="shared" ca="1" si="1824"/>
        <v>7.7344773183992972</v>
      </c>
      <c r="BL375" s="49">
        <f>-BL59</f>
        <v>0</v>
      </c>
      <c r="BM375" s="49">
        <f>-BM59</f>
        <v>0</v>
      </c>
      <c r="BN375" s="123">
        <f t="shared" si="1800"/>
        <v>3.4000000000000004</v>
      </c>
      <c r="BO375" s="1">
        <f t="shared" si="1801"/>
        <v>6.3</v>
      </c>
      <c r="BP375" s="1">
        <f t="shared" si="1802"/>
        <v>10.3</v>
      </c>
      <c r="BQ375" s="1">
        <f t="shared" si="1803"/>
        <v>14.4</v>
      </c>
      <c r="BR375" s="1">
        <f t="shared" si="1804"/>
        <v>12.3</v>
      </c>
      <c r="BS375" s="1">
        <f t="shared" si="1805"/>
        <v>14.7</v>
      </c>
      <c r="BT375" s="1">
        <f t="shared" ca="1" si="1806"/>
        <v>15.738071481298814</v>
      </c>
      <c r="BU375" s="1">
        <f t="shared" ca="1" si="1807"/>
        <v>18.389629886348857</v>
      </c>
      <c r="BV375" s="1">
        <f t="shared" ca="1" si="1808"/>
        <v>20.750888509150172</v>
      </c>
      <c r="BW375" s="1">
        <f t="shared" ca="1" si="1809"/>
        <v>23.49622540126775</v>
      </c>
      <c r="BX375" s="1">
        <f t="shared" ca="1" si="1810"/>
        <v>26.418853482401552</v>
      </c>
      <c r="BY375" s="1">
        <f t="shared" ca="1" si="1811"/>
        <v>29.256013711785297</v>
      </c>
    </row>
    <row r="376" spans="1:85" ht="12" customHeight="1">
      <c r="B376" s="2" t="s">
        <v>42</v>
      </c>
      <c r="C376" s="2"/>
      <c r="D376" s="2"/>
      <c r="E376" s="2"/>
      <c r="F376" s="2"/>
      <c r="G376" s="2"/>
      <c r="H376" s="2"/>
      <c r="I376" s="2"/>
      <c r="J376" s="2"/>
      <c r="K376" s="2"/>
      <c r="L376" s="2"/>
      <c r="M376" s="2"/>
      <c r="N376" s="2"/>
      <c r="O376" s="283">
        <v>-3.8</v>
      </c>
      <c r="P376" s="170">
        <f>-3.8+2.6+2.2</f>
        <v>1.0000000000000004</v>
      </c>
      <c r="Q376" s="170">
        <v>-5.3</v>
      </c>
      <c r="R376" s="170">
        <f>-31.2-0.6+3.8+7.2-SUM(O376:Q376)</f>
        <v>-12.700000000000001</v>
      </c>
      <c r="S376" s="283"/>
      <c r="T376" s="283"/>
      <c r="U376" s="283"/>
      <c r="V376" s="283"/>
      <c r="W376" s="283"/>
      <c r="X376" s="283">
        <f>-24.7-1.9+1.9+0.3</f>
        <v>-24.4</v>
      </c>
      <c r="Y376" s="283">
        <f>0.1+11.6-0.6-0.8</f>
        <v>10.299999999999999</v>
      </c>
      <c r="Z376" s="283">
        <f>-5.7-7.2-0.4+0.4</f>
        <v>-12.9</v>
      </c>
      <c r="AA376" s="283">
        <f>1.8-2.9-0.2-1.6</f>
        <v>-2.9</v>
      </c>
      <c r="AB376" s="283">
        <f>-7.8+5.4+0.8-1.9-AA376</f>
        <v>-0.5999999999999992</v>
      </c>
      <c r="AC376" s="283">
        <f>-16.9+9.9+0.8-1.5-AA376-AB376</f>
        <v>-4.1999999999999993</v>
      </c>
      <c r="AD376" s="283">
        <f>-7-2.9+4.6+0.6</f>
        <v>-4.7000000000000011</v>
      </c>
      <c r="AE376" s="283">
        <f>6.2-2.3</f>
        <v>3.9000000000000004</v>
      </c>
      <c r="AF376" s="283">
        <f>-8.9+1.7-7-AE376</f>
        <v>-18.100000000000001</v>
      </c>
      <c r="AG376" s="283">
        <f>-20.1+0.9+0.8</f>
        <v>-18.400000000000002</v>
      </c>
      <c r="AH376" s="283">
        <f>-22.7+4.4+3.7</f>
        <v>-14.599999999999998</v>
      </c>
      <c r="AI376" s="283">
        <f>-20-4.9+15.7</f>
        <v>-9.1999999999999993</v>
      </c>
      <c r="AJ376" s="283">
        <f>-41.3-3.3+18.9-AI376</f>
        <v>-16.499999999999996</v>
      </c>
      <c r="AK376" s="283">
        <f>-12.4+8.1+8.3</f>
        <v>4</v>
      </c>
      <c r="AL376" s="283">
        <f>-10.6+12.2+6.8</f>
        <v>8.3999999999999986</v>
      </c>
      <c r="AM376" s="123">
        <f t="shared" ref="AM376:AX376" si="1825">AL351-AM351+AM354-AL354+AM355-AL355+AM356-AL356+AM357-AL357+AL350-AM350</f>
        <v>0.6404768750013119</v>
      </c>
      <c r="AN376" s="123">
        <f t="shared" ca="1" si="1825"/>
        <v>2.453057619495965</v>
      </c>
      <c r="AO376" s="123">
        <f t="shared" ca="1" si="1825"/>
        <v>0.70514380889221684</v>
      </c>
      <c r="AP376" s="123">
        <f t="shared" ca="1" si="1825"/>
        <v>1.3606954475473287</v>
      </c>
      <c r="AQ376" s="123">
        <f t="shared" ca="1" si="1825"/>
        <v>0.71039629086791933</v>
      </c>
      <c r="AR376" s="123">
        <f t="shared" ca="1" si="1825"/>
        <v>1.1819609556070247</v>
      </c>
      <c r="AS376" s="123">
        <f t="shared" ca="1" si="1825"/>
        <v>0.6314791316796402</v>
      </c>
      <c r="AT376" s="123">
        <f t="shared" ca="1" si="1825"/>
        <v>1.1430660043686487</v>
      </c>
      <c r="AU376" s="123">
        <f t="shared" ca="1" si="1825"/>
        <v>0.59213604174209422</v>
      </c>
      <c r="AV376" s="123">
        <f t="shared" ca="1" si="1825"/>
        <v>1.1032879241040803</v>
      </c>
      <c r="AW376" s="123">
        <f t="shared" ca="1" si="1825"/>
        <v>0.55196430078962067</v>
      </c>
      <c r="AX376" s="123">
        <f t="shared" ca="1" si="1825"/>
        <v>1.0627225883835649</v>
      </c>
      <c r="AY376" s="123">
        <f t="shared" ref="AY376" ca="1" si="1826">AX351-AY351+AY354-AX354+AY355-AX355+AY356-AX356+AY357-AX357+AX350-AY350</f>
        <v>1.0421447811851579</v>
      </c>
      <c r="AZ376" s="123">
        <f t="shared" ref="AZ376" ca="1" si="1827">AY351-AZ351+AZ354-AY354+AZ355-AY355+AZ356-AY356+AZ357-AY357+AY350-AZ350</f>
        <v>1.0213702568817098</v>
      </c>
      <c r="BA376" s="123">
        <f t="shared" ref="BA376" ca="1" si="1828">AZ351-BA351+BA354-AZ354+BA355-AZ355+BA356-AZ356+BA357-AZ357+AZ350-BA350</f>
        <v>1.0003990467074857</v>
      </c>
      <c r="BB376" s="123">
        <f t="shared" ref="BB376" ca="1" si="1829">BA351-BB351+BB354-BA354+BB355-BA355+BB356-BA356+BB357-BA357+BA350-BB350</f>
        <v>0.97923118142122689</v>
      </c>
      <c r="BC376" s="123">
        <f t="shared" ref="BC376" ca="1" si="1830">BB351-BC351+BC354-BB354+BC355-BB355+BC356-BB356+BC357-BB357+BB350-BC350</f>
        <v>0.95795038288767387</v>
      </c>
      <c r="BD376" s="123">
        <f t="shared" ref="BD376" ca="1" si="1831">BC351-BD351+BD354-BC354+BD355-BC355+BD356-BC356+BD357-BC357+BC350-BD350</f>
        <v>0.9364719976312017</v>
      </c>
      <c r="BE376" s="123">
        <f t="shared" ref="BE376" ca="1" si="1832">BD351-BE351+BE354-BD354+BE355-BD355+BE356-BD356+BE357-BD357+BD350-BE350</f>
        <v>0.91479607127394047</v>
      </c>
      <c r="BF376" s="123">
        <f t="shared" ref="BF376" ca="1" si="1833">BE351-BF351+BF354-BE354+BF355-BE355+BF356-BE356+BF357-BE357+BE350-BF350</f>
        <v>0.89292264874649163</v>
      </c>
      <c r="BG376" s="123">
        <f t="shared" ref="BG376" ca="1" si="1834">BF351-BG351+BG354-BF354+BG355-BF355+BG356-BF356+BG357-BF357+BF350-BG350</f>
        <v>0.87085177429617033</v>
      </c>
      <c r="BH376" s="123">
        <f t="shared" ref="BH376" ca="1" si="1835">BG351-BH351+BH354-BG354+BH355-BG355+BH356-BG356+BH357-BG357+BG350-BH350</f>
        <v>0.84858349149868673</v>
      </c>
      <c r="BI376" s="123">
        <f t="shared" ref="BI376" ca="1" si="1836">BH351-BI351+BI354-BH354+BI355-BH355+BI356-BH356+BI357-BH357+BH350-BI350</f>
        <v>0.82611784326877569</v>
      </c>
      <c r="BJ376" s="123">
        <f t="shared" ref="BJ376" ca="1" si="1837">BI351-BJ351+BJ354-BI354+BJ355-BI355+BJ356-BI356+BJ357-BI357+BI350-BJ350</f>
        <v>0.80345487186940545</v>
      </c>
      <c r="BL376" s="170">
        <f>-4.3+4.2-1.8+0.6</f>
        <v>-1.2999999999999998</v>
      </c>
      <c r="BM376" s="170">
        <f>-1.6+3.5+2.3-1.7</f>
        <v>2.4999999999999991</v>
      </c>
      <c r="BN376" s="123">
        <f t="shared" si="1800"/>
        <v>-20.8</v>
      </c>
      <c r="BO376" s="1">
        <f t="shared" si="1801"/>
        <v>0</v>
      </c>
      <c r="BP376" s="1">
        <f t="shared" si="1802"/>
        <v>-27</v>
      </c>
      <c r="BQ376" s="1">
        <f t="shared" si="1803"/>
        <v>-12.399999999999999</v>
      </c>
      <c r="BR376" s="1">
        <f t="shared" si="1804"/>
        <v>-47.2</v>
      </c>
      <c r="BS376" s="1">
        <f t="shared" si="1805"/>
        <v>-13.299999999999997</v>
      </c>
      <c r="BT376" s="1">
        <f t="shared" ca="1" si="1806"/>
        <v>5.1593737509368225</v>
      </c>
      <c r="BU376" s="1">
        <f t="shared" ca="1" si="1807"/>
        <v>3.666902382523233</v>
      </c>
      <c r="BV376" s="1">
        <f t="shared" ca="1" si="1808"/>
        <v>3.3101108550193601</v>
      </c>
      <c r="BW376" s="1">
        <f t="shared" ca="1" si="1809"/>
        <v>4.0431452661955802</v>
      </c>
      <c r="BX376" s="1">
        <f t="shared" ca="1" si="1810"/>
        <v>3.7021411005393077</v>
      </c>
      <c r="BY376" s="1">
        <f t="shared" ca="1" si="1811"/>
        <v>3.3490079809330382</v>
      </c>
    </row>
    <row r="377" spans="1:85" ht="12" customHeight="1">
      <c r="B377" s="2" t="s">
        <v>12</v>
      </c>
      <c r="C377" s="2"/>
      <c r="D377" s="2"/>
      <c r="E377" s="2"/>
      <c r="F377" s="2"/>
      <c r="G377" s="2"/>
      <c r="H377" s="2"/>
      <c r="I377" s="2"/>
      <c r="J377" s="2"/>
      <c r="K377" s="2"/>
      <c r="L377" s="2"/>
      <c r="M377" s="2"/>
      <c r="N377" s="2"/>
      <c r="O377" s="283">
        <f>1.2-0.6-O375</f>
        <v>9.9999999999999978E-2</v>
      </c>
      <c r="P377" s="170">
        <f>1.1+13.3-3.9-P375</f>
        <v>10.1</v>
      </c>
      <c r="Q377" s="170">
        <f>1.1-0.8-Q375</f>
        <v>-1.4</v>
      </c>
      <c r="R377" s="170">
        <f>3+0.1+13.3-4.5-SUM(O375:R375)-SUM(O377:Q377)</f>
        <v>-0.29999999999999716</v>
      </c>
      <c r="S377" s="340">
        <f>22.9+2-SUM(S371:S376)</f>
        <v>25</v>
      </c>
      <c r="T377" s="340">
        <f>39.5+2-S378-SUM(T371:T376)</f>
        <v>-1.3999999999999986</v>
      </c>
      <c r="U377" s="340">
        <f>62.8+2-S378-T378-SUM(U371:U376)</f>
        <v>-0.40000000000000213</v>
      </c>
      <c r="V377" s="340">
        <f>77.4+2-SUM(V371:V376)-SUM(S378:U378)</f>
        <v>-9.6999999999999886</v>
      </c>
      <c r="W377" s="413">
        <f ca="1">125.2-V397-W384-W393-SUM(W371:W376)</f>
        <v>21.732560639999956</v>
      </c>
      <c r="X377" s="283">
        <v>0.6</v>
      </c>
      <c r="Y377" s="283">
        <v>0.3</v>
      </c>
      <c r="Z377" s="283">
        <f>-0.1+13.6</f>
        <v>13.5</v>
      </c>
      <c r="AA377" s="283">
        <v>8.6</v>
      </c>
      <c r="AB377" s="283">
        <f>8.6+0.2-AA377</f>
        <v>0.19999999999999929</v>
      </c>
      <c r="AC377" s="283">
        <f>0.3+13.5-AA377-AB377</f>
        <v>5.0000000000000018</v>
      </c>
      <c r="AD377" s="283">
        <v>-0.3</v>
      </c>
      <c r="AE377" s="283">
        <v>0.1</v>
      </c>
      <c r="AF377" s="283">
        <f>0.7-AE377</f>
        <v>0.6</v>
      </c>
      <c r="AG377" s="283">
        <v>0.2</v>
      </c>
      <c r="AH377" s="283">
        <f>0.7+5.3</f>
        <v>6</v>
      </c>
      <c r="AI377" s="283">
        <f>36.2+0.2</f>
        <v>36.400000000000006</v>
      </c>
      <c r="AJ377" s="283">
        <f>0.3+36.5+3.8-AI377</f>
        <v>4.1999999999999886</v>
      </c>
      <c r="AK377" s="283">
        <f>0.2+55.5</f>
        <v>55.7</v>
      </c>
      <c r="AL377" s="283">
        <f>-0.3+0.2</f>
        <v>-9.9999999999999978E-2</v>
      </c>
      <c r="AM377" s="211">
        <v>0</v>
      </c>
      <c r="AN377" s="211">
        <v>0</v>
      </c>
      <c r="AO377" s="211">
        <v>0</v>
      </c>
      <c r="AP377" s="211">
        <v>0</v>
      </c>
      <c r="AQ377" s="211">
        <v>0</v>
      </c>
      <c r="AR377" s="211">
        <v>0</v>
      </c>
      <c r="AS377" s="211">
        <v>0</v>
      </c>
      <c r="AT377" s="211">
        <v>0</v>
      </c>
      <c r="AU377" s="211">
        <v>0</v>
      </c>
      <c r="AV377" s="211">
        <v>0</v>
      </c>
      <c r="AW377" s="211">
        <v>0</v>
      </c>
      <c r="AX377" s="211">
        <v>0</v>
      </c>
      <c r="AY377" s="211">
        <v>0</v>
      </c>
      <c r="AZ377" s="211">
        <v>0</v>
      </c>
      <c r="BA377" s="211">
        <v>0</v>
      </c>
      <c r="BB377" s="211">
        <v>0</v>
      </c>
      <c r="BC377" s="211">
        <v>0</v>
      </c>
      <c r="BD377" s="211">
        <v>0</v>
      </c>
      <c r="BE377" s="211">
        <v>0</v>
      </c>
      <c r="BF377" s="211">
        <v>0</v>
      </c>
      <c r="BG377" s="211">
        <v>0</v>
      </c>
      <c r="BH377" s="211">
        <v>0</v>
      </c>
      <c r="BI377" s="211">
        <v>0</v>
      </c>
      <c r="BJ377" s="211">
        <v>0</v>
      </c>
      <c r="BL377" s="170">
        <f>2+2.4</f>
        <v>4.4000000000000004</v>
      </c>
      <c r="BM377" s="170">
        <f>3.5+1.4+1.6</f>
        <v>6.5</v>
      </c>
      <c r="BN377" s="212">
        <f t="shared" si="1800"/>
        <v>8.5000000000000018</v>
      </c>
      <c r="BO377" s="29">
        <f t="shared" si="1801"/>
        <v>13.500000000000011</v>
      </c>
      <c r="BP377" s="29">
        <f t="shared" ca="1" si="1802"/>
        <v>36.132560639999959</v>
      </c>
      <c r="BQ377" s="29">
        <f t="shared" si="1803"/>
        <v>13.5</v>
      </c>
      <c r="BR377" s="29">
        <f t="shared" si="1804"/>
        <v>6.9</v>
      </c>
      <c r="BS377" s="29">
        <f t="shared" si="1805"/>
        <v>96.2</v>
      </c>
      <c r="BT377" s="29">
        <f t="shared" si="1806"/>
        <v>0</v>
      </c>
      <c r="BU377" s="29">
        <f t="shared" si="1807"/>
        <v>0</v>
      </c>
      <c r="BV377" s="29">
        <f t="shared" si="1808"/>
        <v>0</v>
      </c>
      <c r="BW377" s="29">
        <f t="shared" si="1809"/>
        <v>0</v>
      </c>
      <c r="BX377" s="29">
        <f t="shared" si="1810"/>
        <v>0</v>
      </c>
      <c r="BY377" s="29">
        <f t="shared" si="1811"/>
        <v>0</v>
      </c>
    </row>
    <row r="378" spans="1:85" s="297" customFormat="1" ht="12" customHeight="1">
      <c r="A378" s="8"/>
      <c r="B378" s="8" t="s">
        <v>67</v>
      </c>
      <c r="C378" s="8"/>
      <c r="D378" s="8"/>
      <c r="E378" s="8"/>
      <c r="F378" s="8"/>
      <c r="G378" s="8"/>
      <c r="H378" s="8"/>
      <c r="I378" s="8"/>
      <c r="J378" s="8"/>
      <c r="K378" s="8"/>
      <c r="L378" s="8"/>
      <c r="M378" s="8"/>
      <c r="N378" s="8"/>
      <c r="O378" s="284">
        <f t="shared" ref="O378:W378" si="1838">SUM(O371:O377)</f>
        <v>12.499999999999998</v>
      </c>
      <c r="P378" s="9">
        <f t="shared" si="1838"/>
        <v>19.399999999999999</v>
      </c>
      <c r="Q378" s="9">
        <f t="shared" si="1838"/>
        <v>10.999999999999998</v>
      </c>
      <c r="R378" s="9">
        <f t="shared" si="1838"/>
        <v>1.6000000000000068</v>
      </c>
      <c r="S378" s="9">
        <f t="shared" si="1838"/>
        <v>24.9</v>
      </c>
      <c r="T378" s="9">
        <f t="shared" si="1838"/>
        <v>16.600000000000001</v>
      </c>
      <c r="U378" s="9">
        <f t="shared" si="1838"/>
        <v>23.299999999999997</v>
      </c>
      <c r="V378" s="9">
        <f t="shared" si="1838"/>
        <v>14.600000000000012</v>
      </c>
      <c r="W378" s="9">
        <f t="shared" ca="1" si="1838"/>
        <v>52.23256063999996</v>
      </c>
      <c r="X378" s="9">
        <f t="shared" ref="X378:AC378" si="1839">SUM(X371:X377)</f>
        <v>6.1000000000000068</v>
      </c>
      <c r="Y378" s="9">
        <f t="shared" si="1839"/>
        <v>44.29999999999999</v>
      </c>
      <c r="Z378" s="9">
        <f t="shared" si="1839"/>
        <v>22.800000000000004</v>
      </c>
      <c r="AA378" s="9">
        <f t="shared" si="1839"/>
        <v>33.300000000000011</v>
      </c>
      <c r="AB378" s="9">
        <f t="shared" si="1839"/>
        <v>28.400000000000006</v>
      </c>
      <c r="AC378" s="9">
        <f t="shared" si="1839"/>
        <v>39.799999999999983</v>
      </c>
      <c r="AD378" s="9">
        <f t="shared" ref="AD378:AI378" si="1840">SUM(AD371:AD377)</f>
        <v>38.700000000000003</v>
      </c>
      <c r="AE378" s="9">
        <f t="shared" si="1840"/>
        <v>52.800000000000004</v>
      </c>
      <c r="AF378" s="9">
        <f t="shared" si="1840"/>
        <v>40.099999999999994</v>
      </c>
      <c r="AG378" s="9">
        <f t="shared" si="1840"/>
        <v>48.7</v>
      </c>
      <c r="AH378" s="9">
        <f t="shared" si="1840"/>
        <v>39.000000000000014</v>
      </c>
      <c r="AI378" s="9">
        <f t="shared" si="1840"/>
        <v>55.200000000000031</v>
      </c>
      <c r="AJ378" s="9">
        <f t="shared" ref="AJ378:AK378" si="1841">SUM(AJ371:AJ377)</f>
        <v>66.3</v>
      </c>
      <c r="AK378" s="9">
        <f t="shared" si="1841"/>
        <v>68.600000000000009</v>
      </c>
      <c r="AL378" s="9">
        <f t="shared" ref="AL378" si="1842">SUM(AL371:AL377)</f>
        <v>99.4</v>
      </c>
      <c r="AM378" s="284">
        <f t="shared" ref="AM378:AX378" ca="1" si="1843">SUM(AM371:AM377)</f>
        <v>88.272549745381411</v>
      </c>
      <c r="AN378" s="284">
        <f t="shared" ca="1" si="1843"/>
        <v>93.226853748497845</v>
      </c>
      <c r="AO378" s="284">
        <f t="shared" ca="1" si="1843"/>
        <v>93.539413275264408</v>
      </c>
      <c r="AP378" s="284">
        <f t="shared" ca="1" si="1843"/>
        <v>103.81419039459433</v>
      </c>
      <c r="AQ378" s="284">
        <f t="shared" ca="1" si="1843"/>
        <v>106.34343502402881</v>
      </c>
      <c r="AR378" s="284">
        <f t="shared" ca="1" si="1843"/>
        <v>107.21571541955994</v>
      </c>
      <c r="AS378" s="284">
        <f t="shared" ca="1" si="1843"/>
        <v>109.99765780284358</v>
      </c>
      <c r="AT378" s="284">
        <f t="shared" ca="1" si="1843"/>
        <v>120.44858764976189</v>
      </c>
      <c r="AU378" s="284">
        <f t="shared" ca="1" si="1843"/>
        <v>123.19017751036034</v>
      </c>
      <c r="AV378" s="284">
        <f t="shared" ca="1" si="1843"/>
        <v>123.24526483641084</v>
      </c>
      <c r="AW378" s="284">
        <f t="shared" ca="1" si="1843"/>
        <v>125.3390125310537</v>
      </c>
      <c r="AX378" s="284">
        <f t="shared" ca="1" si="1843"/>
        <v>135.99260221658568</v>
      </c>
      <c r="AY378" s="284">
        <f t="shared" ref="AY378:BJ378" ca="1" si="1844">SUM(AY371:AY377)</f>
        <v>139.11817302655473</v>
      </c>
      <c r="AZ378" s="284">
        <f t="shared" ca="1" si="1844"/>
        <v>138.26827346050052</v>
      </c>
      <c r="BA378" s="284">
        <f t="shared" ca="1" si="1844"/>
        <v>142.07138825056086</v>
      </c>
      <c r="BB378" s="284">
        <f t="shared" ca="1" si="1844"/>
        <v>154.60686827844091</v>
      </c>
      <c r="BC378" s="284">
        <f t="shared" ca="1" si="1844"/>
        <v>158.40367361297876</v>
      </c>
      <c r="BD378" s="284">
        <f t="shared" ca="1" si="1844"/>
        <v>157.85742855453091</v>
      </c>
      <c r="BE378" s="284">
        <f t="shared" ca="1" si="1844"/>
        <v>160.71823860976144</v>
      </c>
      <c r="BF378" s="284">
        <f t="shared" ca="1" si="1844"/>
        <v>173.01453586277029</v>
      </c>
      <c r="BG378" s="284">
        <f t="shared" ca="1" si="1844"/>
        <v>176.34919161633471</v>
      </c>
      <c r="BH378" s="284">
        <f t="shared" ca="1" si="1844"/>
        <v>175.44317788977094</v>
      </c>
      <c r="BI378" s="284">
        <f t="shared" ca="1" si="1844"/>
        <v>178.44960860884188</v>
      </c>
      <c r="BJ378" s="284">
        <f t="shared" ca="1" si="1844"/>
        <v>190.95396444405495</v>
      </c>
      <c r="BK378" s="8"/>
      <c r="BL378" s="9">
        <f t="shared" ref="BL378:BR378" si="1845">SUM(BL371:BL377)</f>
        <v>43.500000000000007</v>
      </c>
      <c r="BM378" s="9">
        <f t="shared" si="1845"/>
        <v>65.999999999999986</v>
      </c>
      <c r="BN378" s="284">
        <f t="shared" si="1845"/>
        <v>44.499999999999986</v>
      </c>
      <c r="BO378" s="9">
        <f t="shared" si="1845"/>
        <v>79.400000000000006</v>
      </c>
      <c r="BP378" s="9">
        <f t="shared" ca="1" si="1845"/>
        <v>125.43256063999996</v>
      </c>
      <c r="BQ378" s="9">
        <f t="shared" si="1845"/>
        <v>140.20000000000002</v>
      </c>
      <c r="BR378" s="9">
        <f t="shared" si="1845"/>
        <v>180.60000000000005</v>
      </c>
      <c r="BS378" s="9">
        <f>SUM(BS371:BS377)</f>
        <v>289.50000000000006</v>
      </c>
      <c r="BT378" s="9">
        <f ca="1">SUM(BT371:BT377)</f>
        <v>378.85300716373797</v>
      </c>
      <c r="BU378" s="9">
        <f ca="1">SUM(BU371:BU377)</f>
        <v>444.00539589619422</v>
      </c>
      <c r="BV378" s="9">
        <f ca="1">SUM(BV371:BV377)</f>
        <v>507.76705709441057</v>
      </c>
      <c r="BW378" s="9">
        <f t="shared" ref="BW378:BY378" ca="1" si="1846">SUM(BW371:BW377)</f>
        <v>574.06470301605691</v>
      </c>
      <c r="BX378" s="9">
        <f t="shared" ca="1" si="1846"/>
        <v>649.99387664004132</v>
      </c>
      <c r="BY378" s="9">
        <f t="shared" ca="1" si="1846"/>
        <v>721.19594255900245</v>
      </c>
      <c r="BZ378" s="8"/>
      <c r="CA378" s="293"/>
      <c r="CB378"/>
      <c r="CC378"/>
      <c r="CD378"/>
      <c r="CE378"/>
      <c r="CF378"/>
      <c r="CG378"/>
    </row>
    <row r="379" spans="1:85" ht="12" customHeight="1">
      <c r="O379" s="207"/>
      <c r="Q379" s="50"/>
      <c r="R379" s="50"/>
      <c r="S379" s="50"/>
      <c r="T379" s="49"/>
      <c r="U379" s="49"/>
      <c r="V379" s="50"/>
      <c r="W379" s="50"/>
      <c r="X379" s="50"/>
      <c r="Y379" s="50"/>
      <c r="Z379" s="50"/>
      <c r="AA379" s="50"/>
      <c r="AB379" s="50"/>
      <c r="AC379" s="50"/>
      <c r="AD379" s="50"/>
      <c r="AE379" s="50"/>
      <c r="AF379" s="50"/>
      <c r="AG379" s="50"/>
      <c r="AH379" s="50"/>
      <c r="AI379" s="50"/>
      <c r="AJ379" s="50"/>
      <c r="AK379" s="50"/>
      <c r="AL379" s="50"/>
      <c r="AM379" s="207"/>
      <c r="AN379" s="207"/>
      <c r="AO379" s="207"/>
      <c r="AP379" s="207"/>
      <c r="AQ379" s="207"/>
      <c r="AR379" s="207"/>
      <c r="AS379" s="207"/>
      <c r="AT379" s="207"/>
      <c r="AU379" s="207"/>
      <c r="AV379" s="207"/>
      <c r="AW379" s="207"/>
      <c r="AX379" s="207"/>
      <c r="AY379" s="207"/>
      <c r="AZ379" s="207"/>
      <c r="BA379" s="207"/>
      <c r="BB379" s="207"/>
      <c r="BC379" s="207"/>
      <c r="BD379" s="207"/>
      <c r="BE379" s="207"/>
      <c r="BF379" s="207"/>
      <c r="BG379" s="207"/>
      <c r="BH379" s="207"/>
      <c r="BI379" s="207"/>
      <c r="BJ379" s="207"/>
      <c r="BL379" s="50"/>
      <c r="BM379" s="50"/>
      <c r="BN379" s="207"/>
    </row>
    <row r="380" spans="1:85" ht="12" customHeight="1">
      <c r="B380" s="2" t="s">
        <v>45</v>
      </c>
      <c r="C380" s="2"/>
      <c r="D380" s="2"/>
      <c r="E380" s="2"/>
      <c r="F380" s="2"/>
      <c r="G380" s="2"/>
      <c r="H380" s="2"/>
      <c r="I380" s="2"/>
      <c r="J380" s="2"/>
      <c r="K380" s="2"/>
      <c r="L380" s="2"/>
      <c r="M380" s="2"/>
      <c r="N380" s="2"/>
      <c r="O380" s="123">
        <f>-O229</f>
        <v>0</v>
      </c>
      <c r="P380" s="1">
        <f>-P229</f>
        <v>0</v>
      </c>
      <c r="Q380" s="49">
        <f>-Q229</f>
        <v>0</v>
      </c>
      <c r="R380" s="170">
        <v>-25.4</v>
      </c>
      <c r="S380" s="170">
        <v>-18.2</v>
      </c>
      <c r="T380" s="170">
        <f>-26.6-S380</f>
        <v>-8.4000000000000021</v>
      </c>
      <c r="U380" s="170">
        <f>-33.3-T380-S380</f>
        <v>-6.6999999999999957</v>
      </c>
      <c r="V380" s="170">
        <f>-48-U380-T380-S380</f>
        <v>-14.700000000000006</v>
      </c>
      <c r="W380" s="49">
        <f>-W229</f>
        <v>0</v>
      </c>
      <c r="X380" s="283">
        <v>0</v>
      </c>
      <c r="Y380" s="283"/>
      <c r="Z380" s="283"/>
      <c r="AA380" s="283">
        <v>-17.3</v>
      </c>
      <c r="AB380" s="283">
        <f>-17.3-AA380</f>
        <v>0</v>
      </c>
      <c r="AC380" s="283">
        <f>-17.3-398.4-AA380-AB380</f>
        <v>-398.4</v>
      </c>
      <c r="AD380" s="283">
        <v>0</v>
      </c>
      <c r="AE380" s="283">
        <v>-131.1</v>
      </c>
      <c r="AF380" s="283">
        <f>-131.1-AE380</f>
        <v>0</v>
      </c>
      <c r="AG380" s="283"/>
      <c r="AH380" s="283"/>
      <c r="AI380" s="283">
        <v>-492.3</v>
      </c>
      <c r="AJ380" s="283">
        <f>-492.3-AI380</f>
        <v>0</v>
      </c>
      <c r="AK380" s="283"/>
      <c r="AL380" s="283"/>
      <c r="AM380" s="123">
        <f t="shared" ref="AM380:AX380" si="1847">-AM229</f>
        <v>0</v>
      </c>
      <c r="AN380" s="123">
        <f t="shared" si="1847"/>
        <v>-442</v>
      </c>
      <c r="AO380" s="123">
        <f t="shared" si="1847"/>
        <v>0</v>
      </c>
      <c r="AP380" s="123">
        <f t="shared" si="1847"/>
        <v>-150</v>
      </c>
      <c r="AQ380" s="123">
        <f t="shared" si="1847"/>
        <v>0</v>
      </c>
      <c r="AR380" s="123">
        <f t="shared" si="1847"/>
        <v>-150</v>
      </c>
      <c r="AS380" s="123">
        <f t="shared" si="1847"/>
        <v>0</v>
      </c>
      <c r="AT380" s="123">
        <f t="shared" si="1847"/>
        <v>-150</v>
      </c>
      <c r="AU380" s="123">
        <f t="shared" si="1847"/>
        <v>0</v>
      </c>
      <c r="AV380" s="123">
        <f t="shared" si="1847"/>
        <v>-150</v>
      </c>
      <c r="AW380" s="123">
        <f t="shared" si="1847"/>
        <v>0</v>
      </c>
      <c r="AX380" s="123">
        <f t="shared" si="1847"/>
        <v>-150</v>
      </c>
      <c r="AY380" s="123">
        <f t="shared" ref="AY380:BJ380" si="1848">-AY229</f>
        <v>-150</v>
      </c>
      <c r="AZ380" s="123">
        <f t="shared" si="1848"/>
        <v>-150</v>
      </c>
      <c r="BA380" s="123">
        <f t="shared" si="1848"/>
        <v>-150</v>
      </c>
      <c r="BB380" s="123">
        <f t="shared" si="1848"/>
        <v>-150</v>
      </c>
      <c r="BC380" s="123">
        <f t="shared" si="1848"/>
        <v>-150</v>
      </c>
      <c r="BD380" s="123">
        <f t="shared" si="1848"/>
        <v>-150</v>
      </c>
      <c r="BE380" s="123">
        <f t="shared" si="1848"/>
        <v>-150</v>
      </c>
      <c r="BF380" s="123">
        <f t="shared" si="1848"/>
        <v>-150</v>
      </c>
      <c r="BG380" s="123">
        <f t="shared" si="1848"/>
        <v>-150</v>
      </c>
      <c r="BH380" s="123">
        <f t="shared" si="1848"/>
        <v>-150</v>
      </c>
      <c r="BI380" s="123">
        <f t="shared" si="1848"/>
        <v>-150</v>
      </c>
      <c r="BJ380" s="123">
        <f t="shared" si="1848"/>
        <v>-150</v>
      </c>
      <c r="BL380" s="49">
        <f>-BL229</f>
        <v>0</v>
      </c>
      <c r="BM380" s="170">
        <v>-22.4</v>
      </c>
      <c r="BN380" s="123">
        <f>SUM(O380:R380)</f>
        <v>-25.4</v>
      </c>
      <c r="BO380" s="1">
        <f>SUM(S380:V380)</f>
        <v>-48</v>
      </c>
      <c r="BP380" s="1">
        <f>SUM(W380:Z380)</f>
        <v>0</v>
      </c>
      <c r="BQ380" s="1">
        <f>SUM(AA380:AD380)</f>
        <v>-415.7</v>
      </c>
      <c r="BR380" s="1">
        <f>SUM(AE380:AH380)</f>
        <v>-131.1</v>
      </c>
      <c r="BS380" s="1">
        <f>+SUM(AI380:AL380)</f>
        <v>-492.3</v>
      </c>
      <c r="BT380" s="1">
        <f>+SUM(AM380:AP380)</f>
        <v>-592</v>
      </c>
      <c r="BU380" s="1">
        <f>+SUM(AQ380:AT380)</f>
        <v>-300</v>
      </c>
      <c r="BV380" s="1">
        <f>+SUM(AU380:AX380)</f>
        <v>-300</v>
      </c>
      <c r="BW380" s="1">
        <f>SUM(AY380:BB380)</f>
        <v>-600</v>
      </c>
      <c r="BX380" s="1">
        <f>SUM(BC380:BF380)</f>
        <v>-600</v>
      </c>
      <c r="BY380" s="1">
        <f>SUM(BG380:BJ380)</f>
        <v>-600</v>
      </c>
    </row>
    <row r="381" spans="1:85" ht="12" customHeight="1">
      <c r="B381" s="2" t="s">
        <v>44</v>
      </c>
      <c r="C381" s="2"/>
      <c r="D381" s="2"/>
      <c r="E381" s="2"/>
      <c r="F381" s="2"/>
      <c r="G381" s="2"/>
      <c r="H381" s="2"/>
      <c r="I381" s="2"/>
      <c r="J381" s="2"/>
      <c r="K381" s="2"/>
      <c r="L381" s="2"/>
      <c r="M381" s="2"/>
      <c r="N381" s="2"/>
      <c r="O381" s="283">
        <v>-52.5</v>
      </c>
      <c r="P381" s="170">
        <v>-51.4</v>
      </c>
      <c r="Q381" s="170">
        <v>-39.6</v>
      </c>
      <c r="R381" s="170">
        <f>-202.9-SUM(O381:Q381)-SUM(O382:R382)</f>
        <v>-55.500000000000007</v>
      </c>
      <c r="S381" s="49">
        <f>-26.7-7.7-S382</f>
        <v>-34.1</v>
      </c>
      <c r="T381" s="285">
        <f>-67-7.7-S381-T382-S382</f>
        <v>-39.900000000000006</v>
      </c>
      <c r="U381" s="285">
        <f>-124.6-7.7-T381-U382-T382-S381-S382</f>
        <v>-55.999999999999979</v>
      </c>
      <c r="V381" s="285">
        <f>-172.9-7.7-U381-V382-U382-T381-T382-S381-S382</f>
        <v>-46.400000000000013</v>
      </c>
      <c r="W381" s="51">
        <f>-64.3-W380-W382</f>
        <v>-63.9</v>
      </c>
      <c r="X381" s="283">
        <f>-67.1-X382</f>
        <v>-66.8</v>
      </c>
      <c r="Y381" s="283">
        <f>+-78.1-Y382</f>
        <v>-76</v>
      </c>
      <c r="Z381" s="283">
        <f>-89.3-Z382</f>
        <v>-88.3</v>
      </c>
      <c r="AA381" s="283">
        <f>-31.9-AA382</f>
        <v>-31.7</v>
      </c>
      <c r="AB381" s="283">
        <f>-74.2-AA381-AB382-AA382</f>
        <v>-42</v>
      </c>
      <c r="AC381" s="283">
        <f>-140.9-AA381-AB381-AA382-AB382-AC382</f>
        <v>-65.5</v>
      </c>
      <c r="AD381" s="283">
        <f>-76.3-AD382</f>
        <v>-75.599999999999994</v>
      </c>
      <c r="AE381" s="283">
        <f>-78.5-AE382</f>
        <v>-77.599999999999994</v>
      </c>
      <c r="AF381" s="283">
        <f>-247.1-AE381-AE382-AF382</f>
        <v>-167.66429404900816</v>
      </c>
      <c r="AG381" s="283">
        <f>-178.3-AG382</f>
        <v>-177.13220536756128</v>
      </c>
      <c r="AH381" s="283">
        <f>-174.6-AH382</f>
        <v>-173.41015169194864</v>
      </c>
      <c r="AI381" s="283">
        <f>-182.5-AI382</f>
        <v>-181.26289381563595</v>
      </c>
      <c r="AJ381" s="283">
        <f>-485-AI381-AI382-AJ382</f>
        <v>-301.13372228704782</v>
      </c>
      <c r="AK381" s="283">
        <f>-224.1-AK382</f>
        <v>-222.58984830805133</v>
      </c>
      <c r="AL381" s="283">
        <f>-205.4-AL382</f>
        <v>-203.95705950991834</v>
      </c>
      <c r="AM381" s="285">
        <f>-AM176</f>
        <v>-179.31029320388529</v>
      </c>
      <c r="AN381" s="285">
        <f t="shared" ref="AN381:AX381" ca="1" si="1849">-AN176</f>
        <v>-249.01958912337668</v>
      </c>
      <c r="AO381" s="285">
        <f t="shared" ca="1" si="1849"/>
        <v>-197.29995061454383</v>
      </c>
      <c r="AP381" s="285">
        <f t="shared" ca="1" si="1849"/>
        <v>-232.38083664145739</v>
      </c>
      <c r="AQ381" s="285">
        <f t="shared" ca="1" si="1849"/>
        <v>-198.65765746863323</v>
      </c>
      <c r="AR381" s="285">
        <f t="shared" ca="1" si="1849"/>
        <v>-181.70488155467348</v>
      </c>
      <c r="AS381" s="285">
        <f t="shared" ca="1" si="1849"/>
        <v>-176.14240277882422</v>
      </c>
      <c r="AT381" s="285">
        <f t="shared" ca="1" si="1849"/>
        <v>-170.52492400297496</v>
      </c>
      <c r="AU381" s="285">
        <f t="shared" ca="1" si="1849"/>
        <v>-164.85244522712571</v>
      </c>
      <c r="AV381" s="285">
        <f t="shared" ca="1" si="1849"/>
        <v>-159.12496645127649</v>
      </c>
      <c r="AW381" s="285">
        <f t="shared" ca="1" si="1849"/>
        <v>-153.34248767542724</v>
      </c>
      <c r="AX381" s="285">
        <f t="shared" ca="1" si="1849"/>
        <v>-147.50500889957797</v>
      </c>
      <c r="AY381" s="285">
        <f t="shared" ref="AY381:BJ381" ca="1" si="1850">-AY176</f>
        <v>-141.61253012372873</v>
      </c>
      <c r="AZ381" s="285">
        <f t="shared" ca="1" si="1850"/>
        <v>-135.66505134787951</v>
      </c>
      <c r="BA381" s="285">
        <f t="shared" ca="1" si="1850"/>
        <v>-129.66257257203023</v>
      </c>
      <c r="BB381" s="285">
        <f t="shared" ca="1" si="1850"/>
        <v>-123.60509379618098</v>
      </c>
      <c r="BC381" s="285">
        <f t="shared" ca="1" si="1850"/>
        <v>-117.49261502033173</v>
      </c>
      <c r="BD381" s="285">
        <f t="shared" ca="1" si="1850"/>
        <v>-111.32513624448249</v>
      </c>
      <c r="BE381" s="285">
        <f t="shared" ca="1" si="1850"/>
        <v>-105.10265746863324</v>
      </c>
      <c r="BF381" s="285">
        <f t="shared" ca="1" si="1850"/>
        <v>-98.825178692783993</v>
      </c>
      <c r="BG381" s="285">
        <f t="shared" ca="1" si="1850"/>
        <v>-92.49269991693474</v>
      </c>
      <c r="BH381" s="285">
        <f t="shared" ca="1" si="1850"/>
        <v>-86.105221141085508</v>
      </c>
      <c r="BI381" s="285">
        <f t="shared" ca="1" si="1850"/>
        <v>-79.662742365236255</v>
      </c>
      <c r="BJ381" s="285">
        <f t="shared" ca="1" si="1850"/>
        <v>-73.16526358938701</v>
      </c>
      <c r="BL381" s="170">
        <v>-29.3</v>
      </c>
      <c r="BM381" s="170">
        <v>-95.1</v>
      </c>
      <c r="BN381" s="285">
        <f>SUM(O381:R381)</f>
        <v>-199</v>
      </c>
      <c r="BO381" s="49">
        <f>SUM(S381:V381)</f>
        <v>-176.39999999999998</v>
      </c>
      <c r="BP381" s="49">
        <f>SUM(W381:Z381)</f>
        <v>-295</v>
      </c>
      <c r="BQ381" s="49">
        <f>SUM(AA381:AD381)</f>
        <v>-214.79999999999998</v>
      </c>
      <c r="BR381" s="49">
        <f>SUM(AE381:AH381)</f>
        <v>-595.80665110851805</v>
      </c>
      <c r="BS381" s="49">
        <f>+SUM(AI381:AL381)</f>
        <v>-908.94352392065343</v>
      </c>
      <c r="BT381" s="49">
        <f ca="1">+SUM(AM381:AP381)</f>
        <v>-858.01066958326328</v>
      </c>
      <c r="BU381" s="49">
        <f ca="1">+SUM(AQ381:AT381)</f>
        <v>-727.02986580510583</v>
      </c>
      <c r="BV381" s="49">
        <f ca="1">+SUM(AU381:AX381)</f>
        <v>-624.82490825340744</v>
      </c>
      <c r="BW381" s="49">
        <f ca="1">SUM(AY381:BB381)</f>
        <v>-530.54524783981947</v>
      </c>
      <c r="BX381" s="49">
        <f ca="1">SUM(BC381:BF381)</f>
        <v>-432.74558742623145</v>
      </c>
      <c r="BY381" s="49">
        <f ca="1">SUM(BG381:BJ381)</f>
        <v>-331.42592701264346</v>
      </c>
    </row>
    <row r="382" spans="1:85" ht="12" customHeight="1">
      <c r="B382" s="2" t="s">
        <v>34</v>
      </c>
      <c r="C382" s="2"/>
      <c r="D382" s="2"/>
      <c r="E382" s="2"/>
      <c r="F382" s="2"/>
      <c r="G382" s="2"/>
      <c r="H382" s="2"/>
      <c r="I382" s="2"/>
      <c r="J382" s="2"/>
      <c r="K382" s="2"/>
      <c r="L382" s="2"/>
      <c r="M382" s="2"/>
      <c r="N382" s="2"/>
      <c r="O382" s="283">
        <v>-0.3</v>
      </c>
      <c r="P382" s="170">
        <v>-0.3</v>
      </c>
      <c r="Q382" s="170">
        <v>-1.4</v>
      </c>
      <c r="R382" s="170">
        <f>-3.9-SUM(O382:Q382)</f>
        <v>-1.9</v>
      </c>
      <c r="S382" s="49">
        <f t="shared" ref="S382:AC382" si="1851">+S58</f>
        <v>-0.3</v>
      </c>
      <c r="T382" s="49">
        <f t="shared" si="1851"/>
        <v>-0.4</v>
      </c>
      <c r="U382" s="49">
        <f t="shared" si="1851"/>
        <v>-1.6</v>
      </c>
      <c r="V382" s="49">
        <f t="shared" si="1851"/>
        <v>-1.9</v>
      </c>
      <c r="W382" s="49">
        <f t="shared" si="1851"/>
        <v>-0.4</v>
      </c>
      <c r="X382" s="49">
        <f t="shared" si="1851"/>
        <v>-0.3</v>
      </c>
      <c r="Y382" s="49">
        <f t="shared" si="1851"/>
        <v>-2.1</v>
      </c>
      <c r="Z382" s="49">
        <f t="shared" si="1851"/>
        <v>-1</v>
      </c>
      <c r="AA382" s="49">
        <f t="shared" si="1851"/>
        <v>-0.2</v>
      </c>
      <c r="AB382" s="49">
        <f t="shared" si="1851"/>
        <v>-0.3</v>
      </c>
      <c r="AC382" s="49">
        <f t="shared" si="1851"/>
        <v>-1.2</v>
      </c>
      <c r="AD382" s="49">
        <f>+AD58</f>
        <v>-0.7</v>
      </c>
      <c r="AE382" s="49">
        <f>+AE58</f>
        <v>-0.9</v>
      </c>
      <c r="AF382" s="29">
        <f t="shared" ref="AF382:AX382" si="1852">AE382/AA9*AB9</f>
        <v>-0.93570595099183196</v>
      </c>
      <c r="AG382" s="29">
        <f t="shared" si="1852"/>
        <v>-1.1677946324387398</v>
      </c>
      <c r="AH382" s="29">
        <f t="shared" si="1852"/>
        <v>-1.189848308051342</v>
      </c>
      <c r="AI382" s="29">
        <f t="shared" si="1852"/>
        <v>-1.2371061843640609</v>
      </c>
      <c r="AJ382" s="29">
        <f t="shared" si="1852"/>
        <v>-1.3662777129521588</v>
      </c>
      <c r="AK382" s="29">
        <f t="shared" si="1852"/>
        <v>-1.5101516919486586</v>
      </c>
      <c r="AL382" s="29">
        <f t="shared" si="1852"/>
        <v>-1.4429404900816807</v>
      </c>
      <c r="AM382" s="29">
        <f t="shared" si="1852"/>
        <v>-1.5679113185530926</v>
      </c>
      <c r="AN382" s="29">
        <f t="shared" si="1852"/>
        <v>-1.7527421236872816</v>
      </c>
      <c r="AO382" s="29">
        <f t="shared" si="1852"/>
        <v>-1.8409568261376901</v>
      </c>
      <c r="AP382" s="29">
        <f t="shared" si="1852"/>
        <v>-1.8955659276546095</v>
      </c>
      <c r="AQ382" s="29">
        <f t="shared" ca="1" si="1852"/>
        <v>-1.9666126758715776</v>
      </c>
      <c r="AR382" s="29">
        <f t="shared" ca="1" si="1852"/>
        <v>-2.0947977317610169</v>
      </c>
      <c r="AS382" s="29">
        <f t="shared" ca="1" si="1852"/>
        <v>-2.1947331737672005</v>
      </c>
      <c r="AT382" s="29">
        <f t="shared" ca="1" si="1852"/>
        <v>-2.2903634660891825</v>
      </c>
      <c r="AU382" s="29">
        <f t="shared" ca="1" si="1852"/>
        <v>-2.3737392671810333</v>
      </c>
      <c r="AV382" s="29">
        <f t="shared" ca="1" si="1852"/>
        <v>-2.4565231736693449</v>
      </c>
      <c r="AW382" s="29">
        <f t="shared" ca="1" si="1852"/>
        <v>-2.5387245652362331</v>
      </c>
      <c r="AX382" s="29">
        <f t="shared" ca="1" si="1852"/>
        <v>-2.6203526786170728</v>
      </c>
      <c r="AY382" s="29">
        <f t="shared" ref="AY382" ca="1" si="1853">AX382/AT9*AU9</f>
        <v>-2.7014166097983066</v>
      </c>
      <c r="AZ382" s="29">
        <f t="shared" ref="AZ382" ca="1" si="1854">AY382/AU9*AV9</f>
        <v>-2.7819253161815367</v>
      </c>
      <c r="BA382" s="29">
        <f t="shared" ref="BA382" ca="1" si="1855">AZ382/AV9*AW9</f>
        <v>-2.8618876187144044</v>
      </c>
      <c r="BB382" s="29">
        <f t="shared" ref="BB382" ca="1" si="1856">BA382/AW9*AX9</f>
        <v>-2.9413122039887765</v>
      </c>
      <c r="BC382" s="29">
        <f t="shared" ref="BC382" ca="1" si="1857">BB382/AX9*AY9</f>
        <v>-3.0438431116889655</v>
      </c>
      <c r="BD382" s="29">
        <f t="shared" ref="BD382" ca="1" si="1858">BC382/AY9*AZ9</f>
        <v>-3.1455732041660465</v>
      </c>
      <c r="BE382" s="29">
        <f t="shared" ref="BE382" ca="1" si="1859">BD382/AZ9*BA9</f>
        <v>-3.2465153658706756</v>
      </c>
      <c r="BF382" s="29">
        <f t="shared" ref="BF382" ca="1" si="1860">BE382/BA9*BB9</f>
        <v>-3.3466822855517502</v>
      </c>
      <c r="BG382" s="29">
        <f t="shared" ref="BG382" ca="1" si="1861">BF382/BB9*BC9</f>
        <v>-3.4460864592676512</v>
      </c>
      <c r="BH382" s="29">
        <f t="shared" ref="BH382" ca="1" si="1862">BG382/BC9*BD9</f>
        <v>-3.5447401933512839</v>
      </c>
      <c r="BI382" s="29">
        <f t="shared" ref="BI382" ca="1" si="1863">BH382/BD9*BE9</f>
        <v>-3.6426556073296354</v>
      </c>
      <c r="BJ382" s="29">
        <f t="shared" ref="BJ382" ca="1" si="1864">BI382/BE9*BF9</f>
        <v>-3.7398446367985434</v>
      </c>
      <c r="BL382" s="170"/>
      <c r="BM382" s="170"/>
      <c r="BN382" s="123">
        <f>SUM(O382:R382)</f>
        <v>-3.9</v>
      </c>
      <c r="BO382" s="1">
        <f>SUM(S382:V382)</f>
        <v>-4.1999999999999993</v>
      </c>
      <c r="BP382" s="1">
        <f>SUM(W382:Z382)</f>
        <v>-3.8</v>
      </c>
      <c r="BQ382" s="1">
        <f>SUM(AA382:AD382)</f>
        <v>-2.4</v>
      </c>
      <c r="BR382" s="1">
        <f>SUM(AE382:AH382)</f>
        <v>-4.1933488914819135</v>
      </c>
      <c r="BS382" s="1">
        <f>+SUM(AI382:AL382)</f>
        <v>-5.5564760793465595</v>
      </c>
      <c r="BT382" s="1">
        <f>+SUM(AM382:AP382)</f>
        <v>-7.0571761960326738</v>
      </c>
      <c r="BU382" s="1">
        <f ca="1">+SUM(AQ382:AT382)</f>
        <v>-8.5465070474889782</v>
      </c>
      <c r="BV382" s="1">
        <f ca="1">+SUM(AU382:AX382)</f>
        <v>-9.9893396847036833</v>
      </c>
      <c r="BW382" s="1">
        <f ca="1">SUM(AY382:BB382)</f>
        <v>-11.286541748683025</v>
      </c>
      <c r="BX382" s="1">
        <f ca="1">SUM(BC382:BF382)</f>
        <v>-12.782613967277438</v>
      </c>
      <c r="BY382" s="1">
        <f ca="1">SUM(BG382:BJ382)</f>
        <v>-14.373326896747113</v>
      </c>
    </row>
    <row r="383" spans="1:85" ht="12" customHeight="1">
      <c r="B383" s="2" t="s">
        <v>12</v>
      </c>
      <c r="C383" s="2"/>
      <c r="D383" s="2"/>
      <c r="E383" s="2"/>
      <c r="F383" s="2"/>
      <c r="G383" s="2"/>
      <c r="H383" s="2"/>
      <c r="I383" s="2"/>
      <c r="J383" s="2"/>
      <c r="K383" s="2"/>
      <c r="L383" s="2"/>
      <c r="M383" s="2"/>
      <c r="N383" s="2"/>
      <c r="O383" s="283"/>
      <c r="P383" s="170">
        <v>-3.8</v>
      </c>
      <c r="Q383" s="170">
        <f>-5.8-10.2</f>
        <v>-16</v>
      </c>
      <c r="R383" s="170">
        <f>0.2-11.1+4.8-18.3+0.1-SUM(O383:Q383)</f>
        <v>-4.5</v>
      </c>
      <c r="S383" s="170">
        <f>1.9+1.8</f>
        <v>3.7</v>
      </c>
      <c r="T383" s="170">
        <f>4.4+1.9-S383</f>
        <v>2.6000000000000005</v>
      </c>
      <c r="U383" s="170">
        <f>4.4+1.9-T383-S383</f>
        <v>0</v>
      </c>
      <c r="V383" s="283">
        <f>4.4+1.9-0.2-SUM(S383:U383)</f>
        <v>-0.20000000000000018</v>
      </c>
      <c r="W383" s="283"/>
      <c r="X383" s="283"/>
      <c r="Y383" s="283"/>
      <c r="Z383" s="283"/>
      <c r="AA383" s="283"/>
      <c r="AB383" s="283"/>
      <c r="AC383" s="283"/>
      <c r="AD383" s="283">
        <v>7.3</v>
      </c>
      <c r="AE383" s="283">
        <v>0.8</v>
      </c>
      <c r="AF383" s="283">
        <f>1.2-AE383</f>
        <v>0.39999999999999991</v>
      </c>
      <c r="AG383" s="283">
        <v>0.3</v>
      </c>
      <c r="AH383" s="283"/>
      <c r="AI383" s="283">
        <v>-0.6</v>
      </c>
      <c r="AJ383" s="283">
        <f>-0.8-AI383</f>
        <v>-0.20000000000000007</v>
      </c>
      <c r="AK383" s="283">
        <v>0.7</v>
      </c>
      <c r="AL383" s="283">
        <v>-100</v>
      </c>
      <c r="AM383" s="211">
        <v>0</v>
      </c>
      <c r="AN383" s="211">
        <v>0</v>
      </c>
      <c r="AO383" s="211">
        <v>0</v>
      </c>
      <c r="AP383" s="211">
        <v>0</v>
      </c>
      <c r="AQ383" s="211">
        <v>0</v>
      </c>
      <c r="AR383" s="211">
        <v>0</v>
      </c>
      <c r="AS383" s="211">
        <v>0</v>
      </c>
      <c r="AT383" s="211">
        <v>0</v>
      </c>
      <c r="AU383" s="211">
        <v>0</v>
      </c>
      <c r="AV383" s="211">
        <v>0</v>
      </c>
      <c r="AW383" s="211">
        <v>0</v>
      </c>
      <c r="AX383" s="211">
        <v>0</v>
      </c>
      <c r="AY383" s="211">
        <v>0</v>
      </c>
      <c r="AZ383" s="211">
        <v>0</v>
      </c>
      <c r="BA383" s="211">
        <v>0</v>
      </c>
      <c r="BB383" s="211">
        <v>0</v>
      </c>
      <c r="BC383" s="211">
        <v>0</v>
      </c>
      <c r="BD383" s="211">
        <v>0</v>
      </c>
      <c r="BE383" s="211">
        <v>0</v>
      </c>
      <c r="BF383" s="211">
        <v>0</v>
      </c>
      <c r="BG383" s="211">
        <v>0</v>
      </c>
      <c r="BH383" s="211">
        <v>0</v>
      </c>
      <c r="BI383" s="211">
        <v>0</v>
      </c>
      <c r="BJ383" s="211">
        <v>0</v>
      </c>
      <c r="BL383" s="170">
        <f>-11.6+0.4</f>
        <v>-11.2</v>
      </c>
      <c r="BM383" s="170">
        <f>11.6+0.1</f>
        <v>11.7</v>
      </c>
      <c r="BN383" s="212">
        <f>SUM(O383:R383)</f>
        <v>-24.3</v>
      </c>
      <c r="BO383" s="29">
        <f>SUM(S383:V383)</f>
        <v>6.1000000000000005</v>
      </c>
      <c r="BP383" s="29">
        <f>SUM(W383:Z383)</f>
        <v>0</v>
      </c>
      <c r="BQ383" s="29">
        <f>SUM(AA383:AD383)</f>
        <v>7.3</v>
      </c>
      <c r="BR383" s="29">
        <f>SUM(AE383:AH383)</f>
        <v>1.5</v>
      </c>
      <c r="BS383" s="29">
        <f>+SUM(AI383:AL383)</f>
        <v>-100.1</v>
      </c>
      <c r="BT383" s="29">
        <f>+SUM(AM383:AP383)</f>
        <v>0</v>
      </c>
      <c r="BU383" s="29">
        <f>+SUM(AQ383:AT383)</f>
        <v>0</v>
      </c>
      <c r="BV383" s="29">
        <f>+SUM(AU383:AX383)</f>
        <v>0</v>
      </c>
      <c r="BW383" s="29">
        <f>SUM(AY383:BB383)</f>
        <v>0</v>
      </c>
      <c r="BX383" s="29">
        <f>SUM(BC383:BF383)</f>
        <v>0</v>
      </c>
      <c r="BY383" s="29">
        <f>SUM(BG383:BJ383)</f>
        <v>0</v>
      </c>
    </row>
    <row r="384" spans="1:85" s="297" customFormat="1" ht="12" customHeight="1">
      <c r="A384" s="8"/>
      <c r="B384" s="8" t="s">
        <v>68</v>
      </c>
      <c r="C384" s="8"/>
      <c r="D384" s="8"/>
      <c r="E384" s="8"/>
      <c r="F384" s="8"/>
      <c r="G384" s="8"/>
      <c r="H384" s="8"/>
      <c r="I384" s="8"/>
      <c r="J384" s="8"/>
      <c r="K384" s="8"/>
      <c r="L384" s="8"/>
      <c r="M384" s="8"/>
      <c r="N384" s="8"/>
      <c r="O384" s="284">
        <f t="shared" ref="O384:W384" si="1865">SUM(O380,O381,O382,O383)</f>
        <v>-52.8</v>
      </c>
      <c r="P384" s="9">
        <f t="shared" si="1865"/>
        <v>-55.499999999999993</v>
      </c>
      <c r="Q384" s="9">
        <f t="shared" si="1865"/>
        <v>-57</v>
      </c>
      <c r="R384" s="9">
        <f t="shared" si="1865"/>
        <v>-87.300000000000011</v>
      </c>
      <c r="S384" s="9">
        <f t="shared" si="1865"/>
        <v>-48.899999999999991</v>
      </c>
      <c r="T384" s="9">
        <f t="shared" si="1865"/>
        <v>-46.100000000000009</v>
      </c>
      <c r="U384" s="9">
        <f t="shared" si="1865"/>
        <v>-64.299999999999969</v>
      </c>
      <c r="V384" s="9">
        <f t="shared" si="1865"/>
        <v>-63.200000000000024</v>
      </c>
      <c r="W384" s="9">
        <f t="shared" si="1865"/>
        <v>-64.3</v>
      </c>
      <c r="X384" s="9">
        <f t="shared" ref="X384:AC384" si="1866">SUM(X380,X381,X382,X383)</f>
        <v>-67.099999999999994</v>
      </c>
      <c r="Y384" s="9">
        <f t="shared" si="1866"/>
        <v>-78.099999999999994</v>
      </c>
      <c r="Z384" s="9">
        <f t="shared" si="1866"/>
        <v>-89.3</v>
      </c>
      <c r="AA384" s="9">
        <f t="shared" si="1866"/>
        <v>-49.2</v>
      </c>
      <c r="AB384" s="9">
        <f t="shared" si="1866"/>
        <v>-42.3</v>
      </c>
      <c r="AC384" s="9">
        <f t="shared" si="1866"/>
        <v>-465.09999999999997</v>
      </c>
      <c r="AD384" s="9">
        <f t="shared" ref="AD384:AI384" si="1867">SUM(AD380,AD381,AD382,AD383)</f>
        <v>-69</v>
      </c>
      <c r="AE384" s="9">
        <f t="shared" si="1867"/>
        <v>-208.79999999999998</v>
      </c>
      <c r="AF384" s="9">
        <f t="shared" si="1867"/>
        <v>-168.2</v>
      </c>
      <c r="AG384" s="9">
        <f t="shared" si="1867"/>
        <v>-178</v>
      </c>
      <c r="AH384" s="9">
        <f t="shared" si="1867"/>
        <v>-174.6</v>
      </c>
      <c r="AI384" s="9">
        <f t="shared" si="1867"/>
        <v>-675.40000000000009</v>
      </c>
      <c r="AJ384" s="9">
        <f t="shared" ref="AJ384:AK384" si="1868">SUM(AJ380,AJ381,AJ382,AJ383)</f>
        <v>-302.7</v>
      </c>
      <c r="AK384" s="9">
        <f t="shared" si="1868"/>
        <v>-223.4</v>
      </c>
      <c r="AL384" s="9">
        <f t="shared" ref="AL384" si="1869">SUM(AL380,AL381,AL382,AL383)</f>
        <v>-305.39999999999998</v>
      </c>
      <c r="AM384" s="284">
        <f t="shared" ref="AM384:AX384" si="1870">SUM(AM380,AM381,AM382,AM383)</f>
        <v>-180.87820452243838</v>
      </c>
      <c r="AN384" s="284">
        <f t="shared" ca="1" si="1870"/>
        <v>-692.77233124706402</v>
      </c>
      <c r="AO384" s="284">
        <f t="shared" ca="1" si="1870"/>
        <v>-199.14090744068153</v>
      </c>
      <c r="AP384" s="284">
        <f t="shared" ca="1" si="1870"/>
        <v>-384.27640256911201</v>
      </c>
      <c r="AQ384" s="284">
        <f t="shared" ca="1" si="1870"/>
        <v>-200.62427014450481</v>
      </c>
      <c r="AR384" s="284">
        <f t="shared" ca="1" si="1870"/>
        <v>-333.79967928643447</v>
      </c>
      <c r="AS384" s="284">
        <f t="shared" ca="1" si="1870"/>
        <v>-178.33713595259141</v>
      </c>
      <c r="AT384" s="284">
        <f t="shared" ca="1" si="1870"/>
        <v>-322.81528746906412</v>
      </c>
      <c r="AU384" s="284">
        <f t="shared" ca="1" si="1870"/>
        <v>-167.22618449430675</v>
      </c>
      <c r="AV384" s="284">
        <f t="shared" ca="1" si="1870"/>
        <v>-311.58148962494579</v>
      </c>
      <c r="AW384" s="284">
        <f t="shared" ca="1" si="1870"/>
        <v>-155.88121224066347</v>
      </c>
      <c r="AX384" s="284">
        <f t="shared" ca="1" si="1870"/>
        <v>-300.12536157819505</v>
      </c>
      <c r="AY384" s="284">
        <f t="shared" ref="AY384:BJ384" ca="1" si="1871">SUM(AY380,AY381,AY382,AY383)</f>
        <v>-294.31394673352702</v>
      </c>
      <c r="AZ384" s="284">
        <f t="shared" ca="1" si="1871"/>
        <v>-288.44697666406103</v>
      </c>
      <c r="BA384" s="284">
        <f t="shared" ca="1" si="1871"/>
        <v>-282.52446019074461</v>
      </c>
      <c r="BB384" s="284">
        <f t="shared" ca="1" si="1871"/>
        <v>-276.54640600016978</v>
      </c>
      <c r="BC384" s="284">
        <f t="shared" ca="1" si="1871"/>
        <v>-270.5364581320207</v>
      </c>
      <c r="BD384" s="284">
        <f t="shared" ca="1" si="1871"/>
        <v>-264.47070944864856</v>
      </c>
      <c r="BE384" s="284">
        <f t="shared" ca="1" si="1871"/>
        <v>-258.34917283450392</v>
      </c>
      <c r="BF384" s="284">
        <f t="shared" ca="1" si="1871"/>
        <v>-252.17186097833573</v>
      </c>
      <c r="BG384" s="284">
        <f t="shared" ca="1" si="1871"/>
        <v>-245.93878637620239</v>
      </c>
      <c r="BH384" s="284">
        <f t="shared" ca="1" si="1871"/>
        <v>-239.6499613344368</v>
      </c>
      <c r="BI384" s="284">
        <f t="shared" ca="1" si="1871"/>
        <v>-233.30539797256588</v>
      </c>
      <c r="BJ384" s="284">
        <f t="shared" ca="1" si="1871"/>
        <v>-226.90510822618555</v>
      </c>
      <c r="BK384" s="8"/>
      <c r="BL384" s="9">
        <f t="shared" ref="BL384:BR384" si="1872">SUM(BL380,BL381,BL382,BL383)</f>
        <v>-40.5</v>
      </c>
      <c r="BM384" s="9">
        <f t="shared" si="1872"/>
        <v>-105.8</v>
      </c>
      <c r="BN384" s="284">
        <f t="shared" si="1872"/>
        <v>-252.60000000000002</v>
      </c>
      <c r="BO384" s="9">
        <f t="shared" si="1872"/>
        <v>-222.49999999999997</v>
      </c>
      <c r="BP384" s="9">
        <f t="shared" si="1872"/>
        <v>-298.8</v>
      </c>
      <c r="BQ384" s="9">
        <f t="shared" si="1872"/>
        <v>-625.6</v>
      </c>
      <c r="BR384" s="9">
        <f t="shared" si="1872"/>
        <v>-729.6</v>
      </c>
      <c r="BS384" s="9">
        <f>SUM(BS380,BS381,BS382,BS383)</f>
        <v>-1506.8999999999999</v>
      </c>
      <c r="BT384" s="9">
        <f ca="1">SUM(BT380,BT381,BT382,BT383)</f>
        <v>-1457.067845779296</v>
      </c>
      <c r="BU384" s="9">
        <f ca="1">SUM(BU380,BU381,BU382,BU383)</f>
        <v>-1035.5763728525949</v>
      </c>
      <c r="BV384" s="9">
        <f ca="1">SUM(BV380,BV381,BV382,BV383)</f>
        <v>-934.81424793811118</v>
      </c>
      <c r="BW384" s="9">
        <f t="shared" ref="BW384:BY384" ca="1" si="1873">SUM(BW380,BW381,BW382,BW383)</f>
        <v>-1141.8317895885025</v>
      </c>
      <c r="BX384" s="9">
        <f t="shared" ca="1" si="1873"/>
        <v>-1045.5282013935089</v>
      </c>
      <c r="BY384" s="9">
        <f t="shared" ca="1" si="1873"/>
        <v>-945.79925390939059</v>
      </c>
      <c r="BZ384" s="8"/>
      <c r="CA384" s="293"/>
      <c r="CB384"/>
      <c r="CC384"/>
      <c r="CD384"/>
      <c r="CE384"/>
      <c r="CF384"/>
      <c r="CG384"/>
    </row>
    <row r="385" spans="1:85" ht="12" customHeight="1">
      <c r="O385" s="207"/>
      <c r="Q385" s="50"/>
      <c r="R385" s="50"/>
      <c r="S385" s="50"/>
      <c r="T385" s="50"/>
      <c r="U385" s="50"/>
      <c r="V385" s="50"/>
      <c r="W385" s="50"/>
      <c r="X385" s="50"/>
      <c r="Y385" s="50"/>
      <c r="Z385" s="50"/>
      <c r="AA385" s="50"/>
      <c r="AB385" s="50"/>
      <c r="AC385" s="50"/>
      <c r="AD385" s="50"/>
      <c r="AE385" s="50"/>
      <c r="AF385" s="50"/>
      <c r="AG385" s="50"/>
      <c r="AH385" s="50"/>
      <c r="AI385" s="50"/>
      <c r="AJ385" s="50"/>
      <c r="AK385" s="50"/>
      <c r="AL385" s="50"/>
      <c r="AM385" s="207"/>
      <c r="AN385" s="207"/>
      <c r="AO385" s="207"/>
      <c r="AP385" s="207"/>
      <c r="AQ385" s="207"/>
      <c r="AR385" s="207"/>
      <c r="AS385" s="207"/>
      <c r="AT385" s="207"/>
      <c r="AU385" s="207"/>
      <c r="AV385" s="207"/>
      <c r="AW385" s="207"/>
      <c r="AX385" s="207"/>
      <c r="AY385" s="207"/>
      <c r="AZ385" s="207"/>
      <c r="BA385" s="207"/>
      <c r="BB385" s="207"/>
      <c r="BC385" s="207"/>
      <c r="BD385" s="207"/>
      <c r="BE385" s="207"/>
      <c r="BF385" s="207"/>
      <c r="BG385" s="207"/>
      <c r="BH385" s="207"/>
      <c r="BI385" s="207"/>
      <c r="BJ385" s="207"/>
      <c r="BL385" s="50"/>
      <c r="BM385" s="50"/>
      <c r="BN385" s="207"/>
    </row>
    <row r="386" spans="1:85" ht="12" customHeight="1">
      <c r="B386" s="2" t="s">
        <v>53</v>
      </c>
      <c r="C386" s="2"/>
      <c r="D386" s="2"/>
      <c r="E386" s="2"/>
      <c r="F386" s="2"/>
      <c r="G386" s="2"/>
      <c r="H386" s="2"/>
      <c r="I386" s="2"/>
      <c r="J386" s="2"/>
      <c r="K386" s="2"/>
      <c r="L386" s="2"/>
      <c r="M386" s="2"/>
      <c r="N386" s="2"/>
      <c r="O386" s="123"/>
      <c r="Q386" s="49"/>
      <c r="R386" s="49"/>
      <c r="S386" s="49"/>
      <c r="T386" s="49"/>
      <c r="U386" s="49"/>
      <c r="V386" s="49"/>
      <c r="W386" s="49"/>
      <c r="X386" s="283"/>
      <c r="Y386" s="283"/>
      <c r="Z386" s="283"/>
      <c r="AA386" s="283"/>
      <c r="AB386" s="283"/>
      <c r="AC386" s="283"/>
      <c r="AD386" s="283"/>
      <c r="AE386" s="283"/>
      <c r="AF386" s="283"/>
      <c r="AG386" s="283"/>
      <c r="AH386" s="283"/>
      <c r="AI386" s="283"/>
      <c r="AJ386" s="283"/>
      <c r="AK386" s="283"/>
      <c r="AL386" s="283"/>
      <c r="AM386" s="285">
        <f t="shared" ref="AM386:AX386" ca="1" si="1874">AM360-AL360</f>
        <v>1.0835618570565657</v>
      </c>
      <c r="AN386" s="285">
        <f t="shared" ca="1" si="1874"/>
        <v>642.8075207985662</v>
      </c>
      <c r="AO386" s="285">
        <f t="shared" ca="1" si="1874"/>
        <v>0</v>
      </c>
      <c r="AP386" s="285">
        <f t="shared" ca="1" si="1874"/>
        <v>0</v>
      </c>
      <c r="AQ386" s="285">
        <f t="shared" ca="1" si="1874"/>
        <v>0</v>
      </c>
      <c r="AR386" s="285">
        <f t="shared" ca="1" si="1874"/>
        <v>142.16917770289797</v>
      </c>
      <c r="AS386" s="285">
        <f t="shared" ca="1" si="1874"/>
        <v>0</v>
      </c>
      <c r="AT386" s="285">
        <f t="shared" ca="1" si="1874"/>
        <v>0</v>
      </c>
      <c r="AU386" s="285">
        <f t="shared" ca="1" si="1874"/>
        <v>0</v>
      </c>
      <c r="AV386" s="285">
        <f t="shared" ca="1" si="1874"/>
        <v>212.78559167242747</v>
      </c>
      <c r="AW386" s="285">
        <f t="shared" ca="1" si="1874"/>
        <v>0</v>
      </c>
      <c r="AX386" s="285">
        <f t="shared" ca="1" si="1874"/>
        <v>57.830435325052576</v>
      </c>
      <c r="AY386" s="285">
        <f t="shared" ref="AY386" ca="1" si="1875">AY360-AX360</f>
        <v>212.82865544889069</v>
      </c>
      <c r="AZ386" s="285">
        <f t="shared" ref="AZ386" ca="1" si="1876">AZ360-AY360</f>
        <v>211.91737192560163</v>
      </c>
      <c r="BA386" s="285">
        <f t="shared" ref="BA386" ca="1" si="1877">BA360-AZ360</f>
        <v>0</v>
      </c>
      <c r="BB386" s="285">
        <f t="shared" ref="BB386" ca="1" si="1878">BB360-BA360</f>
        <v>0</v>
      </c>
      <c r="BC386" s="285">
        <f t="shared" ref="BC386" ca="1" si="1879">BC360-BB360</f>
        <v>66.523274874103663</v>
      </c>
      <c r="BD386" s="285">
        <f t="shared" ref="BD386" ca="1" si="1880">BD360-BC360</f>
        <v>176.45363984726191</v>
      </c>
      <c r="BE386" s="285">
        <f t="shared" ref="BE386" ca="1" si="1881">BE360-BD360</f>
        <v>167.47129317788654</v>
      </c>
      <c r="BF386" s="285">
        <f t="shared" ref="BF386" ca="1" si="1882">BF360-BE360</f>
        <v>0</v>
      </c>
      <c r="BG386" s="285">
        <f t="shared" ref="BG386" ca="1" si="1883">BG360-BF360</f>
        <v>40.810418416590437</v>
      </c>
      <c r="BH386" s="285">
        <f t="shared" ref="BH386" ca="1" si="1884">BH360-BG360</f>
        <v>141.56373395890341</v>
      </c>
      <c r="BI386" s="285">
        <f t="shared" ref="BI386" ca="1" si="1885">BI360-BH360</f>
        <v>132.21273987796167</v>
      </c>
      <c r="BJ386" s="285">
        <f t="shared" ref="BJ386" ca="1" si="1886">BJ360-BI360</f>
        <v>113.30809429636793</v>
      </c>
      <c r="BL386" s="49"/>
      <c r="BM386" s="49"/>
      <c r="BN386" s="123">
        <f t="shared" ref="BN386:BN392" si="1887">SUM(O386:R386)</f>
        <v>0</v>
      </c>
      <c r="BO386" s="1">
        <f t="shared" ref="BO386:BO392" si="1888">SUM(S386:V386)</f>
        <v>0</v>
      </c>
      <c r="BP386" s="1">
        <f t="shared" ref="BP386:BP392" si="1889">SUM(W386:Z386)</f>
        <v>0</v>
      </c>
      <c r="BQ386" s="1">
        <f t="shared" ref="BQ386:BQ392" si="1890">SUM(AA386:AD386)</f>
        <v>0</v>
      </c>
      <c r="BR386" s="1">
        <f t="shared" ref="BR386:BR392" si="1891">SUM(AE386:AH386)</f>
        <v>0</v>
      </c>
      <c r="BS386" s="1">
        <f t="shared" ref="BS386:BS392" si="1892">+SUM(AI386:AL386)</f>
        <v>0</v>
      </c>
      <c r="BT386" s="1">
        <f t="shared" ref="BT386:BT392" ca="1" si="1893">+SUM(AM386:AP386)</f>
        <v>643.89108265562277</v>
      </c>
      <c r="BU386" s="1">
        <f t="shared" ref="BU386:BU392" ca="1" si="1894">+SUM(AQ386:AT386)</f>
        <v>142.16917770289797</v>
      </c>
      <c r="BV386" s="1">
        <f t="shared" ref="BV386:BV392" ca="1" si="1895">+SUM(AU386:AX386)</f>
        <v>270.61602699748005</v>
      </c>
      <c r="BW386" s="1">
        <f t="shared" ref="BW386:BW392" ca="1" si="1896">SUM(AY386:BB386)</f>
        <v>424.74602737449231</v>
      </c>
      <c r="BX386" s="1">
        <f t="shared" ref="BX386:BX392" ca="1" si="1897">SUM(BC386:BF386)</f>
        <v>410.44820789925211</v>
      </c>
      <c r="BY386" s="1">
        <f t="shared" ref="BY386:BY392" ca="1" si="1898">SUM(BG386:BJ386)</f>
        <v>427.89498654982344</v>
      </c>
    </row>
    <row r="387" spans="1:85" ht="12" customHeight="1">
      <c r="B387" s="2" t="s">
        <v>63</v>
      </c>
      <c r="C387" s="2"/>
      <c r="D387" s="2"/>
      <c r="E387" s="2"/>
      <c r="F387" s="2"/>
      <c r="G387" s="2"/>
      <c r="H387" s="2"/>
      <c r="I387" s="2"/>
      <c r="J387" s="2"/>
      <c r="K387" s="2"/>
      <c r="L387" s="2"/>
      <c r="M387" s="2"/>
      <c r="N387" s="2"/>
      <c r="O387" s="283">
        <v>43.2</v>
      </c>
      <c r="P387" s="29">
        <f>P359-O359+P358-O358+P360-O360</f>
        <v>37.299999999999955</v>
      </c>
      <c r="Q387" s="29">
        <f>Q359-P359+Q358-P358+Q360-P360</f>
        <v>50.600000000000023</v>
      </c>
      <c r="R387" s="212">
        <f>119.8-400+525-9-17.2-SUM(O387:Q387)</f>
        <v>87.500000000000057</v>
      </c>
      <c r="S387" s="283">
        <f>-0.6-0.6</f>
        <v>-1.2</v>
      </c>
      <c r="T387" s="283">
        <f>-2.5-9.6-10.2-0.6-S387</f>
        <v>-21.7</v>
      </c>
      <c r="U387" s="283">
        <f>-3.7-0.6-9.6-10.2-T387-S387</f>
        <v>-1.1999999999999986</v>
      </c>
      <c r="V387" s="283">
        <f>-0.6-5.3-0.7-9.6-10.2-U387-T387-S387</f>
        <v>-2.2999999999999998</v>
      </c>
      <c r="W387" s="285">
        <f>+W356-V356</f>
        <v>-1.1999999999999993</v>
      </c>
      <c r="X387" s="283">
        <v>-0.8</v>
      </c>
      <c r="Y387" s="283">
        <f>30-0.9</f>
        <v>29.1</v>
      </c>
      <c r="Z387" s="283">
        <f>285-30-150.2+0.1-0.9</f>
        <v>104</v>
      </c>
      <c r="AA387" s="283">
        <f>20-1.1</f>
        <v>18.899999999999999</v>
      </c>
      <c r="AB387" s="283">
        <f>70-2.1-AA387</f>
        <v>49.000000000000007</v>
      </c>
      <c r="AC387" s="283">
        <f>220+103.8-3.8-5.4-AA387-AB387</f>
        <v>246.70000000000005</v>
      </c>
      <c r="AD387" s="283">
        <f>40-10-0.9-1.2</f>
        <v>27.900000000000002</v>
      </c>
      <c r="AE387" s="283">
        <f>320-305-3.1-2.1</f>
        <v>9.8000000000000007</v>
      </c>
      <c r="AF387" s="283">
        <f>415-315-4.4-2.1-AE387</f>
        <v>83.7</v>
      </c>
      <c r="AG387" s="283">
        <f>115-145-2.4-1.5</f>
        <v>-33.9</v>
      </c>
      <c r="AH387" s="283">
        <f>180-2.3-6.6</f>
        <v>171.1</v>
      </c>
      <c r="AI387" s="283">
        <f>440-270-474.8+800-2.3-8.8</f>
        <v>484.09999999999997</v>
      </c>
      <c r="AJ387" s="283">
        <f>1010-737.3-474.8+800-4.8-13.6-30.4-AI387</f>
        <v>65.000000000000171</v>
      </c>
      <c r="AK387" s="283">
        <v>180</v>
      </c>
      <c r="AL387" s="283">
        <f>200-537.7+417.8-2.5+2.7-5.4</f>
        <v>74.899999999999963</v>
      </c>
      <c r="AM387" s="1">
        <f t="shared" ref="AM387:AX387" si="1899">AM359-AL359+AM358-AL358+AM361-AL361</f>
        <v>0</v>
      </c>
      <c r="AN387" s="1">
        <f t="shared" si="1899"/>
        <v>0</v>
      </c>
      <c r="AO387" s="1">
        <f t="shared" si="1899"/>
        <v>0</v>
      </c>
      <c r="AP387" s="1">
        <f t="shared" si="1899"/>
        <v>0</v>
      </c>
      <c r="AQ387" s="1">
        <f t="shared" si="1899"/>
        <v>0</v>
      </c>
      <c r="AR387" s="1">
        <f t="shared" si="1899"/>
        <v>0</v>
      </c>
      <c r="AS387" s="1">
        <f t="shared" si="1899"/>
        <v>0</v>
      </c>
      <c r="AT387" s="1">
        <f t="shared" si="1899"/>
        <v>0</v>
      </c>
      <c r="AU387" s="1">
        <f t="shared" si="1899"/>
        <v>0</v>
      </c>
      <c r="AV387" s="1">
        <f t="shared" si="1899"/>
        <v>0</v>
      </c>
      <c r="AW387" s="1">
        <f t="shared" si="1899"/>
        <v>0</v>
      </c>
      <c r="AX387" s="1">
        <f t="shared" si="1899"/>
        <v>0</v>
      </c>
      <c r="AY387" s="1">
        <f t="shared" ref="AY387" si="1900">AY359-AX359+AY358-AX358+AY361-AX361</f>
        <v>0</v>
      </c>
      <c r="AZ387" s="1">
        <f t="shared" ref="AZ387" si="1901">AZ359-AY359+AZ358-AY358+AZ361-AY361</f>
        <v>0</v>
      </c>
      <c r="BA387" s="1">
        <f t="shared" ref="BA387" si="1902">BA359-AZ359+BA358-AZ358+BA361-AZ361</f>
        <v>0</v>
      </c>
      <c r="BB387" s="1">
        <f t="shared" ref="BB387" si="1903">BB359-BA359+BB358-BA358+BB361-BA361</f>
        <v>0</v>
      </c>
      <c r="BC387" s="1">
        <f t="shared" ref="BC387" si="1904">BC359-BB359+BC358-BB358+BC361-BB361</f>
        <v>0</v>
      </c>
      <c r="BD387" s="1">
        <f t="shared" ref="BD387" si="1905">BD359-BC359+BD358-BC358+BD361-BC361</f>
        <v>0</v>
      </c>
      <c r="BE387" s="1">
        <f t="shared" ref="BE387" si="1906">BE359-BD359+BE358-BD358+BE361-BD361</f>
        <v>0</v>
      </c>
      <c r="BF387" s="1">
        <f t="shared" ref="BF387" si="1907">BF359-BE359+BF358-BE358+BF361-BE361</f>
        <v>0</v>
      </c>
      <c r="BG387" s="1">
        <f t="shared" ref="BG387" si="1908">BG359-BF359+BG358-BF358+BG361-BF361</f>
        <v>0</v>
      </c>
      <c r="BH387" s="1">
        <f t="shared" ref="BH387" si="1909">BH359-BG359+BH358-BG358+BH361-BG361</f>
        <v>0</v>
      </c>
      <c r="BI387" s="1">
        <f t="shared" ref="BI387" si="1910">BI359-BH359+BI358-BH358+BI361-BH361</f>
        <v>0</v>
      </c>
      <c r="BJ387" s="1">
        <f t="shared" ref="BJ387" si="1911">BJ359-BI359+BJ358-BI358+BJ361-BI361</f>
        <v>0</v>
      </c>
      <c r="BL387" s="170">
        <f>15.5-10.2</f>
        <v>5.3000000000000007</v>
      </c>
      <c r="BM387" s="170">
        <f>66.6-7-16.2</f>
        <v>43.399999999999991</v>
      </c>
      <c r="BN387" s="123">
        <f t="shared" si="1887"/>
        <v>218.60000000000002</v>
      </c>
      <c r="BO387" s="1">
        <f t="shared" si="1888"/>
        <v>-26.4</v>
      </c>
      <c r="BP387" s="1">
        <f t="shared" si="1889"/>
        <v>131.1</v>
      </c>
      <c r="BQ387" s="1">
        <f t="shared" si="1890"/>
        <v>342.5</v>
      </c>
      <c r="BR387" s="1">
        <f t="shared" si="1891"/>
        <v>230.7</v>
      </c>
      <c r="BS387" s="1">
        <f t="shared" si="1892"/>
        <v>804.00000000000011</v>
      </c>
      <c r="BT387" s="1">
        <f t="shared" si="1893"/>
        <v>0</v>
      </c>
      <c r="BU387" s="1">
        <f t="shared" si="1894"/>
        <v>0</v>
      </c>
      <c r="BV387" s="1">
        <f t="shared" si="1895"/>
        <v>0</v>
      </c>
      <c r="BW387" s="1">
        <f t="shared" si="1896"/>
        <v>0</v>
      </c>
      <c r="BX387" s="1">
        <f t="shared" si="1897"/>
        <v>0</v>
      </c>
      <c r="BY387" s="1">
        <f t="shared" si="1898"/>
        <v>0</v>
      </c>
    </row>
    <row r="388" spans="1:85" ht="12" customHeight="1">
      <c r="B388" s="2" t="s">
        <v>64</v>
      </c>
      <c r="C388" s="2"/>
      <c r="D388" s="2"/>
      <c r="E388" s="2"/>
      <c r="F388" s="2"/>
      <c r="G388" s="2"/>
      <c r="H388" s="2"/>
      <c r="I388" s="2"/>
      <c r="J388" s="2"/>
      <c r="K388" s="2"/>
      <c r="L388" s="2"/>
      <c r="M388" s="2"/>
      <c r="N388" s="2"/>
      <c r="O388" s="123">
        <f ca="1">-O72*O83</f>
        <v>0</v>
      </c>
      <c r="P388" s="1">
        <f ca="1">-P72*P83</f>
        <v>0</v>
      </c>
      <c r="Q388" s="49">
        <f ca="1">-Q72*Q83</f>
        <v>0</v>
      </c>
      <c r="R388" s="49">
        <f ca="1">-R72*R83</f>
        <v>0</v>
      </c>
      <c r="S388" s="49"/>
      <c r="T388" s="170">
        <f>-10.3-S388</f>
        <v>-10.3</v>
      </c>
      <c r="U388" s="170">
        <f>-20.7-T388-S388</f>
        <v>-10.399999999999999</v>
      </c>
      <c r="V388" s="170">
        <f>-31-U388-T388-S388</f>
        <v>-10.3</v>
      </c>
      <c r="W388" s="340">
        <f>-V72*V83</f>
        <v>-10.332560640000002</v>
      </c>
      <c r="X388" s="283">
        <v>-13.6</v>
      </c>
      <c r="Y388" s="283">
        <v>-13.4</v>
      </c>
      <c r="Z388" s="283">
        <v>-13.5</v>
      </c>
      <c r="AA388" s="283">
        <v>-13.5</v>
      </c>
      <c r="AB388" s="283">
        <f>-33.8-AA388</f>
        <v>-20.299999999999997</v>
      </c>
      <c r="AC388" s="283">
        <f>-58.3-AA388-AB388</f>
        <v>-24.5</v>
      </c>
      <c r="AD388" s="283">
        <v>-22.5</v>
      </c>
      <c r="AE388" s="283">
        <v>-22.8</v>
      </c>
      <c r="AF388" s="283">
        <f>-52.9-AE388</f>
        <v>-30.099999999999998</v>
      </c>
      <c r="AG388" s="283">
        <v>-29.9</v>
      </c>
      <c r="AH388" s="283">
        <v>-31.5</v>
      </c>
      <c r="AI388" s="283">
        <v>-32.4</v>
      </c>
      <c r="AJ388" s="283">
        <f>-69.1-AI388</f>
        <v>-36.699999999999996</v>
      </c>
      <c r="AK388" s="283">
        <v>-38.299999999999997</v>
      </c>
      <c r="AL388" s="283">
        <v>-38.299999999999997</v>
      </c>
      <c r="AM388" s="340">
        <f t="shared" ref="AM388:AX388" si="1912">-AL72*AL83</f>
        <v>-40.37790708</v>
      </c>
      <c r="AN388" s="340">
        <f t="shared" ca="1" si="1912"/>
        <v>-43.262043300000002</v>
      </c>
      <c r="AO388" s="340">
        <f t="shared" ca="1" si="1912"/>
        <v>-43.262043300000002</v>
      </c>
      <c r="AP388" s="340">
        <f t="shared" ca="1" si="1912"/>
        <v>-45.292129711943325</v>
      </c>
      <c r="AQ388" s="340">
        <f t="shared" ca="1" si="1912"/>
        <v>-47.322216123886648</v>
      </c>
      <c r="AR388" s="340">
        <f t="shared" ca="1" si="1912"/>
        <v>-49.364283239782665</v>
      </c>
      <c r="AS388" s="340">
        <f t="shared" ca="1" si="1912"/>
        <v>-49.364283239782665</v>
      </c>
      <c r="AT388" s="340">
        <f t="shared" ca="1" si="1912"/>
        <v>-51.394862472993687</v>
      </c>
      <c r="AU388" s="340">
        <f t="shared" ca="1" si="1912"/>
        <v>-53.425441706204715</v>
      </c>
      <c r="AV388" s="340">
        <f t="shared" ca="1" si="1912"/>
        <v>-55.522594511915045</v>
      </c>
      <c r="AW388" s="340">
        <f t="shared" ca="1" si="1912"/>
        <v>-55.522594511915045</v>
      </c>
      <c r="AX388" s="340">
        <f t="shared" ca="1" si="1912"/>
        <v>-57.632881741918375</v>
      </c>
      <c r="AY388" s="340">
        <f t="shared" ref="AY388" ca="1" si="1913">-AX72*AX83</f>
        <v>-57.632881741918375</v>
      </c>
      <c r="AZ388" s="340">
        <f t="shared" ref="AZ388" ca="1" si="1914">-AY72*AY83</f>
        <v>-61.738668722041233</v>
      </c>
      <c r="BA388" s="340">
        <f t="shared" ref="BA388" ca="1" si="1915">-AZ72*AZ83</f>
        <v>-61.738668722041233</v>
      </c>
      <c r="BB388" s="340">
        <f t="shared" ref="BB388" ca="1" si="1916">-BA72*BA83</f>
        <v>-63.999293564383066</v>
      </c>
      <c r="BC388" s="340">
        <f t="shared" ref="BC388" ca="1" si="1917">-BB72*BB83</f>
        <v>-66.259918406724893</v>
      </c>
      <c r="BD388" s="340">
        <f t="shared" ref="BD388" ca="1" si="1918">-BC72*BC83</f>
        <v>-69.840358953144133</v>
      </c>
      <c r="BE388" s="340">
        <f t="shared" ref="BE388" ca="1" si="1919">-BD72*BD83</f>
        <v>-69.840358953144133</v>
      </c>
      <c r="BF388" s="340">
        <f t="shared" ref="BF388" ca="1" si="1920">-BE72*BE83</f>
        <v>-69.840358953144133</v>
      </c>
      <c r="BG388" s="340">
        <f t="shared" ref="BG388" ca="1" si="1921">-BF72*BF83</f>
        <v>-72.223139588013197</v>
      </c>
      <c r="BH388" s="340">
        <f t="shared" ref="BH388" ca="1" si="1922">-BG72*BG83</f>
        <v>-77.356950514237639</v>
      </c>
      <c r="BI388" s="340">
        <f t="shared" ref="BI388" ca="1" si="1923">-BH72*BH83</f>
        <v>-77.356950514237639</v>
      </c>
      <c r="BJ388" s="340">
        <f t="shared" ref="BJ388" ca="1" si="1924">-BI72*BI83</f>
        <v>-77.356950514237639</v>
      </c>
      <c r="BL388" s="49"/>
      <c r="BM388" s="170"/>
      <c r="BN388" s="123">
        <f t="shared" ca="1" si="1887"/>
        <v>0</v>
      </c>
      <c r="BO388" s="1">
        <f t="shared" si="1888"/>
        <v>-31</v>
      </c>
      <c r="BP388" s="1">
        <f t="shared" si="1889"/>
        <v>-50.832560640000004</v>
      </c>
      <c r="BQ388" s="1">
        <f t="shared" si="1890"/>
        <v>-80.8</v>
      </c>
      <c r="BR388" s="1">
        <f t="shared" si="1891"/>
        <v>-114.3</v>
      </c>
      <c r="BS388" s="1">
        <f t="shared" si="1892"/>
        <v>-145.69999999999999</v>
      </c>
      <c r="BT388" s="1">
        <f t="shared" ca="1" si="1893"/>
        <v>-172.19412339194332</v>
      </c>
      <c r="BU388" s="1">
        <f t="shared" ca="1" si="1894"/>
        <v>-197.44564507644566</v>
      </c>
      <c r="BV388" s="1">
        <f t="shared" ca="1" si="1895"/>
        <v>-222.1035124719532</v>
      </c>
      <c r="BW388" s="1">
        <f t="shared" ca="1" si="1896"/>
        <v>-245.10951275038391</v>
      </c>
      <c r="BX388" s="1">
        <f t="shared" ca="1" si="1897"/>
        <v>-275.78099526615728</v>
      </c>
      <c r="BY388" s="1">
        <f t="shared" ca="1" si="1898"/>
        <v>-304.29399113072611</v>
      </c>
    </row>
    <row r="389" spans="1:85" ht="12" customHeight="1">
      <c r="B389" s="2" t="s">
        <v>65</v>
      </c>
      <c r="C389" s="2"/>
      <c r="D389" s="2"/>
      <c r="E389" s="2"/>
      <c r="F389" s="2"/>
      <c r="G389" s="2"/>
      <c r="H389" s="2"/>
      <c r="I389" s="2"/>
      <c r="J389" s="2"/>
      <c r="K389" s="2"/>
      <c r="L389" s="2"/>
      <c r="M389" s="2"/>
      <c r="N389" s="2"/>
      <c r="O389" s="123"/>
      <c r="Q389" s="49">
        <f>Q281</f>
        <v>0</v>
      </c>
      <c r="R389" s="49">
        <f>R281</f>
        <v>0</v>
      </c>
      <c r="S389" s="49">
        <f>S281</f>
        <v>337.1</v>
      </c>
      <c r="T389" s="170">
        <f>360.5-23.4-S389</f>
        <v>0</v>
      </c>
      <c r="U389" s="170">
        <f>360.5-23.4-T389-S389</f>
        <v>0</v>
      </c>
      <c r="V389" s="170">
        <f>333.9-U389-T389-S389</f>
        <v>-3.2000000000000455</v>
      </c>
      <c r="W389" s="49">
        <f>W281</f>
        <v>0</v>
      </c>
      <c r="X389" s="283">
        <f>355.9-0.5</f>
        <v>355.4</v>
      </c>
      <c r="Y389" s="283"/>
      <c r="Z389" s="283"/>
      <c r="AA389" s="283"/>
      <c r="AB389" s="480">
        <f>799.3-426-0.6-AA389</f>
        <v>372.69999999999993</v>
      </c>
      <c r="AC389" s="480">
        <f>799.3-0.8-596.4-AA389-AB389</f>
        <v>-170.59999999999991</v>
      </c>
      <c r="AD389" s="480">
        <f>0.2-0.8</f>
        <v>-0.60000000000000009</v>
      </c>
      <c r="AE389" s="480">
        <v>256</v>
      </c>
      <c r="AF389" s="480">
        <f>256.5-0.5-AE389</f>
        <v>0</v>
      </c>
      <c r="AG389" s="480">
        <f>192.1-1.1</f>
        <v>191</v>
      </c>
      <c r="AH389" s="480">
        <v>0.1</v>
      </c>
      <c r="AI389" s="480">
        <v>211</v>
      </c>
      <c r="AJ389" s="480">
        <f>408.6-AI389</f>
        <v>197.60000000000002</v>
      </c>
      <c r="AK389" s="480">
        <v>0.2</v>
      </c>
      <c r="AL389" s="480">
        <f>-0.3+297.2</f>
        <v>296.89999999999998</v>
      </c>
      <c r="AM389" s="123">
        <f t="shared" ref="AM389:AX389" ca="1" si="1925">AM281</f>
        <v>0</v>
      </c>
      <c r="AN389" s="123">
        <f t="shared" ca="1" si="1925"/>
        <v>0</v>
      </c>
      <c r="AO389" s="123">
        <f t="shared" ca="1" si="1925"/>
        <v>250</v>
      </c>
      <c r="AP389" s="123">
        <f ca="1">AP281</f>
        <v>250</v>
      </c>
      <c r="AQ389" s="123">
        <f t="shared" ca="1" si="1925"/>
        <v>250</v>
      </c>
      <c r="AR389" s="123">
        <f t="shared" ca="1" si="1925"/>
        <v>0</v>
      </c>
      <c r="AS389" s="123">
        <f t="shared" ca="1" si="1925"/>
        <v>250</v>
      </c>
      <c r="AT389" s="123">
        <f t="shared" ca="1" si="1925"/>
        <v>250</v>
      </c>
      <c r="AU389" s="123">
        <f t="shared" ca="1" si="1925"/>
        <v>0</v>
      </c>
      <c r="AV389" s="123">
        <f t="shared" ca="1" si="1925"/>
        <v>0</v>
      </c>
      <c r="AW389" s="123">
        <f t="shared" ca="1" si="1925"/>
        <v>250</v>
      </c>
      <c r="AX389" s="123">
        <f t="shared" ca="1" si="1925"/>
        <v>0</v>
      </c>
      <c r="AY389" s="123">
        <f t="shared" ref="AY389:BJ389" ca="1" si="1926">AY281</f>
        <v>0</v>
      </c>
      <c r="AZ389" s="123">
        <f t="shared" ca="1" si="1926"/>
        <v>0</v>
      </c>
      <c r="BA389" s="123">
        <f t="shared" ca="1" si="1926"/>
        <v>250</v>
      </c>
      <c r="BB389" s="123">
        <f t="shared" ca="1" si="1926"/>
        <v>250</v>
      </c>
      <c r="BC389" s="123">
        <f t="shared" ca="1" si="1926"/>
        <v>0</v>
      </c>
      <c r="BD389" s="123">
        <f t="shared" ca="1" si="1926"/>
        <v>0</v>
      </c>
      <c r="BE389" s="123">
        <f t="shared" ca="1" si="1926"/>
        <v>0</v>
      </c>
      <c r="BF389" s="123">
        <f t="shared" ca="1" si="1926"/>
        <v>250</v>
      </c>
      <c r="BG389" s="123">
        <f t="shared" ca="1" si="1926"/>
        <v>0</v>
      </c>
      <c r="BH389" s="123">
        <f t="shared" ca="1" si="1926"/>
        <v>0</v>
      </c>
      <c r="BI389" s="123">
        <f t="shared" ca="1" si="1926"/>
        <v>0</v>
      </c>
      <c r="BJ389" s="123">
        <f t="shared" ca="1" si="1926"/>
        <v>0</v>
      </c>
      <c r="BL389" s="49"/>
      <c r="BM389" s="170"/>
      <c r="BN389" s="123">
        <f t="shared" si="1887"/>
        <v>0</v>
      </c>
      <c r="BO389" s="1">
        <f t="shared" si="1888"/>
        <v>333.9</v>
      </c>
      <c r="BP389" s="1">
        <f t="shared" si="1889"/>
        <v>355.4</v>
      </c>
      <c r="BQ389" s="1">
        <f t="shared" si="1890"/>
        <v>201.50000000000003</v>
      </c>
      <c r="BR389" s="1">
        <f t="shared" si="1891"/>
        <v>447.1</v>
      </c>
      <c r="BS389" s="1">
        <f t="shared" si="1892"/>
        <v>705.7</v>
      </c>
      <c r="BT389" s="1">
        <f t="shared" ca="1" si="1893"/>
        <v>500</v>
      </c>
      <c r="BU389" s="1">
        <f t="shared" ca="1" si="1894"/>
        <v>750</v>
      </c>
      <c r="BV389" s="1">
        <f t="shared" ca="1" si="1895"/>
        <v>250</v>
      </c>
      <c r="BW389" s="1">
        <f t="shared" ca="1" si="1896"/>
        <v>500</v>
      </c>
      <c r="BX389" s="1">
        <f t="shared" ca="1" si="1897"/>
        <v>250</v>
      </c>
      <c r="BY389" s="1">
        <f t="shared" ca="1" si="1898"/>
        <v>0</v>
      </c>
    </row>
    <row r="390" spans="1:85" ht="12" customHeight="1">
      <c r="B390" s="2" t="s">
        <v>28</v>
      </c>
      <c r="C390" s="2"/>
      <c r="D390" s="2"/>
      <c r="E390" s="2"/>
      <c r="F390" s="2"/>
      <c r="G390" s="2"/>
      <c r="H390" s="2"/>
      <c r="I390" s="2"/>
      <c r="J390" s="2"/>
      <c r="K390" s="2"/>
      <c r="L390" s="2"/>
      <c r="M390" s="2"/>
      <c r="N390" s="2"/>
      <c r="O390" s="123"/>
      <c r="Q390" s="170">
        <v>0</v>
      </c>
      <c r="R390" s="170">
        <v>0</v>
      </c>
      <c r="S390" s="170"/>
      <c r="T390" s="170"/>
      <c r="U390" s="170"/>
      <c r="V390" s="170"/>
      <c r="W390" s="170"/>
      <c r="X390" s="283"/>
      <c r="Y390" s="283"/>
      <c r="Z390" s="283"/>
      <c r="AA390" s="283"/>
      <c r="AB390" s="283"/>
      <c r="AC390" s="283"/>
      <c r="AD390" s="283"/>
      <c r="AE390" s="283"/>
      <c r="AF390" s="283"/>
      <c r="AG390" s="283"/>
      <c r="AH390" s="283"/>
      <c r="AI390" s="283"/>
      <c r="AJ390" s="283"/>
      <c r="AK390" s="283"/>
      <c r="AL390" s="283"/>
      <c r="AM390" s="211">
        <v>0</v>
      </c>
      <c r="AN390" s="211">
        <v>0</v>
      </c>
      <c r="AO390" s="211">
        <v>0</v>
      </c>
      <c r="AP390" s="211">
        <v>0</v>
      </c>
      <c r="AQ390" s="211">
        <v>0</v>
      </c>
      <c r="AR390" s="211">
        <v>0</v>
      </c>
      <c r="AS390" s="211">
        <v>0</v>
      </c>
      <c r="AT390" s="211">
        <v>0</v>
      </c>
      <c r="AU390" s="211">
        <v>0</v>
      </c>
      <c r="AV390" s="211">
        <v>0</v>
      </c>
      <c r="AW390" s="211">
        <v>0</v>
      </c>
      <c r="AX390" s="211">
        <v>0</v>
      </c>
      <c r="AY390" s="211">
        <v>0</v>
      </c>
      <c r="AZ390" s="211">
        <v>0</v>
      </c>
      <c r="BA390" s="211">
        <v>0</v>
      </c>
      <c r="BB390" s="211">
        <v>0</v>
      </c>
      <c r="BC390" s="211">
        <v>0</v>
      </c>
      <c r="BD390" s="211">
        <v>0</v>
      </c>
      <c r="BE390" s="211">
        <v>0</v>
      </c>
      <c r="BF390" s="211">
        <v>0</v>
      </c>
      <c r="BG390" s="211">
        <v>0</v>
      </c>
      <c r="BH390" s="211">
        <v>0</v>
      </c>
      <c r="BI390" s="211">
        <v>0</v>
      </c>
      <c r="BJ390" s="211">
        <v>0</v>
      </c>
      <c r="BL390" s="51"/>
      <c r="BM390" s="170"/>
      <c r="BN390" s="212">
        <f t="shared" si="1887"/>
        <v>0</v>
      </c>
      <c r="BO390" s="29">
        <f t="shared" si="1888"/>
        <v>0</v>
      </c>
      <c r="BP390" s="29">
        <f t="shared" si="1889"/>
        <v>0</v>
      </c>
      <c r="BQ390" s="29">
        <f t="shared" si="1890"/>
        <v>0</v>
      </c>
      <c r="BR390" s="29">
        <f t="shared" si="1891"/>
        <v>0</v>
      </c>
      <c r="BS390" s="29">
        <f t="shared" si="1892"/>
        <v>0</v>
      </c>
      <c r="BT390" s="29">
        <f t="shared" si="1893"/>
        <v>0</v>
      </c>
      <c r="BU390" s="29">
        <f t="shared" si="1894"/>
        <v>0</v>
      </c>
      <c r="BV390" s="29">
        <f t="shared" si="1895"/>
        <v>0</v>
      </c>
      <c r="BW390" s="29">
        <f t="shared" si="1896"/>
        <v>0</v>
      </c>
      <c r="BX390" s="29">
        <f t="shared" si="1897"/>
        <v>0</v>
      </c>
      <c r="BY390" s="29">
        <f t="shared" si="1898"/>
        <v>0</v>
      </c>
    </row>
    <row r="391" spans="1:85" ht="12" customHeight="1">
      <c r="B391" s="2" t="s">
        <v>66</v>
      </c>
      <c r="C391" s="2"/>
      <c r="D391" s="2"/>
      <c r="E391" s="2"/>
      <c r="F391" s="2"/>
      <c r="G391" s="2"/>
      <c r="H391" s="2"/>
      <c r="I391" s="2"/>
      <c r="J391" s="2"/>
      <c r="K391" s="2"/>
      <c r="L391" s="2"/>
      <c r="M391" s="2"/>
      <c r="N391" s="2"/>
      <c r="O391" s="123"/>
      <c r="Q391" s="170">
        <v>0</v>
      </c>
      <c r="R391" s="170">
        <v>0</v>
      </c>
      <c r="S391" s="170"/>
      <c r="T391" s="170"/>
      <c r="U391" s="170"/>
      <c r="V391" s="170"/>
      <c r="W391" s="170"/>
      <c r="X391" s="283"/>
      <c r="Y391" s="283"/>
      <c r="Z391" s="283"/>
      <c r="AA391" s="283"/>
      <c r="AB391" s="283"/>
      <c r="AC391" s="283"/>
      <c r="AD391" s="283"/>
      <c r="AE391" s="283"/>
      <c r="AF391" s="283"/>
      <c r="AG391" s="283"/>
      <c r="AH391" s="283"/>
      <c r="AI391" s="283"/>
      <c r="AJ391" s="283"/>
      <c r="AK391" s="283"/>
      <c r="AL391" s="283"/>
      <c r="AM391" s="211">
        <v>0</v>
      </c>
      <c r="AN391" s="211">
        <v>0</v>
      </c>
      <c r="AO391" s="211">
        <v>0</v>
      </c>
      <c r="AP391" s="211">
        <v>0</v>
      </c>
      <c r="AQ391" s="211">
        <v>0</v>
      </c>
      <c r="AR391" s="211">
        <v>0</v>
      </c>
      <c r="AS391" s="211">
        <v>0</v>
      </c>
      <c r="AT391" s="211">
        <v>0</v>
      </c>
      <c r="AU391" s="211">
        <v>0</v>
      </c>
      <c r="AV391" s="211">
        <v>0</v>
      </c>
      <c r="AW391" s="211">
        <v>0</v>
      </c>
      <c r="AX391" s="211">
        <v>0</v>
      </c>
      <c r="AY391" s="211">
        <v>0</v>
      </c>
      <c r="AZ391" s="211">
        <v>0</v>
      </c>
      <c r="BA391" s="211">
        <v>0</v>
      </c>
      <c r="BB391" s="211">
        <v>0</v>
      </c>
      <c r="BC391" s="211">
        <v>0</v>
      </c>
      <c r="BD391" s="211">
        <v>0</v>
      </c>
      <c r="BE391" s="211">
        <v>0</v>
      </c>
      <c r="BF391" s="211">
        <v>0</v>
      </c>
      <c r="BG391" s="211">
        <v>0</v>
      </c>
      <c r="BH391" s="211">
        <v>0</v>
      </c>
      <c r="BI391" s="211">
        <v>0</v>
      </c>
      <c r="BJ391" s="211">
        <v>0</v>
      </c>
      <c r="BL391" s="51"/>
      <c r="BM391" s="170"/>
      <c r="BN391" s="212">
        <f t="shared" si="1887"/>
        <v>0</v>
      </c>
      <c r="BO391" s="29">
        <f t="shared" si="1888"/>
        <v>0</v>
      </c>
      <c r="BP391" s="29">
        <f t="shared" si="1889"/>
        <v>0</v>
      </c>
      <c r="BQ391" s="29">
        <f t="shared" si="1890"/>
        <v>0</v>
      </c>
      <c r="BR391" s="29">
        <f t="shared" si="1891"/>
        <v>0</v>
      </c>
      <c r="BS391" s="29">
        <f t="shared" si="1892"/>
        <v>0</v>
      </c>
      <c r="BT391" s="29">
        <f t="shared" si="1893"/>
        <v>0</v>
      </c>
      <c r="BU391" s="29">
        <f t="shared" si="1894"/>
        <v>0</v>
      </c>
      <c r="BV391" s="29">
        <f t="shared" si="1895"/>
        <v>0</v>
      </c>
      <c r="BW391" s="29">
        <f t="shared" si="1896"/>
        <v>0</v>
      </c>
      <c r="BX391" s="29">
        <f t="shared" si="1897"/>
        <v>0</v>
      </c>
      <c r="BY391" s="29">
        <f t="shared" si="1898"/>
        <v>0</v>
      </c>
    </row>
    <row r="392" spans="1:85" ht="12" customHeight="1">
      <c r="B392" s="2" t="s">
        <v>12</v>
      </c>
      <c r="C392" s="2"/>
      <c r="D392" s="2"/>
      <c r="E392" s="2"/>
      <c r="F392" s="2"/>
      <c r="G392" s="2"/>
      <c r="H392" s="2"/>
      <c r="I392" s="2"/>
      <c r="J392" s="2"/>
      <c r="K392" s="2"/>
      <c r="L392" s="2"/>
      <c r="M392" s="2"/>
      <c r="N392" s="2"/>
      <c r="O392" s="114">
        <f ca="1">1.9-O395-O378-O384-SUM(O387:O391)</f>
        <v>-1.6000000000000085</v>
      </c>
      <c r="P392" s="22">
        <f ca="1">1.4-P395-P378-P384-SUM(P387:P391)</f>
        <v>-1.6999999999999602</v>
      </c>
      <c r="Q392" s="22">
        <f ca="1">3.2-Q395-Q378-Q384-SUM(Q387:Q391)</f>
        <v>-2.8000000000000185</v>
      </c>
      <c r="R392" s="211">
        <f ca="1">5.4-SUM(O392:Q392)</f>
        <v>11.499999999999988</v>
      </c>
      <c r="S392" s="211">
        <v>0.2</v>
      </c>
      <c r="T392" s="211">
        <f>0.2-S392</f>
        <v>0</v>
      </c>
      <c r="U392" s="211">
        <f>0.2-1.3-T392-S392</f>
        <v>-1.3</v>
      </c>
      <c r="V392" s="211">
        <f>0.2-1.3-U392-T392-S392</f>
        <v>0</v>
      </c>
      <c r="W392" s="114"/>
      <c r="X392" s="283">
        <v>-355.9</v>
      </c>
      <c r="Y392" s="283">
        <v>-0.8</v>
      </c>
      <c r="Z392" s="283">
        <f>0.1-5.2-12.8</f>
        <v>-17.900000000000002</v>
      </c>
      <c r="AA392" s="283"/>
      <c r="AB392" s="283"/>
      <c r="AC392" s="283"/>
      <c r="AD392" s="283"/>
      <c r="AE392" s="283">
        <v>-13.6</v>
      </c>
      <c r="AF392" s="283">
        <f>-13.6-AE392</f>
        <v>0</v>
      </c>
      <c r="AG392" s="283">
        <v>-0.1</v>
      </c>
      <c r="AH392" s="283">
        <v>-0.5</v>
      </c>
      <c r="AI392" s="283">
        <f>-30.3-6.4</f>
        <v>-36.700000000000003</v>
      </c>
      <c r="AJ392" s="283">
        <f>-6.6-AI392</f>
        <v>30.1</v>
      </c>
      <c r="AK392" s="283">
        <v>-2.5</v>
      </c>
      <c r="AL392" s="537">
        <v>-0.2</v>
      </c>
      <c r="AM392" s="144">
        <v>0</v>
      </c>
      <c r="AN392" s="144">
        <v>0</v>
      </c>
      <c r="AO392" s="144">
        <v>0</v>
      </c>
      <c r="AP392" s="144">
        <v>0</v>
      </c>
      <c r="AQ392" s="144">
        <v>0</v>
      </c>
      <c r="AR392" s="144">
        <v>0</v>
      </c>
      <c r="AS392" s="144">
        <v>0</v>
      </c>
      <c r="AT392" s="144">
        <v>0</v>
      </c>
      <c r="AU392" s="144">
        <v>0</v>
      </c>
      <c r="AV392" s="144">
        <v>0</v>
      </c>
      <c r="AW392" s="144">
        <v>0</v>
      </c>
      <c r="AX392" s="144">
        <v>0</v>
      </c>
      <c r="AY392" s="144">
        <v>0</v>
      </c>
      <c r="AZ392" s="144">
        <v>0</v>
      </c>
      <c r="BA392" s="144">
        <v>0</v>
      </c>
      <c r="BB392" s="144">
        <v>0</v>
      </c>
      <c r="BC392" s="144">
        <v>0</v>
      </c>
      <c r="BD392" s="144">
        <v>0</v>
      </c>
      <c r="BE392" s="144">
        <v>0</v>
      </c>
      <c r="BF392" s="144">
        <v>0</v>
      </c>
      <c r="BG392" s="144">
        <v>0</v>
      </c>
      <c r="BH392" s="144">
        <v>0</v>
      </c>
      <c r="BI392" s="144">
        <v>0</v>
      </c>
      <c r="BJ392" s="144">
        <v>0</v>
      </c>
      <c r="BL392" s="170">
        <f>-3.7+0.3</f>
        <v>-3.4000000000000004</v>
      </c>
      <c r="BM392" s="170">
        <f>-7.8-0.1</f>
        <v>-7.8999999999999995</v>
      </c>
      <c r="BN392" s="212">
        <f t="shared" ca="1" si="1887"/>
        <v>5.4</v>
      </c>
      <c r="BO392" s="29">
        <f t="shared" si="1888"/>
        <v>-1.1000000000000001</v>
      </c>
      <c r="BP392" s="29">
        <f t="shared" si="1889"/>
        <v>-374.59999999999997</v>
      </c>
      <c r="BQ392" s="29">
        <f t="shared" si="1890"/>
        <v>0</v>
      </c>
      <c r="BR392" s="29">
        <f t="shared" si="1891"/>
        <v>-14.2</v>
      </c>
      <c r="BS392" s="29">
        <f t="shared" si="1892"/>
        <v>-9.3000000000000007</v>
      </c>
      <c r="BT392" s="29">
        <f t="shared" si="1893"/>
        <v>0</v>
      </c>
      <c r="BU392" s="29">
        <f t="shared" si="1894"/>
        <v>0</v>
      </c>
      <c r="BV392" s="29">
        <f t="shared" si="1895"/>
        <v>0</v>
      </c>
      <c r="BW392" s="29">
        <f t="shared" si="1896"/>
        <v>0</v>
      </c>
      <c r="BX392" s="29">
        <f t="shared" si="1897"/>
        <v>0</v>
      </c>
      <c r="BY392" s="29">
        <f t="shared" si="1898"/>
        <v>0</v>
      </c>
    </row>
    <row r="393" spans="1:85" s="297" customFormat="1" ht="12" customHeight="1">
      <c r="A393" s="8"/>
      <c r="B393" s="8" t="s">
        <v>69</v>
      </c>
      <c r="C393" s="8"/>
      <c r="D393" s="8"/>
      <c r="E393" s="8"/>
      <c r="F393" s="8"/>
      <c r="G393" s="8"/>
      <c r="H393" s="8"/>
      <c r="I393" s="8"/>
      <c r="J393" s="8"/>
      <c r="K393" s="8"/>
      <c r="L393" s="8"/>
      <c r="M393" s="8"/>
      <c r="N393" s="8"/>
      <c r="O393" s="284">
        <f t="shared" ref="O393:AX393" ca="1" si="1927">SUM(O386:O392)</f>
        <v>41.599999999999994</v>
      </c>
      <c r="P393" s="9">
        <f t="shared" ca="1" si="1927"/>
        <v>35.599999999999994</v>
      </c>
      <c r="Q393" s="9">
        <f t="shared" ca="1" si="1927"/>
        <v>47.800000000000004</v>
      </c>
      <c r="R393" s="9">
        <f t="shared" ca="1" si="1927"/>
        <v>99.000000000000043</v>
      </c>
      <c r="S393" s="9">
        <f t="shared" si="1927"/>
        <v>336.1</v>
      </c>
      <c r="T393" s="9">
        <f t="shared" si="1927"/>
        <v>-32</v>
      </c>
      <c r="U393" s="9">
        <f t="shared" si="1927"/>
        <v>-12.899999999999999</v>
      </c>
      <c r="V393" s="9">
        <f t="shared" si="1927"/>
        <v>-15.800000000000047</v>
      </c>
      <c r="W393" s="9">
        <f t="shared" si="1927"/>
        <v>-11.532560640000002</v>
      </c>
      <c r="X393" s="9">
        <f t="shared" si="1927"/>
        <v>-14.899999999999977</v>
      </c>
      <c r="Y393" s="9">
        <f t="shared" si="1927"/>
        <v>14.9</v>
      </c>
      <c r="Z393" s="9">
        <f t="shared" si="1927"/>
        <v>72.599999999999994</v>
      </c>
      <c r="AA393" s="9">
        <f t="shared" si="1927"/>
        <v>5.3999999999999986</v>
      </c>
      <c r="AB393" s="9">
        <f t="shared" si="1927"/>
        <v>401.39999999999992</v>
      </c>
      <c r="AC393" s="9">
        <f t="shared" ref="AC393:AH393" si="1928">SUM(AC386:AC392)</f>
        <v>51.600000000000136</v>
      </c>
      <c r="AD393" s="9">
        <f t="shared" si="1928"/>
        <v>4.8000000000000025</v>
      </c>
      <c r="AE393" s="9">
        <f t="shared" si="1928"/>
        <v>229.4</v>
      </c>
      <c r="AF393" s="9">
        <f t="shared" si="1928"/>
        <v>53.600000000000009</v>
      </c>
      <c r="AG393" s="9">
        <f t="shared" si="1928"/>
        <v>127.10000000000001</v>
      </c>
      <c r="AH393" s="9">
        <f t="shared" si="1928"/>
        <v>139.19999999999999</v>
      </c>
      <c r="AI393" s="9">
        <f t="shared" ref="AI393:AJ393" si="1929">SUM(AI386:AI392)</f>
        <v>626</v>
      </c>
      <c r="AJ393" s="9">
        <f t="shared" si="1929"/>
        <v>256.00000000000023</v>
      </c>
      <c r="AK393" s="9">
        <f t="shared" ref="AK393:AL393" si="1930">SUM(AK386:AK392)</f>
        <v>139.39999999999998</v>
      </c>
      <c r="AL393" s="9">
        <f t="shared" si="1930"/>
        <v>333.29999999999995</v>
      </c>
      <c r="AM393" s="9">
        <f t="shared" ca="1" si="1927"/>
        <v>-39.294345222943434</v>
      </c>
      <c r="AN393" s="9">
        <f t="shared" ca="1" si="1927"/>
        <v>599.54547749856624</v>
      </c>
      <c r="AO393" s="9">
        <f t="shared" ca="1" si="1927"/>
        <v>206.73795669999998</v>
      </c>
      <c r="AP393" s="9">
        <f t="shared" ca="1" si="1927"/>
        <v>204.70787028805668</v>
      </c>
      <c r="AQ393" s="9">
        <f t="shared" ca="1" si="1927"/>
        <v>202.67778387611335</v>
      </c>
      <c r="AR393" s="9">
        <f t="shared" ca="1" si="1927"/>
        <v>92.804894463115303</v>
      </c>
      <c r="AS393" s="9">
        <f t="shared" ca="1" si="1927"/>
        <v>200.63571676021735</v>
      </c>
      <c r="AT393" s="9">
        <f t="shared" ca="1" si="1927"/>
        <v>198.60513752700632</v>
      </c>
      <c r="AU393" s="9">
        <f t="shared" ca="1" si="1927"/>
        <v>-53.425441706204715</v>
      </c>
      <c r="AV393" s="9">
        <f t="shared" ca="1" si="1927"/>
        <v>157.26299716051244</v>
      </c>
      <c r="AW393" s="9">
        <f t="shared" ca="1" si="1927"/>
        <v>194.47740548808497</v>
      </c>
      <c r="AX393" s="9">
        <f t="shared" ca="1" si="1927"/>
        <v>0.19755358313420146</v>
      </c>
      <c r="AY393" s="9">
        <f t="shared" ref="AY393:BJ393" ca="1" si="1931">SUM(AY386:AY392)</f>
        <v>155.19577370697232</v>
      </c>
      <c r="AZ393" s="9">
        <f t="shared" ca="1" si="1931"/>
        <v>150.17870320356039</v>
      </c>
      <c r="BA393" s="9">
        <f t="shared" ca="1" si="1931"/>
        <v>188.26133127795876</v>
      </c>
      <c r="BB393" s="9">
        <f t="shared" ca="1" si="1931"/>
        <v>186.00070643561693</v>
      </c>
      <c r="BC393" s="9">
        <f t="shared" ca="1" si="1931"/>
        <v>0.26335646737877028</v>
      </c>
      <c r="BD393" s="9">
        <f t="shared" ca="1" si="1931"/>
        <v>106.61328089411778</v>
      </c>
      <c r="BE393" s="9">
        <f t="shared" ca="1" si="1931"/>
        <v>97.630934224742404</v>
      </c>
      <c r="BF393" s="9">
        <f t="shared" ca="1" si="1931"/>
        <v>180.15964104685588</v>
      </c>
      <c r="BG393" s="9">
        <f t="shared" ca="1" si="1931"/>
        <v>-31.41272117142276</v>
      </c>
      <c r="BH393" s="9">
        <f t="shared" ca="1" si="1931"/>
        <v>64.206783444665774</v>
      </c>
      <c r="BI393" s="9">
        <f t="shared" ca="1" si="1931"/>
        <v>54.855789363724028</v>
      </c>
      <c r="BJ393" s="9">
        <f t="shared" ca="1" si="1931"/>
        <v>35.951143782130288</v>
      </c>
      <c r="BK393" s="8"/>
      <c r="BL393" s="9">
        <f t="shared" ref="BL393:BV393" si="1932">SUM(BL386:BL392)</f>
        <v>1.9000000000000004</v>
      </c>
      <c r="BM393" s="9">
        <f t="shared" si="1932"/>
        <v>35.499999999999993</v>
      </c>
      <c r="BN393" s="284">
        <f t="shared" ca="1" si="1932"/>
        <v>224.00000000000003</v>
      </c>
      <c r="BO393" s="9">
        <f t="shared" si="1932"/>
        <v>275.39999999999998</v>
      </c>
      <c r="BP393" s="9">
        <f t="shared" si="1932"/>
        <v>61.067439360000037</v>
      </c>
      <c r="BQ393" s="9">
        <f t="shared" si="1932"/>
        <v>463.20000000000005</v>
      </c>
      <c r="BR393" s="9">
        <f t="shared" si="1932"/>
        <v>549.29999999999995</v>
      </c>
      <c r="BS393" s="9">
        <f t="shared" si="1932"/>
        <v>1354.7000000000003</v>
      </c>
      <c r="BT393" s="9">
        <f t="shared" ca="1" si="1932"/>
        <v>971.69695926367945</v>
      </c>
      <c r="BU393" s="9">
        <f t="shared" ca="1" si="1932"/>
        <v>694.72353262645231</v>
      </c>
      <c r="BV393" s="9">
        <f t="shared" ca="1" si="1932"/>
        <v>298.51251452552685</v>
      </c>
      <c r="BW393" s="9">
        <f t="shared" ref="BW393:BY393" ca="1" si="1933">SUM(BW386:BW392)</f>
        <v>679.63651462410837</v>
      </c>
      <c r="BX393" s="9">
        <f t="shared" ca="1" si="1933"/>
        <v>384.66721263309483</v>
      </c>
      <c r="BY393" s="9">
        <f t="shared" ca="1" si="1933"/>
        <v>123.60099541909733</v>
      </c>
      <c r="BZ393" s="8"/>
      <c r="CA393" s="293"/>
      <c r="CB393"/>
      <c r="CC393"/>
      <c r="CD393"/>
      <c r="CE393"/>
      <c r="CF393"/>
      <c r="CG393"/>
    </row>
    <row r="394" spans="1:85" ht="12" customHeight="1">
      <c r="O394" s="123"/>
      <c r="BN394" s="207"/>
    </row>
    <row r="395" spans="1:85" ht="12" customHeight="1">
      <c r="B395" s="48" t="s">
        <v>91</v>
      </c>
      <c r="C395" s="48"/>
      <c r="D395" s="48"/>
      <c r="E395" s="48"/>
      <c r="F395" s="48"/>
      <c r="G395" s="48"/>
      <c r="H395" s="48"/>
      <c r="I395" s="48"/>
      <c r="J395" s="48"/>
      <c r="K395" s="48"/>
      <c r="L395" s="48"/>
      <c r="M395" s="48"/>
      <c r="N395" s="48"/>
      <c r="O395" s="211">
        <v>0.6</v>
      </c>
      <c r="P395" s="1">
        <f t="shared" ref="P395:AL395" ca="1" si="1934">+O397</f>
        <v>1.8999999999999972</v>
      </c>
      <c r="Q395" s="1">
        <f t="shared" ca="1" si="1934"/>
        <v>1.3999999999999972</v>
      </c>
      <c r="R395" s="1">
        <f t="shared" ca="1" si="1934"/>
        <v>3.2000000000000015</v>
      </c>
      <c r="S395" s="1">
        <f t="shared" ca="1" si="1934"/>
        <v>16.500000000000043</v>
      </c>
      <c r="T395" s="1">
        <f t="shared" ca="1" si="1934"/>
        <v>328.60000000000008</v>
      </c>
      <c r="U395" s="1">
        <f t="shared" ca="1" si="1934"/>
        <v>267.10000000000008</v>
      </c>
      <c r="V395" s="1">
        <f t="shared" ca="1" si="1934"/>
        <v>213.2000000000001</v>
      </c>
      <c r="W395" s="1">
        <f t="shared" ca="1" si="1934"/>
        <v>148.80000000000004</v>
      </c>
      <c r="X395" s="1">
        <f t="shared" ca="1" si="1934"/>
        <v>125.2</v>
      </c>
      <c r="Y395" s="1">
        <f t="shared" ca="1" si="1934"/>
        <v>49.30000000000004</v>
      </c>
      <c r="Z395" s="1">
        <f t="shared" ca="1" si="1934"/>
        <v>30.400000000000034</v>
      </c>
      <c r="AA395" s="1">
        <f t="shared" ca="1" si="1934"/>
        <v>36.500000000000028</v>
      </c>
      <c r="AB395" s="1">
        <f t="shared" ca="1" si="1934"/>
        <v>26.000000000000036</v>
      </c>
      <c r="AC395" s="1">
        <f t="shared" ca="1" si="1934"/>
        <v>413.5</v>
      </c>
      <c r="AD395" s="1">
        <f t="shared" ca="1" si="1934"/>
        <v>39.800000000000182</v>
      </c>
      <c r="AE395" s="1">
        <f t="shared" ca="1" si="1934"/>
        <v>14.300000000000189</v>
      </c>
      <c r="AF395" s="1">
        <f t="shared" ca="1" si="1934"/>
        <v>87.700000000000216</v>
      </c>
      <c r="AG395" s="1">
        <f t="shared" ca="1" si="1934"/>
        <v>13.20000000000023</v>
      </c>
      <c r="AH395" s="1">
        <f t="shared" ca="1" si="1934"/>
        <v>11.000000000000227</v>
      </c>
      <c r="AI395" s="1">
        <f t="shared" ca="1" si="1934"/>
        <v>14.60000000000025</v>
      </c>
      <c r="AJ395" s="1">
        <f t="shared" ca="1" si="1934"/>
        <v>20.400000000000205</v>
      </c>
      <c r="AK395" s="1">
        <f t="shared" ca="1" si="1934"/>
        <v>40.000000000000455</v>
      </c>
      <c r="AL395" s="1">
        <f t="shared" ca="1" si="1934"/>
        <v>24.600000000000421</v>
      </c>
      <c r="AM395" s="1">
        <f t="shared" ref="AM395:AX395" ca="1" si="1935">+AL397</f>
        <v>151.9000000000004</v>
      </c>
      <c r="AN395" s="1">
        <f t="shared" ca="1" si="1935"/>
        <v>20</v>
      </c>
      <c r="AO395" s="1">
        <f t="shared" ca="1" si="1935"/>
        <v>20</v>
      </c>
      <c r="AP395" s="1">
        <f t="shared" ca="1" si="1935"/>
        <v>121.13646253458286</v>
      </c>
      <c r="AQ395" s="1">
        <f t="shared" ca="1" si="1935"/>
        <v>45.38212064812187</v>
      </c>
      <c r="AR395" s="1">
        <f t="shared" ca="1" si="1935"/>
        <v>153.77906940375922</v>
      </c>
      <c r="AS395" s="1">
        <f t="shared" ca="1" si="1935"/>
        <v>20.000000000000028</v>
      </c>
      <c r="AT395" s="1">
        <f t="shared" ca="1" si="1935"/>
        <v>152.29623861046954</v>
      </c>
      <c r="AU395" s="1">
        <f t="shared" ca="1" si="1935"/>
        <v>148.53467631817364</v>
      </c>
      <c r="AV395" s="1">
        <f t="shared" ca="1" si="1935"/>
        <v>51.073227628022522</v>
      </c>
      <c r="AW395" s="1">
        <f t="shared" ca="1" si="1935"/>
        <v>20.000000000000028</v>
      </c>
      <c r="AX395" s="1">
        <f t="shared" ca="1" si="1935"/>
        <v>183.93520577847522</v>
      </c>
      <c r="AY395" s="1">
        <f t="shared" ref="AY395" ca="1" si="1936">+AX397</f>
        <v>20.000000000000057</v>
      </c>
      <c r="AZ395" s="1">
        <f t="shared" ref="AZ395" ca="1" si="1937">+AY397</f>
        <v>20.000000000000057</v>
      </c>
      <c r="BA395" s="1">
        <f t="shared" ref="BA395" ca="1" si="1938">+AZ397</f>
        <v>20.000000000000057</v>
      </c>
      <c r="BB395" s="1">
        <f t="shared" ref="BB395" ca="1" si="1939">+BA397</f>
        <v>67.80825933777507</v>
      </c>
      <c r="BC395" s="1">
        <f t="shared" ref="BC395" ca="1" si="1940">+BB397</f>
        <v>131.86942805166314</v>
      </c>
      <c r="BD395" s="1">
        <f t="shared" ref="BD395" ca="1" si="1941">+BC397</f>
        <v>19.999999999999972</v>
      </c>
      <c r="BE395" s="1">
        <f t="shared" ref="BE395" ca="1" si="1942">+BD397</f>
        <v>20.000000000000099</v>
      </c>
      <c r="BF395" s="1">
        <f t="shared" ref="BF395" ca="1" si="1943">+BE397</f>
        <v>20.000000000000099</v>
      </c>
      <c r="BG395" s="1">
        <f t="shared" ref="BG395" ca="1" si="1944">+BF397</f>
        <v>121.00231593129054</v>
      </c>
      <c r="BH395" s="1">
        <f t="shared" ref="BH395" ca="1" si="1945">+BG397</f>
        <v>20.000000000000099</v>
      </c>
      <c r="BI395" s="1">
        <f t="shared" ref="BI395" ca="1" si="1946">+BH397</f>
        <v>20.000000000000099</v>
      </c>
      <c r="BJ395" s="1">
        <f t="shared" ref="BJ395" ca="1" si="1947">+BI397</f>
        <v>20.000000000000099</v>
      </c>
      <c r="BL395" s="1">
        <f>BK346</f>
        <v>0</v>
      </c>
      <c r="BM395" s="1">
        <f>BL346</f>
        <v>4.9000000000000004</v>
      </c>
      <c r="BN395" s="123">
        <f t="shared" ref="BN395:BT395" si="1948">+BM397</f>
        <v>0.59999999999998188</v>
      </c>
      <c r="BO395" s="1">
        <f t="shared" ca="1" si="1948"/>
        <v>16.500000000000043</v>
      </c>
      <c r="BP395" s="1">
        <f t="shared" ca="1" si="1948"/>
        <v>148.80000000000007</v>
      </c>
      <c r="BQ395" s="1">
        <f t="shared" ca="1" si="1948"/>
        <v>36.500000000000057</v>
      </c>
      <c r="BR395" s="1">
        <f t="shared" ca="1" si="1948"/>
        <v>14.300000000000125</v>
      </c>
      <c r="BS395" s="1">
        <f t="shared" ca="1" si="1948"/>
        <v>14.60000000000008</v>
      </c>
      <c r="BT395" s="1">
        <f t="shared" ca="1" si="1948"/>
        <v>151.90000000000049</v>
      </c>
      <c r="BU395" s="1">
        <f ca="1">+BT397</f>
        <v>45.38212064812177</v>
      </c>
      <c r="BV395" s="1">
        <f ca="1">+BU397</f>
        <v>148.53467631817335</v>
      </c>
      <c r="BW395" s="1">
        <f t="shared" ref="BW395:BY395" ca="1" si="1949">+BV397</f>
        <v>19.999999999999602</v>
      </c>
      <c r="BX395" s="1">
        <f t="shared" ca="1" si="1949"/>
        <v>131.8694280516624</v>
      </c>
      <c r="BY395" s="1">
        <f t="shared" ca="1" si="1949"/>
        <v>121.00231593128967</v>
      </c>
    </row>
    <row r="396" spans="1:85" ht="12" customHeight="1">
      <c r="B396" s="2" t="s">
        <v>92</v>
      </c>
      <c r="C396" s="2"/>
      <c r="D396" s="2"/>
      <c r="E396" s="2"/>
      <c r="F396" s="2"/>
      <c r="G396" s="2"/>
      <c r="H396" s="2"/>
      <c r="I396" s="2"/>
      <c r="J396" s="2"/>
      <c r="K396" s="2"/>
      <c r="L396" s="2"/>
      <c r="M396" s="2"/>
      <c r="N396" s="2"/>
      <c r="O396" s="123">
        <f t="shared" ref="O396:AX396" ca="1" si="1950">O378+O384+O393</f>
        <v>1.2999999999999972</v>
      </c>
      <c r="P396" s="1">
        <f t="shared" ca="1" si="1950"/>
        <v>-0.5</v>
      </c>
      <c r="Q396" s="1">
        <f t="shared" ca="1" si="1950"/>
        <v>1.8000000000000043</v>
      </c>
      <c r="R396" s="1">
        <f t="shared" ca="1" si="1950"/>
        <v>13.30000000000004</v>
      </c>
      <c r="S396" s="1">
        <f t="shared" si="1950"/>
        <v>312.10000000000002</v>
      </c>
      <c r="T396" s="1">
        <f t="shared" si="1950"/>
        <v>-61.500000000000007</v>
      </c>
      <c r="U396" s="1">
        <f t="shared" si="1950"/>
        <v>-53.89999999999997</v>
      </c>
      <c r="V396" s="1">
        <f t="shared" si="1950"/>
        <v>-64.400000000000063</v>
      </c>
      <c r="W396" s="1">
        <f t="shared" ca="1" si="1950"/>
        <v>-23.600000000000037</v>
      </c>
      <c r="X396" s="1">
        <f t="shared" si="1950"/>
        <v>-75.899999999999963</v>
      </c>
      <c r="Y396" s="1">
        <f t="shared" si="1950"/>
        <v>-18.900000000000006</v>
      </c>
      <c r="Z396" s="1">
        <f t="shared" si="1950"/>
        <v>6.0999999999999943</v>
      </c>
      <c r="AA396" s="1">
        <f t="shared" si="1950"/>
        <v>-10.499999999999993</v>
      </c>
      <c r="AB396" s="1">
        <f t="shared" si="1950"/>
        <v>387.49999999999994</v>
      </c>
      <c r="AC396" s="1">
        <f t="shared" ref="AC396:AH396" si="1951">AC378+AC384+AC393</f>
        <v>-373.69999999999982</v>
      </c>
      <c r="AD396" s="1">
        <f t="shared" si="1951"/>
        <v>-25.499999999999993</v>
      </c>
      <c r="AE396" s="1">
        <f t="shared" si="1951"/>
        <v>73.400000000000034</v>
      </c>
      <c r="AF396" s="1">
        <f t="shared" si="1951"/>
        <v>-74.499999999999986</v>
      </c>
      <c r="AG396" s="1">
        <f t="shared" si="1951"/>
        <v>-2.2000000000000028</v>
      </c>
      <c r="AH396" s="1">
        <f t="shared" si="1951"/>
        <v>3.6000000000000227</v>
      </c>
      <c r="AI396" s="1">
        <f t="shared" ref="AI396:AJ396" si="1952">AI378+AI384+AI393</f>
        <v>5.7999999999999545</v>
      </c>
      <c r="AJ396" s="1">
        <f t="shared" si="1952"/>
        <v>19.60000000000025</v>
      </c>
      <c r="AK396" s="1">
        <f t="shared" ref="AK396:AL396" si="1953">AK378+AK384+AK393</f>
        <v>-15.400000000000034</v>
      </c>
      <c r="AL396" s="1">
        <f t="shared" si="1953"/>
        <v>127.29999999999998</v>
      </c>
      <c r="AM396" s="1">
        <f t="shared" ca="1" si="1950"/>
        <v>-131.9000000000004</v>
      </c>
      <c r="AN396" s="1">
        <f t="shared" ca="1" si="1950"/>
        <v>0</v>
      </c>
      <c r="AO396" s="1">
        <f t="shared" ca="1" si="1950"/>
        <v>101.13646253458286</v>
      </c>
      <c r="AP396" s="1">
        <f t="shared" ca="1" si="1950"/>
        <v>-75.754341886460992</v>
      </c>
      <c r="AQ396" s="1">
        <f t="shared" ca="1" si="1950"/>
        <v>108.39694875563735</v>
      </c>
      <c r="AR396" s="1">
        <f t="shared" ca="1" si="1950"/>
        <v>-133.77906940375919</v>
      </c>
      <c r="AS396" s="1">
        <f t="shared" ca="1" si="1950"/>
        <v>132.29623861046952</v>
      </c>
      <c r="AT396" s="1">
        <f t="shared" ca="1" si="1950"/>
        <v>-3.7615622922959062</v>
      </c>
      <c r="AU396" s="1">
        <f t="shared" ca="1" si="1950"/>
        <v>-97.461448690151116</v>
      </c>
      <c r="AV396" s="1">
        <f t="shared" ca="1" si="1950"/>
        <v>-31.073227628022494</v>
      </c>
      <c r="AW396" s="1">
        <f t="shared" ca="1" si="1950"/>
        <v>163.93520577847519</v>
      </c>
      <c r="AX396" s="1">
        <f t="shared" ca="1" si="1950"/>
        <v>-163.93520577847517</v>
      </c>
      <c r="AY396" s="1">
        <f t="shared" ref="AY396:BJ396" ca="1" si="1954">AY378+AY384+AY393</f>
        <v>0</v>
      </c>
      <c r="AZ396" s="1">
        <f t="shared" ca="1" si="1954"/>
        <v>0</v>
      </c>
      <c r="BA396" s="1">
        <f t="shared" ca="1" si="1954"/>
        <v>47.808259337775013</v>
      </c>
      <c r="BB396" s="1">
        <f t="shared" ca="1" si="1954"/>
        <v>64.061168713888065</v>
      </c>
      <c r="BC396" s="1">
        <f t="shared" ca="1" si="1954"/>
        <v>-111.86942805166316</v>
      </c>
      <c r="BD396" s="1">
        <f t="shared" ca="1" si="1954"/>
        <v>1.2789769243681803E-13</v>
      </c>
      <c r="BE396" s="1">
        <f t="shared" ca="1" si="1954"/>
        <v>0</v>
      </c>
      <c r="BF396" s="1">
        <f t="shared" ca="1" si="1954"/>
        <v>101.00231593129044</v>
      </c>
      <c r="BG396" s="1">
        <f t="shared" ca="1" si="1954"/>
        <v>-101.00231593129044</v>
      </c>
      <c r="BH396" s="1">
        <f t="shared" ca="1" si="1954"/>
        <v>0</v>
      </c>
      <c r="BI396" s="1">
        <f t="shared" ca="1" si="1954"/>
        <v>0</v>
      </c>
      <c r="BJ396" s="1">
        <f t="shared" ca="1" si="1954"/>
        <v>-3.1263880373444408E-13</v>
      </c>
      <c r="BL396" s="1">
        <f t="shared" ref="BL396:BV396" si="1955">BL378+BL384+BL393</f>
        <v>4.9000000000000075</v>
      </c>
      <c r="BM396" s="1">
        <f t="shared" si="1955"/>
        <v>-4.3000000000000185</v>
      </c>
      <c r="BN396" s="123">
        <f t="shared" ca="1" si="1955"/>
        <v>15.900000000000006</v>
      </c>
      <c r="BO396" s="1">
        <f t="shared" si="1955"/>
        <v>132.30000000000001</v>
      </c>
      <c r="BP396" s="1">
        <f t="shared" ca="1" si="1955"/>
        <v>-112.30000000000001</v>
      </c>
      <c r="BQ396" s="1">
        <f t="shared" si="1955"/>
        <v>-22.199999999999932</v>
      </c>
      <c r="BR396" s="1">
        <f t="shared" si="1955"/>
        <v>0.29999999999995453</v>
      </c>
      <c r="BS396" s="1">
        <f t="shared" si="1955"/>
        <v>137.30000000000041</v>
      </c>
      <c r="BT396" s="1">
        <f t="shared" ca="1" si="1955"/>
        <v>-106.51787935187872</v>
      </c>
      <c r="BU396" s="1">
        <f t="shared" ca="1" si="1955"/>
        <v>103.15255567005158</v>
      </c>
      <c r="BV396" s="1">
        <f t="shared" ca="1" si="1955"/>
        <v>-128.53467631817375</v>
      </c>
      <c r="BW396" s="1">
        <f t="shared" ref="BW396:BY396" ca="1" si="1956">BW378+BW384+BW393</f>
        <v>111.86942805166279</v>
      </c>
      <c r="BX396" s="1">
        <f t="shared" ca="1" si="1956"/>
        <v>-10.867112120372724</v>
      </c>
      <c r="BY396" s="1">
        <f t="shared" ca="1" si="1956"/>
        <v>-101.00231593129081</v>
      </c>
    </row>
    <row r="397" spans="1:85" s="297" customFormat="1" ht="12" customHeight="1">
      <c r="A397" s="8"/>
      <c r="B397" s="8" t="s">
        <v>93</v>
      </c>
      <c r="C397" s="8"/>
      <c r="D397" s="8"/>
      <c r="E397" s="8"/>
      <c r="F397" s="8"/>
      <c r="G397" s="8"/>
      <c r="H397" s="8"/>
      <c r="I397" s="8"/>
      <c r="J397" s="8"/>
      <c r="K397" s="8"/>
      <c r="L397" s="8"/>
      <c r="M397" s="8"/>
      <c r="N397" s="8"/>
      <c r="O397" s="9">
        <f t="shared" ref="O397:W397" ca="1" si="1957">O395+O396</f>
        <v>1.8999999999999972</v>
      </c>
      <c r="P397" s="9">
        <f t="shared" ca="1" si="1957"/>
        <v>1.3999999999999972</v>
      </c>
      <c r="Q397" s="9">
        <f t="shared" ca="1" si="1957"/>
        <v>3.2000000000000015</v>
      </c>
      <c r="R397" s="9">
        <f t="shared" ca="1" si="1957"/>
        <v>16.500000000000043</v>
      </c>
      <c r="S397" s="9">
        <f t="shared" ca="1" si="1957"/>
        <v>328.60000000000008</v>
      </c>
      <c r="T397" s="9">
        <f t="shared" ca="1" si="1957"/>
        <v>267.10000000000008</v>
      </c>
      <c r="U397" s="9">
        <f t="shared" ca="1" si="1957"/>
        <v>213.2000000000001</v>
      </c>
      <c r="V397" s="9">
        <f t="shared" ca="1" si="1957"/>
        <v>148.80000000000004</v>
      </c>
      <c r="W397" s="9">
        <f t="shared" ca="1" si="1957"/>
        <v>125.2</v>
      </c>
      <c r="X397" s="9">
        <f t="shared" ref="X397:AC397" ca="1" si="1958">X395+X396</f>
        <v>49.30000000000004</v>
      </c>
      <c r="Y397" s="9">
        <f t="shared" ca="1" si="1958"/>
        <v>30.400000000000034</v>
      </c>
      <c r="Z397" s="9">
        <f t="shared" ca="1" si="1958"/>
        <v>36.500000000000028</v>
      </c>
      <c r="AA397" s="9">
        <f t="shared" ca="1" si="1958"/>
        <v>26.000000000000036</v>
      </c>
      <c r="AB397" s="9">
        <f t="shared" ca="1" si="1958"/>
        <v>413.5</v>
      </c>
      <c r="AC397" s="9">
        <f t="shared" ca="1" si="1958"/>
        <v>39.800000000000182</v>
      </c>
      <c r="AD397" s="9">
        <f t="shared" ref="AD397:AI397" ca="1" si="1959">AD395+AD396</f>
        <v>14.300000000000189</v>
      </c>
      <c r="AE397" s="9">
        <f t="shared" ca="1" si="1959"/>
        <v>87.700000000000216</v>
      </c>
      <c r="AF397" s="9">
        <f t="shared" ca="1" si="1959"/>
        <v>13.20000000000023</v>
      </c>
      <c r="AG397" s="9">
        <f t="shared" ca="1" si="1959"/>
        <v>11.000000000000227</v>
      </c>
      <c r="AH397" s="9">
        <f t="shared" ca="1" si="1959"/>
        <v>14.60000000000025</v>
      </c>
      <c r="AI397" s="9">
        <f t="shared" ca="1" si="1959"/>
        <v>20.400000000000205</v>
      </c>
      <c r="AJ397" s="9">
        <f t="shared" ref="AJ397:AK397" ca="1" si="1960">AJ395+AJ396</f>
        <v>40.000000000000455</v>
      </c>
      <c r="AK397" s="9">
        <f t="shared" ca="1" si="1960"/>
        <v>24.600000000000421</v>
      </c>
      <c r="AL397" s="9">
        <f t="shared" ref="AL397" ca="1" si="1961">AL395+AL396</f>
        <v>151.9000000000004</v>
      </c>
      <c r="AM397" s="9">
        <f t="shared" ref="AM397:AX397" ca="1" si="1962">AM395+AM396</f>
        <v>20</v>
      </c>
      <c r="AN397" s="9">
        <f t="shared" ca="1" si="1962"/>
        <v>20</v>
      </c>
      <c r="AO397" s="9">
        <f t="shared" ca="1" si="1962"/>
        <v>121.13646253458286</v>
      </c>
      <c r="AP397" s="9">
        <f t="shared" ca="1" si="1962"/>
        <v>45.38212064812187</v>
      </c>
      <c r="AQ397" s="9">
        <f t="shared" ca="1" si="1962"/>
        <v>153.77906940375922</v>
      </c>
      <c r="AR397" s="9">
        <f t="shared" ca="1" si="1962"/>
        <v>20.000000000000028</v>
      </c>
      <c r="AS397" s="9">
        <f t="shared" ca="1" si="1962"/>
        <v>152.29623861046954</v>
      </c>
      <c r="AT397" s="9">
        <f t="shared" ca="1" si="1962"/>
        <v>148.53467631817364</v>
      </c>
      <c r="AU397" s="9">
        <f t="shared" ca="1" si="1962"/>
        <v>51.073227628022522</v>
      </c>
      <c r="AV397" s="9">
        <f t="shared" ca="1" si="1962"/>
        <v>20.000000000000028</v>
      </c>
      <c r="AW397" s="9">
        <f t="shared" ca="1" si="1962"/>
        <v>183.93520577847522</v>
      </c>
      <c r="AX397" s="9">
        <f t="shared" ca="1" si="1962"/>
        <v>20.000000000000057</v>
      </c>
      <c r="AY397" s="9">
        <f t="shared" ref="AY397:BJ397" ca="1" si="1963">AY395+AY396</f>
        <v>20.000000000000057</v>
      </c>
      <c r="AZ397" s="9">
        <f t="shared" ca="1" si="1963"/>
        <v>20.000000000000057</v>
      </c>
      <c r="BA397" s="9">
        <f t="shared" ca="1" si="1963"/>
        <v>67.80825933777507</v>
      </c>
      <c r="BB397" s="9">
        <f t="shared" ca="1" si="1963"/>
        <v>131.86942805166314</v>
      </c>
      <c r="BC397" s="9">
        <f t="shared" ca="1" si="1963"/>
        <v>19.999999999999972</v>
      </c>
      <c r="BD397" s="9">
        <f t="shared" ca="1" si="1963"/>
        <v>20.000000000000099</v>
      </c>
      <c r="BE397" s="9">
        <f t="shared" ca="1" si="1963"/>
        <v>20.000000000000099</v>
      </c>
      <c r="BF397" s="9">
        <f t="shared" ca="1" si="1963"/>
        <v>121.00231593129054</v>
      </c>
      <c r="BG397" s="9">
        <f t="shared" ca="1" si="1963"/>
        <v>20.000000000000099</v>
      </c>
      <c r="BH397" s="9">
        <f t="shared" ca="1" si="1963"/>
        <v>20.000000000000099</v>
      </c>
      <c r="BI397" s="9">
        <f t="shared" ca="1" si="1963"/>
        <v>20.000000000000099</v>
      </c>
      <c r="BJ397" s="9">
        <f t="shared" ca="1" si="1963"/>
        <v>19.999999999999787</v>
      </c>
      <c r="BK397" s="8"/>
      <c r="BL397" s="9">
        <f>BL395+BL396</f>
        <v>4.9000000000000075</v>
      </c>
      <c r="BM397" s="9">
        <f>BM395+BM396</f>
        <v>0.59999999999998188</v>
      </c>
      <c r="BN397" s="284">
        <f ca="1">R397</f>
        <v>16.500000000000043</v>
      </c>
      <c r="BO397" s="9">
        <f t="shared" ref="BO397:BV397" ca="1" si="1964">BO395+BO396</f>
        <v>148.80000000000007</v>
      </c>
      <c r="BP397" s="9">
        <f t="shared" ca="1" si="1964"/>
        <v>36.500000000000057</v>
      </c>
      <c r="BQ397" s="9">
        <f t="shared" ca="1" si="1964"/>
        <v>14.300000000000125</v>
      </c>
      <c r="BR397" s="9">
        <f t="shared" ca="1" si="1964"/>
        <v>14.60000000000008</v>
      </c>
      <c r="BS397" s="9">
        <f t="shared" ca="1" si="1964"/>
        <v>151.90000000000049</v>
      </c>
      <c r="BT397" s="9">
        <f t="shared" ca="1" si="1964"/>
        <v>45.38212064812177</v>
      </c>
      <c r="BU397" s="9">
        <f t="shared" ca="1" si="1964"/>
        <v>148.53467631817335</v>
      </c>
      <c r="BV397" s="9">
        <f t="shared" ca="1" si="1964"/>
        <v>19.999999999999602</v>
      </c>
      <c r="BW397" s="9">
        <f t="shared" ref="BW397:BY397" ca="1" si="1965">BW395+BW396</f>
        <v>131.8694280516624</v>
      </c>
      <c r="BX397" s="9">
        <f t="shared" ca="1" si="1965"/>
        <v>121.00231593128967</v>
      </c>
      <c r="BY397" s="9">
        <f t="shared" ca="1" si="1965"/>
        <v>19.999999999998863</v>
      </c>
      <c r="BZ397" s="8"/>
      <c r="CA397" s="293"/>
      <c r="CB397"/>
      <c r="CC397"/>
      <c r="CD397"/>
      <c r="CE397"/>
      <c r="CF397"/>
      <c r="CG397"/>
    </row>
    <row r="398" spans="1:85" ht="12" customHeight="1">
      <c r="BN398" s="207"/>
    </row>
    <row r="400" spans="1:85" ht="12" hidden="1" customHeight="1" outlineLevel="1">
      <c r="B400" s="3" t="s">
        <v>393</v>
      </c>
      <c r="C400" s="3"/>
      <c r="D400" s="3"/>
      <c r="E400" s="3"/>
      <c r="F400" s="3"/>
      <c r="G400" s="3"/>
      <c r="H400" s="3"/>
      <c r="I400" s="3"/>
      <c r="J400" s="3"/>
      <c r="K400" s="3"/>
      <c r="L400" s="3"/>
      <c r="M400" s="3"/>
      <c r="N400" s="3"/>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L400" s="5"/>
      <c r="BM400" s="5"/>
      <c r="BN400" s="5"/>
      <c r="BO400" s="5"/>
      <c r="BP400" s="5"/>
      <c r="BQ400" s="5"/>
      <c r="BR400" s="5"/>
      <c r="BS400" s="5"/>
      <c r="BT400" s="5"/>
      <c r="BU400" s="5"/>
      <c r="BV400" s="5"/>
      <c r="BW400" s="5"/>
      <c r="BX400" s="5"/>
      <c r="BY400" s="5"/>
    </row>
    <row r="401" spans="2:77" ht="12" hidden="1" customHeight="1" outlineLevel="1">
      <c r="B401" t="s">
        <v>392</v>
      </c>
      <c r="C401" s="2"/>
      <c r="D401" s="2"/>
      <c r="E401" s="2"/>
      <c r="F401" s="2"/>
      <c r="G401" s="2"/>
      <c r="H401" s="2"/>
      <c r="I401" s="2"/>
      <c r="J401" s="2"/>
      <c r="K401" s="2"/>
      <c r="L401" s="2"/>
      <c r="M401" s="2"/>
      <c r="N401" s="2"/>
      <c r="O401" s="280">
        <v>0.35</v>
      </c>
      <c r="P401" s="280">
        <v>0.35</v>
      </c>
      <c r="Q401" s="280">
        <v>0.35</v>
      </c>
      <c r="R401" s="280">
        <v>0.35</v>
      </c>
      <c r="S401" s="280">
        <v>0.35</v>
      </c>
      <c r="T401" s="280">
        <v>0.35</v>
      </c>
      <c r="U401" s="280">
        <v>0.35</v>
      </c>
      <c r="V401" s="280">
        <v>0.35</v>
      </c>
      <c r="W401" s="280">
        <v>0.35</v>
      </c>
      <c r="X401" s="280">
        <v>0</v>
      </c>
      <c r="Y401" s="280">
        <v>0</v>
      </c>
      <c r="Z401" s="280">
        <v>0</v>
      </c>
      <c r="AA401" s="280">
        <v>0</v>
      </c>
      <c r="AB401" s="280">
        <v>0</v>
      </c>
      <c r="AC401" s="280">
        <v>0</v>
      </c>
      <c r="AD401" s="280">
        <v>0</v>
      </c>
      <c r="AE401" s="280">
        <v>0</v>
      </c>
      <c r="AF401" s="280">
        <v>0</v>
      </c>
      <c r="AG401" s="280">
        <v>0</v>
      </c>
      <c r="AH401" s="280">
        <v>0</v>
      </c>
      <c r="AI401" s="280">
        <v>0</v>
      </c>
      <c r="AJ401" s="280">
        <v>0</v>
      </c>
      <c r="AK401" s="280">
        <v>0</v>
      </c>
      <c r="AL401" s="280">
        <v>0</v>
      </c>
      <c r="AM401" s="280">
        <v>0</v>
      </c>
      <c r="AN401" s="280">
        <v>0</v>
      </c>
      <c r="AO401" s="280">
        <v>0</v>
      </c>
      <c r="AP401" s="280">
        <v>0</v>
      </c>
      <c r="AQ401" s="280">
        <v>0</v>
      </c>
      <c r="AR401" s="280">
        <v>0</v>
      </c>
      <c r="AS401" s="280">
        <v>0</v>
      </c>
      <c r="AT401" s="280">
        <v>0</v>
      </c>
      <c r="AU401" s="280">
        <v>0</v>
      </c>
      <c r="AV401" s="280">
        <v>0</v>
      </c>
      <c r="AW401" s="280">
        <v>0</v>
      </c>
      <c r="AX401" s="280">
        <v>0</v>
      </c>
      <c r="AY401" s="280">
        <v>0</v>
      </c>
      <c r="AZ401" s="280">
        <v>0</v>
      </c>
      <c r="BA401" s="280">
        <v>0</v>
      </c>
      <c r="BB401" s="280">
        <v>0</v>
      </c>
      <c r="BC401" s="280">
        <v>0</v>
      </c>
      <c r="BD401" s="280">
        <v>0</v>
      </c>
      <c r="BE401" s="280">
        <v>0</v>
      </c>
      <c r="BF401" s="280">
        <v>0</v>
      </c>
      <c r="BG401" s="280">
        <v>0</v>
      </c>
      <c r="BH401" s="280">
        <v>0</v>
      </c>
      <c r="BI401" s="280">
        <v>0</v>
      </c>
      <c r="BJ401" s="280">
        <v>0</v>
      </c>
      <c r="BK401" s="280"/>
      <c r="BL401" s="280">
        <v>0.35</v>
      </c>
      <c r="BM401" s="280">
        <v>0.35</v>
      </c>
      <c r="BN401" s="280">
        <v>0.35</v>
      </c>
      <c r="BO401" s="280">
        <v>0</v>
      </c>
      <c r="BP401" s="280">
        <v>0</v>
      </c>
      <c r="BQ401" s="280">
        <v>0</v>
      </c>
      <c r="BR401" s="280">
        <v>0</v>
      </c>
      <c r="BS401" s="280">
        <v>0</v>
      </c>
      <c r="BT401" s="280">
        <v>0</v>
      </c>
      <c r="BU401" s="280">
        <v>0</v>
      </c>
      <c r="BV401" s="280">
        <v>0</v>
      </c>
      <c r="BW401" s="280">
        <v>0</v>
      </c>
      <c r="BX401" s="280">
        <v>0</v>
      </c>
      <c r="BY401" s="280">
        <v>0</v>
      </c>
    </row>
    <row r="402" spans="2:77" ht="12" hidden="1" customHeight="1" outlineLevel="1">
      <c r="B402" t="s">
        <v>396</v>
      </c>
      <c r="O402" s="71" t="s">
        <v>397</v>
      </c>
      <c r="P402" s="71" t="s">
        <v>397</v>
      </c>
      <c r="Q402" s="71" t="s">
        <v>397</v>
      </c>
      <c r="R402" s="71" t="s">
        <v>397</v>
      </c>
      <c r="S402" s="71" t="s">
        <v>397</v>
      </c>
      <c r="T402" s="71" t="s">
        <v>397</v>
      </c>
      <c r="U402" s="71" t="s">
        <v>397</v>
      </c>
      <c r="V402" s="71" t="s">
        <v>397</v>
      </c>
      <c r="W402" s="71" t="s">
        <v>397</v>
      </c>
      <c r="X402" s="71" t="s">
        <v>397</v>
      </c>
      <c r="Y402" s="71" t="s">
        <v>397</v>
      </c>
      <c r="Z402" s="71" t="s">
        <v>397</v>
      </c>
      <c r="AA402" s="71" t="s">
        <v>397</v>
      </c>
      <c r="AB402" s="71" t="s">
        <v>397</v>
      </c>
      <c r="AC402" s="71" t="s">
        <v>397</v>
      </c>
      <c r="AD402" s="71" t="s">
        <v>397</v>
      </c>
      <c r="AE402" s="71" t="s">
        <v>397</v>
      </c>
      <c r="AF402" s="71" t="s">
        <v>397</v>
      </c>
      <c r="AG402" s="71" t="s">
        <v>397</v>
      </c>
      <c r="AH402" s="71" t="s">
        <v>397</v>
      </c>
      <c r="AI402" s="71" t="s">
        <v>397</v>
      </c>
      <c r="AJ402" s="71" t="s">
        <v>397</v>
      </c>
      <c r="AK402" s="71" t="s">
        <v>397</v>
      </c>
      <c r="AL402" s="71" t="s">
        <v>397</v>
      </c>
      <c r="AM402" s="71" t="s">
        <v>397</v>
      </c>
      <c r="AN402" s="71" t="s">
        <v>397</v>
      </c>
      <c r="AO402" s="71" t="s">
        <v>397</v>
      </c>
      <c r="AP402" s="71" t="s">
        <v>397</v>
      </c>
      <c r="AQ402" s="71" t="s">
        <v>397</v>
      </c>
      <c r="AR402" s="71" t="s">
        <v>397</v>
      </c>
      <c r="AS402" s="71" t="s">
        <v>397</v>
      </c>
      <c r="AT402" s="71" t="s">
        <v>397</v>
      </c>
      <c r="AU402" s="71" t="s">
        <v>397</v>
      </c>
      <c r="AV402" s="71" t="s">
        <v>397</v>
      </c>
      <c r="AW402" s="71" t="s">
        <v>397</v>
      </c>
      <c r="AX402" s="71" t="s">
        <v>397</v>
      </c>
      <c r="AY402" s="71" t="s">
        <v>397</v>
      </c>
      <c r="AZ402" s="71" t="s">
        <v>397</v>
      </c>
      <c r="BA402" s="71" t="s">
        <v>397</v>
      </c>
      <c r="BB402" s="71" t="s">
        <v>397</v>
      </c>
      <c r="BC402" s="71" t="s">
        <v>397</v>
      </c>
      <c r="BD402" s="71" t="s">
        <v>397</v>
      </c>
      <c r="BE402" s="71" t="s">
        <v>397</v>
      </c>
      <c r="BF402" s="71" t="s">
        <v>397</v>
      </c>
      <c r="BG402" s="71" t="s">
        <v>397</v>
      </c>
      <c r="BH402" s="71" t="s">
        <v>397</v>
      </c>
      <c r="BI402" s="71" t="s">
        <v>397</v>
      </c>
      <c r="BJ402" s="71" t="s">
        <v>397</v>
      </c>
      <c r="BL402" s="71" t="s">
        <v>397</v>
      </c>
      <c r="BM402" s="71" t="s">
        <v>397</v>
      </c>
      <c r="BN402" s="71" t="s">
        <v>397</v>
      </c>
      <c r="BO402" s="71" t="s">
        <v>397</v>
      </c>
      <c r="BP402" s="71" t="s">
        <v>397</v>
      </c>
      <c r="BQ402" s="71" t="s">
        <v>397</v>
      </c>
      <c r="BR402" s="71" t="s">
        <v>397</v>
      </c>
      <c r="BS402" s="71" t="s">
        <v>397</v>
      </c>
      <c r="BT402" s="71" t="s">
        <v>397</v>
      </c>
      <c r="BU402" s="71" t="s">
        <v>397</v>
      </c>
      <c r="BV402" s="71" t="s">
        <v>397</v>
      </c>
      <c r="BW402" s="71" t="s">
        <v>397</v>
      </c>
      <c r="BX402" s="71" t="s">
        <v>397</v>
      </c>
      <c r="BY402" s="71" t="s">
        <v>397</v>
      </c>
    </row>
    <row r="403" spans="2:77" ht="12" hidden="1" customHeight="1" outlineLevel="1">
      <c r="B403" t="s">
        <v>398</v>
      </c>
      <c r="O403" s="71" t="s">
        <v>397</v>
      </c>
      <c r="P403" s="71" t="s">
        <v>397</v>
      </c>
      <c r="Q403" s="71" t="s">
        <v>397</v>
      </c>
      <c r="R403" s="71" t="s">
        <v>397</v>
      </c>
      <c r="S403" s="71" t="s">
        <v>397</v>
      </c>
      <c r="T403" s="71" t="s">
        <v>397</v>
      </c>
      <c r="U403" s="71" t="s">
        <v>397</v>
      </c>
      <c r="V403" s="71" t="s">
        <v>397</v>
      </c>
      <c r="W403" s="71" t="s">
        <v>397</v>
      </c>
      <c r="X403" s="71" t="s">
        <v>397</v>
      </c>
      <c r="Y403" s="71" t="s">
        <v>397</v>
      </c>
      <c r="Z403" s="71" t="s">
        <v>397</v>
      </c>
      <c r="AA403" s="71" t="s">
        <v>397</v>
      </c>
      <c r="AB403" s="71" t="s">
        <v>397</v>
      </c>
      <c r="AC403" s="71" t="s">
        <v>397</v>
      </c>
      <c r="AD403" s="71" t="s">
        <v>397</v>
      </c>
      <c r="AE403" s="71" t="s">
        <v>397</v>
      </c>
      <c r="AF403" s="71" t="s">
        <v>397</v>
      </c>
      <c r="AG403" s="71" t="s">
        <v>397</v>
      </c>
      <c r="AH403" s="71" t="s">
        <v>397</v>
      </c>
      <c r="AI403" s="71" t="s">
        <v>397</v>
      </c>
      <c r="AJ403" s="71" t="s">
        <v>397</v>
      </c>
      <c r="AK403" s="71" t="s">
        <v>397</v>
      </c>
      <c r="AL403" s="71" t="s">
        <v>397</v>
      </c>
      <c r="AM403" s="71" t="s">
        <v>397</v>
      </c>
      <c r="AN403" s="71" t="s">
        <v>397</v>
      </c>
      <c r="AO403" s="71" t="s">
        <v>397</v>
      </c>
      <c r="AP403" s="71" t="s">
        <v>397</v>
      </c>
      <c r="AQ403" s="71" t="s">
        <v>397</v>
      </c>
      <c r="AR403" s="71" t="s">
        <v>397</v>
      </c>
      <c r="AS403" s="71" t="s">
        <v>397</v>
      </c>
      <c r="AT403" s="71" t="s">
        <v>397</v>
      </c>
      <c r="AU403" s="71" t="s">
        <v>397</v>
      </c>
      <c r="AV403" s="71" t="s">
        <v>397</v>
      </c>
      <c r="AW403" s="71" t="s">
        <v>397</v>
      </c>
      <c r="AX403" s="71" t="s">
        <v>397</v>
      </c>
      <c r="AY403" s="71" t="s">
        <v>397</v>
      </c>
      <c r="AZ403" s="71" t="s">
        <v>397</v>
      </c>
      <c r="BA403" s="71" t="s">
        <v>397</v>
      </c>
      <c r="BB403" s="71" t="s">
        <v>397</v>
      </c>
      <c r="BC403" s="71" t="s">
        <v>397</v>
      </c>
      <c r="BD403" s="71" t="s">
        <v>397</v>
      </c>
      <c r="BE403" s="71" t="s">
        <v>397</v>
      </c>
      <c r="BF403" s="71" t="s">
        <v>397</v>
      </c>
      <c r="BG403" s="71" t="s">
        <v>397</v>
      </c>
      <c r="BH403" s="71" t="s">
        <v>397</v>
      </c>
      <c r="BI403" s="71" t="s">
        <v>397</v>
      </c>
      <c r="BJ403" s="71" t="s">
        <v>397</v>
      </c>
      <c r="BL403" s="71" t="s">
        <v>397</v>
      </c>
      <c r="BM403" s="71" t="s">
        <v>397</v>
      </c>
      <c r="BN403" s="71" t="s">
        <v>397</v>
      </c>
      <c r="BO403" s="71" t="s">
        <v>397</v>
      </c>
      <c r="BP403" s="71" t="s">
        <v>397</v>
      </c>
      <c r="BQ403" s="71" t="s">
        <v>397</v>
      </c>
      <c r="BR403" s="71" t="s">
        <v>397</v>
      </c>
      <c r="BS403" s="71" t="s">
        <v>397</v>
      </c>
      <c r="BT403" s="71" t="s">
        <v>397</v>
      </c>
      <c r="BU403" s="71" t="s">
        <v>397</v>
      </c>
      <c r="BV403" s="71" t="s">
        <v>397</v>
      </c>
      <c r="BW403" s="71" t="s">
        <v>397</v>
      </c>
      <c r="BX403" s="71" t="s">
        <v>397</v>
      </c>
      <c r="BY403" s="71" t="s">
        <v>397</v>
      </c>
    </row>
    <row r="404" spans="2:77" ht="12" customHeight="1" collapsed="1"/>
    <row r="406" spans="2:77" customFormat="1" ht="12" customHeight="1"/>
  </sheetData>
  <phoneticPr fontId="0" type="noConversion"/>
  <pageMargins left="0" right="0" top="0" bottom="0" header="0" footer="0"/>
  <pageSetup scale="96" orientation="landscape" r:id="rId1"/>
  <headerFooter alignWithMargins="0"/>
  <rowBreaks count="4" manualBreakCount="4">
    <brk id="85" min="1" max="20" man="1"/>
    <brk id="121" min="1" max="20" man="1"/>
    <brk id="291" min="1" max="20" man="1"/>
    <brk id="340" min="1" max="20" man="1"/>
  </rowBreak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H281"/>
  <sheetViews>
    <sheetView showGridLines="0" zoomScale="85" zoomScaleNormal="85" workbookViewId="0">
      <pane xSplit="2" ySplit="2" topLeftCell="S3" activePane="bottomRight" state="frozen"/>
      <selection pane="topRight" activeCell="C1" sqref="C1"/>
      <selection pane="bottomLeft" activeCell="A3" sqref="A3"/>
      <selection pane="bottomRight" activeCell="S3" sqref="S3"/>
    </sheetView>
  </sheetViews>
  <sheetFormatPr defaultRowHeight="11.25" outlineLevelRow="1" outlineLevelCol="1"/>
  <cols>
    <col min="1" max="1" width="3.6640625" customWidth="1"/>
    <col min="2" max="2" width="58.83203125" customWidth="1"/>
    <col min="3" max="18" width="9.33203125" hidden="1" customWidth="1" outlineLevel="1"/>
    <col min="19" max="19" width="9.33203125" collapsed="1"/>
    <col min="25" max="29" width="9.83203125" bestFit="1" customWidth="1"/>
    <col min="30" max="33" width="10" bestFit="1" customWidth="1"/>
    <col min="47" max="48" width="9.33203125" style="127"/>
  </cols>
  <sheetData>
    <row r="2" spans="1:60">
      <c r="C2" t="s">
        <v>313</v>
      </c>
      <c r="D2" t="s">
        <v>314</v>
      </c>
      <c r="E2" t="s">
        <v>315</v>
      </c>
      <c r="F2" t="s">
        <v>316</v>
      </c>
      <c r="G2" t="s">
        <v>317</v>
      </c>
      <c r="H2" t="s">
        <v>318</v>
      </c>
      <c r="I2" t="s">
        <v>319</v>
      </c>
      <c r="J2" t="s">
        <v>320</v>
      </c>
      <c r="K2" t="s">
        <v>321</v>
      </c>
      <c r="L2" t="s">
        <v>322</v>
      </c>
      <c r="M2" t="s">
        <v>323</v>
      </c>
      <c r="N2" t="s">
        <v>324</v>
      </c>
      <c r="O2" t="s">
        <v>325</v>
      </c>
      <c r="P2" t="s">
        <v>326</v>
      </c>
      <c r="Q2" t="s">
        <v>327</v>
      </c>
      <c r="R2" t="s">
        <v>328</v>
      </c>
      <c r="S2" s="71" t="s">
        <v>329</v>
      </c>
      <c r="T2" s="71" t="s">
        <v>330</v>
      </c>
      <c r="U2" s="71" t="s">
        <v>331</v>
      </c>
      <c r="V2" s="71" t="s">
        <v>332</v>
      </c>
      <c r="W2" s="453" t="s">
        <v>333</v>
      </c>
      <c r="X2" s="453" t="s">
        <v>334</v>
      </c>
      <c r="Y2" s="453" t="s">
        <v>335</v>
      </c>
      <c r="Z2" s="453" t="s">
        <v>336</v>
      </c>
      <c r="AA2" s="453" t="s">
        <v>424</v>
      </c>
      <c r="AB2" s="71" t="s">
        <v>472</v>
      </c>
      <c r="AC2" s="71" t="s">
        <v>475</v>
      </c>
      <c r="AD2" s="71" t="s">
        <v>482</v>
      </c>
      <c r="AE2" s="71" t="s">
        <v>494</v>
      </c>
      <c r="AF2" s="454" t="s">
        <v>505</v>
      </c>
      <c r="AG2" s="454" t="s">
        <v>512</v>
      </c>
      <c r="AH2" s="454" t="s">
        <v>522</v>
      </c>
      <c r="AI2" s="71" t="s">
        <v>533</v>
      </c>
      <c r="AJ2" s="71" t="s">
        <v>539</v>
      </c>
      <c r="AK2" s="71" t="s">
        <v>582</v>
      </c>
      <c r="AL2" s="71" t="s">
        <v>596</v>
      </c>
      <c r="AM2" s="454" t="s">
        <v>624</v>
      </c>
      <c r="AN2" s="71" t="s">
        <v>629</v>
      </c>
      <c r="AO2" s="454" t="s">
        <v>636</v>
      </c>
      <c r="AP2" s="71" t="s">
        <v>644</v>
      </c>
      <c r="AQ2" s="454" t="s">
        <v>664</v>
      </c>
      <c r="AR2" s="454" t="s">
        <v>676</v>
      </c>
      <c r="AS2" s="71" t="s">
        <v>665</v>
      </c>
      <c r="AT2" s="71" t="s">
        <v>666</v>
      </c>
      <c r="AW2">
        <v>2009</v>
      </c>
      <c r="AX2">
        <v>2010</v>
      </c>
      <c r="AY2">
        <v>2011</v>
      </c>
      <c r="AZ2">
        <v>2012</v>
      </c>
      <c r="BA2">
        <v>2013</v>
      </c>
      <c r="BB2">
        <v>2014</v>
      </c>
      <c r="BC2">
        <v>2015</v>
      </c>
      <c r="BD2" t="s">
        <v>619</v>
      </c>
      <c r="BE2" t="s">
        <v>620</v>
      </c>
      <c r="BF2" t="s">
        <v>621</v>
      </c>
      <c r="BG2" t="s">
        <v>622</v>
      </c>
      <c r="BH2" t="s">
        <v>623</v>
      </c>
    </row>
    <row r="3" spans="1:60" s="127" customFormat="1">
      <c r="A3" s="222" t="s">
        <v>293</v>
      </c>
      <c r="B3" s="223" t="s">
        <v>0</v>
      </c>
    </row>
    <row r="4" spans="1:60" s="127" customFormat="1">
      <c r="A4" s="222"/>
      <c r="B4" s="276" t="s">
        <v>0</v>
      </c>
      <c r="U4" s="277">
        <f>Model!M9</f>
        <v>47.1</v>
      </c>
      <c r="V4" s="277">
        <f>Model!N9</f>
        <v>49.1</v>
      </c>
      <c r="W4" s="277">
        <f>Model!O9</f>
        <v>52.1</v>
      </c>
      <c r="X4" s="277">
        <f>Model!P9</f>
        <v>54</v>
      </c>
      <c r="Y4" s="277">
        <f>Model!Q9</f>
        <v>56.7</v>
      </c>
      <c r="Z4" s="277">
        <f>Model!R9</f>
        <v>58</v>
      </c>
      <c r="AA4" s="277">
        <f>Model!S9</f>
        <v>60.1</v>
      </c>
      <c r="AB4" s="277">
        <f>Model!T9</f>
        <v>63.6</v>
      </c>
      <c r="AC4" s="277">
        <f>Model!U9</f>
        <v>67.5</v>
      </c>
      <c r="AD4" s="277">
        <f>Model!V9</f>
        <v>72.3</v>
      </c>
      <c r="AE4" s="277">
        <f>Model!W9</f>
        <v>77.5</v>
      </c>
      <c r="AF4" s="277">
        <f>Model!X9</f>
        <v>81.7</v>
      </c>
      <c r="AG4" s="277">
        <f>Model!Y9</f>
        <v>84.8</v>
      </c>
      <c r="AH4" s="277">
        <f>Model!Z9</f>
        <v>86.9</v>
      </c>
      <c r="AI4" s="277">
        <f>Model!AA9</f>
        <v>85.7</v>
      </c>
      <c r="AJ4" s="277">
        <f>Model!AB9</f>
        <v>89.1</v>
      </c>
      <c r="AK4" s="277">
        <f>Model!AC9</f>
        <v>111.2</v>
      </c>
      <c r="AL4" s="277">
        <f>Model!AD9</f>
        <v>113.3</v>
      </c>
      <c r="AM4" s="277">
        <f>Model!AE9</f>
        <v>117.8</v>
      </c>
      <c r="AN4" s="277">
        <f>Model!AF9</f>
        <v>130.1</v>
      </c>
      <c r="AO4" s="277">
        <f>Model!AG9</f>
        <v>143.80000000000001</v>
      </c>
      <c r="AP4" s="277">
        <f>Model!AH9</f>
        <v>137.4</v>
      </c>
      <c r="AQ4" s="277">
        <f>Model!AI9</f>
        <v>149.30000000000001</v>
      </c>
      <c r="AR4" s="277">
        <f>Model!AJ9</f>
        <v>166.9</v>
      </c>
      <c r="AS4" s="277">
        <f>Model!AK9</f>
        <v>175.3</v>
      </c>
      <c r="AT4" s="277">
        <f>Model!AL9</f>
        <v>180.5</v>
      </c>
      <c r="AX4" s="277">
        <f>Model!BL9</f>
        <v>127.5</v>
      </c>
      <c r="AY4" s="277">
        <f>Model!BM9</f>
        <v>181.7</v>
      </c>
      <c r="AZ4" s="277">
        <f>Model!BN9</f>
        <v>220.8</v>
      </c>
      <c r="BA4" s="277">
        <f>Model!BO9</f>
        <v>263.5</v>
      </c>
      <c r="BB4" s="277">
        <f>Model!BP9</f>
        <v>330.9</v>
      </c>
      <c r="BC4" s="277">
        <f>Model!BQ9</f>
        <v>399.3</v>
      </c>
      <c r="BD4" s="277">
        <f>Model!BR9</f>
        <v>529.1</v>
      </c>
      <c r="BE4" s="277">
        <f>Model!BS9</f>
        <v>672</v>
      </c>
      <c r="BF4" s="277">
        <f ca="1">Model!BT9</f>
        <v>813.81739329978359</v>
      </c>
      <c r="BG4" s="277">
        <f ca="1">Model!BU9</f>
        <v>951.20712331011725</v>
      </c>
      <c r="BH4" s="277">
        <f ca="1">Model!BV9</f>
        <v>1074.7295865134834</v>
      </c>
    </row>
    <row r="5" spans="1:60" s="276" customFormat="1">
      <c r="A5" s="220"/>
      <c r="B5" s="276" t="s">
        <v>390</v>
      </c>
      <c r="K5" s="278"/>
      <c r="L5" s="278"/>
      <c r="M5" s="278"/>
      <c r="N5" s="278"/>
      <c r="O5" s="278"/>
      <c r="P5" s="278"/>
      <c r="Q5" s="278"/>
      <c r="R5" s="278"/>
      <c r="S5" s="278"/>
      <c r="T5" s="278"/>
      <c r="U5" s="278"/>
      <c r="V5" s="278"/>
      <c r="W5" s="278"/>
      <c r="X5" s="278"/>
      <c r="Y5" s="278"/>
      <c r="Z5" s="278"/>
      <c r="AA5" s="279">
        <f>+AA4/W4-1</f>
        <v>0.15355086372360849</v>
      </c>
      <c r="AB5" s="279">
        <f t="shared" ref="AB5:AH5" si="0">+AB4/X4-1</f>
        <v>0.17777777777777781</v>
      </c>
      <c r="AC5" s="279">
        <f t="shared" si="0"/>
        <v>0.19047619047619047</v>
      </c>
      <c r="AD5" s="279">
        <f t="shared" si="0"/>
        <v>0.24655172413793092</v>
      </c>
      <c r="AE5" s="279">
        <f t="shared" si="0"/>
        <v>0.28951747088186353</v>
      </c>
      <c r="AF5" s="279">
        <f t="shared" si="0"/>
        <v>0.28459119496855356</v>
      </c>
      <c r="AG5" s="279">
        <f t="shared" si="0"/>
        <v>0.25629629629629624</v>
      </c>
      <c r="AH5" s="279">
        <f t="shared" si="0"/>
        <v>0.2019363762102353</v>
      </c>
      <c r="AI5" s="279">
        <f t="shared" ref="AI5:AP5" si="1">+AI4/AE4-1</f>
        <v>0.10580645161290336</v>
      </c>
      <c r="AJ5" s="279">
        <f t="shared" si="1"/>
        <v>9.057527539779664E-2</v>
      </c>
      <c r="AK5" s="279">
        <f t="shared" si="1"/>
        <v>0.31132075471698117</v>
      </c>
      <c r="AL5" s="279">
        <f t="shared" si="1"/>
        <v>0.30379746835443022</v>
      </c>
      <c r="AM5" s="279">
        <f t="shared" si="1"/>
        <v>0.37456242707117848</v>
      </c>
      <c r="AN5" s="279">
        <f t="shared" si="1"/>
        <v>0.46015712682379362</v>
      </c>
      <c r="AO5" s="279">
        <f t="shared" si="1"/>
        <v>0.29316546762589946</v>
      </c>
      <c r="AP5" s="279">
        <f t="shared" si="1"/>
        <v>0.21270962047661079</v>
      </c>
      <c r="AQ5" s="279">
        <f t="shared" ref="AQ5" si="2">+AQ4/AM4-1</f>
        <v>0.26740237691001711</v>
      </c>
      <c r="AR5" s="279">
        <f t="shared" ref="AR5" si="3">+AR4/AN4-1</f>
        <v>0.28285933897002313</v>
      </c>
      <c r="AS5" s="279">
        <f t="shared" ref="AS5" si="4">+AS4/AO4-1</f>
        <v>0.21905424200278167</v>
      </c>
      <c r="AT5" s="279">
        <f t="shared" ref="AT5" si="5">+AT4/AP4-1</f>
        <v>0.31368267831149921</v>
      </c>
      <c r="AY5" s="279">
        <f t="shared" ref="AY5:BH5" si="6">+AY4/AX4-1</f>
        <v>0.42509803921568623</v>
      </c>
      <c r="AZ5" s="279">
        <f t="shared" si="6"/>
        <v>0.21518987341772156</v>
      </c>
      <c r="BA5" s="279">
        <f t="shared" si="6"/>
        <v>0.19338768115942018</v>
      </c>
      <c r="BB5" s="279">
        <f t="shared" si="6"/>
        <v>0.25578747628083476</v>
      </c>
      <c r="BC5" s="279">
        <f t="shared" si="6"/>
        <v>0.20670897552130563</v>
      </c>
      <c r="BD5" s="279">
        <f t="shared" si="6"/>
        <v>0.32506887052341593</v>
      </c>
      <c r="BE5" s="279">
        <f t="shared" si="6"/>
        <v>0.27008127008127003</v>
      </c>
      <c r="BF5" s="279">
        <f t="shared" ca="1" si="6"/>
        <v>0.21103778764848746</v>
      </c>
      <c r="BG5" s="279">
        <f t="shared" ca="1" si="6"/>
        <v>0.16882132422024032</v>
      </c>
      <c r="BH5" s="279">
        <f t="shared" ca="1" si="6"/>
        <v>0.12985863980235846</v>
      </c>
    </row>
    <row r="6" spans="1:60" s="276" customFormat="1">
      <c r="A6" s="220"/>
      <c r="B6" s="472" t="s">
        <v>391</v>
      </c>
      <c r="K6" s="278"/>
      <c r="L6" s="278"/>
      <c r="M6" s="278"/>
      <c r="N6" s="278"/>
      <c r="O6" s="278"/>
      <c r="P6" s="278"/>
      <c r="Q6" s="278"/>
      <c r="R6" s="278"/>
      <c r="S6" s="278"/>
      <c r="T6" s="278"/>
      <c r="U6" s="278"/>
      <c r="V6" s="279">
        <f>+V4/U4-1</f>
        <v>4.2462845010615702E-2</v>
      </c>
      <c r="W6" s="279">
        <f>+W4/V4-1</f>
        <v>6.1099796334012302E-2</v>
      </c>
      <c r="X6" s="279">
        <f>+X4/W4-1</f>
        <v>3.6468330134356908E-2</v>
      </c>
      <c r="Y6" s="279">
        <f t="shared" ref="Y6:AH6" si="7">+Y4/X4-1</f>
        <v>5.0000000000000044E-2</v>
      </c>
      <c r="Z6" s="279">
        <f t="shared" si="7"/>
        <v>2.2927689594356204E-2</v>
      </c>
      <c r="AA6" s="279">
        <f t="shared" si="7"/>
        <v>3.6206896551724155E-2</v>
      </c>
      <c r="AB6" s="279">
        <f t="shared" si="7"/>
        <v>5.8236272878535722E-2</v>
      </c>
      <c r="AC6" s="279">
        <f t="shared" si="7"/>
        <v>6.1320754716981174E-2</v>
      </c>
      <c r="AD6" s="279">
        <f t="shared" si="7"/>
        <v>7.1111111111111125E-2</v>
      </c>
      <c r="AE6" s="279">
        <f t="shared" si="7"/>
        <v>7.1922544951590561E-2</v>
      </c>
      <c r="AF6" s="279">
        <f t="shared" si="7"/>
        <v>5.4193548387096779E-2</v>
      </c>
      <c r="AG6" s="279">
        <f t="shared" si="7"/>
        <v>3.7943696450428277E-2</v>
      </c>
      <c r="AH6" s="279">
        <f t="shared" si="7"/>
        <v>2.4764150943396235E-2</v>
      </c>
      <c r="AI6" s="279">
        <f t="shared" ref="AI6:AP6" si="8">+AI4/AH4-1</f>
        <v>-1.3808975834292303E-2</v>
      </c>
      <c r="AJ6" s="279">
        <f t="shared" si="8"/>
        <v>3.9673278879813312E-2</v>
      </c>
      <c r="AK6" s="279">
        <f t="shared" si="8"/>
        <v>0.24803591470258146</v>
      </c>
      <c r="AL6" s="279">
        <f t="shared" si="8"/>
        <v>1.8884892086330929E-2</v>
      </c>
      <c r="AM6" s="279">
        <f t="shared" si="8"/>
        <v>3.9717563989408733E-2</v>
      </c>
      <c r="AN6" s="279">
        <f t="shared" si="8"/>
        <v>0.1044142614601018</v>
      </c>
      <c r="AO6" s="279">
        <f t="shared" si="8"/>
        <v>0.1053036126056881</v>
      </c>
      <c r="AP6" s="279">
        <f t="shared" si="8"/>
        <v>-4.4506258692628697E-2</v>
      </c>
      <c r="AQ6" s="279">
        <f t="shared" ref="AQ6" si="9">+AQ4/AP4-1</f>
        <v>8.6608442503639083E-2</v>
      </c>
      <c r="AR6" s="279">
        <f t="shared" ref="AR6" si="10">+AR4/AQ4-1</f>
        <v>0.11788345612860018</v>
      </c>
      <c r="AS6" s="279">
        <f t="shared" ref="AS6" si="11">+AS4/AR4-1</f>
        <v>5.0329538645895733E-2</v>
      </c>
      <c r="AT6" s="279">
        <f t="shared" ref="AT6" si="12">+AT4/AS4-1</f>
        <v>2.9663434112949139E-2</v>
      </c>
    </row>
    <row r="49" spans="1:54" s="127" customFormat="1">
      <c r="A49" s="222" t="s">
        <v>293</v>
      </c>
      <c r="B49" s="223" t="s">
        <v>175</v>
      </c>
    </row>
    <row r="50" spans="1:54" s="127" customFormat="1">
      <c r="A50" s="222"/>
      <c r="B50" s="472" t="s">
        <v>175</v>
      </c>
      <c r="W50" s="277">
        <f>Model!O32</f>
        <v>28.3</v>
      </c>
      <c r="X50" s="277">
        <f>Model!P32</f>
        <v>28.5</v>
      </c>
      <c r="Y50" s="277">
        <f>Model!Q32</f>
        <v>30.1</v>
      </c>
      <c r="Z50" s="277">
        <f>Model!R32</f>
        <v>28.400000000000002</v>
      </c>
      <c r="AA50" s="277">
        <f>Model!S32</f>
        <v>31.500000000000004</v>
      </c>
      <c r="AB50" s="277">
        <f>Model!T32</f>
        <v>30.8</v>
      </c>
      <c r="AC50" s="277">
        <f>Model!U32</f>
        <v>36.5</v>
      </c>
      <c r="AD50" s="277">
        <f>Model!V32</f>
        <v>39.9</v>
      </c>
      <c r="AE50" s="277">
        <f>Model!W32</f>
        <v>41.7</v>
      </c>
      <c r="AF50" s="277">
        <f>Model!X32</f>
        <v>40.800000000000004</v>
      </c>
      <c r="AG50" s="277">
        <f>Model!Y32</f>
        <v>42.199999999999996</v>
      </c>
      <c r="AH50" s="277">
        <f>Model!Z32</f>
        <v>44.600000000000009</v>
      </c>
      <c r="AI50" s="277">
        <f>Model!AA32</f>
        <v>45.100000000000009</v>
      </c>
      <c r="AJ50" s="277">
        <f>Model!AB32</f>
        <v>47.1</v>
      </c>
      <c r="AK50" s="277">
        <f>Model!AC32</f>
        <v>58.999999999999993</v>
      </c>
      <c r="AL50" s="277">
        <f>Model!AD32</f>
        <v>60.5</v>
      </c>
      <c r="AM50" s="277">
        <f>Model!AE32</f>
        <v>62.7</v>
      </c>
      <c r="AN50" s="277">
        <f>Model!AF32</f>
        <v>69.699999999999989</v>
      </c>
      <c r="AO50" s="277">
        <f>Model!AG32</f>
        <v>73.100000000000009</v>
      </c>
      <c r="AP50" s="277">
        <f>Model!AH32</f>
        <v>73.000000000000014</v>
      </c>
      <c r="AQ50" s="277">
        <f>Model!AI32</f>
        <v>80.700000000000017</v>
      </c>
      <c r="AR50" s="277">
        <f>Model!AJ32</f>
        <v>90.800000000000011</v>
      </c>
      <c r="AS50" s="277">
        <f>Model!AK32</f>
        <v>95.9</v>
      </c>
      <c r="AT50" s="277">
        <f>Model!AL32</f>
        <v>104.19999999999999</v>
      </c>
      <c r="AX50" s="277"/>
      <c r="AY50" s="277"/>
      <c r="AZ50" s="277"/>
      <c r="BA50" s="277"/>
      <c r="BB50" s="277"/>
    </row>
    <row r="51" spans="1:54" s="276" customFormat="1">
      <c r="A51" s="220"/>
      <c r="B51" s="472" t="s">
        <v>416</v>
      </c>
      <c r="K51" s="278"/>
      <c r="L51" s="278"/>
      <c r="M51" s="278"/>
      <c r="N51" s="278"/>
      <c r="O51" s="278"/>
      <c r="P51" s="278"/>
      <c r="Q51" s="278"/>
      <c r="R51" s="278"/>
      <c r="S51" s="278"/>
      <c r="T51" s="278"/>
      <c r="U51" s="278"/>
      <c r="V51" s="278"/>
      <c r="W51" s="279">
        <f t="shared" ref="W51:AP51" si="13">+W50/W4</f>
        <v>0.54318618042226485</v>
      </c>
      <c r="X51" s="279">
        <f t="shared" si="13"/>
        <v>0.52777777777777779</v>
      </c>
      <c r="Y51" s="279">
        <f t="shared" si="13"/>
        <v>0.53086419753086422</v>
      </c>
      <c r="Z51" s="279">
        <f t="shared" si="13"/>
        <v>0.48965517241379314</v>
      </c>
      <c r="AA51" s="279">
        <f t="shared" si="13"/>
        <v>0.52412645590682205</v>
      </c>
      <c r="AB51" s="279">
        <f t="shared" si="13"/>
        <v>0.48427672955974843</v>
      </c>
      <c r="AC51" s="279">
        <f t="shared" si="13"/>
        <v>0.54074074074074074</v>
      </c>
      <c r="AD51" s="279">
        <f t="shared" si="13"/>
        <v>0.55186721991701249</v>
      </c>
      <c r="AE51" s="279">
        <f t="shared" si="13"/>
        <v>0.53806451612903228</v>
      </c>
      <c r="AF51" s="279">
        <f t="shared" si="13"/>
        <v>0.49938800489596086</v>
      </c>
      <c r="AG51" s="279">
        <f t="shared" si="13"/>
        <v>0.49764150943396224</v>
      </c>
      <c r="AH51" s="279">
        <f t="shared" si="13"/>
        <v>0.51323360184119682</v>
      </c>
      <c r="AI51" s="279">
        <f t="shared" si="13"/>
        <v>0.52625437572928835</v>
      </c>
      <c r="AJ51" s="279">
        <f t="shared" si="13"/>
        <v>0.52861952861952866</v>
      </c>
      <c r="AK51" s="279">
        <f t="shared" si="13"/>
        <v>0.53057553956834524</v>
      </c>
      <c r="AL51" s="279">
        <f t="shared" si="13"/>
        <v>0.53398058252427183</v>
      </c>
      <c r="AM51" s="279">
        <f t="shared" si="13"/>
        <v>0.53225806451612911</v>
      </c>
      <c r="AN51" s="279">
        <f t="shared" si="13"/>
        <v>0.53574173712528816</v>
      </c>
      <c r="AO51" s="279">
        <f t="shared" si="13"/>
        <v>0.50834492350486793</v>
      </c>
      <c r="AP51" s="279">
        <f t="shared" si="13"/>
        <v>0.53129548762736545</v>
      </c>
      <c r="AQ51" s="279">
        <f t="shared" ref="AQ51:AT51" si="14">+AQ50/AQ4</f>
        <v>0.54052243804420641</v>
      </c>
      <c r="AR51" s="279">
        <f t="shared" si="14"/>
        <v>0.54403834631515879</v>
      </c>
      <c r="AS51" s="279">
        <f t="shared" si="14"/>
        <v>0.54706217912150601</v>
      </c>
      <c r="AT51" s="279">
        <f t="shared" si="14"/>
        <v>0.57728531855955667</v>
      </c>
      <c r="AY51" s="279"/>
      <c r="AZ51" s="279"/>
      <c r="BA51" s="279"/>
      <c r="BB51" s="279"/>
    </row>
    <row r="66" spans="1:54" s="127" customFormat="1">
      <c r="A66" s="222" t="s">
        <v>293</v>
      </c>
      <c r="B66" s="223" t="s">
        <v>380</v>
      </c>
    </row>
    <row r="67" spans="1:54" s="127" customFormat="1">
      <c r="A67" s="222"/>
      <c r="B67" s="472" t="s">
        <v>380</v>
      </c>
      <c r="W67" s="277">
        <f>-SUM(Model!O380:O382)</f>
        <v>52.8</v>
      </c>
      <c r="X67" s="277">
        <f>-SUM(Model!P380:P382)</f>
        <v>51.699999999999996</v>
      </c>
      <c r="Y67" s="277">
        <f>-SUM(Model!Q380:Q382)</f>
        <v>41</v>
      </c>
      <c r="Z67" s="277">
        <f>-SUM(Model!R380:R382)</f>
        <v>82.800000000000011</v>
      </c>
      <c r="AA67" s="277">
        <f>-SUM(Model!S380:S382)</f>
        <v>52.599999999999994</v>
      </c>
      <c r="AB67" s="277">
        <f>-SUM(Model!T380:T382)</f>
        <v>48.70000000000001</v>
      </c>
      <c r="AC67" s="277">
        <f>-SUM(Model!U380:U382)</f>
        <v>64.299999999999969</v>
      </c>
      <c r="AD67" s="277">
        <f>-SUM(Model!V380:V382)</f>
        <v>63.000000000000021</v>
      </c>
      <c r="AE67" s="277">
        <f>-SUM(Model!W380:W382)</f>
        <v>64.3</v>
      </c>
      <c r="AF67" s="277">
        <f>-SUM(Model!X380:X382)</f>
        <v>67.099999999999994</v>
      </c>
      <c r="AG67" s="277">
        <f>-SUM(Model!Y380:Y382)</f>
        <v>78.099999999999994</v>
      </c>
      <c r="AH67" s="277">
        <f>-SUM(Model!Z380:Z382)</f>
        <v>89.3</v>
      </c>
      <c r="AI67" s="277">
        <f>-SUM(Model!AA380:AA382)</f>
        <v>49.2</v>
      </c>
      <c r="AJ67" s="277">
        <f>-SUM(Model!AB380:AB382)</f>
        <v>42.3</v>
      </c>
      <c r="AK67" s="495">
        <f>-SUM(Model!AC381:AC382)</f>
        <v>66.7</v>
      </c>
      <c r="AL67" s="277">
        <f>-SUM(Model!AD380:AD382)</f>
        <v>76.3</v>
      </c>
      <c r="AM67" s="277">
        <f>-SUM(Model!AE380:AE382)</f>
        <v>209.6</v>
      </c>
      <c r="AN67" s="277">
        <f>-SUM(Model!AF380:AF382)</f>
        <v>168.6</v>
      </c>
      <c r="AO67" s="277">
        <f>-SUM(Model!AG380:AG382)</f>
        <v>178.3</v>
      </c>
      <c r="AP67" s="277">
        <f>-SUM(Model!AH380:AH382)</f>
        <v>174.6</v>
      </c>
      <c r="AQ67" s="495">
        <f>-SUM(Model!AI381:AI382)</f>
        <v>182.5</v>
      </c>
      <c r="AR67" s="277">
        <f>-SUM(Model!AJ380:AJ382)</f>
        <v>302.5</v>
      </c>
      <c r="AS67" s="277">
        <f>-SUM(Model!AK380:AK382)</f>
        <v>224.1</v>
      </c>
      <c r="AT67" s="277">
        <f>-SUM(Model!AL380:AL382)</f>
        <v>205.4</v>
      </c>
      <c r="AX67" s="277"/>
      <c r="AY67" s="277"/>
      <c r="AZ67" s="277"/>
      <c r="BA67" s="277"/>
      <c r="BB67" s="277"/>
    </row>
    <row r="68" spans="1:54" s="276" customFormat="1">
      <c r="A68" s="220"/>
      <c r="B68" s="472" t="s">
        <v>430</v>
      </c>
      <c r="K68" s="278"/>
      <c r="L68" s="278"/>
      <c r="M68" s="278"/>
      <c r="N68" s="278"/>
      <c r="O68" s="278"/>
      <c r="P68" s="278"/>
      <c r="Q68" s="278"/>
      <c r="R68" s="278"/>
      <c r="S68" s="278"/>
      <c r="T68" s="278"/>
      <c r="U68" s="278"/>
      <c r="V68" s="278"/>
      <c r="W68" s="279">
        <f>+W67/W4</f>
        <v>1.0134357005758157</v>
      </c>
      <c r="X68" s="279">
        <f t="shared" ref="X68:AP68" si="15">+X67/X4</f>
        <v>0.95740740740740737</v>
      </c>
      <c r="Y68" s="279">
        <f t="shared" si="15"/>
        <v>0.72310405643738973</v>
      </c>
      <c r="Z68" s="279">
        <f t="shared" si="15"/>
        <v>1.4275862068965519</v>
      </c>
      <c r="AA68" s="279">
        <f t="shared" si="15"/>
        <v>0.8752079866888518</v>
      </c>
      <c r="AB68" s="279">
        <f t="shared" si="15"/>
        <v>0.76572327044025168</v>
      </c>
      <c r="AC68" s="279">
        <f t="shared" si="15"/>
        <v>0.9525925925925921</v>
      </c>
      <c r="AD68" s="279">
        <f t="shared" si="15"/>
        <v>0.87136929460580947</v>
      </c>
      <c r="AE68" s="279">
        <f t="shared" si="15"/>
        <v>0.82967741935483863</v>
      </c>
      <c r="AF68" s="279">
        <f t="shared" si="15"/>
        <v>0.82129742962056296</v>
      </c>
      <c r="AG68" s="279">
        <f t="shared" si="15"/>
        <v>0.92099056603773577</v>
      </c>
      <c r="AH68" s="279">
        <f t="shared" si="15"/>
        <v>1.0276179516685844</v>
      </c>
      <c r="AI68" s="279">
        <f t="shared" si="15"/>
        <v>0.57409568261376898</v>
      </c>
      <c r="AJ68" s="279">
        <f t="shared" si="15"/>
        <v>0.47474747474747475</v>
      </c>
      <c r="AK68" s="279">
        <f t="shared" si="15"/>
        <v>0.59982014388489213</v>
      </c>
      <c r="AL68" s="279">
        <f t="shared" si="15"/>
        <v>0.6734333627537511</v>
      </c>
      <c r="AM68" s="279">
        <f t="shared" si="15"/>
        <v>1.7792869269949065</v>
      </c>
      <c r="AN68" s="279">
        <f t="shared" si="15"/>
        <v>1.2959262106072251</v>
      </c>
      <c r="AO68" s="279">
        <f t="shared" si="15"/>
        <v>1.2399165507649512</v>
      </c>
      <c r="AP68" s="279">
        <f t="shared" si="15"/>
        <v>1.2707423580786026</v>
      </c>
      <c r="AQ68" s="279">
        <f t="shared" ref="AQ68:AT68" si="16">+AQ67/AQ4</f>
        <v>1.2223710649698591</v>
      </c>
      <c r="AR68" s="279">
        <f t="shared" si="16"/>
        <v>1.8124625524266027</v>
      </c>
      <c r="AS68" s="279">
        <f t="shared" si="16"/>
        <v>1.2783799201369079</v>
      </c>
      <c r="AT68" s="279">
        <f t="shared" si="16"/>
        <v>1.1379501385041551</v>
      </c>
      <c r="AY68" s="279"/>
      <c r="AZ68" s="279"/>
      <c r="BA68" s="279"/>
      <c r="BB68" s="279"/>
    </row>
    <row r="84" spans="1:46">
      <c r="A84" s="222" t="s">
        <v>293</v>
      </c>
      <c r="B84" s="223" t="s">
        <v>299</v>
      </c>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c r="AA84" s="127"/>
      <c r="AB84" s="127"/>
      <c r="AC84" s="127"/>
      <c r="AD84" s="127"/>
      <c r="AE84" s="127"/>
      <c r="AF84" s="127"/>
      <c r="AG84" s="127"/>
      <c r="AH84" s="127"/>
      <c r="AI84" s="127"/>
      <c r="AJ84" s="127"/>
      <c r="AK84" s="127"/>
      <c r="AL84" s="127"/>
      <c r="AM84" s="127"/>
      <c r="AN84" s="127"/>
      <c r="AO84" s="127"/>
      <c r="AP84" s="127"/>
      <c r="AQ84" s="127"/>
      <c r="AR84" s="127"/>
      <c r="AS84" s="127"/>
      <c r="AT84" s="127"/>
    </row>
    <row r="85" spans="1:46">
      <c r="A85" s="222"/>
      <c r="B85" s="127" t="s">
        <v>87</v>
      </c>
      <c r="C85" s="127"/>
      <c r="D85" s="127"/>
      <c r="E85" s="127"/>
      <c r="F85" s="127"/>
      <c r="G85" s="127"/>
      <c r="H85" s="127"/>
      <c r="I85" s="127"/>
      <c r="J85" s="127"/>
      <c r="K85" s="224">
        <f>Model!C128</f>
        <v>0.86098654708520184</v>
      </c>
      <c r="L85" s="224">
        <f>Model!D128</f>
        <v>0.88565022421524664</v>
      </c>
      <c r="M85" s="224">
        <f>Model!E128</f>
        <v>0.87892376681614348</v>
      </c>
      <c r="N85" s="224">
        <f>Model!F128</f>
        <v>0.87219730941704032</v>
      </c>
      <c r="O85" s="224">
        <f>Model!G128</f>
        <v>0.9035874439461884</v>
      </c>
      <c r="P85" s="224">
        <f>Model!H128</f>
        <v>0.85990338164251212</v>
      </c>
      <c r="Q85" s="224">
        <f>Model!I128</f>
        <v>0.86634460547504022</v>
      </c>
      <c r="R85" s="224">
        <f>Model!J128</f>
        <v>0.88106416275430355</v>
      </c>
      <c r="S85" s="224">
        <f>Model!K128</f>
        <v>0.89681335356600911</v>
      </c>
      <c r="T85" s="224">
        <f>Model!L128</f>
        <v>0.89985052316890879</v>
      </c>
      <c r="U85" s="224">
        <f>Model!M128</f>
        <v>0.86005434782608692</v>
      </c>
      <c r="V85" s="224">
        <f>Model!N128</f>
        <v>0.87942332896461339</v>
      </c>
      <c r="W85" s="224">
        <f>Model!O128</f>
        <v>0.85</v>
      </c>
      <c r="X85" s="224">
        <f>Model!P128</f>
        <v>0.85</v>
      </c>
      <c r="Y85" s="224">
        <f>Model!Q128</f>
        <v>0.78</v>
      </c>
      <c r="Z85" s="224">
        <f>Model!R128</f>
        <v>0.78</v>
      </c>
      <c r="AA85" s="224">
        <f>Model!S128</f>
        <v>0.81</v>
      </c>
      <c r="AB85" s="224">
        <f>Model!T128</f>
        <v>0.81</v>
      </c>
      <c r="AC85" s="224">
        <f>Model!U128</f>
        <v>0.85</v>
      </c>
      <c r="AD85" s="224">
        <f>Model!V128</f>
        <v>0.85</v>
      </c>
      <c r="AE85" s="224">
        <f>Model!W128</f>
        <v>0.89</v>
      </c>
      <c r="AF85" s="224">
        <f>Model!X128</f>
        <v>0.86</v>
      </c>
      <c r="AG85" s="224">
        <f>Model!Y128</f>
        <v>0.88</v>
      </c>
      <c r="AH85" s="224">
        <f>Model!Z128</f>
        <v>0.88</v>
      </c>
      <c r="AI85" s="224">
        <f>Model!AA128</f>
        <v>0.89</v>
      </c>
      <c r="AJ85" s="224">
        <f>Model!AB128</f>
        <v>0.84</v>
      </c>
      <c r="AK85" s="224">
        <f>Model!AC128</f>
        <v>0.89</v>
      </c>
      <c r="AL85" s="224">
        <f>Model!AD128</f>
        <v>0.86</v>
      </c>
      <c r="AM85" s="224">
        <f>Model!AE128</f>
        <v>0.89</v>
      </c>
      <c r="AN85" s="224">
        <f>Model!AF128</f>
        <v>0.84</v>
      </c>
      <c r="AO85" s="224">
        <f>Model!AG128</f>
        <v>0.85</v>
      </c>
      <c r="AP85" s="224">
        <f>Model!AH128</f>
        <v>0.85</v>
      </c>
      <c r="AQ85" s="224">
        <f>Model!AI128</f>
        <v>0.88</v>
      </c>
      <c r="AR85" s="224">
        <f>Model!AJ128</f>
        <v>0.89</v>
      </c>
      <c r="AS85" s="224">
        <f>Model!AK128</f>
        <v>0.82</v>
      </c>
      <c r="AT85" s="224">
        <f>Model!AL128</f>
        <v>0.83</v>
      </c>
    </row>
    <row r="100" spans="1:46">
      <c r="A100" s="222" t="s">
        <v>293</v>
      </c>
      <c r="B100" s="223" t="s">
        <v>339</v>
      </c>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c r="AA100" s="127"/>
      <c r="AB100" s="127"/>
      <c r="AC100" s="127"/>
      <c r="AD100" s="127"/>
      <c r="AE100" s="127"/>
      <c r="AF100" s="127"/>
      <c r="AG100" s="127"/>
      <c r="AH100" s="127"/>
      <c r="AI100" s="127"/>
      <c r="AJ100" s="127"/>
      <c r="AK100" s="127"/>
      <c r="AL100" s="127"/>
      <c r="AM100" s="127"/>
      <c r="AN100" s="127"/>
      <c r="AO100" s="127"/>
      <c r="AP100" s="127"/>
      <c r="AQ100" s="127"/>
      <c r="AR100" s="127"/>
      <c r="AS100" s="127"/>
      <c r="AT100" s="127"/>
    </row>
    <row r="101" spans="1:46">
      <c r="A101" s="222"/>
      <c r="B101" s="127" t="s">
        <v>340</v>
      </c>
      <c r="C101" s="127"/>
      <c r="D101" s="127"/>
      <c r="E101" s="127"/>
      <c r="F101" s="127"/>
      <c r="G101" s="127"/>
      <c r="H101" s="127"/>
      <c r="I101" s="127"/>
      <c r="J101" s="127"/>
      <c r="K101" s="224"/>
      <c r="L101" s="224"/>
      <c r="M101" s="224"/>
      <c r="N101" s="224"/>
      <c r="O101" s="224"/>
      <c r="P101" s="224"/>
      <c r="Q101" s="224"/>
      <c r="R101" s="224"/>
      <c r="S101" s="224"/>
      <c r="T101" s="224"/>
      <c r="U101" s="224"/>
      <c r="V101" s="224"/>
      <c r="W101" s="224"/>
      <c r="X101" s="224"/>
      <c r="Y101" s="449">
        <f>+Model!Q138</f>
        <v>0.79</v>
      </c>
      <c r="Z101" s="449">
        <f>+Model!R138</f>
        <v>0.76</v>
      </c>
      <c r="AA101" s="449">
        <f>+Model!S138</f>
        <v>0.76</v>
      </c>
      <c r="AB101" s="449">
        <f>+Model!T138</f>
        <v>0.75</v>
      </c>
      <c r="AC101" s="449">
        <f>+Model!U138</f>
        <v>0.8</v>
      </c>
      <c r="AD101" s="449">
        <f>+Model!V138</f>
        <v>0.82</v>
      </c>
      <c r="AE101" s="449">
        <f>+Model!W138</f>
        <v>0.87622512890727422</v>
      </c>
      <c r="AF101" s="449">
        <f>+Model!X138</f>
        <v>0.89250401256001555</v>
      </c>
      <c r="AG101" s="449">
        <f>+Model!Y138</f>
        <v>0.90383732602296885</v>
      </c>
      <c r="AH101" s="449">
        <f>+Model!Z138</f>
        <v>0.90385724876725293</v>
      </c>
      <c r="AI101" s="449">
        <f>+Model!AA138</f>
        <v>0.90933844120358154</v>
      </c>
      <c r="AJ101" s="449">
        <f>+Model!AB138</f>
        <v>0.88106525335955199</v>
      </c>
      <c r="AK101" s="449">
        <f>+Model!AC138</f>
        <v>0.91121988144139643</v>
      </c>
      <c r="AL101" s="449">
        <f>+Model!AD138</f>
        <v>0.87994138828131185</v>
      </c>
      <c r="AM101" s="449">
        <f>+Model!AE138</f>
        <v>0.8849029694421201</v>
      </c>
      <c r="AN101" s="449">
        <f>+Model!AF138</f>
        <v>0.87283021386762349</v>
      </c>
      <c r="AO101" s="449">
        <f>+Model!AG138</f>
        <v>0.88204129193379877</v>
      </c>
      <c r="AP101" s="449">
        <f>+Model!AH138</f>
        <v>0.88490855844398353</v>
      </c>
      <c r="AQ101" s="449">
        <f>+Model!AI138</f>
        <v>0.90431151227442641</v>
      </c>
      <c r="AR101" s="449">
        <f>+Model!AJ138</f>
        <v>0.90550121662588945</v>
      </c>
      <c r="AS101" s="224"/>
      <c r="AT101" s="224"/>
    </row>
    <row r="102" spans="1:46" s="227" customFormat="1">
      <c r="A102" s="226"/>
      <c r="B102" s="227" t="s">
        <v>342</v>
      </c>
      <c r="K102" s="228"/>
      <c r="L102" s="228"/>
      <c r="M102" s="228"/>
      <c r="N102" s="228"/>
      <c r="O102" s="228"/>
      <c r="P102" s="228"/>
      <c r="Q102" s="228"/>
      <c r="R102" s="228"/>
      <c r="S102" s="228"/>
      <c r="T102" s="228"/>
      <c r="U102" s="228"/>
      <c r="V102" s="228"/>
      <c r="W102" s="228"/>
      <c r="X102" s="228"/>
      <c r="Y102" s="448">
        <f>+Model!Q137</f>
        <v>1628717</v>
      </c>
      <c r="Z102" s="448">
        <f>+Model!R137</f>
        <v>1716114</v>
      </c>
      <c r="AA102" s="448">
        <f>+Model!S137</f>
        <v>1709470</v>
      </c>
      <c r="AB102" s="448">
        <f>+Model!T137</f>
        <v>1849204</v>
      </c>
      <c r="AC102" s="448">
        <f>+Model!U137</f>
        <v>1897969</v>
      </c>
      <c r="AD102" s="448">
        <f>+Model!V137</f>
        <v>1975300</v>
      </c>
      <c r="AE102" s="448">
        <f>+Model!W137</f>
        <v>2059620</v>
      </c>
      <c r="AF102" s="448">
        <f>+Model!X137</f>
        <v>2170061</v>
      </c>
      <c r="AG102" s="448">
        <f>+Model!Y137</f>
        <v>2177730</v>
      </c>
      <c r="AH102" s="448">
        <f>+Model!Z137</f>
        <v>2235049</v>
      </c>
      <c r="AI102" s="448">
        <f>+Model!AA137</f>
        <v>2340049</v>
      </c>
      <c r="AJ102" s="448">
        <f>+Model!AB137</f>
        <v>2436932</v>
      </c>
      <c r="AK102" s="448">
        <f>+Model!AC137</f>
        <v>2850236</v>
      </c>
      <c r="AL102" s="448">
        <f>+Model!AD137</f>
        <v>2954358</v>
      </c>
      <c r="AM102" s="448">
        <f>+Model!AE137</f>
        <v>3224242</v>
      </c>
      <c r="AN102" s="448">
        <f>+Model!AF137</f>
        <v>3775326</v>
      </c>
      <c r="AO102" s="448">
        <f>+Model!AG137</f>
        <v>3810381</v>
      </c>
      <c r="AP102" s="448">
        <f>+Model!AH137</f>
        <v>3903969</v>
      </c>
      <c r="AQ102" s="448">
        <f>+Model!AI137</f>
        <v>4645268</v>
      </c>
      <c r="AR102" s="448">
        <f>+Model!AJ137</f>
        <v>4783311</v>
      </c>
      <c r="AS102" s="228"/>
      <c r="AT102" s="228"/>
    </row>
    <row r="103" spans="1:46" s="227" customFormat="1">
      <c r="A103" s="226"/>
      <c r="B103" s="227" t="s">
        <v>341</v>
      </c>
      <c r="K103" s="228"/>
      <c r="L103" s="228"/>
      <c r="M103" s="228"/>
      <c r="N103" s="228"/>
      <c r="O103" s="228"/>
      <c r="P103" s="228"/>
      <c r="Q103" s="228"/>
      <c r="R103" s="228"/>
      <c r="S103" s="228"/>
      <c r="T103" s="228"/>
      <c r="U103" s="228"/>
      <c r="V103" s="228"/>
      <c r="W103" s="228"/>
      <c r="X103" s="228"/>
      <c r="Y103" s="130">
        <f t="shared" ref="Y103:AE103" si="17">+Y101*Y102</f>
        <v>1286686.4300000002</v>
      </c>
      <c r="Z103" s="130">
        <f t="shared" si="17"/>
        <v>1304246.6400000001</v>
      </c>
      <c r="AA103" s="130">
        <f t="shared" si="17"/>
        <v>1299197.2</v>
      </c>
      <c r="AB103" s="130">
        <f t="shared" si="17"/>
        <v>1386903</v>
      </c>
      <c r="AC103" s="130">
        <f t="shared" si="17"/>
        <v>1518375.2000000002</v>
      </c>
      <c r="AD103" s="130">
        <f t="shared" si="17"/>
        <v>1619746</v>
      </c>
      <c r="AE103" s="130">
        <f t="shared" si="17"/>
        <v>1804690.8</v>
      </c>
      <c r="AF103" s="130">
        <f t="shared" ref="AF103:AK103" si="18">+AF101*AF102</f>
        <v>1936788.15</v>
      </c>
      <c r="AG103" s="130">
        <f t="shared" si="18"/>
        <v>1968313.66</v>
      </c>
      <c r="AH103" s="130">
        <f t="shared" si="18"/>
        <v>2020165.24</v>
      </c>
      <c r="AI103" s="130">
        <f t="shared" si="18"/>
        <v>2127896.5099999998</v>
      </c>
      <c r="AJ103" s="130">
        <f t="shared" si="18"/>
        <v>2147096.11</v>
      </c>
      <c r="AK103" s="130">
        <f t="shared" si="18"/>
        <v>2597191.71</v>
      </c>
      <c r="AL103" s="130">
        <f>+AL101*AL102</f>
        <v>2599661.88</v>
      </c>
      <c r="AM103" s="130">
        <f>+AM101*AM102</f>
        <v>2853141.3200000003</v>
      </c>
      <c r="AN103" s="130">
        <f>+AN101*AN102</f>
        <v>3295218.5999999996</v>
      </c>
      <c r="AO103" s="130">
        <f>+AO101*AO102</f>
        <v>3360913.38</v>
      </c>
      <c r="AP103" s="130">
        <f t="shared" ref="AP103:AQ103" si="19">+AP101*AP102</f>
        <v>3454655.58</v>
      </c>
      <c r="AQ103" s="130">
        <f t="shared" si="19"/>
        <v>4200769.33</v>
      </c>
      <c r="AR103" s="130">
        <f t="shared" ref="AR103" si="20">+AR101*AR102</f>
        <v>4331293.93</v>
      </c>
      <c r="AS103" s="228"/>
      <c r="AT103" s="228"/>
    </row>
    <row r="104" spans="1:46">
      <c r="A104" s="127"/>
      <c r="B104" s="127" t="s">
        <v>344</v>
      </c>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227">
        <f t="shared" ref="Y104:AE104" si="21">+Y102-Y103</f>
        <v>342030.56999999983</v>
      </c>
      <c r="Z104" s="227">
        <f t="shared" si="21"/>
        <v>411867.35999999987</v>
      </c>
      <c r="AA104" s="227">
        <f t="shared" si="21"/>
        <v>410272.80000000005</v>
      </c>
      <c r="AB104" s="227">
        <f t="shared" si="21"/>
        <v>462301</v>
      </c>
      <c r="AC104" s="227">
        <f t="shared" si="21"/>
        <v>379593.79999999981</v>
      </c>
      <c r="AD104" s="227">
        <f t="shared" si="21"/>
        <v>355554</v>
      </c>
      <c r="AE104" s="227">
        <f t="shared" si="21"/>
        <v>254929.19999999995</v>
      </c>
      <c r="AF104" s="227">
        <f t="shared" ref="AF104:AK104" si="22">+AF102-AF103</f>
        <v>233272.85000000009</v>
      </c>
      <c r="AG104" s="227">
        <f t="shared" si="22"/>
        <v>209416.34000000008</v>
      </c>
      <c r="AH104" s="227">
        <f t="shared" si="22"/>
        <v>214883.76</v>
      </c>
      <c r="AI104" s="227">
        <f t="shared" si="22"/>
        <v>212152.49000000022</v>
      </c>
      <c r="AJ104" s="227">
        <f t="shared" si="22"/>
        <v>289835.89000000013</v>
      </c>
      <c r="AK104" s="227">
        <f t="shared" si="22"/>
        <v>253044.29000000004</v>
      </c>
      <c r="AL104" s="227">
        <f>+AL102-AL103</f>
        <v>354696.12000000011</v>
      </c>
      <c r="AM104" s="227">
        <f>+AM102-AM103</f>
        <v>371100.6799999997</v>
      </c>
      <c r="AN104" s="227">
        <f>+AN102-AN103</f>
        <v>480107.40000000037</v>
      </c>
      <c r="AO104" s="227">
        <f>+AO102-AO103</f>
        <v>449467.62000000011</v>
      </c>
      <c r="AP104" s="227">
        <f t="shared" ref="AP104:AQ104" si="23">+AP102-AP103</f>
        <v>449313.41999999993</v>
      </c>
      <c r="AQ104" s="227">
        <f t="shared" si="23"/>
        <v>444498.66999999993</v>
      </c>
      <c r="AR104" s="227">
        <f t="shared" ref="AR104" si="24">+AR102-AR103</f>
        <v>452017.0700000003</v>
      </c>
      <c r="AS104" s="127"/>
      <c r="AT104" s="127"/>
    </row>
    <row r="105" spans="1:46" s="227" customFormat="1">
      <c r="A105" s="226"/>
      <c r="B105" s="227" t="s">
        <v>343</v>
      </c>
      <c r="K105" s="228"/>
      <c r="L105" s="228"/>
      <c r="M105" s="228"/>
      <c r="N105" s="228"/>
      <c r="O105" s="228"/>
      <c r="P105" s="228"/>
      <c r="Q105" s="228"/>
      <c r="R105" s="228"/>
      <c r="S105" s="228"/>
      <c r="T105" s="228"/>
      <c r="U105" s="228"/>
      <c r="V105" s="228"/>
      <c r="W105" s="228"/>
      <c r="X105" s="228"/>
      <c r="Y105" s="448">
        <f>+Model!Q140</f>
        <v>379000</v>
      </c>
      <c r="Z105" s="448">
        <f>+Model!R140</f>
        <v>238000</v>
      </c>
      <c r="AA105" s="448">
        <f>+Model!S140</f>
        <v>85000</v>
      </c>
      <c r="AB105" s="448">
        <f>+Model!T140</f>
        <v>120000</v>
      </c>
      <c r="AC105" s="448">
        <f>+Model!U140</f>
        <v>96000</v>
      </c>
      <c r="AD105" s="448">
        <f>+Model!V140</f>
        <v>711000</v>
      </c>
      <c r="AE105" s="448">
        <f>+Model!W140</f>
        <v>761000</v>
      </c>
      <c r="AF105" s="448">
        <f>+Model!X140</f>
        <v>706000</v>
      </c>
      <c r="AG105" s="448">
        <f>+Model!Y140</f>
        <v>712000</v>
      </c>
      <c r="AH105" s="448">
        <f>+Model!Z140</f>
        <v>708000</v>
      </c>
      <c r="AI105" s="448">
        <f>+Model!AA140</f>
        <v>904000</v>
      </c>
      <c r="AJ105" s="448">
        <f>+Model!AB140</f>
        <v>790000</v>
      </c>
      <c r="AK105" s="448">
        <f>+Model!AC140</f>
        <v>790000</v>
      </c>
      <c r="AL105" s="448">
        <f>+Model!AD140</f>
        <v>839000</v>
      </c>
      <c r="AM105" s="448">
        <f>+Model!AE140</f>
        <v>852000</v>
      </c>
      <c r="AN105" s="448">
        <f>+Model!AF140</f>
        <v>386000</v>
      </c>
      <c r="AO105" s="448">
        <f>+Model!AG140</f>
        <v>748000</v>
      </c>
      <c r="AP105" s="448">
        <f>+Model!AH140</f>
        <v>1657000</v>
      </c>
      <c r="AQ105" s="448">
        <f>+Model!AI140</f>
        <v>1784000</v>
      </c>
      <c r="AR105" s="448">
        <f>+Model!AJ140</f>
        <v>1447000</v>
      </c>
      <c r="AS105" s="228"/>
      <c r="AT105" s="228"/>
    </row>
    <row r="106" spans="1:46" s="227" customFormat="1">
      <c r="A106" s="226"/>
      <c r="B106" s="227" t="s">
        <v>253</v>
      </c>
      <c r="K106" s="228"/>
      <c r="L106" s="228"/>
      <c r="M106" s="228"/>
      <c r="N106" s="228"/>
      <c r="O106" s="228"/>
      <c r="P106" s="228"/>
      <c r="Q106" s="228"/>
      <c r="R106" s="228"/>
      <c r="S106" s="228"/>
      <c r="T106" s="228"/>
      <c r="U106" s="228"/>
      <c r="V106" s="228"/>
      <c r="W106" s="228"/>
      <c r="X106" s="228"/>
      <c r="Y106" s="448">
        <f>+Model!Q139</f>
        <v>762000</v>
      </c>
      <c r="Z106" s="448">
        <f>+Model!R139</f>
        <v>803000</v>
      </c>
      <c r="AA106" s="448">
        <f>+Model!S139</f>
        <v>820000</v>
      </c>
      <c r="AB106" s="448">
        <f>+Model!T139</f>
        <v>806000</v>
      </c>
      <c r="AC106" s="448">
        <f>+Model!U139</f>
        <v>787000</v>
      </c>
      <c r="AD106" s="448">
        <f>+Model!V139</f>
        <v>626000</v>
      </c>
      <c r="AE106" s="448">
        <f>+Model!W139</f>
        <v>569000</v>
      </c>
      <c r="AF106" s="448">
        <f>+Model!X139</f>
        <v>551000</v>
      </c>
      <c r="AG106" s="448">
        <f>+Model!Y139</f>
        <v>551000</v>
      </c>
      <c r="AH106" s="448">
        <f>+Model!Z139</f>
        <v>489000</v>
      </c>
      <c r="AI106" s="448">
        <f>+Model!AA139</f>
        <v>499000</v>
      </c>
      <c r="AJ106" s="448">
        <f>+Model!AB139</f>
        <v>499000</v>
      </c>
      <c r="AK106" s="448">
        <f>+Model!AC139</f>
        <v>499000</v>
      </c>
      <c r="AL106" s="448">
        <f>+Model!AD139</f>
        <v>574000</v>
      </c>
      <c r="AM106" s="448">
        <f>+Model!AE139</f>
        <v>637000</v>
      </c>
      <c r="AN106" s="448">
        <f>+Model!AF139</f>
        <v>851000</v>
      </c>
      <c r="AO106" s="448">
        <f>+Model!AG139</f>
        <v>230000</v>
      </c>
      <c r="AP106" s="448">
        <f>+Model!AH139</f>
        <v>916000</v>
      </c>
      <c r="AQ106" s="448">
        <f>+Model!AI139</f>
        <v>916000</v>
      </c>
      <c r="AR106" s="448">
        <f>+Model!AJ139</f>
        <v>1323000</v>
      </c>
      <c r="AS106" s="228"/>
      <c r="AT106" s="228"/>
    </row>
    <row r="107" spans="1:46" s="227" customFormat="1">
      <c r="A107" s="226"/>
      <c r="K107" s="228"/>
      <c r="L107" s="228"/>
      <c r="M107" s="228"/>
      <c r="N107" s="228"/>
      <c r="O107" s="228"/>
      <c r="P107" s="228"/>
      <c r="Q107" s="228"/>
      <c r="R107" s="228"/>
      <c r="S107" s="228"/>
      <c r="T107" s="228"/>
      <c r="U107" s="228"/>
      <c r="V107" s="228"/>
      <c r="W107" s="228"/>
      <c r="X107" s="228"/>
      <c r="Y107" s="130">
        <f t="shared" ref="Y107:AE107" si="25">+Y103+Y105+Y106</f>
        <v>2427686.4300000002</v>
      </c>
      <c r="Z107" s="130">
        <f t="shared" si="25"/>
        <v>2345246.64</v>
      </c>
      <c r="AA107" s="130">
        <f t="shared" si="25"/>
        <v>2204197.2000000002</v>
      </c>
      <c r="AB107" s="130">
        <f t="shared" si="25"/>
        <v>2312903</v>
      </c>
      <c r="AC107" s="130">
        <f t="shared" si="25"/>
        <v>2401375.2000000002</v>
      </c>
      <c r="AD107" s="130">
        <f t="shared" si="25"/>
        <v>2956746</v>
      </c>
      <c r="AE107" s="130">
        <f t="shared" si="25"/>
        <v>3134690.8</v>
      </c>
      <c r="AF107" s="130">
        <f t="shared" ref="AF107:AK107" si="26">+AF103+AF105+AF106</f>
        <v>3193788.15</v>
      </c>
      <c r="AG107" s="130">
        <f t="shared" si="26"/>
        <v>3231313.66</v>
      </c>
      <c r="AH107" s="130">
        <f t="shared" si="26"/>
        <v>3217165.24</v>
      </c>
      <c r="AI107" s="130">
        <f t="shared" si="26"/>
        <v>3530896.51</v>
      </c>
      <c r="AJ107" s="130">
        <f t="shared" si="26"/>
        <v>3436096.11</v>
      </c>
      <c r="AK107" s="130">
        <f t="shared" si="26"/>
        <v>3886191.71</v>
      </c>
      <c r="AL107" s="130">
        <f>+AL103+AL105+AL106</f>
        <v>4012661.88</v>
      </c>
      <c r="AM107" s="130">
        <f>+AM103+AM105+AM106</f>
        <v>4342141.32</v>
      </c>
      <c r="AN107" s="130">
        <f>+AN103+AN105+AN106</f>
        <v>4532218.5999999996</v>
      </c>
      <c r="AO107" s="130">
        <f>+AO103+AO105+AO106</f>
        <v>4338913.38</v>
      </c>
      <c r="AP107" s="130">
        <f t="shared" ref="AP107:AQ107" si="27">+AP103+AP105+AP106</f>
        <v>6027655.5800000001</v>
      </c>
      <c r="AQ107" s="130">
        <f t="shared" si="27"/>
        <v>6900769.3300000001</v>
      </c>
      <c r="AR107" s="130">
        <f t="shared" ref="AR107" si="28">+AR103+AR105+AR106</f>
        <v>7101293.9299999997</v>
      </c>
      <c r="AS107" s="228"/>
      <c r="AT107" s="228"/>
    </row>
    <row r="122" spans="1:46">
      <c r="A122" s="222" t="s">
        <v>293</v>
      </c>
      <c r="B122" s="223" t="s">
        <v>348</v>
      </c>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c r="AA122" s="127"/>
      <c r="AB122" s="127"/>
      <c r="AC122" s="127"/>
      <c r="AD122" s="127"/>
      <c r="AE122" s="127"/>
      <c r="AF122" s="127"/>
      <c r="AG122" s="127"/>
      <c r="AH122" s="127"/>
      <c r="AI122" s="127"/>
      <c r="AJ122" s="127"/>
      <c r="AK122" s="127"/>
      <c r="AL122" s="127"/>
      <c r="AM122" s="127"/>
      <c r="AN122" s="127"/>
      <c r="AO122" s="127"/>
      <c r="AP122" s="127"/>
      <c r="AQ122" s="127"/>
      <c r="AR122" s="127"/>
      <c r="AS122" s="127"/>
      <c r="AT122" s="127"/>
    </row>
    <row r="123" spans="1:46">
      <c r="A123" s="222"/>
      <c r="B123" s="472" t="s">
        <v>345</v>
      </c>
      <c r="C123" s="127"/>
      <c r="D123" s="127"/>
      <c r="E123" s="127"/>
      <c r="F123" s="127"/>
      <c r="G123" s="127"/>
      <c r="H123" s="127"/>
      <c r="I123" s="127"/>
      <c r="J123" s="127"/>
      <c r="K123" s="224"/>
      <c r="L123" s="224"/>
      <c r="M123" s="224"/>
      <c r="N123" s="224"/>
      <c r="O123" s="224"/>
      <c r="P123" s="224"/>
      <c r="Q123" s="224"/>
      <c r="R123" s="224"/>
      <c r="S123" s="224"/>
      <c r="T123" s="224"/>
      <c r="U123" s="224"/>
      <c r="V123" s="224"/>
      <c r="W123" s="224"/>
      <c r="X123" s="224"/>
      <c r="Y123" s="229">
        <v>0.38</v>
      </c>
      <c r="Z123" s="229">
        <v>0.37</v>
      </c>
      <c r="AA123" s="229">
        <v>0.36</v>
      </c>
      <c r="AB123" s="229">
        <v>0.36</v>
      </c>
      <c r="AC123" s="229">
        <v>0.34</v>
      </c>
      <c r="AD123" s="229">
        <v>0.34</v>
      </c>
      <c r="AE123" s="229">
        <v>0.32</v>
      </c>
      <c r="AF123" s="229">
        <v>0.31</v>
      </c>
      <c r="AG123" s="229">
        <v>0.3</v>
      </c>
      <c r="AH123" s="229">
        <v>0.3</v>
      </c>
      <c r="AI123" s="229">
        <v>0.3</v>
      </c>
      <c r="AJ123" s="229">
        <v>0.32</v>
      </c>
      <c r="AK123" s="229">
        <v>0.28000000000000003</v>
      </c>
      <c r="AL123" s="229">
        <v>0.33</v>
      </c>
      <c r="AM123" s="224"/>
      <c r="AN123" s="224"/>
      <c r="AO123" s="224"/>
      <c r="AP123" s="224"/>
      <c r="AQ123" s="224"/>
      <c r="AR123" s="224"/>
      <c r="AS123" s="224"/>
      <c r="AT123" s="224"/>
    </row>
    <row r="124" spans="1:46">
      <c r="A124" s="222"/>
      <c r="B124" s="127" t="s">
        <v>262</v>
      </c>
      <c r="C124" s="127"/>
      <c r="D124" s="127"/>
      <c r="E124" s="127"/>
      <c r="F124" s="127"/>
      <c r="G124" s="127"/>
      <c r="H124" s="127"/>
      <c r="I124" s="127"/>
      <c r="J124" s="127"/>
      <c r="K124" s="224"/>
      <c r="L124" s="224"/>
      <c r="M124" s="224"/>
      <c r="N124" s="224"/>
      <c r="O124" s="224"/>
      <c r="P124" s="224"/>
      <c r="Q124" s="224"/>
      <c r="R124" s="224"/>
      <c r="S124" s="224"/>
      <c r="T124" s="224"/>
      <c r="U124" s="224"/>
      <c r="V124" s="224"/>
      <c r="W124" s="224"/>
      <c r="X124" s="224"/>
      <c r="Y124" s="229">
        <v>0.15</v>
      </c>
      <c r="Z124" s="229">
        <v>0.16</v>
      </c>
      <c r="AA124" s="229">
        <v>0.18</v>
      </c>
      <c r="AB124" s="229">
        <v>0.19</v>
      </c>
      <c r="AC124" s="229">
        <v>0.21</v>
      </c>
      <c r="AD124" s="229">
        <v>0.22</v>
      </c>
      <c r="AE124" s="229">
        <v>0.25</v>
      </c>
      <c r="AF124" s="229">
        <v>0.28000000000000003</v>
      </c>
      <c r="AG124" s="229">
        <v>0.3</v>
      </c>
      <c r="AH124" s="229">
        <v>0.28000000000000003</v>
      </c>
      <c r="AI124" s="229">
        <v>0.27</v>
      </c>
      <c r="AJ124" s="229">
        <v>0.25</v>
      </c>
      <c r="AK124" s="229">
        <v>0.2</v>
      </c>
      <c r="AL124" s="229">
        <v>0.2</v>
      </c>
      <c r="AM124" s="224"/>
      <c r="AN124" s="224"/>
      <c r="AO124" s="224"/>
      <c r="AP124" s="224"/>
      <c r="AQ124" s="224"/>
      <c r="AR124" s="224"/>
      <c r="AS124" s="224"/>
      <c r="AT124" s="224"/>
    </row>
    <row r="125" spans="1:46">
      <c r="A125" s="222"/>
      <c r="B125" s="127" t="s">
        <v>259</v>
      </c>
      <c r="C125" s="127"/>
      <c r="D125" s="127"/>
      <c r="E125" s="127"/>
      <c r="F125" s="127"/>
      <c r="G125" s="127"/>
      <c r="H125" s="127"/>
      <c r="I125" s="127"/>
      <c r="J125" s="127"/>
      <c r="K125" s="224"/>
      <c r="L125" s="224"/>
      <c r="M125" s="224"/>
      <c r="N125" s="224"/>
      <c r="O125" s="224"/>
      <c r="P125" s="224"/>
      <c r="Q125" s="224"/>
      <c r="R125" s="224"/>
      <c r="S125" s="224"/>
      <c r="T125" s="224"/>
      <c r="U125" s="224"/>
      <c r="V125" s="224"/>
      <c r="W125" s="224"/>
      <c r="X125" s="224"/>
      <c r="Y125" s="229">
        <v>0.09</v>
      </c>
      <c r="Z125" s="229">
        <v>0.09</v>
      </c>
      <c r="AA125" s="229">
        <v>0.15</v>
      </c>
      <c r="AB125" s="229">
        <v>0.14000000000000001</v>
      </c>
      <c r="AC125" s="229">
        <v>0.13</v>
      </c>
      <c r="AD125" s="229">
        <v>0.13</v>
      </c>
      <c r="AE125" s="229">
        <v>0.14000000000000001</v>
      </c>
      <c r="AF125" s="229">
        <v>0.12</v>
      </c>
      <c r="AG125" s="229">
        <v>0.11</v>
      </c>
      <c r="AH125" s="229">
        <v>0.11</v>
      </c>
      <c r="AI125" s="229">
        <v>0.11</v>
      </c>
      <c r="AJ125" s="229">
        <v>0.1</v>
      </c>
      <c r="AK125" s="229">
        <v>0.21</v>
      </c>
      <c r="AL125" s="229">
        <v>0.18</v>
      </c>
      <c r="AM125" s="224"/>
      <c r="AN125" s="224"/>
      <c r="AO125" s="224"/>
      <c r="AP125" s="224"/>
      <c r="AQ125" s="224"/>
      <c r="AR125" s="224"/>
      <c r="AS125" s="224"/>
      <c r="AT125" s="224"/>
    </row>
    <row r="126" spans="1:46">
      <c r="A126" s="222"/>
      <c r="B126" s="127" t="s">
        <v>458</v>
      </c>
      <c r="C126" s="127"/>
      <c r="D126" s="127"/>
      <c r="E126" s="127"/>
      <c r="F126" s="127"/>
      <c r="G126" s="127"/>
      <c r="H126" s="127"/>
      <c r="I126" s="127"/>
      <c r="J126" s="127"/>
      <c r="K126" s="224"/>
      <c r="L126" s="224"/>
      <c r="M126" s="224"/>
      <c r="N126" s="224"/>
      <c r="O126" s="224"/>
      <c r="P126" s="224"/>
      <c r="Q126" s="224"/>
      <c r="R126" s="224"/>
      <c r="S126" s="224"/>
      <c r="T126" s="224"/>
      <c r="U126" s="224"/>
      <c r="V126" s="224"/>
      <c r="W126" s="224"/>
      <c r="X126" s="224"/>
      <c r="Y126" s="229">
        <v>7.0000000000000007E-2</v>
      </c>
      <c r="Z126" s="229">
        <v>7.0000000000000007E-2</v>
      </c>
      <c r="AA126" s="229">
        <v>0.08</v>
      </c>
      <c r="AB126" s="229">
        <v>0.08</v>
      </c>
      <c r="AC126" s="229">
        <v>0.1</v>
      </c>
      <c r="AD126" s="229">
        <v>0.1</v>
      </c>
      <c r="AE126" s="229">
        <v>0.1</v>
      </c>
      <c r="AF126" s="229">
        <v>0.09</v>
      </c>
      <c r="AG126" s="229">
        <v>0.1</v>
      </c>
      <c r="AH126" s="229">
        <v>0.11</v>
      </c>
      <c r="AI126" s="229">
        <v>0.11</v>
      </c>
      <c r="AJ126" s="229">
        <v>0.11</v>
      </c>
      <c r="AK126" s="229">
        <v>0.09</v>
      </c>
      <c r="AL126" s="229">
        <v>0.09</v>
      </c>
      <c r="AM126" s="224"/>
      <c r="AN126" s="224"/>
      <c r="AO126" s="224"/>
      <c r="AP126" s="224"/>
      <c r="AQ126" s="224"/>
      <c r="AR126" s="224"/>
      <c r="AS126" s="224"/>
      <c r="AT126" s="224"/>
    </row>
    <row r="127" spans="1:46">
      <c r="A127" s="222"/>
      <c r="B127" s="127" t="s">
        <v>346</v>
      </c>
      <c r="C127" s="127"/>
      <c r="D127" s="127"/>
      <c r="E127" s="127"/>
      <c r="F127" s="127"/>
      <c r="G127" s="127"/>
      <c r="H127" s="127"/>
      <c r="I127" s="127"/>
      <c r="J127" s="127"/>
      <c r="K127" s="224"/>
      <c r="L127" s="224"/>
      <c r="M127" s="224"/>
      <c r="N127" s="224"/>
      <c r="O127" s="224"/>
      <c r="P127" s="224"/>
      <c r="Q127" s="224"/>
      <c r="R127" s="224"/>
      <c r="S127" s="224"/>
      <c r="T127" s="224"/>
      <c r="U127" s="224"/>
      <c r="V127" s="224"/>
      <c r="W127" s="224"/>
      <c r="X127" s="224"/>
      <c r="Y127" s="229">
        <v>0.02</v>
      </c>
      <c r="Z127" s="229">
        <v>0.02</v>
      </c>
      <c r="AA127" s="229">
        <v>0.09</v>
      </c>
      <c r="AB127" s="229">
        <v>0.09</v>
      </c>
      <c r="AC127" s="229">
        <v>0.08</v>
      </c>
      <c r="AD127" s="229">
        <v>0.08</v>
      </c>
      <c r="AE127" s="229">
        <v>0.08</v>
      </c>
      <c r="AF127" s="229">
        <v>0.08</v>
      </c>
      <c r="AG127" s="229">
        <v>0.09</v>
      </c>
      <c r="AH127" s="229">
        <v>0.09</v>
      </c>
      <c r="AI127" s="229">
        <v>0.1</v>
      </c>
      <c r="AJ127" s="229">
        <v>0.1</v>
      </c>
      <c r="AK127" s="229">
        <v>0.09</v>
      </c>
      <c r="AL127" s="229">
        <v>0.08</v>
      </c>
      <c r="AM127" s="224"/>
      <c r="AN127" s="224"/>
      <c r="AO127" s="224"/>
      <c r="AP127" s="224"/>
      <c r="AQ127" s="224"/>
      <c r="AR127" s="224"/>
      <c r="AS127" s="224"/>
      <c r="AT127" s="224"/>
    </row>
    <row r="128" spans="1:46">
      <c r="A128" s="222"/>
      <c r="B128" s="127" t="s">
        <v>347</v>
      </c>
      <c r="C128" s="127"/>
      <c r="D128" s="127"/>
      <c r="E128" s="127"/>
      <c r="F128" s="127"/>
      <c r="G128" s="127"/>
      <c r="H128" s="127"/>
      <c r="I128" s="127"/>
      <c r="J128" s="127"/>
      <c r="K128" s="224"/>
      <c r="L128" s="224"/>
      <c r="M128" s="224"/>
      <c r="N128" s="224"/>
      <c r="O128" s="224"/>
      <c r="P128" s="224"/>
      <c r="Q128" s="224"/>
      <c r="R128" s="224"/>
      <c r="S128" s="224"/>
      <c r="T128" s="224"/>
      <c r="U128" s="224"/>
      <c r="V128" s="224"/>
      <c r="W128" s="224"/>
      <c r="X128" s="224"/>
      <c r="Y128" s="229"/>
      <c r="Z128" s="229"/>
      <c r="AA128" s="229">
        <v>0.03</v>
      </c>
      <c r="AB128" s="229">
        <v>0.03</v>
      </c>
      <c r="AC128" s="229">
        <v>0.03</v>
      </c>
      <c r="AD128" s="229">
        <v>0.03</v>
      </c>
      <c r="AE128" s="229">
        <v>0.02</v>
      </c>
      <c r="AF128" s="229">
        <v>0.03</v>
      </c>
      <c r="AG128" s="229">
        <v>0.02</v>
      </c>
      <c r="AH128" s="229">
        <v>0.02</v>
      </c>
      <c r="AI128" s="229">
        <v>0.02</v>
      </c>
      <c r="AJ128" s="229">
        <v>0.02</v>
      </c>
      <c r="AK128" s="229">
        <v>0.03</v>
      </c>
      <c r="AL128" s="229">
        <v>0.03</v>
      </c>
      <c r="AM128" s="224"/>
      <c r="AN128" s="224"/>
      <c r="AO128" s="224"/>
      <c r="AP128" s="224"/>
      <c r="AQ128" s="224"/>
      <c r="AR128" s="224"/>
      <c r="AS128" s="224"/>
      <c r="AT128" s="224"/>
    </row>
    <row r="129" spans="1:46">
      <c r="A129" s="222"/>
      <c r="B129" s="127" t="s">
        <v>12</v>
      </c>
      <c r="C129" s="127"/>
      <c r="D129" s="127"/>
      <c r="E129" s="127"/>
      <c r="F129" s="127"/>
      <c r="G129" s="127"/>
      <c r="H129" s="127"/>
      <c r="I129" s="127"/>
      <c r="J129" s="127"/>
      <c r="K129" s="224"/>
      <c r="L129" s="224"/>
      <c r="M129" s="224"/>
      <c r="N129" s="224"/>
      <c r="O129" s="224"/>
      <c r="P129" s="224"/>
      <c r="Q129" s="224"/>
      <c r="R129" s="224"/>
      <c r="S129" s="224"/>
      <c r="T129" s="224"/>
      <c r="U129" s="224"/>
      <c r="V129" s="224"/>
      <c r="W129" s="224"/>
      <c r="X129" s="224"/>
      <c r="Y129" s="229">
        <v>0.28999999999999998</v>
      </c>
      <c r="Z129" s="229">
        <v>0.28999999999999998</v>
      </c>
      <c r="AA129" s="229">
        <v>0.11</v>
      </c>
      <c r="AB129" s="229">
        <v>0.11</v>
      </c>
      <c r="AC129" s="229">
        <v>0.11</v>
      </c>
      <c r="AD129" s="229">
        <v>0.1</v>
      </c>
      <c r="AE129" s="229">
        <v>0.09</v>
      </c>
      <c r="AF129" s="229">
        <v>0.09</v>
      </c>
      <c r="AG129" s="229">
        <v>0.08</v>
      </c>
      <c r="AH129" s="229">
        <v>0.09</v>
      </c>
      <c r="AI129" s="229">
        <v>0.09</v>
      </c>
      <c r="AJ129" s="229">
        <v>0.09</v>
      </c>
      <c r="AK129" s="229">
        <v>0.09</v>
      </c>
      <c r="AL129" s="229">
        <v>0.09</v>
      </c>
      <c r="AM129" s="224"/>
      <c r="AN129" s="224"/>
      <c r="AO129" s="224"/>
      <c r="AP129" s="224"/>
      <c r="AQ129" s="224"/>
      <c r="AR129" s="224"/>
      <c r="AS129" s="224"/>
      <c r="AT129" s="224"/>
    </row>
    <row r="143" spans="1:46">
      <c r="A143" s="222" t="s">
        <v>293</v>
      </c>
      <c r="B143" s="223" t="s">
        <v>349</v>
      </c>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c r="AA143" s="127"/>
      <c r="AB143" s="127"/>
      <c r="AC143" s="127"/>
      <c r="AD143" s="127"/>
      <c r="AE143" s="127"/>
      <c r="AF143" s="127"/>
      <c r="AG143" s="127"/>
      <c r="AH143" s="127"/>
      <c r="AI143" s="127"/>
      <c r="AJ143" s="127"/>
      <c r="AK143" s="127"/>
      <c r="AL143" s="127"/>
      <c r="AM143" s="127"/>
      <c r="AN143" s="127"/>
      <c r="AO143" s="127"/>
      <c r="AP143" s="127"/>
      <c r="AQ143" s="127"/>
      <c r="AR143" s="127"/>
      <c r="AS143" s="127"/>
      <c r="AT143" s="127"/>
    </row>
    <row r="144" spans="1:46">
      <c r="A144" s="222"/>
      <c r="B144" s="127" t="s">
        <v>351</v>
      </c>
      <c r="C144" s="127"/>
      <c r="D144" s="127"/>
      <c r="E144" s="127"/>
      <c r="F144" s="127"/>
      <c r="G144" s="127"/>
      <c r="H144" s="127"/>
      <c r="I144" s="127"/>
      <c r="J144" s="127"/>
      <c r="K144" s="224"/>
      <c r="L144" s="224"/>
      <c r="M144" s="224"/>
      <c r="N144" s="224"/>
      <c r="O144" s="224"/>
      <c r="P144" s="224"/>
      <c r="Q144" s="224"/>
      <c r="R144" s="224"/>
      <c r="S144" s="224"/>
      <c r="T144" s="224"/>
      <c r="U144" s="224"/>
      <c r="V144" s="224"/>
      <c r="W144" s="224"/>
      <c r="X144" s="224"/>
      <c r="Y144" s="225">
        <v>0.79</v>
      </c>
      <c r="Z144" s="224"/>
      <c r="AA144" s="225">
        <v>0.76</v>
      </c>
      <c r="AB144" s="225">
        <v>0.76</v>
      </c>
      <c r="AC144" s="225">
        <v>0.75</v>
      </c>
      <c r="AD144" s="225">
        <v>0.75</v>
      </c>
      <c r="AE144" s="225">
        <v>0.74</v>
      </c>
      <c r="AF144" s="225">
        <v>0.75</v>
      </c>
      <c r="AG144" s="224"/>
      <c r="AH144" s="224"/>
      <c r="AI144" s="224"/>
      <c r="AJ144" s="224"/>
      <c r="AK144" s="224"/>
      <c r="AL144" s="224"/>
      <c r="AM144" s="224"/>
      <c r="AN144" s="224"/>
      <c r="AO144" s="224"/>
      <c r="AP144" s="224"/>
      <c r="AQ144" s="224"/>
      <c r="AR144" s="224"/>
      <c r="AS144" s="224"/>
      <c r="AT144" s="224"/>
    </row>
    <row r="145" spans="1:46">
      <c r="A145" s="222"/>
      <c r="B145" s="127" t="s">
        <v>352</v>
      </c>
      <c r="C145" s="127"/>
      <c r="D145" s="127"/>
      <c r="E145" s="127"/>
      <c r="F145" s="127"/>
      <c r="G145" s="127"/>
      <c r="H145" s="127"/>
      <c r="I145" s="127"/>
      <c r="J145" s="127"/>
      <c r="K145" s="224"/>
      <c r="L145" s="224"/>
      <c r="M145" s="224"/>
      <c r="N145" s="224"/>
      <c r="O145" s="224"/>
      <c r="P145" s="224"/>
      <c r="Q145" s="224"/>
      <c r="R145" s="224"/>
      <c r="S145" s="224"/>
      <c r="T145" s="224"/>
      <c r="U145" s="224"/>
      <c r="V145" s="224"/>
      <c r="W145" s="224"/>
      <c r="X145" s="224"/>
      <c r="Y145" s="225">
        <v>0.42</v>
      </c>
      <c r="Z145" s="224"/>
      <c r="AA145" s="225"/>
      <c r="AB145" s="225"/>
      <c r="AC145" s="225"/>
      <c r="AD145" s="225"/>
      <c r="AE145" s="225"/>
      <c r="AF145" s="225"/>
      <c r="AG145" s="224"/>
      <c r="AH145" s="224"/>
      <c r="AI145" s="224"/>
      <c r="AJ145" s="224"/>
      <c r="AK145" s="224"/>
      <c r="AL145" s="224"/>
      <c r="AM145" s="224"/>
      <c r="AN145" s="224"/>
      <c r="AO145" s="224"/>
      <c r="AP145" s="224"/>
      <c r="AQ145" s="224"/>
      <c r="AR145" s="224"/>
      <c r="AS145" s="224"/>
      <c r="AT145" s="224"/>
    </row>
    <row r="146" spans="1:46">
      <c r="A146" s="222"/>
      <c r="B146" s="127" t="s">
        <v>350</v>
      </c>
      <c r="C146" s="127"/>
      <c r="D146" s="127"/>
      <c r="E146" s="127"/>
      <c r="F146" s="127"/>
      <c r="G146" s="127"/>
      <c r="H146" s="127"/>
      <c r="I146" s="127"/>
      <c r="J146" s="127"/>
      <c r="K146" s="224"/>
      <c r="L146" s="224"/>
      <c r="M146" s="224"/>
      <c r="N146" s="224"/>
      <c r="O146" s="224"/>
      <c r="P146" s="224"/>
      <c r="Q146" s="224"/>
      <c r="R146" s="224"/>
      <c r="S146" s="224"/>
      <c r="T146" s="224"/>
      <c r="U146" s="224"/>
      <c r="V146" s="224"/>
      <c r="W146" s="224"/>
      <c r="X146" s="224"/>
      <c r="Y146" s="225">
        <v>0.56999999999999995</v>
      </c>
      <c r="Z146" s="224"/>
      <c r="AA146" s="225">
        <v>0.56000000000000005</v>
      </c>
      <c r="AB146" s="225">
        <v>0.56000000000000005</v>
      </c>
      <c r="AC146" s="225">
        <v>0.56999999999999995</v>
      </c>
      <c r="AD146" s="225">
        <v>0.57999999999999996</v>
      </c>
      <c r="AE146" s="225">
        <v>0.56999999999999995</v>
      </c>
      <c r="AF146" s="225">
        <v>0.56999999999999995</v>
      </c>
      <c r="AG146" s="224"/>
      <c r="AH146" s="224"/>
      <c r="AI146" s="224"/>
      <c r="AJ146" s="224"/>
      <c r="AK146" s="224"/>
      <c r="AL146" s="224"/>
      <c r="AM146" s="224"/>
      <c r="AN146" s="224"/>
      <c r="AO146" s="224"/>
      <c r="AP146" s="224"/>
      <c r="AQ146" s="224"/>
      <c r="AR146" s="224"/>
      <c r="AS146" s="224"/>
      <c r="AT146" s="224"/>
    </row>
    <row r="147" spans="1:46">
      <c r="B147" s="207" t="s">
        <v>353</v>
      </c>
    </row>
    <row r="161" spans="1:48">
      <c r="A161" s="222" t="s">
        <v>293</v>
      </c>
      <c r="B161" s="223" t="s">
        <v>354</v>
      </c>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c r="AA161" s="127"/>
      <c r="AB161" s="127"/>
      <c r="AC161" s="127"/>
      <c r="AD161" s="127"/>
      <c r="AE161" s="127"/>
      <c r="AF161" s="127"/>
      <c r="AG161" s="127"/>
      <c r="AH161" s="127"/>
      <c r="AI161" s="127"/>
      <c r="AJ161" s="127"/>
      <c r="AK161" s="127"/>
      <c r="AL161" s="127"/>
      <c r="AM161" s="127"/>
      <c r="AN161" s="127"/>
      <c r="AO161" s="127"/>
      <c r="AP161" s="127"/>
      <c r="AQ161" s="127"/>
      <c r="AR161" s="127"/>
      <c r="AS161" s="127"/>
      <c r="AT161" s="127"/>
    </row>
    <row r="162" spans="1:48">
      <c r="A162" s="222"/>
      <c r="B162" s="127" t="s">
        <v>355</v>
      </c>
      <c r="C162" s="127"/>
      <c r="D162" s="127"/>
      <c r="E162" s="127"/>
      <c r="F162" s="127"/>
      <c r="G162" s="127"/>
      <c r="H162" s="127"/>
      <c r="I162" s="127"/>
      <c r="J162" s="127"/>
      <c r="K162" s="224"/>
      <c r="L162" s="224"/>
      <c r="M162" s="224"/>
      <c r="N162" s="224"/>
      <c r="O162" s="224"/>
      <c r="P162" s="224"/>
      <c r="Q162" s="224"/>
      <c r="R162" s="224"/>
      <c r="S162" s="224"/>
      <c r="T162" s="224"/>
      <c r="U162" s="224"/>
      <c r="V162" s="224"/>
      <c r="W162" s="224"/>
      <c r="X162" s="224"/>
      <c r="Y162" s="225">
        <v>0.10411184431994726</v>
      </c>
      <c r="Z162" s="225">
        <v>7.9644702129558514E-2</v>
      </c>
      <c r="AA162" s="225">
        <v>4.5971600462554066E-2</v>
      </c>
      <c r="AB162" s="225">
        <v>4.971999333056204E-2</v>
      </c>
      <c r="AC162" s="224">
        <f>'Customer Mix'!$G$44</f>
        <v>3.4888344630013848E-2</v>
      </c>
      <c r="AD162" s="224"/>
      <c r="AE162" s="224"/>
      <c r="AF162" s="224"/>
      <c r="AG162" s="224"/>
      <c r="AH162" s="224"/>
      <c r="AI162" s="224"/>
      <c r="AJ162" s="224"/>
      <c r="AK162" s="224"/>
      <c r="AL162" s="224"/>
      <c r="AM162" s="224"/>
      <c r="AN162" s="224"/>
      <c r="AO162" s="224"/>
      <c r="AP162" s="224"/>
      <c r="AQ162" s="224"/>
      <c r="AR162" s="224"/>
      <c r="AS162" s="224"/>
      <c r="AT162" s="224"/>
    </row>
    <row r="163" spans="1:48" hidden="1" outlineLevel="1">
      <c r="A163" s="222"/>
      <c r="B163" s="230">
        <v>2012</v>
      </c>
      <c r="C163" s="127"/>
      <c r="D163" s="127"/>
      <c r="E163" s="127"/>
      <c r="F163" s="127"/>
      <c r="G163" s="127"/>
      <c r="H163" s="127"/>
      <c r="I163" s="127"/>
      <c r="J163" s="127"/>
      <c r="K163" s="224"/>
      <c r="L163" s="224"/>
      <c r="M163" s="224"/>
      <c r="N163" s="224"/>
      <c r="O163" s="224"/>
      <c r="P163" s="224"/>
      <c r="Q163" s="224"/>
      <c r="R163" s="224"/>
      <c r="S163" s="224"/>
      <c r="T163" s="224"/>
      <c r="U163" s="224"/>
      <c r="V163" s="224"/>
      <c r="W163" s="224"/>
      <c r="X163" s="224"/>
      <c r="Y163" s="225">
        <v>0.13177537044360227</v>
      </c>
      <c r="Z163" s="225"/>
      <c r="AA163" s="225"/>
      <c r="AB163" s="225"/>
      <c r="AC163" s="224"/>
      <c r="AD163" s="224"/>
      <c r="AE163" s="224"/>
      <c r="AF163" s="224"/>
      <c r="AG163" s="224"/>
      <c r="AH163" s="224"/>
      <c r="AI163" s="224"/>
      <c r="AJ163" s="224"/>
      <c r="AK163" s="224"/>
      <c r="AL163" s="224"/>
      <c r="AM163" s="224"/>
      <c r="AN163" s="224"/>
      <c r="AO163" s="224"/>
      <c r="AP163" s="224"/>
      <c r="AQ163" s="224"/>
      <c r="AR163" s="224"/>
      <c r="AS163" s="224"/>
      <c r="AT163" s="224"/>
    </row>
    <row r="164" spans="1:48" collapsed="1">
      <c r="A164" s="222"/>
      <c r="B164" s="230">
        <v>2013</v>
      </c>
      <c r="C164" s="127"/>
      <c r="D164" s="127"/>
      <c r="E164" s="127"/>
      <c r="F164" s="127"/>
      <c r="G164" s="127"/>
      <c r="H164" s="127"/>
      <c r="I164" s="127"/>
      <c r="J164" s="127"/>
      <c r="K164" s="224"/>
      <c r="L164" s="224"/>
      <c r="M164" s="224"/>
      <c r="N164" s="224"/>
      <c r="O164" s="224"/>
      <c r="P164" s="224"/>
      <c r="Q164" s="224"/>
      <c r="R164" s="224"/>
      <c r="S164" s="224"/>
      <c r="T164" s="224"/>
      <c r="U164" s="224"/>
      <c r="V164" s="224"/>
      <c r="W164" s="224"/>
      <c r="X164" s="224"/>
      <c r="Y164" s="225">
        <v>0.244961816487059</v>
      </c>
      <c r="Z164" s="225">
        <v>0.36553996843729936</v>
      </c>
      <c r="AA164" s="225">
        <v>0.37460271837978909</v>
      </c>
      <c r="AB164" s="225">
        <v>0.30244447303322874</v>
      </c>
      <c r="AC164" s="224">
        <f>'Customer Mix'!$G$46</f>
        <v>0.2246210717698687</v>
      </c>
      <c r="AD164" s="224"/>
      <c r="AE164" s="224"/>
      <c r="AF164" s="224"/>
      <c r="AG164" s="224"/>
      <c r="AH164" s="224"/>
      <c r="AI164" s="224"/>
      <c r="AJ164" s="224"/>
      <c r="AK164" s="224"/>
      <c r="AL164" s="224"/>
      <c r="AM164" s="224"/>
      <c r="AN164" s="224"/>
      <c r="AO164" s="224"/>
      <c r="AP164" s="224"/>
      <c r="AQ164" s="224"/>
      <c r="AR164" s="224"/>
      <c r="AS164" s="224"/>
      <c r="AT164" s="224"/>
    </row>
    <row r="165" spans="1:48">
      <c r="A165" s="222"/>
      <c r="B165" s="230">
        <v>2014</v>
      </c>
      <c r="C165" s="127"/>
      <c r="D165" s="127"/>
      <c r="E165" s="127"/>
      <c r="F165" s="127"/>
      <c r="G165" s="127"/>
      <c r="H165" s="127"/>
      <c r="I165" s="127"/>
      <c r="J165" s="127"/>
      <c r="K165" s="224"/>
      <c r="L165" s="224"/>
      <c r="M165" s="224"/>
      <c r="N165" s="224"/>
      <c r="O165" s="224"/>
      <c r="P165" s="224"/>
      <c r="Q165" s="224"/>
      <c r="R165" s="224"/>
      <c r="S165" s="224"/>
      <c r="T165" s="224"/>
      <c r="U165" s="224"/>
      <c r="V165" s="224"/>
      <c r="W165" s="224"/>
      <c r="X165" s="224"/>
      <c r="Y165" s="225">
        <v>0.13693069267697042</v>
      </c>
      <c r="Z165" s="225">
        <v>0.14219190033978346</v>
      </c>
      <c r="AA165" s="225">
        <v>0.13075222037765422</v>
      </c>
      <c r="AB165" s="225">
        <v>0.14636837741607975</v>
      </c>
      <c r="AC165" s="224">
        <f>'Customer Mix'!$G$47</f>
        <v>0.17640164952942769</v>
      </c>
      <c r="AD165" s="224"/>
      <c r="AE165" s="224"/>
      <c r="AF165" s="224"/>
      <c r="AG165" s="224"/>
      <c r="AH165" s="224"/>
      <c r="AI165" s="224"/>
      <c r="AJ165" s="224"/>
      <c r="AK165" s="224"/>
      <c r="AL165" s="224"/>
      <c r="AM165" s="224"/>
      <c r="AN165" s="224"/>
      <c r="AO165" s="224"/>
      <c r="AP165" s="224"/>
      <c r="AQ165" s="224"/>
      <c r="AR165" s="224"/>
      <c r="AS165" s="224"/>
      <c r="AT165" s="224"/>
    </row>
    <row r="166" spans="1:48">
      <c r="A166" s="222"/>
      <c r="B166" s="230">
        <v>2015</v>
      </c>
      <c r="C166" s="127"/>
      <c r="D166" s="127"/>
      <c r="E166" s="127"/>
      <c r="F166" s="127"/>
      <c r="G166" s="127"/>
      <c r="H166" s="127"/>
      <c r="I166" s="127"/>
      <c r="J166" s="127"/>
      <c r="K166" s="224"/>
      <c r="L166" s="224"/>
      <c r="M166" s="224"/>
      <c r="N166" s="224"/>
      <c r="O166" s="224"/>
      <c r="P166" s="224"/>
      <c r="Q166" s="224"/>
      <c r="R166" s="224"/>
      <c r="S166" s="224"/>
      <c r="T166" s="224"/>
      <c r="U166" s="224"/>
      <c r="V166" s="224"/>
      <c r="W166" s="224"/>
      <c r="X166" s="224"/>
      <c r="Y166" s="225">
        <v>0.10663041831729887</v>
      </c>
      <c r="Z166" s="225">
        <v>0.12694877418492301</v>
      </c>
      <c r="AA166" s="225">
        <v>0.15764208578413838</v>
      </c>
      <c r="AB166" s="225">
        <v>0.14567038159842882</v>
      </c>
      <c r="AC166" s="224">
        <f>'Customer Mix'!$G$48</f>
        <v>0.15087152065134524</v>
      </c>
      <c r="AD166" s="224"/>
      <c r="AE166" s="224"/>
      <c r="AF166" s="224"/>
      <c r="AG166" s="224"/>
      <c r="AH166" s="224"/>
      <c r="AI166" s="224"/>
      <c r="AJ166" s="224"/>
      <c r="AK166" s="224"/>
      <c r="AL166" s="224"/>
      <c r="AM166" s="224"/>
      <c r="AN166" s="224"/>
      <c r="AO166" s="224"/>
      <c r="AP166" s="224"/>
      <c r="AQ166" s="224"/>
      <c r="AR166" s="224"/>
      <c r="AS166" s="224"/>
      <c r="AT166" s="224"/>
    </row>
    <row r="167" spans="1:48">
      <c r="A167" s="222"/>
      <c r="B167" s="230">
        <v>2016</v>
      </c>
      <c r="C167" s="127"/>
      <c r="D167" s="127"/>
      <c r="E167" s="127"/>
      <c r="F167" s="127"/>
      <c r="G167" s="127"/>
      <c r="H167" s="127"/>
      <c r="I167" s="127"/>
      <c r="J167" s="127"/>
      <c r="K167" s="224"/>
      <c r="L167" s="224"/>
      <c r="M167" s="224"/>
      <c r="N167" s="224"/>
      <c r="O167" s="224"/>
      <c r="P167" s="224"/>
      <c r="Q167" s="224"/>
      <c r="R167" s="224"/>
      <c r="S167" s="224"/>
      <c r="T167" s="224"/>
      <c r="U167" s="224"/>
      <c r="V167" s="224"/>
      <c r="W167" s="224"/>
      <c r="X167" s="224"/>
      <c r="Y167" s="225">
        <v>4.9684996296670343E-2</v>
      </c>
      <c r="Z167" s="225">
        <v>4.8592725943860555E-2</v>
      </c>
      <c r="AA167" s="225">
        <v>5.08413096418453E-2</v>
      </c>
      <c r="AB167" s="225">
        <v>9.5899886961503436E-2</v>
      </c>
      <c r="AC167" s="224">
        <f>'Customer Mix'!$G$49</f>
        <v>0.12191253366441099</v>
      </c>
      <c r="AD167" s="224"/>
      <c r="AE167" s="224"/>
      <c r="AF167" s="224"/>
      <c r="AG167" s="224"/>
      <c r="AH167" s="224"/>
      <c r="AI167" s="224"/>
      <c r="AJ167" s="224"/>
      <c r="AK167" s="224"/>
      <c r="AL167" s="224"/>
      <c r="AM167" s="224"/>
      <c r="AN167" s="224"/>
      <c r="AO167" s="224"/>
      <c r="AP167" s="224"/>
      <c r="AQ167" s="224"/>
      <c r="AR167" s="224"/>
      <c r="AS167" s="224"/>
      <c r="AT167" s="224"/>
    </row>
    <row r="168" spans="1:48">
      <c r="A168" s="222"/>
      <c r="B168" s="230">
        <v>2017</v>
      </c>
      <c r="C168" s="127"/>
      <c r="D168" s="127"/>
      <c r="E168" s="127"/>
      <c r="F168" s="127"/>
      <c r="G168" s="127"/>
      <c r="H168" s="127"/>
      <c r="I168" s="127"/>
      <c r="J168" s="127"/>
      <c r="K168" s="224"/>
      <c r="L168" s="224"/>
      <c r="M168" s="224"/>
      <c r="N168" s="224"/>
      <c r="O168" s="224"/>
      <c r="P168" s="224"/>
      <c r="Q168" s="224"/>
      <c r="R168" s="224"/>
      <c r="S168" s="224"/>
      <c r="T168" s="224"/>
      <c r="U168" s="224"/>
      <c r="V168" s="224"/>
      <c r="W168" s="224"/>
      <c r="X168" s="224"/>
      <c r="Y168" s="225">
        <v>9.347608727206963E-2</v>
      </c>
      <c r="Z168" s="225">
        <v>0.1073103408432708</v>
      </c>
      <c r="AA168" s="225">
        <v>0.10823891637121145</v>
      </c>
      <c r="AB168" s="225">
        <v>0.11272323880617331</v>
      </c>
      <c r="AC168" s="224">
        <f>'Customer Mix'!$G$50</f>
        <v>0.10587231186383204</v>
      </c>
      <c r="AD168" s="224"/>
      <c r="AE168" s="224"/>
      <c r="AF168" s="224"/>
      <c r="AG168" s="224"/>
      <c r="AH168" s="224"/>
      <c r="AI168" s="224"/>
      <c r="AJ168" s="224"/>
      <c r="AK168" s="224"/>
      <c r="AL168" s="224"/>
      <c r="AM168" s="224"/>
      <c r="AN168" s="224"/>
      <c r="AO168" s="224"/>
      <c r="AP168" s="224"/>
      <c r="AQ168" s="224"/>
      <c r="AR168" s="224"/>
      <c r="AS168" s="224"/>
      <c r="AT168" s="224"/>
    </row>
    <row r="169" spans="1:48">
      <c r="A169" s="222"/>
      <c r="B169" s="230">
        <v>2018</v>
      </c>
      <c r="C169" s="127"/>
      <c r="D169" s="127"/>
      <c r="E169" s="127"/>
      <c r="F169" s="127"/>
      <c r="G169" s="127"/>
      <c r="H169" s="127"/>
      <c r="I169" s="127"/>
      <c r="J169" s="127"/>
      <c r="K169" s="224"/>
      <c r="L169" s="224"/>
      <c r="M169" s="224"/>
      <c r="N169" s="224"/>
      <c r="O169" s="224"/>
      <c r="P169" s="224"/>
      <c r="Q169" s="224"/>
      <c r="R169" s="224"/>
      <c r="S169" s="224"/>
      <c r="T169" s="224"/>
      <c r="U169" s="224"/>
      <c r="V169" s="224"/>
      <c r="W169" s="224"/>
      <c r="X169" s="224"/>
      <c r="Y169" s="225">
        <v>2.9632923591321962E-2</v>
      </c>
      <c r="Z169" s="225">
        <v>2.664271229447639E-2</v>
      </c>
      <c r="AA169" s="225">
        <v>3.0695744888079139E-2</v>
      </c>
      <c r="AB169" s="225">
        <v>3.7283199592219825E-2</v>
      </c>
      <c r="AC169" s="224">
        <f>'Customer Mix'!$G$51</f>
        <v>7.3485671167117475E-2</v>
      </c>
      <c r="AD169" s="224"/>
      <c r="AE169" s="224"/>
      <c r="AF169" s="224"/>
      <c r="AG169" s="224"/>
      <c r="AH169" s="224"/>
      <c r="AI169" s="224"/>
      <c r="AJ169" s="224"/>
      <c r="AK169" s="224"/>
      <c r="AL169" s="224"/>
      <c r="AM169" s="224"/>
      <c r="AN169" s="224"/>
      <c r="AO169" s="224"/>
      <c r="AP169" s="224"/>
      <c r="AQ169" s="224"/>
      <c r="AR169" s="224"/>
      <c r="AS169" s="224"/>
      <c r="AT169" s="224"/>
    </row>
    <row r="170" spans="1:48">
      <c r="A170" s="222"/>
      <c r="B170" s="230">
        <v>2019</v>
      </c>
      <c r="C170" s="127"/>
      <c r="D170" s="127"/>
      <c r="E170" s="127"/>
      <c r="F170" s="127"/>
      <c r="G170" s="127"/>
      <c r="H170" s="127"/>
      <c r="I170" s="127"/>
      <c r="J170" s="127"/>
      <c r="K170" s="224"/>
      <c r="L170" s="224"/>
      <c r="M170" s="224"/>
      <c r="N170" s="224"/>
      <c r="O170" s="224"/>
      <c r="P170" s="224"/>
      <c r="Q170" s="224"/>
      <c r="R170" s="224"/>
      <c r="S170" s="224"/>
      <c r="T170" s="224"/>
      <c r="U170" s="224"/>
      <c r="V170" s="224"/>
      <c r="W170" s="224"/>
      <c r="X170" s="224"/>
      <c r="Y170" s="225">
        <v>3.7637505545808247E-2</v>
      </c>
      <c r="Z170" s="225">
        <v>2.3224369871615778E-2</v>
      </c>
      <c r="AA170" s="225">
        <v>2.1546915802199553E-2</v>
      </c>
      <c r="AB170" s="225">
        <v>2.0571302552924577E-2</v>
      </c>
      <c r="AC170" s="224">
        <f>'Customer Mix'!$G$52</f>
        <v>2.110453340861216E-2</v>
      </c>
      <c r="AD170" s="224"/>
      <c r="AE170" s="224"/>
      <c r="AF170" s="224"/>
      <c r="AG170" s="224"/>
      <c r="AH170" s="224"/>
      <c r="AI170" s="224"/>
      <c r="AJ170" s="224"/>
      <c r="AK170" s="224"/>
      <c r="AL170" s="224"/>
      <c r="AM170" s="224"/>
      <c r="AN170" s="224"/>
      <c r="AO170" s="224"/>
      <c r="AP170" s="224"/>
      <c r="AQ170" s="224"/>
      <c r="AR170" s="224"/>
      <c r="AS170" s="224"/>
      <c r="AT170" s="224"/>
    </row>
    <row r="171" spans="1:48" s="127" customFormat="1">
      <c r="A171" s="222"/>
      <c r="B171" s="230">
        <v>2020</v>
      </c>
      <c r="K171" s="224"/>
      <c r="L171" s="224"/>
      <c r="M171" s="224"/>
      <c r="N171" s="224"/>
      <c r="O171" s="224"/>
      <c r="P171" s="224"/>
      <c r="Q171" s="224"/>
      <c r="R171" s="224"/>
      <c r="S171" s="224"/>
      <c r="T171" s="224"/>
      <c r="U171" s="224"/>
      <c r="V171" s="224"/>
      <c r="W171" s="224"/>
      <c r="X171" s="224"/>
      <c r="Y171" s="225">
        <v>2.9819127954031851E-2</v>
      </c>
      <c r="Z171" s="225">
        <v>2.8690124465071798E-2</v>
      </c>
      <c r="AA171" s="225">
        <v>2.6579573807997661E-2</v>
      </c>
      <c r="AB171" s="225">
        <v>3.0580962646181487E-2</v>
      </c>
      <c r="AC171" s="224">
        <f>'Customer Mix'!$G$53</f>
        <v>3.1665753460209396E-2</v>
      </c>
      <c r="AD171" s="224"/>
      <c r="AE171" s="224"/>
      <c r="AF171" s="224"/>
      <c r="AG171" s="224"/>
      <c r="AH171" s="224"/>
      <c r="AI171" s="224"/>
      <c r="AJ171" s="224"/>
      <c r="AK171" s="224"/>
      <c r="AL171" s="224"/>
      <c r="AM171" s="224"/>
      <c r="AN171" s="224"/>
      <c r="AO171" s="224"/>
      <c r="AP171" s="224"/>
      <c r="AQ171" s="224"/>
      <c r="AR171" s="224"/>
      <c r="AS171" s="224"/>
      <c r="AT171" s="224"/>
    </row>
    <row r="172" spans="1:48" s="127" customFormat="1">
      <c r="A172" s="222"/>
      <c r="B172" s="230">
        <v>2021</v>
      </c>
      <c r="K172" s="224"/>
      <c r="L172" s="224"/>
      <c r="M172" s="224"/>
      <c r="N172" s="224"/>
      <c r="O172" s="224"/>
      <c r="P172" s="224"/>
      <c r="Q172" s="224"/>
      <c r="R172" s="224"/>
      <c r="S172" s="224"/>
      <c r="T172" s="224"/>
      <c r="U172" s="224"/>
      <c r="V172" s="224"/>
      <c r="W172" s="224"/>
      <c r="X172" s="224"/>
      <c r="Y172" s="225">
        <v>4.898508987398572E-3</v>
      </c>
      <c r="Z172" s="225">
        <v>2.0284774233803295E-2</v>
      </c>
      <c r="AA172" s="225">
        <v>1.7175054380543977E-2</v>
      </c>
      <c r="AB172" s="225">
        <v>1.7002346172508995E-2</v>
      </c>
      <c r="AC172" s="224">
        <f>'Customer Mix'!$G$54</f>
        <v>1.6059849620285997E-2</v>
      </c>
      <c r="AD172" s="224"/>
      <c r="AE172" s="224"/>
      <c r="AF172" s="224"/>
      <c r="AG172" s="224"/>
      <c r="AH172" s="224"/>
      <c r="AI172" s="224"/>
      <c r="AJ172" s="224"/>
      <c r="AK172" s="224"/>
      <c r="AL172" s="224"/>
      <c r="AM172" s="224"/>
      <c r="AN172" s="224"/>
      <c r="AO172" s="224"/>
      <c r="AP172" s="224"/>
      <c r="AQ172" s="224"/>
      <c r="AR172" s="224"/>
      <c r="AS172" s="224"/>
      <c r="AT172" s="224"/>
    </row>
    <row r="173" spans="1:48" s="127" customFormat="1">
      <c r="A173" s="222"/>
      <c r="B173" s="230">
        <v>2022</v>
      </c>
      <c r="K173" s="224"/>
      <c r="L173" s="224"/>
      <c r="M173" s="224"/>
      <c r="N173" s="224"/>
      <c r="O173" s="224"/>
      <c r="P173" s="224"/>
      <c r="Q173" s="224"/>
      <c r="R173" s="224"/>
      <c r="S173" s="224"/>
      <c r="T173" s="224"/>
      <c r="U173" s="224"/>
      <c r="V173" s="224"/>
      <c r="W173" s="224"/>
      <c r="X173" s="224"/>
      <c r="Y173" s="225">
        <v>3.0440708107821589E-2</v>
      </c>
      <c r="Z173" s="225">
        <v>2.0316374576634509E-2</v>
      </c>
      <c r="AA173" s="225">
        <v>2.397432396049114E-2</v>
      </c>
      <c r="AB173" s="225">
        <v>2.4935826878797702E-2</v>
      </c>
      <c r="AC173" s="224">
        <f>'Customer Mix'!$G$55</f>
        <v>2.7732932043103346E-2</v>
      </c>
      <c r="AD173" s="224"/>
      <c r="AE173" s="224"/>
      <c r="AF173" s="224"/>
      <c r="AG173" s="224"/>
      <c r="AH173" s="224"/>
      <c r="AI173" s="224"/>
      <c r="AJ173" s="224"/>
      <c r="AK173" s="224"/>
      <c r="AL173" s="224"/>
      <c r="AM173" s="224"/>
      <c r="AN173" s="224"/>
      <c r="AO173" s="224"/>
      <c r="AP173" s="224"/>
      <c r="AQ173" s="224"/>
      <c r="AR173" s="224"/>
      <c r="AS173" s="224"/>
      <c r="AT173" s="224"/>
    </row>
    <row r="174" spans="1:48" s="127" customFormat="1">
      <c r="A174" s="222"/>
      <c r="B174" s="230" t="s">
        <v>412</v>
      </c>
      <c r="K174" s="224"/>
      <c r="L174" s="224"/>
      <c r="M174" s="224"/>
      <c r="N174" s="224"/>
      <c r="O174" s="224"/>
      <c r="P174" s="224"/>
      <c r="Q174" s="224"/>
      <c r="R174" s="224"/>
      <c r="S174" s="224"/>
      <c r="T174" s="224"/>
      <c r="U174" s="224"/>
      <c r="V174" s="224"/>
      <c r="W174" s="224"/>
      <c r="X174" s="224"/>
      <c r="Y174" s="224"/>
      <c r="Z174" s="225">
        <v>1.0613232679702525E-2</v>
      </c>
      <c r="AA174" s="225">
        <v>1.1979536143496037E-2</v>
      </c>
      <c r="AB174" s="225">
        <v>1.6800011011391301E-2</v>
      </c>
      <c r="AC174" s="224">
        <f>'Customer Mix'!$G$56</f>
        <v>1.5383828191773122E-2</v>
      </c>
      <c r="AD174" s="224"/>
      <c r="AE174" s="224"/>
      <c r="AF174" s="224"/>
      <c r="AG174" s="224"/>
      <c r="AH174" s="224"/>
      <c r="AI174" s="224"/>
      <c r="AJ174" s="224"/>
      <c r="AK174" s="224"/>
      <c r="AL174" s="224"/>
      <c r="AM174" s="224"/>
      <c r="AN174" s="224"/>
      <c r="AO174" s="224"/>
      <c r="AP174" s="224"/>
      <c r="AQ174" s="224"/>
      <c r="AR174" s="224"/>
      <c r="AS174" s="224"/>
      <c r="AT174" s="224"/>
    </row>
    <row r="175" spans="1:48" s="207" customFormat="1">
      <c r="A175" s="216"/>
      <c r="B175" s="231" t="s">
        <v>356</v>
      </c>
      <c r="K175" s="232"/>
      <c r="L175" s="232"/>
      <c r="M175" s="232"/>
      <c r="N175" s="232"/>
      <c r="O175" s="232"/>
      <c r="P175" s="232"/>
      <c r="Q175" s="232"/>
      <c r="R175" s="232"/>
      <c r="S175" s="232"/>
      <c r="T175" s="232"/>
      <c r="U175" s="232"/>
      <c r="V175" s="232"/>
      <c r="W175" s="232"/>
      <c r="X175" s="232"/>
      <c r="Y175" s="232"/>
      <c r="Z175" s="232"/>
      <c r="AA175" s="232"/>
      <c r="AB175" s="232"/>
      <c r="AC175" s="232"/>
      <c r="AD175" s="232"/>
      <c r="AE175" s="232"/>
      <c r="AF175" s="232"/>
      <c r="AG175" s="232"/>
      <c r="AH175" s="232"/>
      <c r="AI175" s="232"/>
      <c r="AJ175" s="232"/>
      <c r="AK175" s="232"/>
      <c r="AL175" s="232"/>
      <c r="AM175" s="232"/>
      <c r="AN175" s="232"/>
      <c r="AO175" s="232"/>
      <c r="AP175" s="232"/>
      <c r="AQ175" s="232"/>
      <c r="AR175" s="232"/>
      <c r="AS175" s="232"/>
      <c r="AT175" s="232"/>
      <c r="AU175" s="127"/>
      <c r="AV175" s="127"/>
    </row>
    <row r="190" spans="1:54" s="127" customFormat="1">
      <c r="A190" s="222" t="s">
        <v>293</v>
      </c>
      <c r="B190" s="223" t="s">
        <v>0</v>
      </c>
    </row>
    <row r="191" spans="1:54" s="127" customFormat="1">
      <c r="A191" s="222"/>
      <c r="B191" s="472" t="s">
        <v>449</v>
      </c>
      <c r="K191" s="277">
        <f>Model!C130</f>
        <v>0</v>
      </c>
      <c r="L191" s="277">
        <f>Model!D130</f>
        <v>47.240051347881895</v>
      </c>
      <c r="M191" s="277">
        <f>Model!E130</f>
        <v>45.489199491740784</v>
      </c>
      <c r="N191" s="277">
        <f>Model!F130</f>
        <v>47.631241997439183</v>
      </c>
      <c r="O191" s="277">
        <f>Model!G130</f>
        <v>50.505050505050505</v>
      </c>
      <c r="P191" s="277">
        <f>Model!H130</f>
        <v>52.721451440768405</v>
      </c>
      <c r="Q191" s="277">
        <f>Model!I130</f>
        <v>74.626865671641781</v>
      </c>
      <c r="R191" s="277">
        <f>Model!J130</f>
        <v>73.751135331516807</v>
      </c>
      <c r="S191" s="277">
        <f>Model!K130</f>
        <v>75.216637781629117</v>
      </c>
      <c r="T191" s="277">
        <f>Model!L130</f>
        <v>75.60771165129924</v>
      </c>
      <c r="U191" s="277">
        <f>Model!M130</f>
        <v>76.275303643724698</v>
      </c>
      <c r="V191" s="277">
        <f>Model!N130</f>
        <v>75.306748466257673</v>
      </c>
      <c r="W191" s="277">
        <f>Model!O130</f>
        <v>76.723392767332896</v>
      </c>
      <c r="X191" s="277">
        <f>Model!P130</f>
        <v>78.995213072947081</v>
      </c>
      <c r="Y191" s="277">
        <f>Model!Q130</f>
        <v>82.249413236747671</v>
      </c>
      <c r="Z191" s="277">
        <f>Model!R130</f>
        <v>81.367659037859426</v>
      </c>
      <c r="AA191" s="277">
        <f>Model!S130</f>
        <v>81.602222295994622</v>
      </c>
      <c r="AB191" s="277">
        <f>Model!T130</f>
        <v>83.041586109962921</v>
      </c>
      <c r="AC191" s="277">
        <f>Model!U130</f>
        <v>82.874220383792348</v>
      </c>
      <c r="AD191" s="277">
        <f>Model!V130</f>
        <v>83.216737821005978</v>
      </c>
      <c r="AE191" s="277">
        <f>Model!W130</f>
        <v>81.544984311639382</v>
      </c>
      <c r="AF191" s="277">
        <f>Model!X130</f>
        <v>80.358373164701916</v>
      </c>
      <c r="AG191" s="277">
        <f>Model!Y130</f>
        <v>81.41803487049944</v>
      </c>
      <c r="AH191" s="277">
        <f>Model!Z130</f>
        <v>81.450688309867289</v>
      </c>
      <c r="AI191" s="277">
        <f>Model!AA130</f>
        <v>77.874852522226305</v>
      </c>
      <c r="AJ191" s="277">
        <f>Model!AB130</f>
        <v>78.836009937531202</v>
      </c>
      <c r="AK191" s="277">
        <f>Model!AC130</f>
        <v>89.587129977358629</v>
      </c>
      <c r="AL191" s="277">
        <f>Model!AD130</f>
        <v>83.969257794915109</v>
      </c>
      <c r="AM191" s="277">
        <f>Model!AE130</f>
        <v>84.630482872582718</v>
      </c>
      <c r="AN191" s="277">
        <f>Model!AF130</f>
        <v>83.519557015864592</v>
      </c>
      <c r="AO191" s="277">
        <f>Model!AG130</f>
        <v>83.812622683968513</v>
      </c>
      <c r="AP191" s="277">
        <f>Model!AH130</f>
        <v>78.19589326152439</v>
      </c>
      <c r="AQ191" s="277">
        <f>Model!AI130</f>
        <v>75.653328437605296</v>
      </c>
      <c r="AR191" s="277">
        <f>Model!AJ130</f>
        <v>74.651171546480086</v>
      </c>
      <c r="AS191" s="277">
        <f>Model!AK130</f>
        <v>72.154461867382565</v>
      </c>
      <c r="AT191" s="277">
        <f>Model!AL130</f>
        <v>68.393902705171925</v>
      </c>
      <c r="AX191" s="277">
        <f>Model!BL161</f>
        <v>0</v>
      </c>
      <c r="AY191" s="277">
        <f>Model!BM161</f>
        <v>0</v>
      </c>
      <c r="AZ191" s="277">
        <f>Model!BN161</f>
        <v>0</v>
      </c>
      <c r="BA191" s="277">
        <f>Model!BO161</f>
        <v>0</v>
      </c>
      <c r="BB191" s="277">
        <f>Model!BP161</f>
        <v>0</v>
      </c>
    </row>
    <row r="192" spans="1:54" s="276" customFormat="1">
      <c r="A192" s="220"/>
      <c r="B192" s="472" t="s">
        <v>390</v>
      </c>
      <c r="K192" s="279"/>
      <c r="L192" s="279"/>
      <c r="M192" s="279"/>
      <c r="N192" s="279"/>
      <c r="O192" s="279"/>
      <c r="P192" s="279">
        <f t="shared" ref="P192:AA192" si="29">+P191/L191-1</f>
        <v>0.11603289870539646</v>
      </c>
      <c r="Q192" s="279">
        <f t="shared" si="29"/>
        <v>0.64054031518385712</v>
      </c>
      <c r="R192" s="279">
        <f t="shared" si="29"/>
        <v>0.548377330481576</v>
      </c>
      <c r="S192" s="279">
        <f t="shared" si="29"/>
        <v>0.48928942807625653</v>
      </c>
      <c r="T192" s="279">
        <f t="shared" si="29"/>
        <v>0.43409768860865161</v>
      </c>
      <c r="U192" s="279">
        <f t="shared" si="29"/>
        <v>2.2089068825910996E-2</v>
      </c>
      <c r="V192" s="279">
        <f t="shared" si="29"/>
        <v>2.1092734745685959E-2</v>
      </c>
      <c r="W192" s="279">
        <f t="shared" si="29"/>
        <v>2.0032203381361358E-2</v>
      </c>
      <c r="X192" s="279">
        <f t="shared" si="29"/>
        <v>4.480364962334682E-2</v>
      </c>
      <c r="Y192" s="279">
        <f t="shared" si="29"/>
        <v>7.8322986702583641E-2</v>
      </c>
      <c r="Z192" s="279">
        <f t="shared" si="29"/>
        <v>8.0482967264446925E-2</v>
      </c>
      <c r="AA192" s="279">
        <f t="shared" si="29"/>
        <v>6.3589856400863232E-2</v>
      </c>
      <c r="AB192" s="279">
        <f t="shared" ref="AB192:AH192" si="30">+AB191/X191-1</f>
        <v>5.1223015669054073E-2</v>
      </c>
      <c r="AC192" s="279">
        <f t="shared" si="30"/>
        <v>7.5964936703709629E-3</v>
      </c>
      <c r="AD192" s="279">
        <f t="shared" si="30"/>
        <v>2.2724984410405602E-2</v>
      </c>
      <c r="AE192" s="279">
        <f t="shared" si="30"/>
        <v>-7.014267840356192E-4</v>
      </c>
      <c r="AF192" s="279">
        <f t="shared" si="30"/>
        <v>-3.2311677449271214E-2</v>
      </c>
      <c r="AG192" s="279">
        <f t="shared" si="30"/>
        <v>-1.7571031215126709E-2</v>
      </c>
      <c r="AH192" s="279">
        <f t="shared" si="30"/>
        <v>-2.1222287215071467E-2</v>
      </c>
      <c r="AI192" s="279">
        <f t="shared" ref="AI192:AP192" si="31">+AI191/AE191-1</f>
        <v>-4.5007449819194023E-2</v>
      </c>
      <c r="AJ192" s="279">
        <f t="shared" si="31"/>
        <v>-1.8944674552463736E-2</v>
      </c>
      <c r="AK192" s="279">
        <f t="shared" si="31"/>
        <v>0.10033520361738835</v>
      </c>
      <c r="AL192" s="279">
        <f t="shared" si="31"/>
        <v>3.0921402106097506E-2</v>
      </c>
      <c r="AM192" s="279">
        <f t="shared" si="31"/>
        <v>8.6749831705020375E-2</v>
      </c>
      <c r="AN192" s="279">
        <f t="shared" si="31"/>
        <v>5.9408728093222729E-2</v>
      </c>
      <c r="AO192" s="279">
        <f t="shared" si="31"/>
        <v>-6.4456884541892467E-2</v>
      </c>
      <c r="AP192" s="279">
        <f t="shared" si="31"/>
        <v>-6.8755693273977347E-2</v>
      </c>
      <c r="AQ192" s="279">
        <f t="shared" ref="AQ192" si="32">+AQ191/AM191-1</f>
        <v>-0.10607471599202822</v>
      </c>
      <c r="AR192" s="279">
        <f t="shared" ref="AR192" si="33">+AR191/AN191-1</f>
        <v>-0.10618333940276947</v>
      </c>
      <c r="AS192" s="279">
        <f t="shared" ref="AS192" si="34">+AS191/AO191-1</f>
        <v>-0.13909791202388766</v>
      </c>
      <c r="AT192" s="279">
        <f t="shared" ref="AT192" si="35">+AT191/AP191-1</f>
        <v>-0.12535173073053762</v>
      </c>
      <c r="AY192" s="279"/>
      <c r="AZ192" s="279"/>
      <c r="BA192" s="279"/>
      <c r="BB192" s="279"/>
    </row>
    <row r="193" spans="1:46" s="276" customFormat="1">
      <c r="A193" s="220"/>
      <c r="B193" s="472" t="s">
        <v>391</v>
      </c>
      <c r="K193" s="279"/>
      <c r="L193" s="279"/>
      <c r="M193" s="279">
        <f t="shared" ref="M193:AH193" si="36">+M191/L191-1</f>
        <v>-3.7062869454726255E-2</v>
      </c>
      <c r="N193" s="279">
        <f t="shared" si="36"/>
        <v>4.7089034971637966E-2</v>
      </c>
      <c r="O193" s="279">
        <f t="shared" si="36"/>
        <v>6.0334528076463556E-2</v>
      </c>
      <c r="P193" s="279">
        <f t="shared" si="36"/>
        <v>4.3884738527214306E-2</v>
      </c>
      <c r="Q193" s="279">
        <f t="shared" si="36"/>
        <v>0.41549338328599905</v>
      </c>
      <c r="R193" s="279">
        <f t="shared" si="36"/>
        <v>-1.1734786557674681E-2</v>
      </c>
      <c r="S193" s="279">
        <f t="shared" si="36"/>
        <v>1.9870913763222253E-2</v>
      </c>
      <c r="T193" s="279">
        <f t="shared" si="36"/>
        <v>5.1993000645083054E-3</v>
      </c>
      <c r="U193" s="279">
        <f t="shared" si="36"/>
        <v>8.8296812301948968E-3</v>
      </c>
      <c r="V193" s="279">
        <f t="shared" si="36"/>
        <v>-1.2698149088872346E-2</v>
      </c>
      <c r="W193" s="279">
        <f t="shared" si="36"/>
        <v>1.8811651411426489E-2</v>
      </c>
      <c r="X193" s="279">
        <f t="shared" si="36"/>
        <v>2.9610529770282445E-2</v>
      </c>
      <c r="Y193" s="279">
        <f t="shared" si="36"/>
        <v>4.1194903301235986E-2</v>
      </c>
      <c r="Z193" s="279">
        <f t="shared" si="36"/>
        <v>-1.072049227087124E-2</v>
      </c>
      <c r="AA193" s="279">
        <f t="shared" si="36"/>
        <v>2.882757853781337E-3</v>
      </c>
      <c r="AB193" s="279">
        <f t="shared" si="36"/>
        <v>1.7638782051146995E-2</v>
      </c>
      <c r="AC193" s="279">
        <f t="shared" si="36"/>
        <v>-2.0154447188538427E-3</v>
      </c>
      <c r="AD193" s="279">
        <f t="shared" si="36"/>
        <v>4.1329792983562097E-3</v>
      </c>
      <c r="AE193" s="279">
        <f t="shared" si="36"/>
        <v>-2.0089149768913517E-2</v>
      </c>
      <c r="AF193" s="279">
        <f t="shared" si="36"/>
        <v>-1.4551614142233604E-2</v>
      </c>
      <c r="AG193" s="279">
        <f t="shared" si="36"/>
        <v>1.3186699332820684E-2</v>
      </c>
      <c r="AH193" s="279">
        <f t="shared" si="36"/>
        <v>4.0105904569887052E-4</v>
      </c>
      <c r="AI193" s="279">
        <f t="shared" ref="AI193:AP193" si="37">+AI191/AH191-1</f>
        <v>-4.3901848613448591E-2</v>
      </c>
      <c r="AJ193" s="279">
        <f t="shared" si="37"/>
        <v>1.2342333682501261E-2</v>
      </c>
      <c r="AK193" s="279">
        <f t="shared" si="37"/>
        <v>0.13637321381874212</v>
      </c>
      <c r="AL193" s="279">
        <f t="shared" si="37"/>
        <v>-6.270847368213861E-2</v>
      </c>
      <c r="AM193" s="279">
        <f t="shared" si="37"/>
        <v>7.8746090537393787E-3</v>
      </c>
      <c r="AN193" s="279">
        <f t="shared" si="37"/>
        <v>-1.3126781497757811E-2</v>
      </c>
      <c r="AO193" s="279">
        <f t="shared" si="37"/>
        <v>3.5089466296889249E-3</v>
      </c>
      <c r="AP193" s="279">
        <f t="shared" si="37"/>
        <v>-6.7015316339915421E-2</v>
      </c>
      <c r="AQ193" s="279">
        <f t="shared" ref="AQ193" si="38">+AQ191/AP191-1</f>
        <v>-3.2515324243634458E-2</v>
      </c>
      <c r="AR193" s="279">
        <f t="shared" ref="AR193" si="39">+AR191/AQ191-1</f>
        <v>-1.3246699277107643E-2</v>
      </c>
      <c r="AS193" s="279">
        <f t="shared" ref="AS193" si="40">+AS191/AR191-1</f>
        <v>-3.3445016700682229E-2</v>
      </c>
      <c r="AT193" s="279">
        <f t="shared" ref="AT193" si="41">+AT191/AS191-1</f>
        <v>-5.2118179040991475E-2</v>
      </c>
    </row>
    <row r="209" spans="1:54" s="127" customFormat="1">
      <c r="A209" s="222" t="s">
        <v>293</v>
      </c>
      <c r="B209" s="223" t="s">
        <v>0</v>
      </c>
    </row>
    <row r="210" spans="1:54" s="127" customFormat="1">
      <c r="A210" s="222"/>
      <c r="B210" s="472" t="s">
        <v>452</v>
      </c>
      <c r="K210" s="277"/>
      <c r="L210" s="277">
        <f>Model!D132</f>
        <v>186.3291139240506</v>
      </c>
      <c r="M210" s="277">
        <f>Model!E132</f>
        <v>182.65306122448976</v>
      </c>
      <c r="N210" s="277">
        <f>Model!F132</f>
        <v>191.25964010282777</v>
      </c>
      <c r="O210" s="277">
        <f>Model!G132</f>
        <v>198.51116625310172</v>
      </c>
      <c r="P210" s="277">
        <f>Model!H132</f>
        <v>185.01872659176027</v>
      </c>
      <c r="Q210" s="277">
        <f>Model!I132</f>
        <v>297.3977695167286</v>
      </c>
      <c r="R210" s="277">
        <f>Model!J132</f>
        <v>288.45470692717589</v>
      </c>
      <c r="S210" s="277">
        <f>Model!K132</f>
        <v>293.7394247038917</v>
      </c>
      <c r="T210" s="277">
        <f>Model!L132</f>
        <v>299.66777408637876</v>
      </c>
      <c r="U210" s="277">
        <f>Model!M132</f>
        <v>297.63033175355451</v>
      </c>
      <c r="V210" s="277">
        <f>Model!N132</f>
        <v>292.69746646795824</v>
      </c>
      <c r="W210" s="277">
        <f>Model!O132</f>
        <v>303.29246234549134</v>
      </c>
      <c r="X210" s="277">
        <f>Model!P132</f>
        <v>317.62561909424056</v>
      </c>
      <c r="Y210" s="277">
        <f>Model!Q132</f>
        <v>324.60871553791145</v>
      </c>
      <c r="Z210" s="277">
        <f>Model!R132</f>
        <v>319.14578978609666</v>
      </c>
      <c r="AA210" s="277">
        <f>Model!S132</f>
        <v>322.22669908235088</v>
      </c>
      <c r="AB210" s="277">
        <f>Model!T132</f>
        <v>323.78603623081739</v>
      </c>
      <c r="AC210" s="277">
        <f>Model!U132</f>
        <v>320.18193923646453</v>
      </c>
      <c r="AD210" s="277">
        <f>Model!V132</f>
        <v>323.35948590761456</v>
      </c>
      <c r="AE210" s="277">
        <f>Model!W132</f>
        <v>308.01922385733292</v>
      </c>
      <c r="AF210" s="277">
        <f>Model!X132</f>
        <v>318.22064414557752</v>
      </c>
      <c r="AG210" s="277">
        <f>Model!Y132</f>
        <v>321.17679176502708</v>
      </c>
      <c r="AH210" s="277">
        <f>Model!Z132</f>
        <v>322.54166095073856</v>
      </c>
      <c r="AI210" s="277">
        <f>Model!AA132</f>
        <v>305.17850623507377</v>
      </c>
      <c r="AJ210" s="277">
        <f>Model!AB132</f>
        <v>313.42576684837627</v>
      </c>
      <c r="AK210" s="277">
        <f>Model!AC132</f>
        <v>330.61092677437728</v>
      </c>
      <c r="AL210" s="277">
        <f>Model!AD132</f>
        <v>334.90523999596218</v>
      </c>
      <c r="AM210" s="277">
        <f>Model!AE132</f>
        <v>329.36117143535552</v>
      </c>
      <c r="AN210" s="277">
        <f>Model!AF132</f>
        <v>308.88128422059185</v>
      </c>
      <c r="AO210" s="277">
        <f>Model!AG132</f>
        <v>329.3115285055855</v>
      </c>
      <c r="AP210" s="277">
        <f>Model!AH132</f>
        <v>310.93417332328494</v>
      </c>
      <c r="AQ210" s="277">
        <f>Model!AI132</f>
        <v>274.02357123963128</v>
      </c>
      <c r="AR210" s="277">
        <f>Model!AJ132</f>
        <v>291.26267513449932</v>
      </c>
      <c r="AS210" s="277">
        <f>Model!AK132</f>
        <v>273.16664277822042</v>
      </c>
      <c r="AT210" s="277">
        <f>Model!AL132</f>
        <v>266.29125157150105</v>
      </c>
      <c r="AX210" s="277">
        <f>Model!BL188</f>
        <v>0</v>
      </c>
      <c r="AY210" s="277">
        <f>Model!BM188</f>
        <v>0</v>
      </c>
      <c r="AZ210" s="277">
        <f>Model!BN188</f>
        <v>0</v>
      </c>
      <c r="BA210" s="277">
        <f>Model!BO188</f>
        <v>0</v>
      </c>
      <c r="BB210" s="277">
        <f>Model!BP188</f>
        <v>0</v>
      </c>
    </row>
    <row r="211" spans="1:54" s="276" customFormat="1">
      <c r="A211" s="220"/>
      <c r="B211" s="472" t="s">
        <v>390</v>
      </c>
      <c r="K211" s="279"/>
      <c r="L211" s="279"/>
      <c r="M211" s="279"/>
      <c r="N211" s="279"/>
      <c r="O211" s="279"/>
      <c r="P211" s="279">
        <f t="shared" ref="P211:AH211" si="42">+P210/L210-1</f>
        <v>-7.0326494056343059E-3</v>
      </c>
      <c r="Q211" s="279">
        <f t="shared" si="42"/>
        <v>0.6282112521027603</v>
      </c>
      <c r="R211" s="279">
        <f t="shared" si="42"/>
        <v>0.50818388433698147</v>
      </c>
      <c r="S211" s="279">
        <f t="shared" si="42"/>
        <v>0.4797123519458546</v>
      </c>
      <c r="T211" s="279">
        <f t="shared" si="42"/>
        <v>0.61966185589196643</v>
      </c>
      <c r="U211" s="279">
        <f t="shared" si="42"/>
        <v>7.8199052132710278E-4</v>
      </c>
      <c r="V211" s="279">
        <f t="shared" si="42"/>
        <v>1.4708581412933963E-2</v>
      </c>
      <c r="W211" s="279">
        <f t="shared" si="42"/>
        <v>3.2522150035630082E-2</v>
      </c>
      <c r="X211" s="279">
        <f t="shared" si="42"/>
        <v>5.9925846423130924E-2</v>
      </c>
      <c r="Y211" s="279">
        <f t="shared" si="42"/>
        <v>9.0643932778651459E-2</v>
      </c>
      <c r="Z211" s="279">
        <f t="shared" si="42"/>
        <v>9.0360615817061563E-2</v>
      </c>
      <c r="AA211" s="279">
        <f t="shared" si="42"/>
        <v>6.2428972320752507E-2</v>
      </c>
      <c r="AB211" s="279">
        <f t="shared" si="42"/>
        <v>1.9395214888975998E-2</v>
      </c>
      <c r="AC211" s="279">
        <f t="shared" si="42"/>
        <v>-1.3637268777923262E-2</v>
      </c>
      <c r="AD211" s="279">
        <f t="shared" si="42"/>
        <v>1.3203044678552933E-2</v>
      </c>
      <c r="AE211" s="279">
        <f t="shared" si="42"/>
        <v>-4.4091551896470849E-2</v>
      </c>
      <c r="AF211" s="279">
        <f t="shared" si="42"/>
        <v>-1.718848703306175E-2</v>
      </c>
      <c r="AG211" s="279">
        <f t="shared" si="42"/>
        <v>3.1071475515920266E-3</v>
      </c>
      <c r="AH211" s="279">
        <f t="shared" si="42"/>
        <v>-2.5291509682497937E-3</v>
      </c>
      <c r="AI211" s="279">
        <f t="shared" ref="AI211:AP211" si="43">+AI210/AE210-1</f>
        <v>-9.2225335376304729E-3</v>
      </c>
      <c r="AJ211" s="279">
        <f t="shared" si="43"/>
        <v>-1.5067775725473465E-2</v>
      </c>
      <c r="AK211" s="279">
        <f t="shared" si="43"/>
        <v>2.9373651058362205E-2</v>
      </c>
      <c r="AL211" s="279">
        <f t="shared" si="43"/>
        <v>3.8331727469810062E-2</v>
      </c>
      <c r="AM211" s="279">
        <f t="shared" si="43"/>
        <v>7.9241049766638039E-2</v>
      </c>
      <c r="AN211" s="279">
        <f t="shared" si="43"/>
        <v>-1.4499390632369047E-2</v>
      </c>
      <c r="AO211" s="279">
        <f t="shared" si="43"/>
        <v>-3.9302943840042737E-3</v>
      </c>
      <c r="AP211" s="279">
        <f t="shared" si="43"/>
        <v>-7.1575669204119508E-2</v>
      </c>
      <c r="AQ211" s="279">
        <f t="shared" ref="AQ211" si="44">+AQ210/AM210-1</f>
        <v>-0.16801494831513697</v>
      </c>
      <c r="AR211" s="279">
        <f t="shared" ref="AR211" si="45">+AR210/AN210-1</f>
        <v>-5.7040066802849565E-2</v>
      </c>
      <c r="AS211" s="279">
        <f t="shared" ref="AS211" si="46">+AS210/AO210-1</f>
        <v>-0.17049171033322263</v>
      </c>
      <c r="AT211" s="279">
        <f t="shared" ref="AT211" si="47">+AT210/AP210-1</f>
        <v>-0.14357676184202395</v>
      </c>
      <c r="AY211" s="279"/>
      <c r="AZ211" s="279"/>
      <c r="BA211" s="279"/>
      <c r="BB211" s="279"/>
    </row>
    <row r="212" spans="1:54" s="276" customFormat="1">
      <c r="A212" s="220"/>
      <c r="B212" s="472" t="s">
        <v>391</v>
      </c>
      <c r="K212" s="279"/>
      <c r="L212" s="279"/>
      <c r="M212" s="279">
        <f t="shared" ref="M212:AH212" si="48">+M210/L210-1</f>
        <v>-1.9728815439219227E-2</v>
      </c>
      <c r="N212" s="279">
        <f t="shared" si="48"/>
        <v>4.7119817322744506E-2</v>
      </c>
      <c r="O212" s="279">
        <f t="shared" si="48"/>
        <v>3.791456549000749E-2</v>
      </c>
      <c r="P212" s="279">
        <f t="shared" si="48"/>
        <v>-6.7968164794007579E-2</v>
      </c>
      <c r="Q212" s="279">
        <f t="shared" si="48"/>
        <v>0.60739280285357378</v>
      </c>
      <c r="R212" s="279">
        <f t="shared" si="48"/>
        <v>-3.0071047957371033E-2</v>
      </c>
      <c r="S212" s="279">
        <f t="shared" si="48"/>
        <v>1.8320788844156333E-2</v>
      </c>
      <c r="T212" s="279">
        <f t="shared" si="48"/>
        <v>2.0182341503743428E-2</v>
      </c>
      <c r="U212" s="279">
        <f t="shared" si="48"/>
        <v>-6.7990037935709013E-3</v>
      </c>
      <c r="V212" s="279">
        <f t="shared" si="48"/>
        <v>-1.6573798969121256E-2</v>
      </c>
      <c r="W212" s="279">
        <f t="shared" si="48"/>
        <v>3.6197771047987271E-2</v>
      </c>
      <c r="X212" s="279">
        <f t="shared" si="48"/>
        <v>4.725853269779523E-2</v>
      </c>
      <c r="Y212" s="279">
        <f t="shared" si="48"/>
        <v>2.198530604547666E-2</v>
      </c>
      <c r="Z212" s="279">
        <f t="shared" si="48"/>
        <v>-1.6829263942473416E-2</v>
      </c>
      <c r="AA212" s="279">
        <f t="shared" si="48"/>
        <v>9.6536109666969239E-3</v>
      </c>
      <c r="AB212" s="279">
        <f t="shared" si="48"/>
        <v>4.8392549497209281E-3</v>
      </c>
      <c r="AC212" s="279">
        <f t="shared" si="48"/>
        <v>-1.11311069381127E-2</v>
      </c>
      <c r="AD212" s="279">
        <f t="shared" si="48"/>
        <v>9.9241908482643471E-3</v>
      </c>
      <c r="AE212" s="279">
        <f t="shared" si="48"/>
        <v>-4.7440272263002181E-2</v>
      </c>
      <c r="AF212" s="279">
        <f t="shared" si="48"/>
        <v>3.3119427289283854E-2</v>
      </c>
      <c r="AG212" s="279">
        <f t="shared" si="48"/>
        <v>9.2896161007618439E-3</v>
      </c>
      <c r="AH212" s="279">
        <f t="shared" si="48"/>
        <v>4.2495884531719152E-3</v>
      </c>
      <c r="AI212" s="279">
        <f t="shared" ref="AI212:AP212" si="49">+AI210/AH210-1</f>
        <v>-5.3832285306909977E-2</v>
      </c>
      <c r="AJ212" s="279">
        <f t="shared" si="49"/>
        <v>2.7024382270715241E-2</v>
      </c>
      <c r="AK212" s="279">
        <f t="shared" si="49"/>
        <v>5.4830080177532325E-2</v>
      </c>
      <c r="AL212" s="279">
        <f t="shared" si="49"/>
        <v>1.2989023876139205E-2</v>
      </c>
      <c r="AM212" s="279">
        <f t="shared" si="49"/>
        <v>-1.6554140988279231E-2</v>
      </c>
      <c r="AN212" s="279">
        <f t="shared" si="49"/>
        <v>-6.218063630728643E-2</v>
      </c>
      <c r="AO212" s="279">
        <f t="shared" si="49"/>
        <v>6.6142707016211055E-2</v>
      </c>
      <c r="AP212" s="279">
        <f t="shared" si="49"/>
        <v>-5.5805380594165399E-2</v>
      </c>
      <c r="AQ212" s="279">
        <f t="shared" ref="AQ212" si="50">+AQ210/AP210-1</f>
        <v>-0.11870873403573079</v>
      </c>
      <c r="AR212" s="279">
        <f t="shared" ref="AR212" si="51">+AR210/AQ210-1</f>
        <v>6.2911025562076839E-2</v>
      </c>
      <c r="AS212" s="279">
        <f t="shared" ref="AS212" si="52">+AS210/AR210-1</f>
        <v>-6.2129596069673276E-2</v>
      </c>
      <c r="AT212" s="279">
        <f t="shared" ref="AT212" si="53">+AT210/AS210-1</f>
        <v>-2.5169219553287103E-2</v>
      </c>
    </row>
    <row r="227" spans="1:54" s="127" customFormat="1">
      <c r="A227" s="222" t="s">
        <v>293</v>
      </c>
      <c r="B227" s="223" t="s">
        <v>0</v>
      </c>
    </row>
    <row r="228" spans="1:54" s="127" customFormat="1">
      <c r="A228" s="222"/>
      <c r="B228" s="472" t="s">
        <v>451</v>
      </c>
      <c r="K228" s="277"/>
      <c r="L228" s="277"/>
      <c r="M228" s="277"/>
      <c r="N228" s="277"/>
      <c r="O228" s="277"/>
      <c r="P228" s="277"/>
      <c r="Q228" s="277"/>
      <c r="R228" s="277"/>
      <c r="S228" s="277"/>
      <c r="T228" s="277"/>
      <c r="U228" s="277"/>
      <c r="V228" s="277"/>
      <c r="W228" s="277"/>
      <c r="X228" s="277">
        <f>Model!P144</f>
        <v>146.54937289080851</v>
      </c>
      <c r="Y228" s="277">
        <f>Model!Q144</f>
        <v>139.2507108355841</v>
      </c>
      <c r="Z228" s="277">
        <f>Model!R144</f>
        <v>135.18915410048518</v>
      </c>
      <c r="AA228" s="277">
        <f>Model!S144</f>
        <v>140.62838189614325</v>
      </c>
      <c r="AB228" s="277"/>
      <c r="AC228" s="277"/>
      <c r="AD228" s="277"/>
      <c r="AE228" s="277"/>
      <c r="AF228" s="277"/>
      <c r="AG228" s="277"/>
      <c r="AH228" s="277"/>
      <c r="AI228" s="277"/>
      <c r="AJ228" s="277"/>
      <c r="AK228" s="277"/>
      <c r="AL228" s="277"/>
      <c r="AM228" s="277"/>
      <c r="AN228" s="277"/>
      <c r="AO228" s="277"/>
      <c r="AP228" s="277"/>
      <c r="AQ228" s="277"/>
      <c r="AR228" s="277"/>
      <c r="AS228" s="277"/>
      <c r="AT228" s="277"/>
      <c r="AX228" s="277">
        <f>Model!BL206</f>
        <v>0</v>
      </c>
      <c r="AY228" s="277">
        <f>Model!BM206</f>
        <v>0</v>
      </c>
      <c r="AZ228" s="277">
        <f>Model!BN206</f>
        <v>0</v>
      </c>
      <c r="BA228" s="277">
        <f>Model!BO206</f>
        <v>0</v>
      </c>
      <c r="BB228" s="277">
        <f>Model!BP206</f>
        <v>0</v>
      </c>
    </row>
    <row r="229" spans="1:54" s="276" customFormat="1">
      <c r="A229" s="220"/>
      <c r="B229" s="472" t="s">
        <v>390</v>
      </c>
      <c r="K229" s="279"/>
      <c r="L229" s="279"/>
      <c r="M229" s="279"/>
      <c r="N229" s="279"/>
      <c r="O229" s="279"/>
      <c r="P229" s="279"/>
      <c r="Q229" s="279"/>
      <c r="R229" s="279"/>
      <c r="S229" s="279"/>
      <c r="T229" s="279"/>
      <c r="U229" s="279"/>
      <c r="V229" s="279"/>
      <c r="W229" s="279"/>
      <c r="X229" s="279"/>
      <c r="Y229" s="279"/>
      <c r="Z229" s="279"/>
      <c r="AA229" s="279"/>
      <c r="AB229" s="279"/>
      <c r="AC229" s="279"/>
      <c r="AD229" s="279"/>
      <c r="AE229" s="279"/>
      <c r="AF229" s="279"/>
      <c r="AG229" s="279"/>
      <c r="AH229" s="279"/>
      <c r="AI229" s="279"/>
      <c r="AJ229" s="279"/>
      <c r="AK229" s="279"/>
      <c r="AL229" s="279"/>
      <c r="AM229" s="279"/>
      <c r="AN229" s="279"/>
      <c r="AO229" s="279"/>
      <c r="AP229" s="279"/>
      <c r="AQ229" s="279"/>
      <c r="AR229" s="279"/>
      <c r="AS229" s="279"/>
      <c r="AT229" s="279"/>
      <c r="AY229" s="279"/>
      <c r="AZ229" s="279"/>
      <c r="BA229" s="279"/>
      <c r="BB229" s="279"/>
    </row>
    <row r="230" spans="1:54" s="276" customFormat="1">
      <c r="A230" s="220"/>
      <c r="B230" s="472" t="s">
        <v>391</v>
      </c>
      <c r="K230" s="279"/>
      <c r="L230" s="279"/>
      <c r="M230" s="279"/>
      <c r="N230" s="279"/>
      <c r="O230" s="279"/>
      <c r="P230" s="279"/>
      <c r="Q230" s="279"/>
      <c r="R230" s="279"/>
      <c r="S230" s="279"/>
      <c r="T230" s="279"/>
      <c r="U230" s="279"/>
      <c r="V230" s="279"/>
      <c r="W230" s="279"/>
      <c r="X230" s="279"/>
      <c r="Y230" s="279">
        <f>+Y228/X228-1</f>
        <v>-4.9803434236887045E-2</v>
      </c>
      <c r="Z230" s="279">
        <f>+Z228/Y228-1</f>
        <v>-2.9167224430864613E-2</v>
      </c>
      <c r="AA230" s="279">
        <f>+AA228/Z228-1</f>
        <v>4.0234202453956591E-2</v>
      </c>
      <c r="AB230" s="279"/>
      <c r="AC230" s="279"/>
      <c r="AD230" s="279"/>
      <c r="AE230" s="279"/>
      <c r="AF230" s="279"/>
      <c r="AG230" s="279"/>
      <c r="AH230" s="279"/>
      <c r="AI230" s="279"/>
      <c r="AJ230" s="279"/>
      <c r="AK230" s="279"/>
      <c r="AL230" s="279"/>
      <c r="AM230" s="279"/>
      <c r="AN230" s="279"/>
      <c r="AO230" s="279"/>
      <c r="AP230" s="279"/>
      <c r="AQ230" s="279"/>
      <c r="AR230" s="279"/>
      <c r="AS230" s="279"/>
      <c r="AT230" s="279"/>
    </row>
    <row r="245" spans="1:46">
      <c r="A245" s="222" t="s">
        <v>293</v>
      </c>
      <c r="B245" s="223" t="s">
        <v>455</v>
      </c>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c r="AA245" s="127"/>
      <c r="AB245" s="127"/>
      <c r="AC245" s="127"/>
      <c r="AD245" s="127"/>
      <c r="AE245" s="127"/>
      <c r="AF245" s="127"/>
      <c r="AG245" s="127"/>
      <c r="AH245" s="127"/>
      <c r="AI245" s="127"/>
      <c r="AJ245" s="127"/>
      <c r="AK245" s="127"/>
      <c r="AL245" s="127"/>
      <c r="AM245" s="127"/>
      <c r="AN245" s="127"/>
      <c r="AO245" s="127"/>
      <c r="AP245" s="127"/>
      <c r="AQ245" s="127"/>
      <c r="AR245" s="127"/>
      <c r="AS245" s="127"/>
      <c r="AT245" s="127"/>
    </row>
    <row r="246" spans="1:46">
      <c r="A246" s="222"/>
      <c r="B246" s="127" t="s">
        <v>87</v>
      </c>
      <c r="C246" s="127"/>
      <c r="D246" s="127"/>
      <c r="E246" s="127"/>
      <c r="F246" s="127"/>
      <c r="G246" s="127"/>
      <c r="H246" s="127"/>
      <c r="I246" s="127"/>
      <c r="J246" s="127"/>
      <c r="K246" s="224"/>
      <c r="L246" s="224"/>
      <c r="M246" s="224"/>
      <c r="N246" s="224"/>
      <c r="O246" s="224"/>
      <c r="P246" s="224"/>
      <c r="Q246" s="224"/>
      <c r="R246" s="224"/>
      <c r="S246" s="224"/>
      <c r="T246" s="224"/>
      <c r="U246" s="224"/>
      <c r="V246" s="224"/>
      <c r="W246" s="374">
        <f>Model!O147</f>
        <v>2.0150500624999346E-2</v>
      </c>
      <c r="X246" s="374">
        <f>Model!P147</f>
        <v>7.3967432976000058E-2</v>
      </c>
      <c r="Y246" s="374">
        <f>Model!Q147</f>
        <v>6.136355062499943E-2</v>
      </c>
      <c r="Z246" s="374">
        <f>Model!R147</f>
        <v>2.4216865295999979E-2</v>
      </c>
      <c r="AA246" s="374">
        <f>Model!S147</f>
        <v>1.6096256256000085E-2</v>
      </c>
      <c r="AB246" s="374">
        <f>Model!T147</f>
        <v>4.8870932735999961E-2</v>
      </c>
      <c r="AC246" s="374">
        <f>Model!U147</f>
        <v>4.0604010000000024E-2</v>
      </c>
      <c r="AD246" s="374">
        <f>Model!V147</f>
        <v>4.4731338640999763E-2</v>
      </c>
      <c r="AE246" s="374">
        <f>Model!W147</f>
        <v>5.302281656099983E-2</v>
      </c>
      <c r="AF246" s="374">
        <f>Model!X147</f>
        <v>5.718701441600027E-2</v>
      </c>
      <c r="AG246" s="374">
        <f>Model!Y147</f>
        <v>0.12114426328099981</v>
      </c>
      <c r="AH246" s="374">
        <f>Model!Z147</f>
        <v>6.9753735520999616E-2</v>
      </c>
      <c r="AI246" s="374">
        <f>Model!AA147</f>
        <v>0.12988608752099973</v>
      </c>
      <c r="AJ246" s="374">
        <f>Model!AB147</f>
        <v>2.4216865295999979E-2</v>
      </c>
      <c r="AK246" s="374">
        <f>Model!AC147</f>
        <v>2.8295374400999496E-2</v>
      </c>
      <c r="AL246" s="374">
        <f>Model!AD147</f>
        <v>1.6096256256000085E-2</v>
      </c>
      <c r="AM246" s="374">
        <f>Model!AE147</f>
        <v>5.302281656099983E-2</v>
      </c>
      <c r="AN246" s="374">
        <f>Model!AF147</f>
        <v>0.1124532634409996</v>
      </c>
      <c r="AO246" s="374">
        <f>Model!AG147</f>
        <v>0.16088557313600016</v>
      </c>
      <c r="AP246" s="374">
        <f>Model!AH147</f>
        <v>9.0946826256000035E-2</v>
      </c>
      <c r="AQ246" s="374">
        <f>Model!AI147</f>
        <v>5.718701441600027E-2</v>
      </c>
      <c r="AR246" s="374">
        <f>Model!AJ147</f>
        <v>3.2386052096000206E-2</v>
      </c>
      <c r="AS246" s="374">
        <f>Model!AK147</f>
        <v>2.4216865295999979E-2</v>
      </c>
      <c r="AT246" s="374">
        <f>Model!AL147</f>
        <v>4.4731338640999763E-2</v>
      </c>
    </row>
    <row r="261" spans="1:46">
      <c r="A261" s="222" t="s">
        <v>293</v>
      </c>
      <c r="B261" s="223" t="s">
        <v>281</v>
      </c>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c r="AA261" s="127"/>
      <c r="AB261" s="127"/>
      <c r="AC261" s="127"/>
      <c r="AD261" s="127"/>
      <c r="AE261" s="127"/>
      <c r="AF261" s="127"/>
      <c r="AG261" s="127"/>
      <c r="AH261" s="127"/>
      <c r="AI261" s="127"/>
      <c r="AJ261" s="127"/>
      <c r="AK261" s="127"/>
      <c r="AL261" s="127"/>
      <c r="AM261" s="127"/>
      <c r="AN261" s="127"/>
      <c r="AO261" s="127"/>
      <c r="AP261" s="127"/>
      <c r="AQ261" s="127"/>
      <c r="AR261" s="127"/>
      <c r="AS261" s="127"/>
      <c r="AT261" s="127"/>
    </row>
    <row r="262" spans="1:46">
      <c r="A262" s="222"/>
      <c r="B262" s="127" t="s">
        <v>269</v>
      </c>
      <c r="C262" s="127"/>
      <c r="D262" s="127"/>
      <c r="E262" s="127"/>
      <c r="F262" s="127"/>
      <c r="G262" s="127"/>
      <c r="H262" s="127"/>
      <c r="I262" s="127"/>
      <c r="J262" s="127"/>
      <c r="K262" s="224"/>
      <c r="L262" s="224"/>
      <c r="M262" s="224"/>
      <c r="N262" s="224"/>
      <c r="O262" s="224"/>
      <c r="P262" s="224"/>
      <c r="Q262" s="224"/>
      <c r="R262" s="224"/>
      <c r="S262" s="224"/>
      <c r="T262" s="224"/>
      <c r="U262" s="224"/>
      <c r="V262" s="224"/>
      <c r="W262" s="224"/>
      <c r="X262" s="224"/>
      <c r="Y262" s="225"/>
      <c r="Z262" s="225">
        <v>0.14000000000000001</v>
      </c>
      <c r="AA262" s="225">
        <v>0.14000000000000001</v>
      </c>
      <c r="AB262" s="224">
        <f>'Customer Mix'!$H$33</f>
        <v>0.13</v>
      </c>
      <c r="AC262" s="224"/>
      <c r="AD262" s="224"/>
      <c r="AE262" s="224"/>
      <c r="AF262" s="224"/>
      <c r="AG262" s="224"/>
      <c r="AH262" s="224"/>
      <c r="AI262" s="224"/>
      <c r="AJ262" s="224"/>
      <c r="AK262" s="224"/>
      <c r="AL262" s="224"/>
      <c r="AM262" s="224"/>
      <c r="AN262" s="224"/>
      <c r="AO262" s="224"/>
      <c r="AP262" s="224"/>
      <c r="AQ262" s="224"/>
      <c r="AR262" s="224"/>
      <c r="AS262" s="224"/>
      <c r="AT262" s="224"/>
    </row>
    <row r="263" spans="1:46" hidden="1" outlineLevel="1">
      <c r="A263" s="222"/>
      <c r="B263" s="230" t="s">
        <v>270</v>
      </c>
      <c r="C263" s="127"/>
      <c r="D263" s="127"/>
      <c r="E263" s="127"/>
      <c r="F263" s="127"/>
      <c r="G263" s="127"/>
      <c r="H263" s="127"/>
      <c r="I263" s="127"/>
      <c r="J263" s="127"/>
      <c r="K263" s="224"/>
      <c r="L263" s="224"/>
      <c r="M263" s="224"/>
      <c r="N263" s="224"/>
      <c r="O263" s="224"/>
      <c r="P263" s="224"/>
      <c r="Q263" s="224"/>
      <c r="R263" s="224"/>
      <c r="S263" s="224"/>
      <c r="T263" s="224"/>
      <c r="U263" s="224"/>
      <c r="V263" s="224"/>
      <c r="W263" s="224"/>
      <c r="X263" s="224"/>
      <c r="Y263" s="225"/>
      <c r="Z263" s="225">
        <v>0.06</v>
      </c>
      <c r="AA263" s="225">
        <v>7.0000000000000007E-2</v>
      </c>
      <c r="AB263" s="224">
        <f>'Customer Mix'!I34</f>
        <v>0</v>
      </c>
      <c r="AC263" s="224"/>
      <c r="AD263" s="224"/>
      <c r="AE263" s="224"/>
      <c r="AF263" s="224"/>
      <c r="AG263" s="224"/>
      <c r="AH263" s="224"/>
      <c r="AI263" s="224"/>
      <c r="AJ263" s="224"/>
      <c r="AK263" s="224"/>
      <c r="AL263" s="224"/>
      <c r="AM263" s="224"/>
      <c r="AN263" s="224"/>
      <c r="AO263" s="224"/>
      <c r="AP263" s="224"/>
      <c r="AQ263" s="224"/>
      <c r="AR263" s="224"/>
      <c r="AS263" s="224"/>
      <c r="AT263" s="224"/>
    </row>
    <row r="264" spans="1:46" collapsed="1">
      <c r="A264" s="222"/>
      <c r="B264" s="230" t="s">
        <v>271</v>
      </c>
      <c r="C264" s="127"/>
      <c r="D264" s="127"/>
      <c r="E264" s="127"/>
      <c r="F264" s="127"/>
      <c r="G264" s="127"/>
      <c r="H264" s="127"/>
      <c r="I264" s="127"/>
      <c r="J264" s="127"/>
      <c r="K264" s="224"/>
      <c r="L264" s="224"/>
      <c r="M264" s="224"/>
      <c r="N264" s="224"/>
      <c r="O264" s="224"/>
      <c r="P264" s="224"/>
      <c r="Q264" s="224"/>
      <c r="R264" s="224"/>
      <c r="S264" s="224"/>
      <c r="T264" s="224"/>
      <c r="U264" s="224"/>
      <c r="V264" s="224"/>
      <c r="W264" s="224"/>
      <c r="X264" s="224"/>
      <c r="Y264" s="225"/>
      <c r="Z264" s="225">
        <v>0.1</v>
      </c>
      <c r="AA264" s="225">
        <v>0.08</v>
      </c>
      <c r="AB264" s="224">
        <f>'Customer Mix'!$H$35</f>
        <v>0.08</v>
      </c>
      <c r="AC264" s="224"/>
      <c r="AD264" s="224"/>
      <c r="AE264" s="224"/>
      <c r="AF264" s="224"/>
      <c r="AG264" s="224"/>
      <c r="AH264" s="224"/>
      <c r="AI264" s="224"/>
      <c r="AJ264" s="224"/>
      <c r="AK264" s="224"/>
      <c r="AL264" s="224"/>
      <c r="AM264" s="224"/>
      <c r="AN264" s="224"/>
      <c r="AO264" s="224"/>
      <c r="AP264" s="224"/>
      <c r="AQ264" s="224"/>
      <c r="AR264" s="224"/>
      <c r="AS264" s="224"/>
      <c r="AT264" s="224"/>
    </row>
    <row r="265" spans="1:46">
      <c r="A265" s="222"/>
      <c r="B265" s="230" t="s">
        <v>272</v>
      </c>
      <c r="C265" s="127"/>
      <c r="D265" s="127"/>
      <c r="E265" s="127"/>
      <c r="F265" s="127"/>
      <c r="G265" s="127"/>
      <c r="H265" s="127"/>
      <c r="I265" s="127"/>
      <c r="J265" s="127"/>
      <c r="K265" s="224"/>
      <c r="L265" s="224"/>
      <c r="M265" s="224"/>
      <c r="N265" s="224"/>
      <c r="O265" s="224"/>
      <c r="P265" s="224"/>
      <c r="Q265" s="224"/>
      <c r="R265" s="224"/>
      <c r="S265" s="224"/>
      <c r="T265" s="224"/>
      <c r="U265" s="224"/>
      <c r="V265" s="224"/>
      <c r="W265" s="224"/>
      <c r="X265" s="224"/>
      <c r="Y265" s="225"/>
      <c r="Z265" s="225">
        <v>0.13</v>
      </c>
      <c r="AA265" s="225">
        <v>0.14000000000000001</v>
      </c>
      <c r="AB265" s="224">
        <f>'Customer Mix'!$H$36</f>
        <v>0.2</v>
      </c>
      <c r="AC265" s="224"/>
      <c r="AD265" s="224"/>
      <c r="AE265" s="224"/>
      <c r="AF265" s="224"/>
      <c r="AG265" s="224"/>
      <c r="AH265" s="224"/>
      <c r="AI265" s="224"/>
      <c r="AJ265" s="224"/>
      <c r="AK265" s="224"/>
      <c r="AL265" s="224"/>
      <c r="AM265" s="224"/>
      <c r="AN265" s="224"/>
      <c r="AO265" s="224"/>
      <c r="AP265" s="224"/>
      <c r="AQ265" s="224"/>
      <c r="AR265" s="224"/>
      <c r="AS265" s="224"/>
      <c r="AT265" s="224"/>
    </row>
    <row r="266" spans="1:46">
      <c r="A266" s="222"/>
      <c r="B266" s="230" t="s">
        <v>273</v>
      </c>
      <c r="C266" s="127"/>
      <c r="D266" s="127"/>
      <c r="E266" s="127"/>
      <c r="F266" s="127"/>
      <c r="G266" s="127"/>
      <c r="H266" s="127"/>
      <c r="I266" s="127"/>
      <c r="J266" s="127"/>
      <c r="K266" s="224"/>
      <c r="L266" s="224"/>
      <c r="M266" s="224"/>
      <c r="N266" s="224"/>
      <c r="O266" s="224"/>
      <c r="P266" s="224"/>
      <c r="Q266" s="224"/>
      <c r="R266" s="224"/>
      <c r="S266" s="224"/>
      <c r="T266" s="224"/>
      <c r="U266" s="224"/>
      <c r="V266" s="224"/>
      <c r="W266" s="224"/>
      <c r="X266" s="224"/>
      <c r="Y266" s="225"/>
      <c r="Z266" s="225">
        <v>0.56999999999999995</v>
      </c>
      <c r="AA266" s="225">
        <v>0.56999999999999995</v>
      </c>
      <c r="AB266" s="224">
        <f>'Customer Mix'!$H$37</f>
        <v>0.53</v>
      </c>
      <c r="AC266" s="224"/>
      <c r="AD266" s="224"/>
      <c r="AE266" s="224"/>
      <c r="AF266" s="224"/>
      <c r="AG266" s="224"/>
      <c r="AH266" s="224"/>
      <c r="AI266" s="224"/>
      <c r="AJ266" s="224"/>
      <c r="AK266" s="224"/>
      <c r="AL266" s="224"/>
      <c r="AM266" s="224"/>
      <c r="AN266" s="224"/>
      <c r="AO266" s="224"/>
      <c r="AP266" s="224"/>
      <c r="AQ266" s="224"/>
      <c r="AR266" s="224"/>
      <c r="AS266" s="224"/>
      <c r="AT266" s="224"/>
    </row>
    <row r="280" spans="1:46">
      <c r="A280" s="222" t="s">
        <v>293</v>
      </c>
      <c r="B280" s="223" t="s">
        <v>504</v>
      </c>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c r="AA280" s="127"/>
      <c r="AB280" s="127"/>
      <c r="AC280" s="127"/>
      <c r="AD280" s="127"/>
      <c r="AE280" s="127"/>
      <c r="AF280" s="127"/>
      <c r="AG280" s="127"/>
      <c r="AH280" s="127"/>
      <c r="AI280" s="127"/>
      <c r="AJ280" s="127"/>
      <c r="AK280" s="127"/>
      <c r="AL280" s="127"/>
      <c r="AM280" s="127"/>
      <c r="AN280" s="127"/>
      <c r="AO280" s="127"/>
      <c r="AP280" s="127"/>
      <c r="AQ280" s="127"/>
      <c r="AR280" s="127"/>
      <c r="AS280" s="127"/>
      <c r="AT280" s="127"/>
    </row>
    <row r="281" spans="1:46">
      <c r="A281" s="222"/>
      <c r="B281" s="127" t="s">
        <v>87</v>
      </c>
      <c r="C281" s="127"/>
      <c r="D281" s="127"/>
      <c r="E281" s="127"/>
      <c r="F281" s="127"/>
      <c r="G281" s="127"/>
      <c r="H281" s="127"/>
      <c r="I281" s="127"/>
      <c r="J281" s="127"/>
      <c r="K281" s="224"/>
      <c r="L281" s="224"/>
      <c r="M281" s="224"/>
      <c r="N281" s="224"/>
      <c r="O281" s="224"/>
      <c r="P281" s="224"/>
      <c r="Q281" s="224"/>
      <c r="R281" s="224"/>
      <c r="S281" s="224"/>
      <c r="T281" s="224"/>
      <c r="U281" s="224"/>
      <c r="V281" s="224"/>
      <c r="W281" s="374"/>
      <c r="X281" s="374"/>
      <c r="Y281" s="374"/>
      <c r="Z281" s="228">
        <f>Model!R153</f>
        <v>41000</v>
      </c>
      <c r="AA281" s="228">
        <f>Model!S153</f>
        <v>31000</v>
      </c>
      <c r="AB281" s="228">
        <f>Model!T153</f>
        <v>37000</v>
      </c>
      <c r="AC281" s="228">
        <f>Model!U153</f>
        <v>62000</v>
      </c>
      <c r="AD281" s="228">
        <f>Model!V153</f>
        <v>47000</v>
      </c>
      <c r="AE281" s="228">
        <f>Model!W153</f>
        <v>100000</v>
      </c>
      <c r="AF281" s="228">
        <f>Model!X153</f>
        <v>59000</v>
      </c>
      <c r="AG281" s="228">
        <f>Model!Y153</f>
        <v>33000</v>
      </c>
      <c r="AH281" s="228">
        <f>Model!Z153</f>
        <v>44000</v>
      </c>
      <c r="AI281" s="228">
        <f>Model!AA153</f>
        <v>60000</v>
      </c>
      <c r="AJ281" s="228">
        <f>Model!AB153</f>
        <v>48000</v>
      </c>
      <c r="AK281" s="228">
        <f>Model!AC153</f>
        <v>29000</v>
      </c>
      <c r="AL281" s="228">
        <f>Model!AD153</f>
        <v>205000</v>
      </c>
      <c r="AM281" s="228">
        <f>Model!AE153</f>
        <v>181000</v>
      </c>
      <c r="AN281" s="228">
        <f>Model!AF153</f>
        <v>282000</v>
      </c>
      <c r="AO281" s="228">
        <f>Model!AG153</f>
        <v>105000</v>
      </c>
      <c r="AP281" s="228">
        <f>Model!AH153</f>
        <v>74000</v>
      </c>
      <c r="AQ281" s="228">
        <f>Model!AI153</f>
        <v>148000</v>
      </c>
      <c r="AR281" s="228">
        <f>Model!AJ153</f>
        <v>136000</v>
      </c>
      <c r="AS281" s="228">
        <f>Model!AK153</f>
        <v>151000</v>
      </c>
      <c r="AT281" s="228">
        <f>Model!AL153</f>
        <v>86000</v>
      </c>
    </row>
  </sheetData>
  <phoneticPr fontId="0" type="noConversion"/>
  <pageMargins left="0.75" right="0.75" top="1" bottom="1" header="0.5" footer="0.5"/>
  <pageSetup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C3:J59"/>
  <sheetViews>
    <sheetView showGridLines="0" view="pageBreakPreview" zoomScaleNormal="100" workbookViewId="0"/>
  </sheetViews>
  <sheetFormatPr defaultRowHeight="11.25" outlineLevelRow="1"/>
  <cols>
    <col min="3" max="3" width="36.1640625" bestFit="1" customWidth="1"/>
    <col min="4" max="4" width="9.83203125" bestFit="1" customWidth="1"/>
  </cols>
  <sheetData>
    <row r="3" spans="3:6">
      <c r="C3" t="s">
        <v>24</v>
      </c>
      <c r="D3" s="151">
        <f>Model!AL339</f>
        <v>2089.4</v>
      </c>
      <c r="E3" s="451"/>
    </row>
    <row r="4" spans="3:6">
      <c r="C4" t="s">
        <v>17</v>
      </c>
      <c r="D4" s="151">
        <f ca="1">+Model!AL346</f>
        <v>151.9000000000004</v>
      </c>
    </row>
    <row r="5" spans="3:6">
      <c r="C5" t="s">
        <v>473</v>
      </c>
      <c r="D5" s="151">
        <f>+Model!AL356</f>
        <v>10.1</v>
      </c>
    </row>
    <row r="7" spans="3:6">
      <c r="C7" t="s">
        <v>202</v>
      </c>
      <c r="D7" s="149">
        <v>19</v>
      </c>
      <c r="E7" s="150"/>
      <c r="F7" s="150"/>
    </row>
    <row r="8" spans="3:6">
      <c r="C8" t="s">
        <v>399</v>
      </c>
      <c r="D8" s="489">
        <f>+Model!AL79</f>
        <v>96.137873999999996</v>
      </c>
      <c r="E8" s="29"/>
      <c r="F8" s="29"/>
    </row>
    <row r="9" spans="3:6">
      <c r="C9" t="s">
        <v>204</v>
      </c>
      <c r="D9" s="150">
        <f>+D7*D8</f>
        <v>1826.619606</v>
      </c>
      <c r="E9" s="118"/>
      <c r="F9" s="118"/>
    </row>
    <row r="10" spans="3:6">
      <c r="C10" t="s">
        <v>203</v>
      </c>
      <c r="D10" s="159"/>
      <c r="E10" s="118"/>
      <c r="F10" s="118"/>
    </row>
    <row r="11" spans="3:6">
      <c r="D11" s="146"/>
      <c r="E11" s="118"/>
      <c r="F11" s="118"/>
    </row>
    <row r="12" spans="3:6">
      <c r="C12" t="s">
        <v>201</v>
      </c>
      <c r="D12" s="148">
        <f ca="1">+(D3+D5)-D4</f>
        <v>1947.5999999999997</v>
      </c>
    </row>
    <row r="14" spans="3:6">
      <c r="D14" s="141">
        <v>1</v>
      </c>
      <c r="E14" s="141">
        <v>2</v>
      </c>
      <c r="F14" s="141">
        <v>3</v>
      </c>
    </row>
    <row r="15" spans="3:6">
      <c r="C15" s="153" t="s">
        <v>205</v>
      </c>
      <c r="D15" s="154" t="s">
        <v>206</v>
      </c>
      <c r="E15" s="154" t="s">
        <v>207</v>
      </c>
      <c r="F15" s="155" t="s">
        <v>208</v>
      </c>
    </row>
    <row r="16" spans="3:6">
      <c r="D16" s="142"/>
      <c r="E16" s="142"/>
      <c r="F16" s="142"/>
    </row>
    <row r="17" spans="3:10" hidden="1" outlineLevel="1">
      <c r="C17" s="153" t="s">
        <v>520</v>
      </c>
      <c r="D17" s="154"/>
      <c r="E17" s="154"/>
      <c r="F17" s="155"/>
    </row>
    <row r="18" spans="3:10" hidden="1" outlineLevel="1"/>
    <row r="19" spans="3:10" hidden="1" outlineLevel="1">
      <c r="C19" s="152" t="s">
        <v>513</v>
      </c>
      <c r="D19" s="142"/>
      <c r="E19" s="142"/>
      <c r="F19" s="142"/>
    </row>
    <row r="20" spans="3:10" hidden="1" outlineLevel="1">
      <c r="C20" s="451" t="s">
        <v>514</v>
      </c>
      <c r="D20" s="457">
        <f ca="1">+IF(Estimates!$B$3=D$14,Estimates!$AF$20,Valuation!D20)</f>
        <v>267.00000000000006</v>
      </c>
      <c r="E20" s="457">
        <f>+IF(Estimates!$B$3=E$14,Estimates!$AF$20,Valuation!E20)</f>
        <v>267.00000000000006</v>
      </c>
      <c r="F20" s="457">
        <f ca="1">+IF(Estimates!$B$3=F$14,Estimates!$AF$20,Valuation!F20)</f>
        <v>267.00000000000006</v>
      </c>
    </row>
    <row r="21" spans="3:10" hidden="1" outlineLevel="1">
      <c r="C21" t="s">
        <v>112</v>
      </c>
      <c r="D21" s="450">
        <v>15</v>
      </c>
      <c r="E21" s="450">
        <v>13</v>
      </c>
      <c r="F21" s="450">
        <v>12</v>
      </c>
      <c r="H21" s="143"/>
      <c r="I21" s="143"/>
      <c r="J21" s="143"/>
    </row>
    <row r="22" spans="3:10" hidden="1" outlineLevel="1">
      <c r="C22" t="s">
        <v>144</v>
      </c>
      <c r="D22" s="148">
        <f ca="1">+D20*D21</f>
        <v>4005.0000000000009</v>
      </c>
      <c r="E22" s="148">
        <f>+E20*E21</f>
        <v>3471.0000000000009</v>
      </c>
      <c r="F22" s="148">
        <f ca="1">+F20*F21</f>
        <v>3204.0000000000009</v>
      </c>
    </row>
    <row r="23" spans="3:10" hidden="1" outlineLevel="1">
      <c r="C23" t="s">
        <v>201</v>
      </c>
      <c r="D23" s="148">
        <f ca="1">+$D$12</f>
        <v>1947.5999999999997</v>
      </c>
      <c r="E23" s="148">
        <f ca="1">+$D$12</f>
        <v>1947.5999999999997</v>
      </c>
      <c r="F23" s="148">
        <f ca="1">+$D$12</f>
        <v>1947.5999999999997</v>
      </c>
    </row>
    <row r="24" spans="3:10" hidden="1" outlineLevel="1">
      <c r="C24" t="s">
        <v>200</v>
      </c>
      <c r="D24" s="148">
        <f ca="1">+D22-D23</f>
        <v>2057.4000000000015</v>
      </c>
      <c r="E24" s="148">
        <f ca="1">+E22-E23</f>
        <v>1523.4000000000012</v>
      </c>
      <c r="F24" s="148">
        <f ca="1">+F22-F23</f>
        <v>1256.4000000000012</v>
      </c>
    </row>
    <row r="25" spans="3:10" hidden="1" outlineLevel="1">
      <c r="C25" t="s">
        <v>388</v>
      </c>
      <c r="D25" s="29">
        <f>+$D$8</f>
        <v>96.137873999999996</v>
      </c>
      <c r="E25" s="29">
        <f>+$D$8</f>
        <v>96.137873999999996</v>
      </c>
      <c r="F25" s="29">
        <f>+$D$8</f>
        <v>96.137873999999996</v>
      </c>
    </row>
    <row r="26" spans="3:10" hidden="1" outlineLevel="1">
      <c r="C26" s="127" t="s">
        <v>128</v>
      </c>
      <c r="D26" s="157">
        <f ca="1">+D24/(D25)</f>
        <v>21.400514848081638</v>
      </c>
      <c r="E26" s="157">
        <f ca="1">+E24/(E25)</f>
        <v>15.845992184100112</v>
      </c>
      <c r="F26" s="157">
        <f ca="1">+F24/(F25)</f>
        <v>13.068730852109349</v>
      </c>
    </row>
    <row r="27" spans="3:10" hidden="1" outlineLevel="1">
      <c r="D27" s="145"/>
      <c r="E27" s="145"/>
      <c r="F27" s="145"/>
    </row>
    <row r="28" spans="3:10" hidden="1" outlineLevel="1">
      <c r="C28" s="152" t="s">
        <v>515</v>
      </c>
      <c r="D28" s="148"/>
      <c r="E28" s="148"/>
      <c r="F28" s="148"/>
    </row>
    <row r="29" spans="3:10" hidden="1" outlineLevel="1">
      <c r="C29" s="451" t="s">
        <v>515</v>
      </c>
      <c r="D29" s="457">
        <f ca="1">+IF(Estimates!$B$3=D$14,Estimates!$AF$26,Valuation!D29)</f>
        <v>194.30000000000007</v>
      </c>
      <c r="E29" s="457">
        <f>+IF(Estimates!$B$3=E$14,Estimates!$AF$26,Valuation!E29)</f>
        <v>194.30000000000007</v>
      </c>
      <c r="F29" s="457">
        <f ca="1">+IF(Estimates!$B$3=F$14,Estimates!$AF$26,Valuation!F29)</f>
        <v>194.30000000000007</v>
      </c>
    </row>
    <row r="30" spans="3:10" hidden="1" outlineLevel="1">
      <c r="C30" t="s">
        <v>112</v>
      </c>
      <c r="D30" s="450">
        <v>17</v>
      </c>
      <c r="E30" s="450">
        <v>15</v>
      </c>
      <c r="F30" s="450">
        <v>12</v>
      </c>
      <c r="H30" s="143"/>
      <c r="I30" s="143"/>
      <c r="J30" s="143"/>
    </row>
    <row r="31" spans="3:10" hidden="1" outlineLevel="1">
      <c r="C31" t="s">
        <v>200</v>
      </c>
      <c r="D31" s="148">
        <f ca="1">+D29*D30:D30</f>
        <v>3303.1000000000013</v>
      </c>
      <c r="E31" s="148">
        <f>+E29*E30:E30</f>
        <v>2914.5000000000009</v>
      </c>
      <c r="F31" s="148">
        <f ca="1">+F29*F30:F30</f>
        <v>2331.6000000000008</v>
      </c>
    </row>
    <row r="32" spans="3:10" hidden="1" outlineLevel="1">
      <c r="C32" t="s">
        <v>389</v>
      </c>
      <c r="D32" s="29">
        <f>+$D$8</f>
        <v>96.137873999999996</v>
      </c>
      <c r="E32" s="29">
        <f>+$D$8</f>
        <v>96.137873999999996</v>
      </c>
      <c r="F32" s="29">
        <f>+$D$8</f>
        <v>96.137873999999996</v>
      </c>
    </row>
    <row r="33" spans="3:10" hidden="1" outlineLevel="1">
      <c r="C33" s="127" t="s">
        <v>128</v>
      </c>
      <c r="D33" s="157">
        <f ca="1">+D31/(D32)</f>
        <v>34.357947212354638</v>
      </c>
      <c r="E33" s="157">
        <f>+E31/(E32)</f>
        <v>30.315835775607031</v>
      </c>
      <c r="F33" s="157">
        <f ca="1">+F31/(F32)</f>
        <v>24.252668620485625</v>
      </c>
    </row>
    <row r="34" spans="3:10" hidden="1" outlineLevel="1">
      <c r="D34" s="145">
        <f ca="1">+AVERAGE(D33,D26)</f>
        <v>27.879231030218136</v>
      </c>
      <c r="E34" s="145">
        <f ca="1">+AVERAGE(E33,E26)</f>
        <v>23.08091397985357</v>
      </c>
      <c r="F34" s="145">
        <f ca="1">+AVERAGE(F33,F26)</f>
        <v>18.660699736297488</v>
      </c>
    </row>
    <row r="35" spans="3:10" hidden="1" outlineLevel="1">
      <c r="C35" s="8" t="s">
        <v>400</v>
      </c>
      <c r="D35" s="156">
        <f ca="1">+ROUND(AVERAGE(D33,D26),0)</f>
        <v>28</v>
      </c>
      <c r="E35" s="156">
        <f ca="1">+ROUND(AVERAGE(E33,E26),0)</f>
        <v>23</v>
      </c>
      <c r="F35" s="156">
        <f ca="1">+ROUND(AVERAGE(F33,F26),0)</f>
        <v>19</v>
      </c>
    </row>
    <row r="36" spans="3:10" hidden="1" outlineLevel="1">
      <c r="C36" s="451" t="s">
        <v>516</v>
      </c>
      <c r="D36" s="158">
        <f ca="1">+(D35*(D25)+D23)/D20</f>
        <v>17.376256449438198</v>
      </c>
      <c r="E36" s="158">
        <f ca="1">+(E35*(E25)+E23)/E20</f>
        <v>15.575921730337074</v>
      </c>
      <c r="F36" s="158">
        <f ca="1">+(F35*(F25)+F23)/F20</f>
        <v>14.135653955056176</v>
      </c>
    </row>
    <row r="37" spans="3:10" hidden="1" outlineLevel="1">
      <c r="C37" s="451" t="s">
        <v>517</v>
      </c>
      <c r="D37" s="158">
        <f ca="1">+D35*(D32)/D29</f>
        <v>13.854145506948013</v>
      </c>
      <c r="E37" s="158">
        <f ca="1">+E35*(E32)/E29</f>
        <v>11.380190952135868</v>
      </c>
      <c r="F37" s="158">
        <f ca="1">+F35*(F32)/F29</f>
        <v>9.4010273082861513</v>
      </c>
    </row>
    <row r="38" spans="3:10" collapsed="1"/>
    <row r="39" spans="3:10">
      <c r="C39" s="153" t="s">
        <v>698</v>
      </c>
      <c r="D39" s="154"/>
      <c r="E39" s="154"/>
      <c r="F39" s="155"/>
    </row>
    <row r="41" spans="3:10">
      <c r="C41" s="152" t="s">
        <v>699</v>
      </c>
      <c r="D41" s="142"/>
      <c r="E41" s="142"/>
      <c r="F41" s="142"/>
    </row>
    <row r="42" spans="3:10">
      <c r="C42" s="451" t="s">
        <v>700</v>
      </c>
      <c r="D42" s="457">
        <f ca="1">+IF(Estimates!$B$3=D$14,Estimates!$AX$20,Valuation!D42)</f>
        <v>556.03265197789995</v>
      </c>
      <c r="E42" s="457">
        <f ca="1">+IF(Estimates!$B$3=E$14,Estimates!$AX$20,Valuation!E42)</f>
        <v>527.78731887379968</v>
      </c>
      <c r="F42" s="457">
        <f ca="1">+IF(Estimates!$B$3=F$14,Estimates!$AX$20,Valuation!F42)</f>
        <v>463.9207596823037</v>
      </c>
    </row>
    <row r="43" spans="3:10">
      <c r="C43" t="s">
        <v>112</v>
      </c>
      <c r="D43" s="450">
        <v>20</v>
      </c>
      <c r="E43" s="450">
        <v>17</v>
      </c>
      <c r="F43" s="450">
        <v>14</v>
      </c>
      <c r="H43" s="143"/>
      <c r="I43" s="143"/>
      <c r="J43" s="143"/>
    </row>
    <row r="44" spans="3:10">
      <c r="C44" t="s">
        <v>144</v>
      </c>
      <c r="D44" s="148">
        <f ca="1">+D42*D43</f>
        <v>11120.653039557999</v>
      </c>
      <c r="E44" s="148">
        <f ca="1">+E42*E43</f>
        <v>8972.3844208545943</v>
      </c>
      <c r="F44" s="148">
        <f ca="1">+F42*F43</f>
        <v>6494.8906355522522</v>
      </c>
    </row>
    <row r="45" spans="3:10">
      <c r="C45" t="s">
        <v>201</v>
      </c>
      <c r="D45" s="148">
        <f ca="1">+$D$12</f>
        <v>1947.5999999999997</v>
      </c>
      <c r="E45" s="148">
        <f ca="1">+$D$12</f>
        <v>1947.5999999999997</v>
      </c>
      <c r="F45" s="148">
        <f ca="1">+$D$12</f>
        <v>1947.5999999999997</v>
      </c>
    </row>
    <row r="46" spans="3:10">
      <c r="C46" t="s">
        <v>200</v>
      </c>
      <c r="D46" s="148">
        <f ca="1">+D44-D45</f>
        <v>9173.053039557999</v>
      </c>
      <c r="E46" s="148">
        <f ca="1">+E44-E45</f>
        <v>7024.7844208545948</v>
      </c>
      <c r="F46" s="148">
        <f ca="1">+F44-F45</f>
        <v>4547.2906355522528</v>
      </c>
    </row>
    <row r="47" spans="3:10">
      <c r="C47" t="s">
        <v>388</v>
      </c>
      <c r="D47" s="29">
        <f>+$D$8</f>
        <v>96.137873999999996</v>
      </c>
      <c r="E47" s="29">
        <f>+$D$8</f>
        <v>96.137873999999996</v>
      </c>
      <c r="F47" s="29">
        <f>+$D$8</f>
        <v>96.137873999999996</v>
      </c>
    </row>
    <row r="48" spans="3:10">
      <c r="C48" s="127" t="s">
        <v>128</v>
      </c>
      <c r="D48" s="157">
        <f ca="1">+D46/(D47)</f>
        <v>95.415601135073985</v>
      </c>
      <c r="E48" s="157">
        <f ca="1">+E46/(E47)</f>
        <v>73.069895646481584</v>
      </c>
      <c r="F48" s="157">
        <f ca="1">+F46/(F47)</f>
        <v>47.299679578438074</v>
      </c>
    </row>
    <row r="49" spans="3:10">
      <c r="D49" s="145"/>
      <c r="E49" s="145"/>
      <c r="F49" s="145"/>
    </row>
    <row r="50" spans="3:10">
      <c r="C50" s="152" t="s">
        <v>701</v>
      </c>
      <c r="D50" s="148"/>
      <c r="E50" s="148"/>
      <c r="F50" s="148"/>
    </row>
    <row r="51" spans="3:10">
      <c r="C51" s="451" t="s">
        <v>701</v>
      </c>
      <c r="D51" s="457">
        <f ca="1">+IF(Estimates!$B$3=D$14,Estimates!$AX$26,Valuation!D51)</f>
        <v>370.61721152517953</v>
      </c>
      <c r="E51" s="457">
        <f ca="1">+IF(Estimates!$B$3=E$14,Estimates!$AX$26,Valuation!E51)</f>
        <v>349.06864627646087</v>
      </c>
      <c r="F51" s="457">
        <f ca="1">+IF(Estimates!$B$3=F$14,Estimates!$AX$26,Valuation!F51)</f>
        <v>305.16242390439089</v>
      </c>
    </row>
    <row r="52" spans="3:10">
      <c r="C52" t="s">
        <v>112</v>
      </c>
      <c r="D52" s="450">
        <v>20.5</v>
      </c>
      <c r="E52" s="450">
        <v>17.5</v>
      </c>
      <c r="F52" s="450">
        <v>14.5</v>
      </c>
      <c r="H52" s="143"/>
      <c r="I52" s="143"/>
      <c r="J52" s="143"/>
    </row>
    <row r="53" spans="3:10">
      <c r="C53" t="s">
        <v>200</v>
      </c>
      <c r="D53" s="148">
        <f ca="1">+D51*D52:D52</f>
        <v>7597.6528362661802</v>
      </c>
      <c r="E53" s="148">
        <f ca="1">+E51*E52:E52</f>
        <v>6108.7013098380648</v>
      </c>
      <c r="F53" s="148">
        <f ca="1">+F51*F52:F52</f>
        <v>4424.8551466136678</v>
      </c>
    </row>
    <row r="54" spans="3:10">
      <c r="C54" t="s">
        <v>389</v>
      </c>
      <c r="D54" s="29">
        <f>+$D$8</f>
        <v>96.137873999999996</v>
      </c>
      <c r="E54" s="29">
        <f>+$D$8</f>
        <v>96.137873999999996</v>
      </c>
      <c r="F54" s="29">
        <f>+$D$8</f>
        <v>96.137873999999996</v>
      </c>
    </row>
    <row r="55" spans="3:10">
      <c r="C55" s="127" t="s">
        <v>128</v>
      </c>
      <c r="D55" s="157">
        <f ca="1">+D53/(D54)</f>
        <v>79.028716988958806</v>
      </c>
      <c r="E55" s="157">
        <f ca="1">+E53/(E54)</f>
        <v>63.541048451290543</v>
      </c>
      <c r="F55" s="157">
        <f ca="1">+F53/(F54)</f>
        <v>46.026138945132779</v>
      </c>
    </row>
    <row r="56" spans="3:10">
      <c r="D56" s="145">
        <f ca="1">+AVERAGE(D55,D48)</f>
        <v>87.222159062016402</v>
      </c>
      <c r="E56" s="145">
        <f ca="1">+AVERAGE(E55,E48)</f>
        <v>68.30547204888606</v>
      </c>
      <c r="F56" s="145">
        <f ca="1">+AVERAGE(F55,F48)</f>
        <v>46.66290926178543</v>
      </c>
    </row>
    <row r="57" spans="3:10">
      <c r="C57" s="8" t="s">
        <v>400</v>
      </c>
      <c r="D57" s="156">
        <f ca="1">+ROUND(AVERAGE(D55,D48),0)</f>
        <v>87</v>
      </c>
      <c r="E57" s="156">
        <f ca="1">+ROUND(AVERAGE(E55,E48),0)</f>
        <v>68</v>
      </c>
      <c r="F57" s="156">
        <f ca="1">+ROUND(AVERAGE(F55,F48),0)</f>
        <v>47</v>
      </c>
    </row>
    <row r="58" spans="3:10">
      <c r="C58" s="451" t="s">
        <v>702</v>
      </c>
      <c r="D58" s="158">
        <f ca="1">+(D57*(D47)+D45)/D42</f>
        <v>18.544945159821015</v>
      </c>
      <c r="E58" s="158">
        <f ca="1">+(E57*(E47)+E45)/E42</f>
        <v>16.076504926464253</v>
      </c>
      <c r="F58" s="158">
        <f ca="1">+(F57*(F47)+F45)/F42</f>
        <v>13.937897675516865</v>
      </c>
    </row>
    <row r="59" spans="3:10">
      <c r="C59" s="451" t="s">
        <v>703</v>
      </c>
      <c r="D59" s="158">
        <f ca="1">+D57*(D54)/D51</f>
        <v>22.567745851791759</v>
      </c>
      <c r="E59" s="158">
        <f ca="1">+E57*(E54)/E51</f>
        <v>18.728051063120766</v>
      </c>
      <c r="F59" s="158">
        <f ca="1">+F57*(F54)/F51</f>
        <v>14.806803603761074</v>
      </c>
    </row>
  </sheetData>
  <phoneticPr fontId="0" type="noConversion"/>
  <pageMargins left="0.7" right="0.7" top="0.75" bottom="0.75" header="0.3" footer="0.3"/>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43"/>
  <sheetViews>
    <sheetView workbookViewId="0">
      <selection activeCell="B42" sqref="B42"/>
    </sheetView>
  </sheetViews>
  <sheetFormatPr defaultRowHeight="12.75"/>
  <cols>
    <col min="1" max="1" width="34.5" style="529" bestFit="1" customWidth="1"/>
    <col min="2" max="2" width="23.1640625" style="578" customWidth="1"/>
    <col min="3" max="3" width="14" style="529" bestFit="1" customWidth="1"/>
    <col min="4" max="256" width="9.33203125" style="529"/>
    <col min="257" max="257" width="34.5" style="529" bestFit="1" customWidth="1"/>
    <col min="258" max="258" width="23.1640625" style="529" customWidth="1"/>
    <col min="259" max="259" width="14" style="529" bestFit="1" customWidth="1"/>
    <col min="260" max="512" width="9.33203125" style="529"/>
    <col min="513" max="513" width="34.5" style="529" bestFit="1" customWidth="1"/>
    <col min="514" max="514" width="23.1640625" style="529" customWidth="1"/>
    <col min="515" max="515" width="14" style="529" bestFit="1" customWidth="1"/>
    <col min="516" max="768" width="9.33203125" style="529"/>
    <col min="769" max="769" width="34.5" style="529" bestFit="1" customWidth="1"/>
    <col min="770" max="770" width="23.1640625" style="529" customWidth="1"/>
    <col min="771" max="771" width="14" style="529" bestFit="1" customWidth="1"/>
    <col min="772" max="1024" width="9.33203125" style="529"/>
    <col min="1025" max="1025" width="34.5" style="529" bestFit="1" customWidth="1"/>
    <col min="1026" max="1026" width="23.1640625" style="529" customWidth="1"/>
    <col min="1027" max="1027" width="14" style="529" bestFit="1" customWidth="1"/>
    <col min="1028" max="1280" width="9.33203125" style="529"/>
    <col min="1281" max="1281" width="34.5" style="529" bestFit="1" customWidth="1"/>
    <col min="1282" max="1282" width="23.1640625" style="529" customWidth="1"/>
    <col min="1283" max="1283" width="14" style="529" bestFit="1" customWidth="1"/>
    <col min="1284" max="1536" width="9.33203125" style="529"/>
    <col min="1537" max="1537" width="34.5" style="529" bestFit="1" customWidth="1"/>
    <col min="1538" max="1538" width="23.1640625" style="529" customWidth="1"/>
    <col min="1539" max="1539" width="14" style="529" bestFit="1" customWidth="1"/>
    <col min="1540" max="1792" width="9.33203125" style="529"/>
    <col min="1793" max="1793" width="34.5" style="529" bestFit="1" customWidth="1"/>
    <col min="1794" max="1794" width="23.1640625" style="529" customWidth="1"/>
    <col min="1795" max="1795" width="14" style="529" bestFit="1" customWidth="1"/>
    <col min="1796" max="2048" width="9.33203125" style="529"/>
    <col min="2049" max="2049" width="34.5" style="529" bestFit="1" customWidth="1"/>
    <col min="2050" max="2050" width="23.1640625" style="529" customWidth="1"/>
    <col min="2051" max="2051" width="14" style="529" bestFit="1" customWidth="1"/>
    <col min="2052" max="2304" width="9.33203125" style="529"/>
    <col min="2305" max="2305" width="34.5" style="529" bestFit="1" customWidth="1"/>
    <col min="2306" max="2306" width="23.1640625" style="529" customWidth="1"/>
    <col min="2307" max="2307" width="14" style="529" bestFit="1" customWidth="1"/>
    <col min="2308" max="2560" width="9.33203125" style="529"/>
    <col min="2561" max="2561" width="34.5" style="529" bestFit="1" customWidth="1"/>
    <col min="2562" max="2562" width="23.1640625" style="529" customWidth="1"/>
    <col min="2563" max="2563" width="14" style="529" bestFit="1" customWidth="1"/>
    <col min="2564" max="2816" width="9.33203125" style="529"/>
    <col min="2817" max="2817" width="34.5" style="529" bestFit="1" customWidth="1"/>
    <col min="2818" max="2818" width="23.1640625" style="529" customWidth="1"/>
    <col min="2819" max="2819" width="14" style="529" bestFit="1" customWidth="1"/>
    <col min="2820" max="3072" width="9.33203125" style="529"/>
    <col min="3073" max="3073" width="34.5" style="529" bestFit="1" customWidth="1"/>
    <col min="3074" max="3074" width="23.1640625" style="529" customWidth="1"/>
    <col min="3075" max="3075" width="14" style="529" bestFit="1" customWidth="1"/>
    <col min="3076" max="3328" width="9.33203125" style="529"/>
    <col min="3329" max="3329" width="34.5" style="529" bestFit="1" customWidth="1"/>
    <col min="3330" max="3330" width="23.1640625" style="529" customWidth="1"/>
    <col min="3331" max="3331" width="14" style="529" bestFit="1" customWidth="1"/>
    <col min="3332" max="3584" width="9.33203125" style="529"/>
    <col min="3585" max="3585" width="34.5" style="529" bestFit="1" customWidth="1"/>
    <col min="3586" max="3586" width="23.1640625" style="529" customWidth="1"/>
    <col min="3587" max="3587" width="14" style="529" bestFit="1" customWidth="1"/>
    <col min="3588" max="3840" width="9.33203125" style="529"/>
    <col min="3841" max="3841" width="34.5" style="529" bestFit="1" customWidth="1"/>
    <col min="3842" max="3842" width="23.1640625" style="529" customWidth="1"/>
    <col min="3843" max="3843" width="14" style="529" bestFit="1" customWidth="1"/>
    <col min="3844" max="4096" width="9.33203125" style="529"/>
    <col min="4097" max="4097" width="34.5" style="529" bestFit="1" customWidth="1"/>
    <col min="4098" max="4098" width="23.1640625" style="529" customWidth="1"/>
    <col min="4099" max="4099" width="14" style="529" bestFit="1" customWidth="1"/>
    <col min="4100" max="4352" width="9.33203125" style="529"/>
    <col min="4353" max="4353" width="34.5" style="529" bestFit="1" customWidth="1"/>
    <col min="4354" max="4354" width="23.1640625" style="529" customWidth="1"/>
    <col min="4355" max="4355" width="14" style="529" bestFit="1" customWidth="1"/>
    <col min="4356" max="4608" width="9.33203125" style="529"/>
    <col min="4609" max="4609" width="34.5" style="529" bestFit="1" customWidth="1"/>
    <col min="4610" max="4610" width="23.1640625" style="529" customWidth="1"/>
    <col min="4611" max="4611" width="14" style="529" bestFit="1" customWidth="1"/>
    <col min="4612" max="4864" width="9.33203125" style="529"/>
    <col min="4865" max="4865" width="34.5" style="529" bestFit="1" customWidth="1"/>
    <col min="4866" max="4866" width="23.1640625" style="529" customWidth="1"/>
    <col min="4867" max="4867" width="14" style="529" bestFit="1" customWidth="1"/>
    <col min="4868" max="5120" width="9.33203125" style="529"/>
    <col min="5121" max="5121" width="34.5" style="529" bestFit="1" customWidth="1"/>
    <col min="5122" max="5122" width="23.1640625" style="529" customWidth="1"/>
    <col min="5123" max="5123" width="14" style="529" bestFit="1" customWidth="1"/>
    <col min="5124" max="5376" width="9.33203125" style="529"/>
    <col min="5377" max="5377" width="34.5" style="529" bestFit="1" customWidth="1"/>
    <col min="5378" max="5378" width="23.1640625" style="529" customWidth="1"/>
    <col min="5379" max="5379" width="14" style="529" bestFit="1" customWidth="1"/>
    <col min="5380" max="5632" width="9.33203125" style="529"/>
    <col min="5633" max="5633" width="34.5" style="529" bestFit="1" customWidth="1"/>
    <col min="5634" max="5634" width="23.1640625" style="529" customWidth="1"/>
    <col min="5635" max="5635" width="14" style="529" bestFit="1" customWidth="1"/>
    <col min="5636" max="5888" width="9.33203125" style="529"/>
    <col min="5889" max="5889" width="34.5" style="529" bestFit="1" customWidth="1"/>
    <col min="5890" max="5890" width="23.1640625" style="529" customWidth="1"/>
    <col min="5891" max="5891" width="14" style="529" bestFit="1" customWidth="1"/>
    <col min="5892" max="6144" width="9.33203125" style="529"/>
    <col min="6145" max="6145" width="34.5" style="529" bestFit="1" customWidth="1"/>
    <col min="6146" max="6146" width="23.1640625" style="529" customWidth="1"/>
    <col min="6147" max="6147" width="14" style="529" bestFit="1" customWidth="1"/>
    <col min="6148" max="6400" width="9.33203125" style="529"/>
    <col min="6401" max="6401" width="34.5" style="529" bestFit="1" customWidth="1"/>
    <col min="6402" max="6402" width="23.1640625" style="529" customWidth="1"/>
    <col min="6403" max="6403" width="14" style="529" bestFit="1" customWidth="1"/>
    <col min="6404" max="6656" width="9.33203125" style="529"/>
    <col min="6657" max="6657" width="34.5" style="529" bestFit="1" customWidth="1"/>
    <col min="6658" max="6658" width="23.1640625" style="529" customWidth="1"/>
    <col min="6659" max="6659" width="14" style="529" bestFit="1" customWidth="1"/>
    <col min="6660" max="6912" width="9.33203125" style="529"/>
    <col min="6913" max="6913" width="34.5" style="529" bestFit="1" customWidth="1"/>
    <col min="6914" max="6914" width="23.1640625" style="529" customWidth="1"/>
    <col min="6915" max="6915" width="14" style="529" bestFit="1" customWidth="1"/>
    <col min="6916" max="7168" width="9.33203125" style="529"/>
    <col min="7169" max="7169" width="34.5" style="529" bestFit="1" customWidth="1"/>
    <col min="7170" max="7170" width="23.1640625" style="529" customWidth="1"/>
    <col min="7171" max="7171" width="14" style="529" bestFit="1" customWidth="1"/>
    <col min="7172" max="7424" width="9.33203125" style="529"/>
    <col min="7425" max="7425" width="34.5" style="529" bestFit="1" customWidth="1"/>
    <col min="7426" max="7426" width="23.1640625" style="529" customWidth="1"/>
    <col min="7427" max="7427" width="14" style="529" bestFit="1" customWidth="1"/>
    <col min="7428" max="7680" width="9.33203125" style="529"/>
    <col min="7681" max="7681" width="34.5" style="529" bestFit="1" customWidth="1"/>
    <col min="7682" max="7682" width="23.1640625" style="529" customWidth="1"/>
    <col min="7683" max="7683" width="14" style="529" bestFit="1" customWidth="1"/>
    <col min="7684" max="7936" width="9.33203125" style="529"/>
    <col min="7937" max="7937" width="34.5" style="529" bestFit="1" customWidth="1"/>
    <col min="7938" max="7938" width="23.1640625" style="529" customWidth="1"/>
    <col min="7939" max="7939" width="14" style="529" bestFit="1" customWidth="1"/>
    <col min="7940" max="8192" width="9.33203125" style="529"/>
    <col min="8193" max="8193" width="34.5" style="529" bestFit="1" customWidth="1"/>
    <col min="8194" max="8194" width="23.1640625" style="529" customWidth="1"/>
    <col min="8195" max="8195" width="14" style="529" bestFit="1" customWidth="1"/>
    <col min="8196" max="8448" width="9.33203125" style="529"/>
    <col min="8449" max="8449" width="34.5" style="529" bestFit="1" customWidth="1"/>
    <col min="8450" max="8450" width="23.1640625" style="529" customWidth="1"/>
    <col min="8451" max="8451" width="14" style="529" bestFit="1" customWidth="1"/>
    <col min="8452" max="8704" width="9.33203125" style="529"/>
    <col min="8705" max="8705" width="34.5" style="529" bestFit="1" customWidth="1"/>
    <col min="8706" max="8706" width="23.1640625" style="529" customWidth="1"/>
    <col min="8707" max="8707" width="14" style="529" bestFit="1" customWidth="1"/>
    <col min="8708" max="8960" width="9.33203125" style="529"/>
    <col min="8961" max="8961" width="34.5" style="529" bestFit="1" customWidth="1"/>
    <col min="8962" max="8962" width="23.1640625" style="529" customWidth="1"/>
    <col min="8963" max="8963" width="14" style="529" bestFit="1" customWidth="1"/>
    <col min="8964" max="9216" width="9.33203125" style="529"/>
    <col min="9217" max="9217" width="34.5" style="529" bestFit="1" customWidth="1"/>
    <col min="9218" max="9218" width="23.1640625" style="529" customWidth="1"/>
    <col min="9219" max="9219" width="14" style="529" bestFit="1" customWidth="1"/>
    <col min="9220" max="9472" width="9.33203125" style="529"/>
    <col min="9473" max="9473" width="34.5" style="529" bestFit="1" customWidth="1"/>
    <col min="9474" max="9474" width="23.1640625" style="529" customWidth="1"/>
    <col min="9475" max="9475" width="14" style="529" bestFit="1" customWidth="1"/>
    <col min="9476" max="9728" width="9.33203125" style="529"/>
    <col min="9729" max="9729" width="34.5" style="529" bestFit="1" customWidth="1"/>
    <col min="9730" max="9730" width="23.1640625" style="529" customWidth="1"/>
    <col min="9731" max="9731" width="14" style="529" bestFit="1" customWidth="1"/>
    <col min="9732" max="9984" width="9.33203125" style="529"/>
    <col min="9985" max="9985" width="34.5" style="529" bestFit="1" customWidth="1"/>
    <col min="9986" max="9986" width="23.1640625" style="529" customWidth="1"/>
    <col min="9987" max="9987" width="14" style="529" bestFit="1" customWidth="1"/>
    <col min="9988" max="10240" width="9.33203125" style="529"/>
    <col min="10241" max="10241" width="34.5" style="529" bestFit="1" customWidth="1"/>
    <col min="10242" max="10242" width="23.1640625" style="529" customWidth="1"/>
    <col min="10243" max="10243" width="14" style="529" bestFit="1" customWidth="1"/>
    <col min="10244" max="10496" width="9.33203125" style="529"/>
    <col min="10497" max="10497" width="34.5" style="529" bestFit="1" customWidth="1"/>
    <col min="10498" max="10498" width="23.1640625" style="529" customWidth="1"/>
    <col min="10499" max="10499" width="14" style="529" bestFit="1" customWidth="1"/>
    <col min="10500" max="10752" width="9.33203125" style="529"/>
    <col min="10753" max="10753" width="34.5" style="529" bestFit="1" customWidth="1"/>
    <col min="10754" max="10754" width="23.1640625" style="529" customWidth="1"/>
    <col min="10755" max="10755" width="14" style="529" bestFit="1" customWidth="1"/>
    <col min="10756" max="11008" width="9.33203125" style="529"/>
    <col min="11009" max="11009" width="34.5" style="529" bestFit="1" customWidth="1"/>
    <col min="11010" max="11010" width="23.1640625" style="529" customWidth="1"/>
    <col min="11011" max="11011" width="14" style="529" bestFit="1" customWidth="1"/>
    <col min="11012" max="11264" width="9.33203125" style="529"/>
    <col min="11265" max="11265" width="34.5" style="529" bestFit="1" customWidth="1"/>
    <col min="11266" max="11266" width="23.1640625" style="529" customWidth="1"/>
    <col min="11267" max="11267" width="14" style="529" bestFit="1" customWidth="1"/>
    <col min="11268" max="11520" width="9.33203125" style="529"/>
    <col min="11521" max="11521" width="34.5" style="529" bestFit="1" customWidth="1"/>
    <col min="11522" max="11522" width="23.1640625" style="529" customWidth="1"/>
    <col min="11523" max="11523" width="14" style="529" bestFit="1" customWidth="1"/>
    <col min="11524" max="11776" width="9.33203125" style="529"/>
    <col min="11777" max="11777" width="34.5" style="529" bestFit="1" customWidth="1"/>
    <col min="11778" max="11778" width="23.1640625" style="529" customWidth="1"/>
    <col min="11779" max="11779" width="14" style="529" bestFit="1" customWidth="1"/>
    <col min="11780" max="12032" width="9.33203125" style="529"/>
    <col min="12033" max="12033" width="34.5" style="529" bestFit="1" customWidth="1"/>
    <col min="12034" max="12034" width="23.1640625" style="529" customWidth="1"/>
    <col min="12035" max="12035" width="14" style="529" bestFit="1" customWidth="1"/>
    <col min="12036" max="12288" width="9.33203125" style="529"/>
    <col min="12289" max="12289" width="34.5" style="529" bestFit="1" customWidth="1"/>
    <col min="12290" max="12290" width="23.1640625" style="529" customWidth="1"/>
    <col min="12291" max="12291" width="14" style="529" bestFit="1" customWidth="1"/>
    <col min="12292" max="12544" width="9.33203125" style="529"/>
    <col min="12545" max="12545" width="34.5" style="529" bestFit="1" customWidth="1"/>
    <col min="12546" max="12546" width="23.1640625" style="529" customWidth="1"/>
    <col min="12547" max="12547" width="14" style="529" bestFit="1" customWidth="1"/>
    <col min="12548" max="12800" width="9.33203125" style="529"/>
    <col min="12801" max="12801" width="34.5" style="529" bestFit="1" customWidth="1"/>
    <col min="12802" max="12802" width="23.1640625" style="529" customWidth="1"/>
    <col min="12803" max="12803" width="14" style="529" bestFit="1" customWidth="1"/>
    <col min="12804" max="13056" width="9.33203125" style="529"/>
    <col min="13057" max="13057" width="34.5" style="529" bestFit="1" customWidth="1"/>
    <col min="13058" max="13058" width="23.1640625" style="529" customWidth="1"/>
    <col min="13059" max="13059" width="14" style="529" bestFit="1" customWidth="1"/>
    <col min="13060" max="13312" width="9.33203125" style="529"/>
    <col min="13313" max="13313" width="34.5" style="529" bestFit="1" customWidth="1"/>
    <col min="13314" max="13314" width="23.1640625" style="529" customWidth="1"/>
    <col min="13315" max="13315" width="14" style="529" bestFit="1" customWidth="1"/>
    <col min="13316" max="13568" width="9.33203125" style="529"/>
    <col min="13569" max="13569" width="34.5" style="529" bestFit="1" customWidth="1"/>
    <col min="13570" max="13570" width="23.1640625" style="529" customWidth="1"/>
    <col min="13571" max="13571" width="14" style="529" bestFit="1" customWidth="1"/>
    <col min="13572" max="13824" width="9.33203125" style="529"/>
    <col min="13825" max="13825" width="34.5" style="529" bestFit="1" customWidth="1"/>
    <col min="13826" max="13826" width="23.1640625" style="529" customWidth="1"/>
    <col min="13827" max="13827" width="14" style="529" bestFit="1" customWidth="1"/>
    <col min="13828" max="14080" width="9.33203125" style="529"/>
    <col min="14081" max="14081" width="34.5" style="529" bestFit="1" customWidth="1"/>
    <col min="14082" max="14082" width="23.1640625" style="529" customWidth="1"/>
    <col min="14083" max="14083" width="14" style="529" bestFit="1" customWidth="1"/>
    <col min="14084" max="14336" width="9.33203125" style="529"/>
    <col min="14337" max="14337" width="34.5" style="529" bestFit="1" customWidth="1"/>
    <col min="14338" max="14338" width="23.1640625" style="529" customWidth="1"/>
    <col min="14339" max="14339" width="14" style="529" bestFit="1" customWidth="1"/>
    <col min="14340" max="14592" width="9.33203125" style="529"/>
    <col min="14593" max="14593" width="34.5" style="529" bestFit="1" customWidth="1"/>
    <col min="14594" max="14594" width="23.1640625" style="529" customWidth="1"/>
    <col min="14595" max="14595" width="14" style="529" bestFit="1" customWidth="1"/>
    <col min="14596" max="14848" width="9.33203125" style="529"/>
    <col min="14849" max="14849" width="34.5" style="529" bestFit="1" customWidth="1"/>
    <col min="14850" max="14850" width="23.1640625" style="529" customWidth="1"/>
    <col min="14851" max="14851" width="14" style="529" bestFit="1" customWidth="1"/>
    <col min="14852" max="15104" width="9.33203125" style="529"/>
    <col min="15105" max="15105" width="34.5" style="529" bestFit="1" customWidth="1"/>
    <col min="15106" max="15106" width="23.1640625" style="529" customWidth="1"/>
    <col min="15107" max="15107" width="14" style="529" bestFit="1" customWidth="1"/>
    <col min="15108" max="15360" width="9.33203125" style="529"/>
    <col min="15361" max="15361" width="34.5" style="529" bestFit="1" customWidth="1"/>
    <col min="15362" max="15362" width="23.1640625" style="529" customWidth="1"/>
    <col min="15363" max="15363" width="14" style="529" bestFit="1" customWidth="1"/>
    <col min="15364" max="15616" width="9.33203125" style="529"/>
    <col min="15617" max="15617" width="34.5" style="529" bestFit="1" customWidth="1"/>
    <col min="15618" max="15618" width="23.1640625" style="529" customWidth="1"/>
    <col min="15619" max="15619" width="14" style="529" bestFit="1" customWidth="1"/>
    <col min="15620" max="15872" width="9.33203125" style="529"/>
    <col min="15873" max="15873" width="34.5" style="529" bestFit="1" customWidth="1"/>
    <col min="15874" max="15874" width="23.1640625" style="529" customWidth="1"/>
    <col min="15875" max="15875" width="14" style="529" bestFit="1" customWidth="1"/>
    <col min="15876" max="16128" width="9.33203125" style="529"/>
    <col min="16129" max="16129" width="34.5" style="529" bestFit="1" customWidth="1"/>
    <col min="16130" max="16130" width="23.1640625" style="529" customWidth="1"/>
    <col min="16131" max="16131" width="14" style="529" bestFit="1" customWidth="1"/>
    <col min="16132" max="16384" width="9.33203125" style="529"/>
  </cols>
  <sheetData>
    <row r="1" spans="1:2">
      <c r="A1" s="529" t="s">
        <v>1016</v>
      </c>
      <c r="B1" s="577">
        <v>6.1</v>
      </c>
    </row>
    <row r="2" spans="1:2">
      <c r="A2" s="529" t="s">
        <v>1017</v>
      </c>
      <c r="B2" s="581">
        <v>43213.392395833333</v>
      </c>
    </row>
    <row r="3" spans="1:2">
      <c r="A3" s="529" t="s">
        <v>1018</v>
      </c>
      <c r="B3" s="578" t="s">
        <v>724</v>
      </c>
    </row>
    <row r="4" spans="1:2">
      <c r="A4" s="529" t="s">
        <v>1019</v>
      </c>
      <c r="B4" s="578" t="s">
        <v>1020</v>
      </c>
    </row>
    <row r="5" spans="1:2">
      <c r="A5" s="529" t="s">
        <v>1021</v>
      </c>
      <c r="B5" s="578" t="s">
        <v>1022</v>
      </c>
    </row>
    <row r="6" spans="1:2">
      <c r="A6" s="529" t="s">
        <v>1023</v>
      </c>
    </row>
    <row r="7" spans="1:2">
      <c r="A7" s="529" t="s">
        <v>1024</v>
      </c>
      <c r="B7" s="578" t="s">
        <v>312</v>
      </c>
    </row>
    <row r="8" spans="1:2">
      <c r="A8" s="529" t="s">
        <v>1025</v>
      </c>
      <c r="B8" s="578" t="s">
        <v>1026</v>
      </c>
    </row>
    <row r="9" spans="1:2">
      <c r="A9" s="529" t="s">
        <v>1027</v>
      </c>
      <c r="B9" s="578" t="s">
        <v>1064</v>
      </c>
    </row>
    <row r="10" spans="1:2">
      <c r="A10" s="529" t="s">
        <v>1028</v>
      </c>
    </row>
    <row r="11" spans="1:2">
      <c r="A11" s="529" t="s">
        <v>1029</v>
      </c>
    </row>
    <row r="12" spans="1:2">
      <c r="A12" s="529" t="s">
        <v>1030</v>
      </c>
    </row>
    <row r="13" spans="1:2">
      <c r="A13" s="529" t="s">
        <v>1031</v>
      </c>
    </row>
    <row r="14" spans="1:2">
      <c r="A14" s="529" t="s">
        <v>1032</v>
      </c>
    </row>
    <row r="15" spans="1:2">
      <c r="A15" s="529" t="s">
        <v>1033</v>
      </c>
    </row>
    <row r="16" spans="1:2">
      <c r="A16" s="529" t="s">
        <v>1034</v>
      </c>
    </row>
    <row r="17" spans="1:4">
      <c r="A17" s="529" t="s">
        <v>1035</v>
      </c>
      <c r="B17" s="578" t="s">
        <v>1065</v>
      </c>
    </row>
    <row r="18" spans="1:4">
      <c r="A18" s="529" t="s">
        <v>1036</v>
      </c>
      <c r="B18" s="578" t="s">
        <v>1067</v>
      </c>
    </row>
    <row r="19" spans="1:4">
      <c r="A19" s="529" t="s">
        <v>1037</v>
      </c>
      <c r="B19" s="578" t="s">
        <v>311</v>
      </c>
    </row>
    <row r="20" spans="1:4">
      <c r="A20" s="529" t="s">
        <v>1038</v>
      </c>
      <c r="B20" s="579" t="s">
        <v>1068</v>
      </c>
    </row>
    <row r="21" spans="1:4">
      <c r="A21" s="529" t="s">
        <v>1039</v>
      </c>
      <c r="B21" s="578" t="s">
        <v>311</v>
      </c>
    </row>
    <row r="22" spans="1:4">
      <c r="A22" s="529" t="s">
        <v>1040</v>
      </c>
      <c r="B22" s="579" t="s">
        <v>386</v>
      </c>
    </row>
    <row r="23" spans="1:4">
      <c r="A23" s="529" t="s">
        <v>359</v>
      </c>
      <c r="B23" s="577">
        <v>51.37</v>
      </c>
    </row>
    <row r="24" spans="1:4">
      <c r="A24" s="529" t="s">
        <v>358</v>
      </c>
      <c r="B24" s="578" t="s">
        <v>310</v>
      </c>
      <c r="D24" s="529" t="s">
        <v>471</v>
      </c>
    </row>
    <row r="25" spans="1:4">
      <c r="A25" s="529" t="s">
        <v>1041</v>
      </c>
      <c r="B25" s="578" t="s">
        <v>1069</v>
      </c>
    </row>
    <row r="26" spans="1:4">
      <c r="A26" s="529" t="s">
        <v>1042</v>
      </c>
      <c r="B26" s="578">
        <v>0</v>
      </c>
    </row>
    <row r="27" spans="1:4">
      <c r="A27" s="529" t="s">
        <v>1043</v>
      </c>
      <c r="B27" s="578" t="s">
        <v>1044</v>
      </c>
    </row>
    <row r="28" spans="1:4">
      <c r="A28" s="529" t="s">
        <v>1045</v>
      </c>
      <c r="B28" s="578" t="s">
        <v>1046</v>
      </c>
    </row>
    <row r="29" spans="1:4">
      <c r="A29" s="529" t="s">
        <v>1047</v>
      </c>
    </row>
    <row r="30" spans="1:4">
      <c r="A30" s="529" t="s">
        <v>1048</v>
      </c>
    </row>
    <row r="31" spans="1:4">
      <c r="A31" s="529" t="s">
        <v>1049</v>
      </c>
    </row>
    <row r="32" spans="1:4">
      <c r="A32" s="529" t="s">
        <v>1050</v>
      </c>
      <c r="B32" s="577"/>
    </row>
    <row r="33" spans="1:2">
      <c r="A33" s="529" t="s">
        <v>1051</v>
      </c>
      <c r="B33" s="577"/>
    </row>
    <row r="34" spans="1:2">
      <c r="A34" s="529" t="s">
        <v>1052</v>
      </c>
      <c r="B34" s="577"/>
    </row>
    <row r="35" spans="1:2">
      <c r="A35" s="529" t="s">
        <v>1053</v>
      </c>
      <c r="B35" s="578">
        <v>1000000</v>
      </c>
    </row>
    <row r="36" spans="1:2">
      <c r="A36" s="529" t="s">
        <v>1054</v>
      </c>
      <c r="B36" s="578" t="s">
        <v>1066</v>
      </c>
    </row>
    <row r="37" spans="1:2">
      <c r="A37" s="529" t="s">
        <v>1055</v>
      </c>
      <c r="B37" s="578" t="s">
        <v>1056</v>
      </c>
    </row>
    <row r="38" spans="1:2">
      <c r="A38" s="529" t="s">
        <v>1057</v>
      </c>
      <c r="B38" s="578" t="s">
        <v>1058</v>
      </c>
    </row>
    <row r="39" spans="1:2">
      <c r="A39" s="529" t="s">
        <v>1059</v>
      </c>
      <c r="B39" s="578" t="s">
        <v>309</v>
      </c>
    </row>
    <row r="40" spans="1:2">
      <c r="A40" s="529" t="s">
        <v>1060</v>
      </c>
      <c r="B40" s="578">
        <v>1500004829</v>
      </c>
    </row>
    <row r="41" spans="1:2">
      <c r="A41" s="529" t="s">
        <v>1061</v>
      </c>
      <c r="B41" s="578">
        <v>1</v>
      </c>
    </row>
    <row r="42" spans="1:2">
      <c r="A42" s="580" t="s">
        <v>1062</v>
      </c>
    </row>
    <row r="43" spans="1:2">
      <c r="A43" s="529" t="s">
        <v>1063</v>
      </c>
    </row>
  </sheetData>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13"/>
  <sheetViews>
    <sheetView workbookViewId="0">
      <selection activeCell="E11" sqref="E11"/>
    </sheetView>
  </sheetViews>
  <sheetFormatPr defaultRowHeight="12.75"/>
  <cols>
    <col min="1" max="1" width="33.33203125" style="529" bestFit="1" customWidth="1"/>
    <col min="2" max="256" width="9.33203125" style="529"/>
    <col min="257" max="257" width="33.33203125" style="529" bestFit="1" customWidth="1"/>
    <col min="258" max="512" width="9.33203125" style="529"/>
    <col min="513" max="513" width="33.33203125" style="529" bestFit="1" customWidth="1"/>
    <col min="514" max="768" width="9.33203125" style="529"/>
    <col min="769" max="769" width="33.33203125" style="529" bestFit="1" customWidth="1"/>
    <col min="770" max="1024" width="9.33203125" style="529"/>
    <col min="1025" max="1025" width="33.33203125" style="529" bestFit="1" customWidth="1"/>
    <col min="1026" max="1280" width="9.33203125" style="529"/>
    <col min="1281" max="1281" width="33.33203125" style="529" bestFit="1" customWidth="1"/>
    <col min="1282" max="1536" width="9.33203125" style="529"/>
    <col min="1537" max="1537" width="33.33203125" style="529" bestFit="1" customWidth="1"/>
    <col min="1538" max="1792" width="9.33203125" style="529"/>
    <col min="1793" max="1793" width="33.33203125" style="529" bestFit="1" customWidth="1"/>
    <col min="1794" max="2048" width="9.33203125" style="529"/>
    <col min="2049" max="2049" width="33.33203125" style="529" bestFit="1" customWidth="1"/>
    <col min="2050" max="2304" width="9.33203125" style="529"/>
    <col min="2305" max="2305" width="33.33203125" style="529" bestFit="1" customWidth="1"/>
    <col min="2306" max="2560" width="9.33203125" style="529"/>
    <col min="2561" max="2561" width="33.33203125" style="529" bestFit="1" customWidth="1"/>
    <col min="2562" max="2816" width="9.33203125" style="529"/>
    <col min="2817" max="2817" width="33.33203125" style="529" bestFit="1" customWidth="1"/>
    <col min="2818" max="3072" width="9.33203125" style="529"/>
    <col min="3073" max="3073" width="33.33203125" style="529" bestFit="1" customWidth="1"/>
    <col min="3074" max="3328" width="9.33203125" style="529"/>
    <col min="3329" max="3329" width="33.33203125" style="529" bestFit="1" customWidth="1"/>
    <col min="3330" max="3584" width="9.33203125" style="529"/>
    <col min="3585" max="3585" width="33.33203125" style="529" bestFit="1" customWidth="1"/>
    <col min="3586" max="3840" width="9.33203125" style="529"/>
    <col min="3841" max="3841" width="33.33203125" style="529" bestFit="1" customWidth="1"/>
    <col min="3842" max="4096" width="9.33203125" style="529"/>
    <col min="4097" max="4097" width="33.33203125" style="529" bestFit="1" customWidth="1"/>
    <col min="4098" max="4352" width="9.33203125" style="529"/>
    <col min="4353" max="4353" width="33.33203125" style="529" bestFit="1" customWidth="1"/>
    <col min="4354" max="4608" width="9.33203125" style="529"/>
    <col min="4609" max="4609" width="33.33203125" style="529" bestFit="1" customWidth="1"/>
    <col min="4610" max="4864" width="9.33203125" style="529"/>
    <col min="4865" max="4865" width="33.33203125" style="529" bestFit="1" customWidth="1"/>
    <col min="4866" max="5120" width="9.33203125" style="529"/>
    <col min="5121" max="5121" width="33.33203125" style="529" bestFit="1" customWidth="1"/>
    <col min="5122" max="5376" width="9.33203125" style="529"/>
    <col min="5377" max="5377" width="33.33203125" style="529" bestFit="1" customWidth="1"/>
    <col min="5378" max="5632" width="9.33203125" style="529"/>
    <col min="5633" max="5633" width="33.33203125" style="529" bestFit="1" customWidth="1"/>
    <col min="5634" max="5888" width="9.33203125" style="529"/>
    <col min="5889" max="5889" width="33.33203125" style="529" bestFit="1" customWidth="1"/>
    <col min="5890" max="6144" width="9.33203125" style="529"/>
    <col min="6145" max="6145" width="33.33203125" style="529" bestFit="1" customWidth="1"/>
    <col min="6146" max="6400" width="9.33203125" style="529"/>
    <col min="6401" max="6401" width="33.33203125" style="529" bestFit="1" customWidth="1"/>
    <col min="6402" max="6656" width="9.33203125" style="529"/>
    <col min="6657" max="6657" width="33.33203125" style="529" bestFit="1" customWidth="1"/>
    <col min="6658" max="6912" width="9.33203125" style="529"/>
    <col min="6913" max="6913" width="33.33203125" style="529" bestFit="1" customWidth="1"/>
    <col min="6914" max="7168" width="9.33203125" style="529"/>
    <col min="7169" max="7169" width="33.33203125" style="529" bestFit="1" customWidth="1"/>
    <col min="7170" max="7424" width="9.33203125" style="529"/>
    <col min="7425" max="7425" width="33.33203125" style="529" bestFit="1" customWidth="1"/>
    <col min="7426" max="7680" width="9.33203125" style="529"/>
    <col min="7681" max="7681" width="33.33203125" style="529" bestFit="1" customWidth="1"/>
    <col min="7682" max="7936" width="9.33203125" style="529"/>
    <col min="7937" max="7937" width="33.33203125" style="529" bestFit="1" customWidth="1"/>
    <col min="7938" max="8192" width="9.33203125" style="529"/>
    <col min="8193" max="8193" width="33.33203125" style="529" bestFit="1" customWidth="1"/>
    <col min="8194" max="8448" width="9.33203125" style="529"/>
    <col min="8449" max="8449" width="33.33203125" style="529" bestFit="1" customWidth="1"/>
    <col min="8450" max="8704" width="9.33203125" style="529"/>
    <col min="8705" max="8705" width="33.33203125" style="529" bestFit="1" customWidth="1"/>
    <col min="8706" max="8960" width="9.33203125" style="529"/>
    <col min="8961" max="8961" width="33.33203125" style="529" bestFit="1" customWidth="1"/>
    <col min="8962" max="9216" width="9.33203125" style="529"/>
    <col min="9217" max="9217" width="33.33203125" style="529" bestFit="1" customWidth="1"/>
    <col min="9218" max="9472" width="9.33203125" style="529"/>
    <col min="9473" max="9473" width="33.33203125" style="529" bestFit="1" customWidth="1"/>
    <col min="9474" max="9728" width="9.33203125" style="529"/>
    <col min="9729" max="9729" width="33.33203125" style="529" bestFit="1" customWidth="1"/>
    <col min="9730" max="9984" width="9.33203125" style="529"/>
    <col min="9985" max="9985" width="33.33203125" style="529" bestFit="1" customWidth="1"/>
    <col min="9986" max="10240" width="9.33203125" style="529"/>
    <col min="10241" max="10241" width="33.33203125" style="529" bestFit="1" customWidth="1"/>
    <col min="10242" max="10496" width="9.33203125" style="529"/>
    <col min="10497" max="10497" width="33.33203125" style="529" bestFit="1" customWidth="1"/>
    <col min="10498" max="10752" width="9.33203125" style="529"/>
    <col min="10753" max="10753" width="33.33203125" style="529" bestFit="1" customWidth="1"/>
    <col min="10754" max="11008" width="9.33203125" style="529"/>
    <col min="11009" max="11009" width="33.33203125" style="529" bestFit="1" customWidth="1"/>
    <col min="11010" max="11264" width="9.33203125" style="529"/>
    <col min="11265" max="11265" width="33.33203125" style="529" bestFit="1" customWidth="1"/>
    <col min="11266" max="11520" width="9.33203125" style="529"/>
    <col min="11521" max="11521" width="33.33203125" style="529" bestFit="1" customWidth="1"/>
    <col min="11522" max="11776" width="9.33203125" style="529"/>
    <col min="11777" max="11777" width="33.33203125" style="529" bestFit="1" customWidth="1"/>
    <col min="11778" max="12032" width="9.33203125" style="529"/>
    <col min="12033" max="12033" width="33.33203125" style="529" bestFit="1" customWidth="1"/>
    <col min="12034" max="12288" width="9.33203125" style="529"/>
    <col min="12289" max="12289" width="33.33203125" style="529" bestFit="1" customWidth="1"/>
    <col min="12290" max="12544" width="9.33203125" style="529"/>
    <col min="12545" max="12545" width="33.33203125" style="529" bestFit="1" customWidth="1"/>
    <col min="12546" max="12800" width="9.33203125" style="529"/>
    <col min="12801" max="12801" width="33.33203125" style="529" bestFit="1" customWidth="1"/>
    <col min="12802" max="13056" width="9.33203125" style="529"/>
    <col min="13057" max="13057" width="33.33203125" style="529" bestFit="1" customWidth="1"/>
    <col min="13058" max="13312" width="9.33203125" style="529"/>
    <col min="13313" max="13313" width="33.33203125" style="529" bestFit="1" customWidth="1"/>
    <col min="13314" max="13568" width="9.33203125" style="529"/>
    <col min="13569" max="13569" width="33.33203125" style="529" bestFit="1" customWidth="1"/>
    <col min="13570" max="13824" width="9.33203125" style="529"/>
    <col min="13825" max="13825" width="33.33203125" style="529" bestFit="1" customWidth="1"/>
    <col min="13826" max="14080" width="9.33203125" style="529"/>
    <col min="14081" max="14081" width="33.33203125" style="529" bestFit="1" customWidth="1"/>
    <col min="14082" max="14336" width="9.33203125" style="529"/>
    <col min="14337" max="14337" width="33.33203125" style="529" bestFit="1" customWidth="1"/>
    <col min="14338" max="14592" width="9.33203125" style="529"/>
    <col min="14593" max="14593" width="33.33203125" style="529" bestFit="1" customWidth="1"/>
    <col min="14594" max="14848" width="9.33203125" style="529"/>
    <col min="14849" max="14849" width="33.33203125" style="529" bestFit="1" customWidth="1"/>
    <col min="14850" max="15104" width="9.33203125" style="529"/>
    <col min="15105" max="15105" width="33.33203125" style="529" bestFit="1" customWidth="1"/>
    <col min="15106" max="15360" width="9.33203125" style="529"/>
    <col min="15361" max="15361" width="33.33203125" style="529" bestFit="1" customWidth="1"/>
    <col min="15362" max="15616" width="9.33203125" style="529"/>
    <col min="15617" max="15617" width="33.33203125" style="529" bestFit="1" customWidth="1"/>
    <col min="15618" max="15872" width="9.33203125" style="529"/>
    <col min="15873" max="15873" width="33.33203125" style="529" bestFit="1" customWidth="1"/>
    <col min="15874" max="16128" width="9.33203125" style="529"/>
    <col min="16129" max="16129" width="33.33203125" style="529" bestFit="1" customWidth="1"/>
    <col min="16130" max="16384" width="9.33203125" style="529"/>
  </cols>
  <sheetData>
    <row r="1" spans="1:1">
      <c r="A1" s="582" t="s">
        <v>1070</v>
      </c>
    </row>
    <row r="2" spans="1:1">
      <c r="A2" s="582" t="s">
        <v>1075</v>
      </c>
    </row>
    <row r="3" spans="1:1">
      <c r="A3" s="582" t="s">
        <v>1076</v>
      </c>
    </row>
    <row r="4" spans="1:1">
      <c r="A4" s="582" t="s">
        <v>1077</v>
      </c>
    </row>
    <row r="5" spans="1:1">
      <c r="A5" s="582" t="s">
        <v>1078</v>
      </c>
    </row>
    <row r="6" spans="1:1">
      <c r="A6" s="582" t="s">
        <v>1071</v>
      </c>
    </row>
    <row r="7" spans="1:1">
      <c r="A7" s="582" t="s">
        <v>1079</v>
      </c>
    </row>
    <row r="8" spans="1:1">
      <c r="A8" s="582" t="s">
        <v>1080</v>
      </c>
    </row>
    <row r="9" spans="1:1">
      <c r="A9" s="582" t="s">
        <v>1081</v>
      </c>
    </row>
    <row r="10" spans="1:1">
      <c r="A10" s="582" t="s">
        <v>1072</v>
      </c>
    </row>
    <row r="11" spans="1:1">
      <c r="A11" s="582" t="s">
        <v>1082</v>
      </c>
    </row>
    <row r="12" spans="1:1">
      <c r="A12" s="582" t="s">
        <v>1073</v>
      </c>
    </row>
    <row r="13" spans="1:1">
      <c r="A13" s="582" t="s">
        <v>1074</v>
      </c>
    </row>
  </sheetData>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T192"/>
  <sheetViews>
    <sheetView workbookViewId="0">
      <selection activeCell="H33" sqref="H33"/>
    </sheetView>
  </sheetViews>
  <sheetFormatPr defaultRowHeight="11.25"/>
  <cols>
    <col min="2" max="2" width="29.6640625" bestFit="1" customWidth="1"/>
    <col min="3" max="3" width="12.33203125" customWidth="1"/>
    <col min="4" max="4" width="15" customWidth="1"/>
    <col min="5" max="5" width="17.1640625" customWidth="1"/>
    <col min="6" max="6" width="19.5" customWidth="1"/>
    <col min="7" max="7" width="13.83203125" customWidth="1"/>
    <col min="8" max="8" width="12.83203125" bestFit="1" customWidth="1"/>
    <col min="12" max="12" width="29.6640625" bestFit="1" customWidth="1"/>
    <col min="13" max="13" width="12.33203125" customWidth="1"/>
    <col min="14" max="14" width="15" customWidth="1"/>
    <col min="15" max="15" width="17.1640625" customWidth="1"/>
    <col min="16" max="16" width="19.5" customWidth="1"/>
    <col min="17" max="18" width="12.83203125" bestFit="1" customWidth="1"/>
    <col min="19" max="19" width="29.6640625" bestFit="1" customWidth="1"/>
    <col min="22" max="22" width="29.6640625" bestFit="1" customWidth="1"/>
    <col min="23" max="23" width="12.33203125" customWidth="1"/>
    <col min="24" max="24" width="15" customWidth="1"/>
    <col min="25" max="25" width="17.1640625" customWidth="1"/>
    <col min="26" max="26" width="19.5" customWidth="1"/>
  </cols>
  <sheetData>
    <row r="2" spans="1:9">
      <c r="B2" s="220" t="s">
        <v>337</v>
      </c>
      <c r="C2" s="221" t="s">
        <v>475</v>
      </c>
    </row>
    <row r="4" spans="1:9">
      <c r="B4" s="152" t="s">
        <v>268</v>
      </c>
    </row>
    <row r="5" spans="1:9" ht="33.75">
      <c r="B5" s="174" t="s">
        <v>258</v>
      </c>
      <c r="C5" s="174" t="s">
        <v>264</v>
      </c>
      <c r="D5" s="174" t="s">
        <v>246</v>
      </c>
      <c r="E5" s="174" t="s">
        <v>265</v>
      </c>
      <c r="F5" s="174" t="s">
        <v>266</v>
      </c>
      <c r="G5" s="174"/>
      <c r="H5" s="174"/>
    </row>
    <row r="7" spans="1:9">
      <c r="A7">
        <v>1</v>
      </c>
      <c r="B7" t="s">
        <v>267</v>
      </c>
      <c r="C7" s="189">
        <v>7</v>
      </c>
      <c r="D7" s="149">
        <v>23710914</v>
      </c>
      <c r="E7" s="146">
        <v>9.1999999999999998E-2</v>
      </c>
      <c r="F7" s="189">
        <v>31</v>
      </c>
      <c r="G7" s="189"/>
      <c r="H7" s="189"/>
      <c r="I7" t="s">
        <v>190</v>
      </c>
    </row>
    <row r="8" spans="1:9">
      <c r="A8">
        <f>+A7+1</f>
        <v>2</v>
      </c>
      <c r="B8" t="s">
        <v>259</v>
      </c>
      <c r="C8" s="189">
        <v>2</v>
      </c>
      <c r="D8" s="149">
        <v>19032482</v>
      </c>
      <c r="E8" s="146">
        <v>7.3999999999999996E-2</v>
      </c>
      <c r="F8" s="189">
        <v>2.8</v>
      </c>
      <c r="G8" s="189"/>
      <c r="H8" s="189"/>
      <c r="I8" t="s">
        <v>190</v>
      </c>
    </row>
    <row r="9" spans="1:9">
      <c r="A9">
        <f t="shared" ref="A9:A26" si="0">+A8+1</f>
        <v>3</v>
      </c>
      <c r="B9" t="s">
        <v>259</v>
      </c>
      <c r="C9" s="189">
        <v>4</v>
      </c>
      <c r="D9" s="149">
        <v>14942972</v>
      </c>
      <c r="E9" s="146">
        <v>5.8000000000000003E-2</v>
      </c>
      <c r="F9" s="189">
        <v>4.4000000000000004</v>
      </c>
      <c r="G9" s="189"/>
      <c r="H9" s="189"/>
      <c r="I9" t="s">
        <v>190</v>
      </c>
    </row>
    <row r="10" spans="1:9">
      <c r="A10">
        <f t="shared" si="0"/>
        <v>4</v>
      </c>
      <c r="B10" t="s">
        <v>260</v>
      </c>
      <c r="C10" s="189">
        <v>3</v>
      </c>
      <c r="D10" s="149">
        <v>13208719</v>
      </c>
      <c r="E10" s="146">
        <v>5.0999999999999997E-2</v>
      </c>
      <c r="F10" s="189">
        <v>0.3</v>
      </c>
      <c r="G10" s="189"/>
      <c r="H10" s="189"/>
      <c r="I10" t="s">
        <v>190</v>
      </c>
    </row>
    <row r="11" spans="1:9">
      <c r="A11">
        <f t="shared" si="0"/>
        <v>5</v>
      </c>
      <c r="B11" t="s">
        <v>261</v>
      </c>
      <c r="C11" s="189">
        <v>1</v>
      </c>
      <c r="D11" s="149">
        <v>10056455</v>
      </c>
      <c r="E11" s="146">
        <v>3.9E-2</v>
      </c>
      <c r="F11" s="189">
        <v>50</v>
      </c>
      <c r="G11" s="189"/>
      <c r="H11" s="189"/>
      <c r="I11" t="s">
        <v>190</v>
      </c>
    </row>
    <row r="12" spans="1:9">
      <c r="A12">
        <f t="shared" si="0"/>
        <v>6</v>
      </c>
      <c r="B12" t="s">
        <v>263</v>
      </c>
      <c r="C12" s="189">
        <v>3</v>
      </c>
      <c r="D12" s="149">
        <v>7440740</v>
      </c>
      <c r="E12" s="146">
        <v>2.9000000000000001E-2</v>
      </c>
      <c r="F12" s="189">
        <v>43.1</v>
      </c>
      <c r="G12" s="189"/>
      <c r="H12" s="189"/>
      <c r="I12" t="s">
        <v>190</v>
      </c>
    </row>
    <row r="13" spans="1:9">
      <c r="A13">
        <f t="shared" si="0"/>
        <v>7</v>
      </c>
      <c r="B13" t="s">
        <v>262</v>
      </c>
      <c r="C13" s="189">
        <v>1</v>
      </c>
      <c r="D13" s="149">
        <v>6000225</v>
      </c>
      <c r="E13" s="146">
        <v>2.3E-2</v>
      </c>
      <c r="F13" s="189">
        <v>80</v>
      </c>
      <c r="G13" s="189"/>
      <c r="H13" s="189"/>
      <c r="I13" t="s">
        <v>190</v>
      </c>
    </row>
    <row r="14" spans="1:9">
      <c r="A14">
        <f t="shared" si="0"/>
        <v>8</v>
      </c>
      <c r="B14" t="s">
        <v>261</v>
      </c>
      <c r="C14" s="189">
        <v>1</v>
      </c>
      <c r="D14" s="149">
        <v>5013892</v>
      </c>
      <c r="E14" s="146">
        <v>1.9E-2</v>
      </c>
      <c r="F14" s="189">
        <v>67</v>
      </c>
      <c r="G14" s="189"/>
      <c r="H14" s="189"/>
      <c r="I14" t="s">
        <v>190</v>
      </c>
    </row>
    <row r="15" spans="1:9">
      <c r="A15">
        <f t="shared" si="0"/>
        <v>9</v>
      </c>
      <c r="B15" t="s">
        <v>263</v>
      </c>
      <c r="C15" s="189">
        <v>1</v>
      </c>
      <c r="D15" s="149">
        <v>4845316</v>
      </c>
      <c r="E15" s="146">
        <v>1.9E-2</v>
      </c>
      <c r="F15" s="189">
        <v>27</v>
      </c>
      <c r="G15" s="189"/>
      <c r="H15" s="189"/>
      <c r="I15" t="s">
        <v>190</v>
      </c>
    </row>
    <row r="16" spans="1:9">
      <c r="A16">
        <f t="shared" si="0"/>
        <v>10</v>
      </c>
      <c r="B16" t="s">
        <v>457</v>
      </c>
      <c r="C16" s="189">
        <v>1</v>
      </c>
      <c r="D16" s="149">
        <v>4743436</v>
      </c>
      <c r="E16" s="146">
        <v>1.7999999999999999E-2</v>
      </c>
      <c r="F16" s="189">
        <v>102.9</v>
      </c>
      <c r="G16" s="189"/>
      <c r="H16" s="189"/>
      <c r="I16" t="s">
        <v>190</v>
      </c>
    </row>
    <row r="17" spans="1:9">
      <c r="A17">
        <f t="shared" si="0"/>
        <v>11</v>
      </c>
      <c r="B17" t="s">
        <v>259</v>
      </c>
      <c r="C17" s="189">
        <v>2</v>
      </c>
      <c r="D17" s="149">
        <v>4731000</v>
      </c>
      <c r="E17" s="146">
        <v>1.7999999999999999E-2</v>
      </c>
      <c r="F17" s="189">
        <v>34</v>
      </c>
      <c r="G17" s="189"/>
      <c r="H17" s="189"/>
      <c r="I17" t="s">
        <v>190</v>
      </c>
    </row>
    <row r="18" spans="1:9">
      <c r="A18">
        <f t="shared" si="0"/>
        <v>12</v>
      </c>
      <c r="B18" t="s">
        <v>263</v>
      </c>
      <c r="C18" s="189">
        <v>3</v>
      </c>
      <c r="D18" s="149">
        <v>4625641</v>
      </c>
      <c r="E18" s="146">
        <v>1.7999999999999999E-2</v>
      </c>
      <c r="F18" s="189">
        <v>55.7</v>
      </c>
      <c r="G18" s="189"/>
      <c r="H18" s="189"/>
      <c r="I18" t="s">
        <v>190</v>
      </c>
    </row>
    <row r="19" spans="1:9">
      <c r="A19">
        <f t="shared" si="0"/>
        <v>13</v>
      </c>
      <c r="B19" t="s">
        <v>259</v>
      </c>
      <c r="C19" s="189">
        <v>1</v>
      </c>
      <c r="D19" s="149">
        <v>4101396</v>
      </c>
      <c r="E19" s="146">
        <v>1.6E-2</v>
      </c>
      <c r="F19" s="189">
        <v>13.7</v>
      </c>
      <c r="G19" s="189"/>
      <c r="H19" s="189"/>
      <c r="I19" t="s">
        <v>190</v>
      </c>
    </row>
    <row r="20" spans="1:9">
      <c r="A20">
        <f t="shared" si="0"/>
        <v>14</v>
      </c>
      <c r="B20" t="s">
        <v>263</v>
      </c>
      <c r="C20" s="189">
        <v>1</v>
      </c>
      <c r="D20" s="149">
        <v>4006477</v>
      </c>
      <c r="E20" s="146">
        <v>1.6E-2</v>
      </c>
      <c r="F20" s="189">
        <v>89</v>
      </c>
      <c r="G20" s="189"/>
      <c r="H20" s="189"/>
      <c r="I20" t="s">
        <v>190</v>
      </c>
    </row>
    <row r="21" spans="1:9">
      <c r="A21">
        <f t="shared" si="0"/>
        <v>15</v>
      </c>
      <c r="B21" t="s">
        <v>259</v>
      </c>
      <c r="C21" s="189">
        <v>3</v>
      </c>
      <c r="D21" s="149">
        <v>3870111</v>
      </c>
      <c r="E21" s="146">
        <v>1.4999999999999999E-2</v>
      </c>
      <c r="F21" s="189">
        <v>7.1</v>
      </c>
      <c r="G21" s="189"/>
      <c r="H21" s="189"/>
      <c r="I21" t="s">
        <v>190</v>
      </c>
    </row>
    <row r="22" spans="1:9">
      <c r="A22">
        <f t="shared" si="0"/>
        <v>16</v>
      </c>
      <c r="B22" t="s">
        <v>263</v>
      </c>
      <c r="C22" s="189">
        <v>2</v>
      </c>
      <c r="D22" s="149">
        <v>3831921</v>
      </c>
      <c r="E22" s="146">
        <v>1.4999999999999999E-2</v>
      </c>
      <c r="F22" s="189">
        <v>89</v>
      </c>
      <c r="G22" s="189"/>
      <c r="H22" s="189"/>
      <c r="I22" t="s">
        <v>190</v>
      </c>
    </row>
    <row r="23" spans="1:9">
      <c r="A23">
        <f t="shared" si="0"/>
        <v>17</v>
      </c>
      <c r="B23" t="s">
        <v>259</v>
      </c>
      <c r="C23" s="189">
        <v>1</v>
      </c>
      <c r="D23" s="149">
        <v>3612639</v>
      </c>
      <c r="E23" s="146">
        <v>1.4E-2</v>
      </c>
      <c r="F23" s="189">
        <v>32.299999999999997</v>
      </c>
      <c r="G23" s="189"/>
      <c r="H23" s="189"/>
      <c r="I23" t="s">
        <v>190</v>
      </c>
    </row>
    <row r="24" spans="1:9">
      <c r="A24">
        <f t="shared" si="0"/>
        <v>18</v>
      </c>
      <c r="B24" t="s">
        <v>415</v>
      </c>
      <c r="C24" s="189">
        <v>1</v>
      </c>
      <c r="D24" s="149">
        <v>3303607</v>
      </c>
      <c r="E24" s="146">
        <v>1.2999999999999999E-2</v>
      </c>
      <c r="F24" s="189">
        <v>3.2</v>
      </c>
      <c r="G24" s="189"/>
      <c r="H24" s="189"/>
      <c r="I24" t="s">
        <v>190</v>
      </c>
    </row>
    <row r="25" spans="1:9">
      <c r="A25">
        <f t="shared" si="0"/>
        <v>19</v>
      </c>
      <c r="B25" t="s">
        <v>263</v>
      </c>
      <c r="C25" s="189">
        <v>2</v>
      </c>
      <c r="D25" s="149">
        <v>3283480</v>
      </c>
      <c r="E25" s="146">
        <v>1.2999999999999999E-2</v>
      </c>
      <c r="F25" s="189">
        <v>36.1</v>
      </c>
      <c r="G25" s="189"/>
      <c r="H25" s="189"/>
      <c r="I25" t="s">
        <v>190</v>
      </c>
    </row>
    <row r="26" spans="1:9">
      <c r="A26">
        <f t="shared" si="0"/>
        <v>20</v>
      </c>
      <c r="B26" t="s">
        <v>259</v>
      </c>
      <c r="C26" s="189">
        <v>1</v>
      </c>
      <c r="D26" s="149">
        <v>3236416</v>
      </c>
      <c r="E26" s="146">
        <v>1.2999999999999999E-2</v>
      </c>
      <c r="F26" s="189">
        <v>13.6</v>
      </c>
      <c r="G26" s="189"/>
      <c r="H26" s="189"/>
      <c r="I26" t="s">
        <v>190</v>
      </c>
    </row>
    <row r="27" spans="1:9" s="8" customFormat="1">
      <c r="B27" s="8" t="s">
        <v>252</v>
      </c>
      <c r="D27" s="177">
        <f>+SUM(D7:D26)</f>
        <v>147597839</v>
      </c>
      <c r="E27" s="172">
        <f>SUM(E7:E26)</f>
        <v>0.57300000000000018</v>
      </c>
      <c r="F27" s="190">
        <v>31.2</v>
      </c>
      <c r="G27" s="190"/>
      <c r="H27" s="190"/>
      <c r="I27" s="8" t="s">
        <v>190</v>
      </c>
    </row>
    <row r="30" spans="1:9">
      <c r="B30" s="152" t="s">
        <v>281</v>
      </c>
    </row>
    <row r="31" spans="1:9" ht="45">
      <c r="B31" s="191" t="s">
        <v>274</v>
      </c>
      <c r="C31" s="191" t="s">
        <v>275</v>
      </c>
      <c r="D31" s="191" t="s">
        <v>276</v>
      </c>
      <c r="E31" s="191" t="s">
        <v>277</v>
      </c>
      <c r="F31" s="191" t="s">
        <v>278</v>
      </c>
      <c r="G31" s="191" t="s">
        <v>279</v>
      </c>
      <c r="H31" s="191" t="s">
        <v>280</v>
      </c>
    </row>
    <row r="33" spans="2:20">
      <c r="B33" t="s">
        <v>269</v>
      </c>
      <c r="C33" s="182">
        <v>447</v>
      </c>
      <c r="D33" s="146">
        <v>0.79</v>
      </c>
      <c r="E33" s="182">
        <v>81819</v>
      </c>
      <c r="F33" s="146">
        <v>0.05</v>
      </c>
      <c r="G33" s="149">
        <v>33655624</v>
      </c>
      <c r="H33" s="146">
        <v>0.13</v>
      </c>
    </row>
    <row r="34" spans="2:20">
      <c r="B34" t="s">
        <v>270</v>
      </c>
      <c r="C34" s="182">
        <v>39</v>
      </c>
      <c r="D34" s="146">
        <v>7.0000000000000007E-2</v>
      </c>
      <c r="E34" s="182">
        <v>66987</v>
      </c>
      <c r="F34" s="146">
        <v>0.04</v>
      </c>
      <c r="G34" s="149">
        <v>15444873</v>
      </c>
      <c r="H34" s="146">
        <v>0.06</v>
      </c>
    </row>
    <row r="35" spans="2:20">
      <c r="B35" t="s">
        <v>271</v>
      </c>
      <c r="C35" s="182">
        <v>27</v>
      </c>
      <c r="D35" s="146">
        <v>0.05</v>
      </c>
      <c r="E35" s="182">
        <v>102141</v>
      </c>
      <c r="F35" s="146">
        <v>7.0000000000000007E-2</v>
      </c>
      <c r="G35" s="149">
        <v>20661725</v>
      </c>
      <c r="H35" s="146">
        <v>0.08</v>
      </c>
    </row>
    <row r="36" spans="2:20">
      <c r="B36" t="s">
        <v>272</v>
      </c>
      <c r="C36" s="182">
        <v>23</v>
      </c>
      <c r="D36" s="146">
        <v>0.04</v>
      </c>
      <c r="E36" s="182">
        <v>162750</v>
      </c>
      <c r="F36" s="146">
        <v>0.11</v>
      </c>
      <c r="G36" s="149">
        <v>51439853</v>
      </c>
      <c r="H36" s="146">
        <v>0.2</v>
      </c>
    </row>
    <row r="37" spans="2:20">
      <c r="B37" t="s">
        <v>273</v>
      </c>
      <c r="C37" s="182">
        <v>31</v>
      </c>
      <c r="D37" s="146">
        <v>0.05</v>
      </c>
      <c r="E37" s="182">
        <v>1099879</v>
      </c>
      <c r="F37" s="146">
        <v>0.73</v>
      </c>
      <c r="G37" s="149">
        <v>136187695</v>
      </c>
      <c r="H37" s="146">
        <v>0.53</v>
      </c>
    </row>
    <row r="38" spans="2:20" s="8" customFormat="1">
      <c r="B38" s="8" t="s">
        <v>252</v>
      </c>
      <c r="C38" s="173">
        <f t="shared" ref="C38:H38" si="1">SUM(C33:C37)</f>
        <v>567</v>
      </c>
      <c r="D38" s="172">
        <f t="shared" si="1"/>
        <v>1.0000000000000002</v>
      </c>
      <c r="E38" s="173">
        <f t="shared" si="1"/>
        <v>1513576</v>
      </c>
      <c r="F38" s="172">
        <f t="shared" si="1"/>
        <v>1</v>
      </c>
      <c r="G38" s="177">
        <f t="shared" si="1"/>
        <v>257389770</v>
      </c>
      <c r="H38" s="172">
        <f t="shared" si="1"/>
        <v>1</v>
      </c>
    </row>
    <row r="40" spans="2:20" ht="11.25" customHeight="1"/>
    <row r="41" spans="2:20">
      <c r="B41" s="152" t="s">
        <v>291</v>
      </c>
    </row>
    <row r="42" spans="2:20" ht="78.75">
      <c r="B42" s="174" t="s">
        <v>282</v>
      </c>
      <c r="C42" s="174" t="s">
        <v>286</v>
      </c>
      <c r="D42" s="174" t="s">
        <v>287</v>
      </c>
      <c r="E42" s="174" t="s">
        <v>288</v>
      </c>
      <c r="F42" s="174" t="s">
        <v>246</v>
      </c>
      <c r="G42" s="174" t="s">
        <v>280</v>
      </c>
      <c r="H42" s="174" t="s">
        <v>289</v>
      </c>
      <c r="I42" s="174" t="s">
        <v>290</v>
      </c>
      <c r="J42" s="174"/>
      <c r="T42" s="174"/>
    </row>
    <row r="43" spans="2:20">
      <c r="B43" t="s">
        <v>283</v>
      </c>
      <c r="C43" s="182" t="s">
        <v>190</v>
      </c>
      <c r="D43" s="182">
        <v>384393</v>
      </c>
      <c r="E43" s="147">
        <f t="shared" ref="E43:E56" si="2">+D43/$D$57</f>
        <v>0.20252859767467224</v>
      </c>
      <c r="F43" s="149"/>
      <c r="G43" s="147">
        <v>0</v>
      </c>
      <c r="H43" s="149"/>
      <c r="I43" s="147">
        <v>0</v>
      </c>
      <c r="J43" s="147"/>
      <c r="T43" s="147"/>
    </row>
    <row r="44" spans="2:20" ht="12">
      <c r="B44" t="s">
        <v>284</v>
      </c>
      <c r="C44" s="182">
        <v>216</v>
      </c>
      <c r="D44" s="182">
        <v>36552</v>
      </c>
      <c r="E44" s="147">
        <f t="shared" si="2"/>
        <v>1.9258481039469033E-2</v>
      </c>
      <c r="F44" s="149">
        <v>8979903</v>
      </c>
      <c r="G44" s="147">
        <f t="shared" ref="G44:G56" si="3">+F44/$F$57</f>
        <v>3.4888344630013848E-2</v>
      </c>
      <c r="H44" s="149">
        <v>8979903</v>
      </c>
      <c r="I44" s="147">
        <f t="shared" ref="I44:I56" si="4">+H44/$H$57</f>
        <v>3.2241649102766792E-2</v>
      </c>
      <c r="J44" s="147"/>
      <c r="T44" s="147"/>
    </row>
    <row r="45" spans="2:20">
      <c r="B45" t="s">
        <v>285</v>
      </c>
      <c r="C45" s="182"/>
      <c r="D45" s="182"/>
      <c r="E45" s="147">
        <f t="shared" si="2"/>
        <v>0</v>
      </c>
      <c r="F45" s="149"/>
      <c r="G45" s="147">
        <f t="shared" si="3"/>
        <v>0</v>
      </c>
      <c r="H45" s="149"/>
      <c r="I45" s="147">
        <f t="shared" si="4"/>
        <v>0</v>
      </c>
      <c r="J45" s="147"/>
      <c r="T45" s="147"/>
    </row>
    <row r="46" spans="2:20">
      <c r="B46" t="s">
        <v>456</v>
      </c>
      <c r="C46" s="182">
        <v>289</v>
      </c>
      <c r="D46" s="182">
        <v>217844</v>
      </c>
      <c r="E46" s="147">
        <f t="shared" si="2"/>
        <v>0.11477742787158272</v>
      </c>
      <c r="F46" s="149">
        <v>57815166</v>
      </c>
      <c r="G46" s="147">
        <f t="shared" si="3"/>
        <v>0.2246210717698687</v>
      </c>
      <c r="H46" s="149">
        <v>57886248</v>
      </c>
      <c r="I46" s="147">
        <f t="shared" si="4"/>
        <v>0.20783610868533167</v>
      </c>
      <c r="J46" s="147"/>
      <c r="T46" s="147"/>
    </row>
    <row r="47" spans="2:20">
      <c r="B47" s="48">
        <v>2014</v>
      </c>
      <c r="C47" s="182">
        <v>612</v>
      </c>
      <c r="D47" s="182">
        <v>228146</v>
      </c>
      <c r="E47" s="147">
        <f t="shared" si="2"/>
        <v>0.12020533528208312</v>
      </c>
      <c r="F47" s="149">
        <v>45403980</v>
      </c>
      <c r="G47" s="147">
        <f t="shared" si="3"/>
        <v>0.17640164952942769</v>
      </c>
      <c r="H47" s="149">
        <v>45455010</v>
      </c>
      <c r="I47" s="147">
        <f t="shared" si="4"/>
        <v>0.1632027074660779</v>
      </c>
      <c r="J47" s="147"/>
      <c r="T47" s="147"/>
    </row>
    <row r="48" spans="2:20">
      <c r="B48" s="48">
        <v>2015</v>
      </c>
      <c r="C48" s="182">
        <v>487</v>
      </c>
      <c r="D48" s="182">
        <v>252150</v>
      </c>
      <c r="E48" s="147">
        <f t="shared" si="2"/>
        <v>0.13285253868740743</v>
      </c>
      <c r="F48" s="149">
        <v>38832786</v>
      </c>
      <c r="G48" s="147">
        <f t="shared" si="3"/>
        <v>0.15087152065134524</v>
      </c>
      <c r="H48" s="149">
        <v>40535270</v>
      </c>
      <c r="I48" s="147">
        <f t="shared" si="4"/>
        <v>0.1455387604549748</v>
      </c>
      <c r="J48" s="147"/>
      <c r="T48" s="147"/>
    </row>
    <row r="49" spans="1:20">
      <c r="B49" s="48">
        <v>2016</v>
      </c>
      <c r="C49" s="182">
        <v>338</v>
      </c>
      <c r="D49" s="182">
        <v>84138</v>
      </c>
      <c r="E49" s="147">
        <f t="shared" si="2"/>
        <v>4.4330544914063401E-2</v>
      </c>
      <c r="F49" s="149">
        <v>31379039</v>
      </c>
      <c r="G49" s="147">
        <f t="shared" si="3"/>
        <v>0.12191253366441099</v>
      </c>
      <c r="H49" s="149">
        <v>36536531</v>
      </c>
      <c r="I49" s="147">
        <f t="shared" si="4"/>
        <v>0.1311815964976861</v>
      </c>
      <c r="J49" s="147"/>
      <c r="T49" s="147"/>
    </row>
    <row r="50" spans="1:20">
      <c r="B50" s="48">
        <v>2017</v>
      </c>
      <c r="C50" s="182">
        <v>112</v>
      </c>
      <c r="D50" s="182">
        <v>228329</v>
      </c>
      <c r="E50" s="147">
        <f t="shared" si="2"/>
        <v>0.12030175413823935</v>
      </c>
      <c r="F50" s="149">
        <v>27250450</v>
      </c>
      <c r="G50" s="147">
        <f t="shared" si="3"/>
        <v>0.10587231186383204</v>
      </c>
      <c r="H50" s="149">
        <v>30982627</v>
      </c>
      <c r="I50" s="147">
        <f t="shared" si="4"/>
        <v>0.11124073255756861</v>
      </c>
      <c r="J50" s="147"/>
      <c r="T50" s="147"/>
    </row>
    <row r="51" spans="1:20">
      <c r="B51" s="48">
        <v>2018</v>
      </c>
      <c r="C51" s="182">
        <v>86</v>
      </c>
      <c r="D51" s="182">
        <v>114447</v>
      </c>
      <c r="E51" s="147">
        <f t="shared" si="2"/>
        <v>6.0299720385317147E-2</v>
      </c>
      <c r="F51" s="149">
        <v>18914460</v>
      </c>
      <c r="G51" s="147">
        <f t="shared" si="3"/>
        <v>7.3485671167117475E-2</v>
      </c>
      <c r="H51" s="149">
        <v>22343777</v>
      </c>
      <c r="I51" s="147">
        <f t="shared" si="4"/>
        <v>8.0223607945928949E-2</v>
      </c>
      <c r="J51" s="147"/>
      <c r="T51" s="147"/>
    </row>
    <row r="52" spans="1:20">
      <c r="B52" s="48">
        <v>2019</v>
      </c>
      <c r="C52" s="182">
        <v>9</v>
      </c>
      <c r="D52" s="182">
        <v>96271</v>
      </c>
      <c r="E52" s="147">
        <f t="shared" si="2"/>
        <v>5.0723167765121556E-2</v>
      </c>
      <c r="F52" s="149">
        <v>5432091</v>
      </c>
      <c r="G52" s="147">
        <f t="shared" si="3"/>
        <v>2.110453340861216E-2</v>
      </c>
      <c r="H52" s="149">
        <v>5849905</v>
      </c>
      <c r="I52" s="147">
        <f t="shared" si="4"/>
        <v>2.1003632700099428E-2</v>
      </c>
      <c r="J52" s="147"/>
      <c r="T52" s="147"/>
    </row>
    <row r="53" spans="1:20">
      <c r="B53" s="48">
        <v>2020</v>
      </c>
      <c r="C53" s="182">
        <v>20</v>
      </c>
      <c r="D53" s="182">
        <v>115930</v>
      </c>
      <c r="E53" s="147">
        <f t="shared" si="2"/>
        <v>6.1081081935479453E-2</v>
      </c>
      <c r="F53" s="149">
        <v>8150441</v>
      </c>
      <c r="G53" s="147">
        <f t="shared" si="3"/>
        <v>3.1665753460209396E-2</v>
      </c>
      <c r="H53" s="149">
        <v>10384144</v>
      </c>
      <c r="I53" s="147">
        <f t="shared" si="4"/>
        <v>3.7283468104343791E-2</v>
      </c>
      <c r="J53" s="147"/>
      <c r="T53" s="147"/>
    </row>
    <row r="54" spans="1:20">
      <c r="B54" s="48">
        <v>2021</v>
      </c>
      <c r="C54" s="182">
        <v>9</v>
      </c>
      <c r="D54" s="182">
        <v>30754</v>
      </c>
      <c r="E54" s="147">
        <f t="shared" si="2"/>
        <v>1.6203636624201975E-2</v>
      </c>
      <c r="F54" s="149">
        <v>4133641</v>
      </c>
      <c r="G54" s="147">
        <f t="shared" si="3"/>
        <v>1.6059849620285997E-2</v>
      </c>
      <c r="H54" s="149">
        <v>4577392</v>
      </c>
      <c r="I54" s="147">
        <f t="shared" si="4"/>
        <v>1.6434772922359168E-2</v>
      </c>
      <c r="J54" s="147"/>
      <c r="T54" s="147"/>
    </row>
    <row r="55" spans="1:20">
      <c r="B55" s="48">
        <v>2022</v>
      </c>
      <c r="C55" s="182">
        <v>6</v>
      </c>
      <c r="D55" s="182">
        <v>40087</v>
      </c>
      <c r="E55" s="147">
        <f t="shared" si="2"/>
        <v>2.1120998288170142E-2</v>
      </c>
      <c r="F55" s="149">
        <v>7138173</v>
      </c>
      <c r="G55" s="147">
        <f t="shared" si="3"/>
        <v>2.7732932043103346E-2</v>
      </c>
      <c r="H55" s="149">
        <v>10406465</v>
      </c>
      <c r="I55" s="147">
        <f t="shared" si="4"/>
        <v>3.7363609933228008E-2</v>
      </c>
      <c r="J55" s="147"/>
      <c r="T55" s="147"/>
    </row>
    <row r="56" spans="1:20">
      <c r="B56" s="48" t="s">
        <v>413</v>
      </c>
      <c r="C56" s="182">
        <v>21</v>
      </c>
      <c r="D56" s="182">
        <v>68928</v>
      </c>
      <c r="E56" s="147">
        <f t="shared" si="2"/>
        <v>3.6316715394192421E-2</v>
      </c>
      <c r="F56" s="149">
        <v>3959640</v>
      </c>
      <c r="G56" s="147">
        <f t="shared" si="3"/>
        <v>1.5383828191773122E-2</v>
      </c>
      <c r="H56" s="149">
        <v>4581453</v>
      </c>
      <c r="I56" s="147">
        <f t="shared" si="4"/>
        <v>1.6449353629634775E-2</v>
      </c>
      <c r="J56" s="147"/>
      <c r="T56" s="147"/>
    </row>
    <row r="57" spans="1:20" s="8" customFormat="1">
      <c r="B57" s="8" t="s">
        <v>252</v>
      </c>
      <c r="C57" s="173">
        <f>+SUM(C43:C56)</f>
        <v>2205</v>
      </c>
      <c r="D57" s="173">
        <f>+SUM(D43:D56)</f>
        <v>1897969</v>
      </c>
      <c r="E57" s="219">
        <f>SUM(E43:E56)</f>
        <v>1</v>
      </c>
      <c r="F57" s="177">
        <f>+SUM(F43:F56)</f>
        <v>257389770</v>
      </c>
      <c r="G57" s="172">
        <f>SUM(G43:G56)</f>
        <v>1</v>
      </c>
      <c r="H57" s="177">
        <f>+SUM(H43:H56)</f>
        <v>278518725</v>
      </c>
      <c r="I57" s="172">
        <f>+SUM(I43:I56)</f>
        <v>1</v>
      </c>
      <c r="J57" s="172"/>
      <c r="T57" s="172"/>
    </row>
    <row r="58" spans="1:20">
      <c r="E58" t="s">
        <v>190</v>
      </c>
      <c r="I58" t="s">
        <v>190</v>
      </c>
    </row>
    <row r="59" spans="1:20">
      <c r="A59" s="222" t="s">
        <v>293</v>
      </c>
      <c r="B59" s="403" t="s">
        <v>472</v>
      </c>
      <c r="C59" s="127"/>
      <c r="D59" s="127"/>
      <c r="E59" s="127"/>
      <c r="F59" s="127"/>
      <c r="G59" s="127"/>
      <c r="H59" s="127"/>
      <c r="I59" s="127"/>
    </row>
    <row r="60" spans="1:20" ht="33.75">
      <c r="A60" s="127"/>
      <c r="B60" s="404" t="s">
        <v>258</v>
      </c>
      <c r="C60" s="404" t="s">
        <v>264</v>
      </c>
      <c r="D60" s="404" t="s">
        <v>246</v>
      </c>
      <c r="E60" s="404" t="s">
        <v>265</v>
      </c>
      <c r="F60" s="404" t="s">
        <v>266</v>
      </c>
      <c r="G60" s="404"/>
      <c r="H60" s="404"/>
      <c r="I60" s="127"/>
    </row>
    <row r="61" spans="1:20">
      <c r="A61" s="127"/>
      <c r="B61" s="127"/>
      <c r="C61" s="127"/>
      <c r="D61" s="127"/>
      <c r="E61" s="127"/>
      <c r="F61" s="127"/>
      <c r="G61" s="127"/>
      <c r="H61" s="127"/>
      <c r="I61" s="127"/>
    </row>
    <row r="62" spans="1:20">
      <c r="A62" s="127">
        <v>1</v>
      </c>
      <c r="B62" s="127" t="s">
        <v>267</v>
      </c>
      <c r="C62" s="405">
        <v>7</v>
      </c>
      <c r="D62" s="186">
        <v>21954981</v>
      </c>
      <c r="E62" s="406">
        <v>9.2999999999999999E-2</v>
      </c>
      <c r="F62" s="405">
        <v>25</v>
      </c>
      <c r="G62" s="405"/>
      <c r="H62" s="405"/>
      <c r="I62" s="127" t="s">
        <v>190</v>
      </c>
    </row>
    <row r="63" spans="1:20">
      <c r="A63" s="127">
        <f>+A62+1</f>
        <v>2</v>
      </c>
      <c r="B63" s="127" t="s">
        <v>259</v>
      </c>
      <c r="C63" s="405">
        <v>2</v>
      </c>
      <c r="D63" s="186">
        <v>15931172</v>
      </c>
      <c r="E63" s="406">
        <v>6.7000000000000004E-2</v>
      </c>
      <c r="F63" s="405">
        <v>3.7</v>
      </c>
      <c r="G63" s="405"/>
      <c r="H63" s="405"/>
      <c r="I63" s="127" t="s">
        <v>190</v>
      </c>
    </row>
    <row r="64" spans="1:20">
      <c r="A64" s="127">
        <f t="shared" ref="A64:A81" si="5">+A63+1</f>
        <v>3</v>
      </c>
      <c r="B64" s="127" t="s">
        <v>259</v>
      </c>
      <c r="C64" s="405">
        <v>2</v>
      </c>
      <c r="D64" s="186">
        <v>14405374</v>
      </c>
      <c r="E64" s="406">
        <v>6.0999999999999999E-2</v>
      </c>
      <c r="F64" s="405">
        <v>1.9</v>
      </c>
      <c r="G64" s="405"/>
      <c r="H64" s="405"/>
      <c r="I64" s="127" t="s">
        <v>190</v>
      </c>
    </row>
    <row r="65" spans="1:9">
      <c r="A65" s="127">
        <f t="shared" si="5"/>
        <v>4</v>
      </c>
      <c r="B65" s="127" t="s">
        <v>260</v>
      </c>
      <c r="C65" s="405">
        <v>3</v>
      </c>
      <c r="D65" s="186">
        <v>12676418</v>
      </c>
      <c r="E65" s="406">
        <v>5.3999999999999999E-2</v>
      </c>
      <c r="F65" s="405">
        <v>6</v>
      </c>
      <c r="G65" s="405"/>
      <c r="H65" s="405"/>
      <c r="I65" s="127" t="s">
        <v>190</v>
      </c>
    </row>
    <row r="66" spans="1:9">
      <c r="A66" s="127">
        <f t="shared" si="5"/>
        <v>5</v>
      </c>
      <c r="B66" s="127" t="s">
        <v>261</v>
      </c>
      <c r="C66" s="405">
        <v>1</v>
      </c>
      <c r="D66" s="186">
        <v>7800326</v>
      </c>
      <c r="E66" s="406">
        <v>3.3000000000000002E-2</v>
      </c>
      <c r="F66" s="405">
        <v>49.2</v>
      </c>
      <c r="G66" s="405"/>
      <c r="H66" s="405"/>
      <c r="I66" s="127" t="s">
        <v>190</v>
      </c>
    </row>
    <row r="67" spans="1:9">
      <c r="A67" s="127">
        <f t="shared" si="5"/>
        <v>6</v>
      </c>
      <c r="B67" s="127" t="s">
        <v>263</v>
      </c>
      <c r="C67" s="405">
        <v>2</v>
      </c>
      <c r="D67" s="186">
        <v>7181800</v>
      </c>
      <c r="E67" s="406">
        <v>0.03</v>
      </c>
      <c r="F67" s="405">
        <v>46</v>
      </c>
      <c r="G67" s="405"/>
      <c r="H67" s="405"/>
      <c r="I67" s="127" t="s">
        <v>190</v>
      </c>
    </row>
    <row r="68" spans="1:9">
      <c r="A68" s="127">
        <f t="shared" si="5"/>
        <v>7</v>
      </c>
      <c r="B68" s="127" t="s">
        <v>262</v>
      </c>
      <c r="C68" s="405">
        <v>1</v>
      </c>
      <c r="D68" s="186">
        <v>6000225</v>
      </c>
      <c r="E68" s="406">
        <v>2.5000000000000001E-2</v>
      </c>
      <c r="F68" s="405">
        <v>83</v>
      </c>
      <c r="G68" s="405"/>
      <c r="H68" s="405"/>
      <c r="I68" s="127" t="s">
        <v>190</v>
      </c>
    </row>
    <row r="69" spans="1:9">
      <c r="A69" s="127">
        <f t="shared" si="5"/>
        <v>8</v>
      </c>
      <c r="B69" s="127" t="s">
        <v>263</v>
      </c>
      <c r="C69" s="405">
        <v>1</v>
      </c>
      <c r="D69" s="186">
        <v>4873542</v>
      </c>
      <c r="E69" s="406">
        <v>2.1000000000000001E-2</v>
      </c>
      <c r="F69" s="405">
        <v>30</v>
      </c>
      <c r="G69" s="405"/>
      <c r="H69" s="405"/>
      <c r="I69" s="127" t="s">
        <v>190</v>
      </c>
    </row>
    <row r="70" spans="1:9">
      <c r="A70" s="127">
        <f t="shared" si="5"/>
        <v>9</v>
      </c>
      <c r="B70" s="127" t="s">
        <v>261</v>
      </c>
      <c r="C70" s="405">
        <v>1</v>
      </c>
      <c r="D70" s="186">
        <v>4835608</v>
      </c>
      <c r="E70" s="406">
        <v>0.02</v>
      </c>
      <c r="F70" s="405">
        <v>70</v>
      </c>
      <c r="G70" s="405"/>
      <c r="H70" s="405"/>
      <c r="I70" s="127" t="s">
        <v>190</v>
      </c>
    </row>
    <row r="71" spans="1:9">
      <c r="A71" s="127">
        <f t="shared" si="5"/>
        <v>10</v>
      </c>
      <c r="B71" s="127" t="s">
        <v>457</v>
      </c>
      <c r="C71" s="405">
        <v>1</v>
      </c>
      <c r="D71" s="186">
        <v>4746434</v>
      </c>
      <c r="E71" s="406">
        <v>0.02</v>
      </c>
      <c r="F71" s="405">
        <v>105.9</v>
      </c>
      <c r="G71" s="405"/>
      <c r="H71" s="405"/>
      <c r="I71" s="127" t="s">
        <v>190</v>
      </c>
    </row>
    <row r="72" spans="1:9">
      <c r="A72" s="127">
        <f t="shared" si="5"/>
        <v>11</v>
      </c>
      <c r="B72" s="127" t="s">
        <v>259</v>
      </c>
      <c r="C72" s="405">
        <v>2</v>
      </c>
      <c r="D72" s="186">
        <v>4731000</v>
      </c>
      <c r="E72" s="406">
        <v>0.02</v>
      </c>
      <c r="F72" s="405">
        <v>37</v>
      </c>
      <c r="G72" s="405"/>
      <c r="H72" s="405"/>
      <c r="I72" s="127" t="s">
        <v>190</v>
      </c>
    </row>
    <row r="73" spans="1:9">
      <c r="A73" s="127">
        <f t="shared" si="5"/>
        <v>12</v>
      </c>
      <c r="B73" s="127" t="s">
        <v>259</v>
      </c>
      <c r="C73" s="405">
        <v>1</v>
      </c>
      <c r="D73" s="186">
        <v>4184347</v>
      </c>
      <c r="E73" s="406">
        <v>1.7999999999999999E-2</v>
      </c>
      <c r="F73" s="405">
        <v>15.5</v>
      </c>
      <c r="G73" s="405"/>
      <c r="H73" s="405"/>
      <c r="I73" s="127" t="s">
        <v>190</v>
      </c>
    </row>
    <row r="74" spans="1:9">
      <c r="A74" s="127">
        <f t="shared" si="5"/>
        <v>13</v>
      </c>
      <c r="B74" s="127" t="s">
        <v>263</v>
      </c>
      <c r="C74" s="405">
        <v>1</v>
      </c>
      <c r="D74" s="186">
        <v>3919726</v>
      </c>
      <c r="E74" s="406">
        <v>1.7000000000000001E-2</v>
      </c>
      <c r="F74" s="405">
        <v>92</v>
      </c>
      <c r="G74" s="405"/>
      <c r="H74" s="405"/>
      <c r="I74" s="127" t="s">
        <v>190</v>
      </c>
    </row>
    <row r="75" spans="1:9">
      <c r="A75" s="127">
        <f t="shared" si="5"/>
        <v>14</v>
      </c>
      <c r="B75" s="127" t="s">
        <v>263</v>
      </c>
      <c r="C75" s="405">
        <v>2</v>
      </c>
      <c r="D75" s="186">
        <v>3883164</v>
      </c>
      <c r="E75" s="406">
        <v>1.6E-2</v>
      </c>
      <c r="F75" s="405">
        <v>91.7</v>
      </c>
      <c r="G75" s="405"/>
      <c r="H75" s="405"/>
      <c r="I75" s="127" t="s">
        <v>190</v>
      </c>
    </row>
    <row r="76" spans="1:9">
      <c r="A76" s="127">
        <f t="shared" si="5"/>
        <v>15</v>
      </c>
      <c r="B76" s="127" t="s">
        <v>259</v>
      </c>
      <c r="C76" s="405">
        <v>3</v>
      </c>
      <c r="D76" s="186">
        <v>3853361</v>
      </c>
      <c r="E76" s="406">
        <v>1.6E-2</v>
      </c>
      <c r="F76" s="405">
        <v>10</v>
      </c>
      <c r="G76" s="405"/>
      <c r="H76" s="405"/>
      <c r="I76" s="127" t="s">
        <v>190</v>
      </c>
    </row>
    <row r="77" spans="1:9">
      <c r="A77" s="127">
        <f t="shared" si="5"/>
        <v>16</v>
      </c>
      <c r="B77" s="127" t="s">
        <v>415</v>
      </c>
      <c r="C77" s="405">
        <v>1</v>
      </c>
      <c r="D77" s="186">
        <v>3595605</v>
      </c>
      <c r="E77" s="406">
        <v>1.4999999999999999E-2</v>
      </c>
      <c r="F77" s="405">
        <v>35.200000000000003</v>
      </c>
      <c r="G77" s="405"/>
      <c r="H77" s="405"/>
      <c r="I77" s="127" t="s">
        <v>190</v>
      </c>
    </row>
    <row r="78" spans="1:9">
      <c r="A78" s="127">
        <f t="shared" si="5"/>
        <v>17</v>
      </c>
      <c r="B78" s="127" t="s">
        <v>259</v>
      </c>
      <c r="C78" s="405">
        <v>1</v>
      </c>
      <c r="D78" s="186">
        <v>3471108</v>
      </c>
      <c r="E78" s="406">
        <v>1.4999999999999999E-2</v>
      </c>
      <c r="F78" s="405">
        <v>5.7</v>
      </c>
      <c r="G78" s="405"/>
      <c r="H78" s="405"/>
      <c r="I78" s="127" t="s">
        <v>190</v>
      </c>
    </row>
    <row r="79" spans="1:9">
      <c r="A79" s="127">
        <f t="shared" si="5"/>
        <v>18</v>
      </c>
      <c r="B79" s="127" t="s">
        <v>415</v>
      </c>
      <c r="C79" s="405">
        <v>2</v>
      </c>
      <c r="D79" s="186">
        <v>3350343</v>
      </c>
      <c r="E79" s="406">
        <v>1.4E-2</v>
      </c>
      <c r="F79" s="405">
        <v>37</v>
      </c>
      <c r="G79" s="405"/>
      <c r="H79" s="405"/>
      <c r="I79" s="127" t="s">
        <v>190</v>
      </c>
    </row>
    <row r="80" spans="1:9">
      <c r="A80" s="127">
        <f t="shared" si="5"/>
        <v>19</v>
      </c>
      <c r="B80" s="127" t="s">
        <v>259</v>
      </c>
      <c r="C80" s="405">
        <v>1</v>
      </c>
      <c r="D80" s="186">
        <v>3258189</v>
      </c>
      <c r="E80" s="406">
        <v>1.4E-2</v>
      </c>
      <c r="F80" s="405">
        <v>8.9</v>
      </c>
      <c r="G80" s="405"/>
      <c r="H80" s="405"/>
      <c r="I80" s="127" t="s">
        <v>190</v>
      </c>
    </row>
    <row r="81" spans="1:9">
      <c r="A81" s="127">
        <f t="shared" si="5"/>
        <v>20</v>
      </c>
      <c r="B81" s="127" t="s">
        <v>263</v>
      </c>
      <c r="C81" s="405">
        <v>2</v>
      </c>
      <c r="D81" s="186">
        <v>3079282</v>
      </c>
      <c r="E81" s="406">
        <v>1.2999999999999999E-2</v>
      </c>
      <c r="F81" s="405">
        <v>38.6</v>
      </c>
      <c r="G81" s="405"/>
      <c r="H81" s="405"/>
      <c r="I81" s="127" t="s">
        <v>190</v>
      </c>
    </row>
    <row r="82" spans="1:9" s="8" customFormat="1">
      <c r="A82" s="220"/>
      <c r="B82" s="220" t="s">
        <v>252</v>
      </c>
      <c r="C82" s="220"/>
      <c r="D82" s="187">
        <f>+SUM(D62:D81)</f>
        <v>137732005</v>
      </c>
      <c r="E82" s="407">
        <f>SUM(E62:E81)</f>
        <v>0.58200000000000029</v>
      </c>
      <c r="F82" s="403">
        <v>31.4</v>
      </c>
      <c r="G82" s="403"/>
      <c r="H82" s="403"/>
      <c r="I82" s="220" t="s">
        <v>190</v>
      </c>
    </row>
    <row r="83" spans="1:9">
      <c r="A83" s="127"/>
      <c r="B83" s="127"/>
      <c r="C83" s="127"/>
      <c r="D83" s="127"/>
      <c r="E83" s="127"/>
      <c r="F83" s="127"/>
      <c r="G83" s="127"/>
      <c r="H83" s="127"/>
      <c r="I83" s="127"/>
    </row>
    <row r="84" spans="1:9">
      <c r="A84" s="127"/>
      <c r="B84" s="127"/>
      <c r="C84" s="127"/>
      <c r="D84" s="127"/>
      <c r="E84" s="127"/>
      <c r="F84" s="127"/>
      <c r="G84" s="127"/>
      <c r="H84" s="127"/>
      <c r="I84" s="127"/>
    </row>
    <row r="85" spans="1:9">
      <c r="A85" s="127"/>
      <c r="B85" s="223" t="s">
        <v>281</v>
      </c>
      <c r="C85" s="127"/>
      <c r="D85" s="127"/>
      <c r="E85" s="127"/>
      <c r="F85" s="127"/>
      <c r="G85" s="127"/>
      <c r="H85" s="127"/>
      <c r="I85" s="127"/>
    </row>
    <row r="86" spans="1:9" ht="45">
      <c r="A86" s="127"/>
      <c r="B86" s="408" t="s">
        <v>274</v>
      </c>
      <c r="C86" s="408" t="s">
        <v>275</v>
      </c>
      <c r="D86" s="408" t="s">
        <v>276</v>
      </c>
      <c r="E86" s="408" t="s">
        <v>277</v>
      </c>
      <c r="F86" s="408" t="s">
        <v>278</v>
      </c>
      <c r="G86" s="408" t="s">
        <v>279</v>
      </c>
      <c r="H86" s="408" t="s">
        <v>280</v>
      </c>
      <c r="I86" s="127"/>
    </row>
    <row r="87" spans="1:9">
      <c r="A87" s="127"/>
      <c r="B87" s="127"/>
      <c r="C87" s="127"/>
      <c r="D87" s="127"/>
      <c r="E87" s="127"/>
      <c r="F87" s="127"/>
      <c r="G87" s="127"/>
      <c r="H87" s="127"/>
      <c r="I87" s="127"/>
    </row>
    <row r="88" spans="1:9">
      <c r="A88" s="127"/>
      <c r="B88" s="127" t="s">
        <v>269</v>
      </c>
      <c r="C88" s="139">
        <v>447</v>
      </c>
      <c r="D88" s="406">
        <v>0.81</v>
      </c>
      <c r="E88" s="139">
        <v>81009</v>
      </c>
      <c r="F88" s="406">
        <v>0.06</v>
      </c>
      <c r="G88" s="186">
        <v>36296617</v>
      </c>
      <c r="H88" s="406">
        <v>0.15</v>
      </c>
      <c r="I88" s="127"/>
    </row>
    <row r="89" spans="1:9">
      <c r="A89" s="127"/>
      <c r="B89" s="127" t="s">
        <v>270</v>
      </c>
      <c r="C89" s="139">
        <v>34</v>
      </c>
      <c r="D89" s="406">
        <v>0.06</v>
      </c>
      <c r="E89" s="139">
        <v>57471</v>
      </c>
      <c r="F89" s="406">
        <v>0.04</v>
      </c>
      <c r="G89" s="186">
        <v>14164595</v>
      </c>
      <c r="H89" s="406">
        <v>0.06</v>
      </c>
      <c r="I89" s="127"/>
    </row>
    <row r="90" spans="1:9">
      <c r="A90" s="127"/>
      <c r="B90" s="127" t="s">
        <v>271</v>
      </c>
      <c r="C90" s="139">
        <v>25</v>
      </c>
      <c r="D90" s="406">
        <v>0.05</v>
      </c>
      <c r="E90" s="139">
        <v>85379</v>
      </c>
      <c r="F90" s="406">
        <v>0.06</v>
      </c>
      <c r="G90" s="186">
        <v>17445771</v>
      </c>
      <c r="H90" s="406">
        <v>7.0000000000000007E-2</v>
      </c>
      <c r="I90" s="127"/>
    </row>
    <row r="91" spans="1:9">
      <c r="A91" s="127"/>
      <c r="B91" s="127" t="s">
        <v>272</v>
      </c>
      <c r="C91" s="139">
        <v>19</v>
      </c>
      <c r="D91" s="406">
        <v>0.03</v>
      </c>
      <c r="E91" s="139">
        <v>134577</v>
      </c>
      <c r="F91" s="406">
        <v>0.1</v>
      </c>
      <c r="G91" s="186">
        <v>33972913</v>
      </c>
      <c r="H91" s="406">
        <v>0.15</v>
      </c>
      <c r="I91" s="127"/>
    </row>
    <row r="92" spans="1:9">
      <c r="A92" s="127"/>
      <c r="B92" s="127" t="s">
        <v>273</v>
      </c>
      <c r="C92" s="139">
        <v>30</v>
      </c>
      <c r="D92" s="406">
        <v>0.05</v>
      </c>
      <c r="E92" s="139">
        <v>1024706</v>
      </c>
      <c r="F92" s="406">
        <v>0.74</v>
      </c>
      <c r="G92" s="186">
        <v>134529830</v>
      </c>
      <c r="H92" s="406">
        <v>0.56999999999999995</v>
      </c>
      <c r="I92" s="127"/>
    </row>
    <row r="93" spans="1:9" s="8" customFormat="1">
      <c r="A93" s="220"/>
      <c r="B93" s="220" t="s">
        <v>252</v>
      </c>
      <c r="C93" s="409">
        <f t="shared" ref="C93:H93" si="6">SUM(C88:C92)</f>
        <v>555</v>
      </c>
      <c r="D93" s="407">
        <f t="shared" si="6"/>
        <v>1.0000000000000002</v>
      </c>
      <c r="E93" s="409">
        <f t="shared" si="6"/>
        <v>1383142</v>
      </c>
      <c r="F93" s="407">
        <f t="shared" si="6"/>
        <v>1</v>
      </c>
      <c r="G93" s="187">
        <f t="shared" si="6"/>
        <v>236409726</v>
      </c>
      <c r="H93" s="407">
        <f t="shared" si="6"/>
        <v>1</v>
      </c>
      <c r="I93" s="220"/>
    </row>
    <row r="94" spans="1:9">
      <c r="A94" s="127"/>
      <c r="B94" s="127"/>
      <c r="C94" s="127"/>
      <c r="D94" s="127"/>
      <c r="E94" s="127"/>
      <c r="F94" s="127"/>
      <c r="G94" s="127"/>
      <c r="H94" s="127"/>
      <c r="I94" s="127"/>
    </row>
    <row r="95" spans="1:9" ht="11.25" customHeight="1">
      <c r="A95" s="127"/>
      <c r="B95" s="127"/>
      <c r="C95" s="127"/>
      <c r="D95" s="127"/>
      <c r="E95" s="127"/>
      <c r="F95" s="127"/>
      <c r="G95" s="127"/>
      <c r="H95" s="127"/>
      <c r="I95" s="127"/>
    </row>
    <row r="96" spans="1:9">
      <c r="A96" s="127"/>
      <c r="B96" s="223" t="s">
        <v>291</v>
      </c>
      <c r="C96" s="127"/>
      <c r="D96" s="127"/>
      <c r="E96" s="127"/>
      <c r="F96" s="127"/>
      <c r="G96" s="127"/>
      <c r="H96" s="127"/>
      <c r="I96" s="127"/>
    </row>
    <row r="97" spans="1:20" ht="78.75">
      <c r="A97" s="127"/>
      <c r="B97" s="404" t="s">
        <v>282</v>
      </c>
      <c r="C97" s="404" t="s">
        <v>286</v>
      </c>
      <c r="D97" s="404" t="s">
        <v>287</v>
      </c>
      <c r="E97" s="404" t="s">
        <v>288</v>
      </c>
      <c r="F97" s="404" t="s">
        <v>246</v>
      </c>
      <c r="G97" s="404" t="s">
        <v>280</v>
      </c>
      <c r="H97" s="404" t="s">
        <v>289</v>
      </c>
      <c r="I97" s="404" t="s">
        <v>290</v>
      </c>
      <c r="J97" s="174"/>
      <c r="T97" s="174"/>
    </row>
    <row r="98" spans="1:20">
      <c r="A98" s="127"/>
      <c r="B98" s="127" t="s">
        <v>283</v>
      </c>
      <c r="C98" s="139" t="s">
        <v>190</v>
      </c>
      <c r="D98" s="139">
        <v>466063</v>
      </c>
      <c r="E98" s="410">
        <f t="shared" ref="E98:E111" si="7">+D98/$D$57</f>
        <v>0.24555880522811491</v>
      </c>
      <c r="F98" s="186"/>
      <c r="G98" s="410">
        <v>0</v>
      </c>
      <c r="H98" s="186"/>
      <c r="I98" s="410">
        <v>0</v>
      </c>
      <c r="J98" s="147"/>
      <c r="T98" s="147"/>
    </row>
    <row r="99" spans="1:20" ht="12">
      <c r="A99" s="127"/>
      <c r="B99" s="127" t="s">
        <v>284</v>
      </c>
      <c r="C99" s="139">
        <v>275</v>
      </c>
      <c r="D99" s="139">
        <v>45201</v>
      </c>
      <c r="E99" s="410">
        <f t="shared" si="7"/>
        <v>2.3815457470590932E-2</v>
      </c>
      <c r="F99" s="186">
        <v>11754290</v>
      </c>
      <c r="G99" s="410">
        <f t="shared" ref="G99:G111" si="8">+F99/$F$57</f>
        <v>4.5667277296995913E-2</v>
      </c>
      <c r="H99" s="186">
        <v>11754290</v>
      </c>
      <c r="I99" s="410">
        <f t="shared" ref="I99:I111" si="9">+H99/$H$57</f>
        <v>4.2202871638163643E-2</v>
      </c>
      <c r="J99" s="147"/>
      <c r="T99" s="147"/>
    </row>
    <row r="100" spans="1:20">
      <c r="A100" s="127"/>
      <c r="B100" s="127" t="s">
        <v>285</v>
      </c>
      <c r="C100" s="139"/>
      <c r="D100" s="139"/>
      <c r="E100" s="410">
        <f t="shared" si="7"/>
        <v>0</v>
      </c>
      <c r="F100" s="186"/>
      <c r="G100" s="410">
        <f t="shared" si="8"/>
        <v>0</v>
      </c>
      <c r="H100" s="186"/>
      <c r="I100" s="410">
        <f t="shared" si="9"/>
        <v>0</v>
      </c>
      <c r="J100" s="147"/>
      <c r="T100" s="147"/>
    </row>
    <row r="101" spans="1:20">
      <c r="A101" s="127"/>
      <c r="B101" s="127" t="s">
        <v>456</v>
      </c>
      <c r="C101" s="139">
        <v>399</v>
      </c>
      <c r="D101" s="139">
        <v>324080</v>
      </c>
      <c r="E101" s="410">
        <f t="shared" si="7"/>
        <v>0.17075094482575848</v>
      </c>
      <c r="F101" s="186">
        <v>71500815</v>
      </c>
      <c r="G101" s="410">
        <f t="shared" si="8"/>
        <v>0.27779198450661036</v>
      </c>
      <c r="H101" s="186">
        <v>71559076</v>
      </c>
      <c r="I101" s="410">
        <f t="shared" si="9"/>
        <v>0.25692734303591258</v>
      </c>
      <c r="J101" s="147"/>
      <c r="T101" s="147"/>
    </row>
    <row r="102" spans="1:20">
      <c r="A102" s="127"/>
      <c r="B102" s="230">
        <v>2014</v>
      </c>
      <c r="C102" s="139">
        <v>516</v>
      </c>
      <c r="D102" s="139">
        <v>143552</v>
      </c>
      <c r="E102" s="410">
        <f t="shared" si="7"/>
        <v>7.5634533546122193E-2</v>
      </c>
      <c r="F102" s="186">
        <v>34602908</v>
      </c>
      <c r="G102" s="410">
        <f t="shared" si="8"/>
        <v>0.13443777505220972</v>
      </c>
      <c r="H102" s="186">
        <v>34905308</v>
      </c>
      <c r="I102" s="410">
        <f t="shared" si="9"/>
        <v>0.12532481613220081</v>
      </c>
      <c r="J102" s="147"/>
      <c r="T102" s="147"/>
    </row>
    <row r="103" spans="1:20">
      <c r="A103" s="127"/>
      <c r="B103" s="230">
        <v>2015</v>
      </c>
      <c r="C103" s="139">
        <v>484</v>
      </c>
      <c r="D103" s="139">
        <v>217149</v>
      </c>
      <c r="E103" s="410">
        <f t="shared" si="7"/>
        <v>0.11441124696978718</v>
      </c>
      <c r="F103" s="186">
        <v>34437895</v>
      </c>
      <c r="G103" s="410">
        <f t="shared" si="8"/>
        <v>0.13379667342645357</v>
      </c>
      <c r="H103" s="186">
        <v>36334960</v>
      </c>
      <c r="I103" s="410">
        <f t="shared" si="9"/>
        <v>0.13045787136933074</v>
      </c>
      <c r="J103" s="147"/>
      <c r="T103" s="147"/>
    </row>
    <row r="104" spans="1:20">
      <c r="A104" s="127"/>
      <c r="B104" s="230">
        <v>2016</v>
      </c>
      <c r="C104" s="139">
        <v>202</v>
      </c>
      <c r="D104" s="139">
        <v>53990</v>
      </c>
      <c r="E104" s="410">
        <f t="shared" si="7"/>
        <v>2.844619696106733E-2</v>
      </c>
      <c r="F104" s="186">
        <v>22671666</v>
      </c>
      <c r="G104" s="410">
        <f t="shared" si="8"/>
        <v>8.8083011224571975E-2</v>
      </c>
      <c r="H104" s="186">
        <v>22801968</v>
      </c>
      <c r="I104" s="410">
        <f t="shared" si="9"/>
        <v>8.1868707391217599E-2</v>
      </c>
      <c r="J104" s="147"/>
      <c r="T104" s="147"/>
    </row>
    <row r="105" spans="1:20">
      <c r="A105" s="127"/>
      <c r="B105" s="230">
        <v>2017</v>
      </c>
      <c r="C105" s="139">
        <v>87</v>
      </c>
      <c r="D105" s="139">
        <v>207630</v>
      </c>
      <c r="E105" s="410">
        <f t="shared" si="7"/>
        <v>0.1093958858126766</v>
      </c>
      <c r="F105" s="186">
        <v>26648870</v>
      </c>
      <c r="G105" s="410">
        <f t="shared" si="8"/>
        <v>0.10353507833664097</v>
      </c>
      <c r="H105" s="186">
        <v>30615067</v>
      </c>
      <c r="I105" s="410">
        <f t="shared" si="9"/>
        <v>0.1099210367274229</v>
      </c>
      <c r="J105" s="147"/>
      <c r="T105" s="147"/>
    </row>
    <row r="106" spans="1:20">
      <c r="A106" s="127"/>
      <c r="B106" s="230">
        <v>2018</v>
      </c>
      <c r="C106" s="139">
        <v>47</v>
      </c>
      <c r="D106" s="139">
        <v>43087</v>
      </c>
      <c r="E106" s="410">
        <f t="shared" si="7"/>
        <v>2.2701635274337991E-2</v>
      </c>
      <c r="F106" s="186">
        <v>8814111</v>
      </c>
      <c r="G106" s="410">
        <f t="shared" si="8"/>
        <v>3.424421646594579E-2</v>
      </c>
      <c r="H106" s="186">
        <v>13158665</v>
      </c>
      <c r="I106" s="410">
        <f t="shared" si="9"/>
        <v>4.7245171756405246E-2</v>
      </c>
      <c r="J106" s="147"/>
      <c r="T106" s="147"/>
    </row>
    <row r="107" spans="1:20">
      <c r="A107" s="127"/>
      <c r="B107" s="230">
        <v>2019</v>
      </c>
      <c r="C107" s="139">
        <v>3</v>
      </c>
      <c r="D107" s="139">
        <v>93876</v>
      </c>
      <c r="E107" s="410">
        <f t="shared" si="7"/>
        <v>4.9461292571164231E-2</v>
      </c>
      <c r="F107" s="186">
        <v>4863256</v>
      </c>
      <c r="G107" s="410">
        <f t="shared" si="8"/>
        <v>1.8894519389795483E-2</v>
      </c>
      <c r="H107" s="186">
        <v>4867659</v>
      </c>
      <c r="I107" s="410">
        <f t="shared" si="9"/>
        <v>1.747695419760377E-2</v>
      </c>
      <c r="J107" s="147"/>
      <c r="T107" s="147"/>
    </row>
    <row r="108" spans="1:20">
      <c r="A108" s="127"/>
      <c r="B108" s="230">
        <v>2020</v>
      </c>
      <c r="C108" s="139">
        <v>9</v>
      </c>
      <c r="D108" s="139">
        <v>111096</v>
      </c>
      <c r="E108" s="410">
        <f t="shared" si="7"/>
        <v>5.8534148871767666E-2</v>
      </c>
      <c r="F108" s="186">
        <v>7229637</v>
      </c>
      <c r="G108" s="410">
        <f t="shared" si="8"/>
        <v>2.8088284161410144E-2</v>
      </c>
      <c r="H108" s="186">
        <v>9112019</v>
      </c>
      <c r="I108" s="410">
        <f t="shared" si="9"/>
        <v>3.2716001410677147E-2</v>
      </c>
      <c r="J108" s="147"/>
      <c r="T108" s="147"/>
    </row>
    <row r="109" spans="1:20">
      <c r="A109" s="127"/>
      <c r="B109" s="230">
        <v>2021</v>
      </c>
      <c r="C109" s="139">
        <v>8</v>
      </c>
      <c r="D109" s="139">
        <v>30617</v>
      </c>
      <c r="E109" s="410">
        <f t="shared" si="7"/>
        <v>1.6131454201833643E-2</v>
      </c>
      <c r="F109" s="186">
        <v>4019520</v>
      </c>
      <c r="G109" s="410">
        <f t="shared" si="8"/>
        <v>1.5616471470486181E-2</v>
      </c>
      <c r="H109" s="186">
        <v>4576160</v>
      </c>
      <c r="I109" s="410">
        <f t="shared" si="9"/>
        <v>1.6430349521383166E-2</v>
      </c>
      <c r="J109" s="147"/>
      <c r="T109" s="147"/>
    </row>
    <row r="110" spans="1:20">
      <c r="A110" s="127"/>
      <c r="B110" s="230">
        <v>2022</v>
      </c>
      <c r="C110" s="139">
        <v>8</v>
      </c>
      <c r="D110" s="139">
        <v>52289</v>
      </c>
      <c r="E110" s="410">
        <f t="shared" si="7"/>
        <v>2.7549975789910162E-2</v>
      </c>
      <c r="F110" s="186">
        <v>5895072</v>
      </c>
      <c r="G110" s="410">
        <f t="shared" si="8"/>
        <v>2.2903287881254956E-2</v>
      </c>
      <c r="H110" s="186">
        <v>12796090</v>
      </c>
      <c r="I110" s="410">
        <f t="shared" si="9"/>
        <v>4.5943374184267145E-2</v>
      </c>
      <c r="J110" s="147"/>
      <c r="T110" s="147"/>
    </row>
    <row r="111" spans="1:20">
      <c r="A111" s="127"/>
      <c r="B111" s="230" t="s">
        <v>413</v>
      </c>
      <c r="C111" s="139">
        <v>14</v>
      </c>
      <c r="D111" s="139">
        <v>60574</v>
      </c>
      <c r="E111" s="410">
        <f t="shared" si="7"/>
        <v>3.1915168266710363E-2</v>
      </c>
      <c r="F111" s="186">
        <v>3971686</v>
      </c>
      <c r="G111" s="410">
        <f t="shared" si="8"/>
        <v>1.5430628808596395E-2</v>
      </c>
      <c r="H111" s="186">
        <v>4435430</v>
      </c>
      <c r="I111" s="410">
        <f t="shared" si="9"/>
        <v>1.5925069310869493E-2</v>
      </c>
      <c r="J111" s="147"/>
      <c r="T111" s="147"/>
    </row>
    <row r="112" spans="1:20" s="8" customFormat="1">
      <c r="A112" s="220"/>
      <c r="B112" s="220" t="s">
        <v>252</v>
      </c>
      <c r="C112" s="409">
        <f>+SUM(C98:C111)</f>
        <v>2052</v>
      </c>
      <c r="D112" s="409">
        <f>+SUM(D98:D111)</f>
        <v>1849204</v>
      </c>
      <c r="E112" s="411">
        <f>SUM(E98:E111)</f>
        <v>0.97430674578984167</v>
      </c>
      <c r="F112" s="187">
        <f>+SUM(F98:F111)</f>
        <v>236409726</v>
      </c>
      <c r="G112" s="407">
        <f>SUM(G98:G111)</f>
        <v>0.91848920802097145</v>
      </c>
      <c r="H112" s="187">
        <f>+SUM(H98:H111)</f>
        <v>256916692</v>
      </c>
      <c r="I112" s="407">
        <f>+SUM(I98:I111)</f>
        <v>0.92243956667545424</v>
      </c>
      <c r="J112" s="172"/>
      <c r="T112" s="172"/>
    </row>
    <row r="114" spans="1:9">
      <c r="A114" s="222" t="s">
        <v>293</v>
      </c>
      <c r="B114" s="403" t="s">
        <v>424</v>
      </c>
      <c r="C114" s="127"/>
      <c r="D114" s="127"/>
      <c r="E114" s="127"/>
      <c r="F114" s="127"/>
      <c r="G114" s="127"/>
      <c r="H114" s="127"/>
      <c r="I114" s="127"/>
    </row>
    <row r="115" spans="1:9" ht="33.75">
      <c r="A115" s="127"/>
      <c r="B115" s="404" t="s">
        <v>258</v>
      </c>
      <c r="C115" s="404" t="s">
        <v>264</v>
      </c>
      <c r="D115" s="404" t="s">
        <v>246</v>
      </c>
      <c r="E115" s="404" t="s">
        <v>265</v>
      </c>
      <c r="F115" s="404" t="s">
        <v>266</v>
      </c>
      <c r="G115" s="127"/>
      <c r="H115" s="127"/>
      <c r="I115" s="127"/>
    </row>
    <row r="116" spans="1:9">
      <c r="A116" s="127"/>
      <c r="B116" s="127"/>
      <c r="C116" s="127"/>
      <c r="D116" s="127"/>
      <c r="E116" s="127"/>
      <c r="F116" s="127"/>
      <c r="G116" s="127"/>
      <c r="H116" s="127"/>
      <c r="I116" s="127"/>
    </row>
    <row r="117" spans="1:9">
      <c r="A117" s="127">
        <v>1</v>
      </c>
      <c r="B117" s="127" t="s">
        <v>267</v>
      </c>
      <c r="C117" s="405">
        <v>7</v>
      </c>
      <c r="D117" s="186">
        <v>20679452</v>
      </c>
      <c r="E117" s="406">
        <v>9.1999999999999998E-2</v>
      </c>
      <c r="F117" s="405">
        <v>17</v>
      </c>
      <c r="G117" s="127"/>
      <c r="H117" s="127"/>
      <c r="I117" s="127"/>
    </row>
    <row r="118" spans="1:9">
      <c r="A118" s="127">
        <f>+A117+1</f>
        <v>2</v>
      </c>
      <c r="B118" s="127" t="s">
        <v>259</v>
      </c>
      <c r="C118" s="405">
        <v>4</v>
      </c>
      <c r="D118" s="186">
        <v>15931172</v>
      </c>
      <c r="E118" s="406">
        <v>7.0999999999999994E-2</v>
      </c>
      <c r="F118" s="405">
        <v>5.5</v>
      </c>
      <c r="G118" s="127"/>
      <c r="H118" s="127"/>
      <c r="I118" s="127"/>
    </row>
    <row r="119" spans="1:9">
      <c r="A119" s="127">
        <f t="shared" ref="A119:A136" si="10">+A118+1</f>
        <v>3</v>
      </c>
      <c r="B119" s="127" t="s">
        <v>260</v>
      </c>
      <c r="C119" s="405">
        <v>3</v>
      </c>
      <c r="D119" s="186">
        <v>13992897</v>
      </c>
      <c r="E119" s="406">
        <v>6.2E-2</v>
      </c>
      <c r="F119" s="405">
        <v>6.4</v>
      </c>
      <c r="G119" s="127"/>
      <c r="H119" s="127"/>
      <c r="I119" s="127"/>
    </row>
    <row r="120" spans="1:9">
      <c r="A120" s="127">
        <f t="shared" si="10"/>
        <v>4</v>
      </c>
      <c r="B120" s="127" t="s">
        <v>259</v>
      </c>
      <c r="C120" s="405">
        <v>2</v>
      </c>
      <c r="D120" s="186">
        <v>13267978</v>
      </c>
      <c r="E120" s="406">
        <v>5.8999999999999997E-2</v>
      </c>
      <c r="F120" s="405">
        <v>1.7</v>
      </c>
      <c r="G120" s="127"/>
      <c r="H120" s="127"/>
      <c r="I120" s="127"/>
    </row>
    <row r="121" spans="1:9">
      <c r="A121" s="127">
        <f t="shared" si="10"/>
        <v>5</v>
      </c>
      <c r="B121" s="127" t="s">
        <v>263</v>
      </c>
      <c r="C121" s="405">
        <v>2</v>
      </c>
      <c r="D121" s="186">
        <v>7071990</v>
      </c>
      <c r="E121" s="406">
        <v>3.1E-2</v>
      </c>
      <c r="F121" s="405">
        <v>49</v>
      </c>
      <c r="G121" s="127"/>
      <c r="H121" s="127"/>
      <c r="I121" s="127"/>
    </row>
    <row r="122" spans="1:9">
      <c r="A122" s="127">
        <f t="shared" si="10"/>
        <v>6</v>
      </c>
      <c r="B122" s="127" t="s">
        <v>261</v>
      </c>
      <c r="C122" s="405">
        <v>1</v>
      </c>
      <c r="D122" s="186">
        <v>6976397</v>
      </c>
      <c r="E122" s="406">
        <v>3.1E-2</v>
      </c>
      <c r="F122" s="405">
        <v>51.3</v>
      </c>
      <c r="G122" s="127"/>
      <c r="H122" s="127"/>
      <c r="I122" s="127"/>
    </row>
    <row r="123" spans="1:9">
      <c r="A123" s="127">
        <f t="shared" si="10"/>
        <v>7</v>
      </c>
      <c r="B123" s="127" t="s">
        <v>262</v>
      </c>
      <c r="C123" s="405">
        <v>1</v>
      </c>
      <c r="D123" s="186">
        <v>6000225</v>
      </c>
      <c r="E123" s="406">
        <v>2.7E-2</v>
      </c>
      <c r="F123" s="405">
        <v>86</v>
      </c>
      <c r="G123" s="127"/>
      <c r="H123" s="127"/>
      <c r="I123" s="127"/>
    </row>
    <row r="124" spans="1:9">
      <c r="A124" s="127">
        <f t="shared" si="10"/>
        <v>8</v>
      </c>
      <c r="B124" s="127" t="s">
        <v>263</v>
      </c>
      <c r="C124" s="405">
        <v>1</v>
      </c>
      <c r="D124" s="186">
        <v>4890027</v>
      </c>
      <c r="E124" s="406">
        <v>2.1999999999999999E-2</v>
      </c>
      <c r="F124" s="405">
        <v>33</v>
      </c>
      <c r="G124" s="127"/>
      <c r="H124" s="127"/>
      <c r="I124" s="127"/>
    </row>
    <row r="125" spans="1:9">
      <c r="A125" s="127">
        <f t="shared" si="10"/>
        <v>9</v>
      </c>
      <c r="B125" s="127" t="s">
        <v>261</v>
      </c>
      <c r="C125" s="405">
        <v>1</v>
      </c>
      <c r="D125" s="186">
        <v>4864124</v>
      </c>
      <c r="E125" s="406">
        <v>2.1999999999999999E-2</v>
      </c>
      <c r="F125" s="405">
        <v>73</v>
      </c>
      <c r="G125" s="127"/>
      <c r="H125" s="127"/>
      <c r="I125" s="127"/>
    </row>
    <row r="126" spans="1:9">
      <c r="A126" s="127">
        <f t="shared" si="10"/>
        <v>10</v>
      </c>
      <c r="B126" s="127" t="s">
        <v>259</v>
      </c>
      <c r="C126" s="405">
        <v>2</v>
      </c>
      <c r="D126" s="186">
        <v>4731000</v>
      </c>
      <c r="E126" s="406">
        <v>2.1000000000000001E-2</v>
      </c>
      <c r="F126" s="405">
        <v>40</v>
      </c>
      <c r="G126" s="127"/>
      <c r="H126" s="127"/>
      <c r="I126" s="127"/>
    </row>
    <row r="127" spans="1:9">
      <c r="A127" s="127">
        <f t="shared" si="10"/>
        <v>11</v>
      </c>
      <c r="B127" s="127" t="s">
        <v>457</v>
      </c>
      <c r="C127" s="405">
        <v>1</v>
      </c>
      <c r="D127" s="186">
        <v>4456646</v>
      </c>
      <c r="E127" s="406">
        <v>0.02</v>
      </c>
      <c r="F127" s="405">
        <v>108.4</v>
      </c>
      <c r="G127" s="127"/>
      <c r="H127" s="127"/>
      <c r="I127" s="127"/>
    </row>
    <row r="128" spans="1:9">
      <c r="A128" s="127">
        <f t="shared" si="10"/>
        <v>12</v>
      </c>
      <c r="B128" s="127" t="s">
        <v>263</v>
      </c>
      <c r="C128" s="405">
        <v>1</v>
      </c>
      <c r="D128" s="186">
        <v>3877195</v>
      </c>
      <c r="E128" s="406">
        <v>1.7000000000000001E-2</v>
      </c>
      <c r="F128" s="405">
        <v>95</v>
      </c>
      <c r="G128" s="127"/>
      <c r="H128" s="127"/>
      <c r="I128" s="127"/>
    </row>
    <row r="129" spans="1:9">
      <c r="A129" s="127">
        <f t="shared" si="10"/>
        <v>13</v>
      </c>
      <c r="B129" s="127" t="s">
        <v>263</v>
      </c>
      <c r="C129" s="405">
        <v>2</v>
      </c>
      <c r="D129" s="186">
        <v>3856209</v>
      </c>
      <c r="E129" s="406">
        <v>1.7000000000000001E-2</v>
      </c>
      <c r="F129" s="405">
        <v>94.1</v>
      </c>
      <c r="G129" s="127"/>
      <c r="H129" s="127"/>
      <c r="I129" s="127"/>
    </row>
    <row r="130" spans="1:9">
      <c r="A130" s="127">
        <f t="shared" si="10"/>
        <v>14</v>
      </c>
      <c r="B130" s="127" t="s">
        <v>259</v>
      </c>
      <c r="C130" s="405">
        <v>3</v>
      </c>
      <c r="D130" s="186">
        <v>3811023</v>
      </c>
      <c r="E130" s="406">
        <v>1.7000000000000001E-2</v>
      </c>
      <c r="F130" s="405">
        <v>2.1</v>
      </c>
      <c r="G130" s="127"/>
      <c r="H130" s="127"/>
      <c r="I130" s="127"/>
    </row>
    <row r="131" spans="1:9">
      <c r="A131" s="127">
        <f t="shared" si="10"/>
        <v>15</v>
      </c>
      <c r="B131" s="127" t="s">
        <v>259</v>
      </c>
      <c r="C131" s="405">
        <v>1</v>
      </c>
      <c r="D131" s="186">
        <v>3808364</v>
      </c>
      <c r="E131" s="406">
        <v>1.7000000000000001E-2</v>
      </c>
      <c r="F131" s="405">
        <v>16.7</v>
      </c>
      <c r="G131" s="127"/>
      <c r="H131" s="127"/>
      <c r="I131" s="127"/>
    </row>
    <row r="132" spans="1:9">
      <c r="A132" s="127">
        <f t="shared" si="10"/>
        <v>16</v>
      </c>
      <c r="B132" s="127" t="s">
        <v>415</v>
      </c>
      <c r="C132" s="405">
        <v>1</v>
      </c>
      <c r="D132" s="186">
        <v>3571203</v>
      </c>
      <c r="E132" s="406">
        <v>1.6E-2</v>
      </c>
      <c r="F132" s="405">
        <v>38</v>
      </c>
      <c r="G132" s="127"/>
      <c r="H132" s="127"/>
      <c r="I132" s="127"/>
    </row>
    <row r="133" spans="1:9">
      <c r="A133" s="127">
        <f t="shared" si="10"/>
        <v>17</v>
      </c>
      <c r="B133" s="127" t="s">
        <v>259</v>
      </c>
      <c r="C133" s="405">
        <v>1</v>
      </c>
      <c r="D133" s="186">
        <v>3406090</v>
      </c>
      <c r="E133" s="406">
        <v>1.4999999999999999E-2</v>
      </c>
      <c r="F133" s="405">
        <v>27</v>
      </c>
      <c r="G133" s="127"/>
      <c r="H133" s="127"/>
      <c r="I133" s="127"/>
    </row>
    <row r="134" spans="1:9">
      <c r="A134" s="127">
        <f t="shared" si="10"/>
        <v>18</v>
      </c>
      <c r="B134" s="127" t="s">
        <v>415</v>
      </c>
      <c r="C134" s="405">
        <v>1</v>
      </c>
      <c r="D134" s="186">
        <v>3233553</v>
      </c>
      <c r="E134" s="406">
        <v>1.4E-2</v>
      </c>
      <c r="F134" s="405">
        <v>8.8000000000000007</v>
      </c>
      <c r="G134" s="127"/>
      <c r="H134" s="127"/>
      <c r="I134" s="127"/>
    </row>
    <row r="135" spans="1:9">
      <c r="A135" s="127">
        <f t="shared" si="10"/>
        <v>19</v>
      </c>
      <c r="B135" s="127" t="s">
        <v>259</v>
      </c>
      <c r="C135" s="405">
        <v>1</v>
      </c>
      <c r="D135" s="186">
        <v>3018000</v>
      </c>
      <c r="E135" s="406">
        <v>1.2999999999999999E-2</v>
      </c>
      <c r="F135" s="405">
        <v>6</v>
      </c>
      <c r="G135" s="127"/>
      <c r="H135" s="127"/>
      <c r="I135" s="127"/>
    </row>
    <row r="136" spans="1:9">
      <c r="A136" s="127">
        <f t="shared" si="10"/>
        <v>20</v>
      </c>
      <c r="B136" s="127" t="s">
        <v>259</v>
      </c>
      <c r="C136" s="405">
        <v>1</v>
      </c>
      <c r="D136" s="186">
        <v>2997060</v>
      </c>
      <c r="E136" s="406">
        <v>1.2999999999999999E-2</v>
      </c>
      <c r="F136" s="405">
        <v>10.6</v>
      </c>
      <c r="G136" s="127"/>
      <c r="H136" s="127"/>
      <c r="I136" s="127"/>
    </row>
    <row r="137" spans="1:9">
      <c r="A137" s="220"/>
      <c r="B137" s="220" t="s">
        <v>252</v>
      </c>
      <c r="C137" s="220"/>
      <c r="D137" s="187">
        <f>+SUM(D117:D136)</f>
        <v>134440605</v>
      </c>
      <c r="E137" s="407">
        <f>SUM(E117:E136)</f>
        <v>0.5970000000000002</v>
      </c>
      <c r="F137" s="403">
        <v>30.3</v>
      </c>
      <c r="G137" s="220"/>
      <c r="H137" s="220"/>
      <c r="I137" s="220"/>
    </row>
    <row r="138" spans="1:9">
      <c r="A138" s="127"/>
      <c r="B138" s="127"/>
      <c r="C138" s="127"/>
      <c r="D138" s="127"/>
      <c r="E138" s="127"/>
      <c r="F138" s="127"/>
      <c r="G138" s="127"/>
      <c r="H138" s="127"/>
      <c r="I138" s="127"/>
    </row>
    <row r="139" spans="1:9">
      <c r="A139" s="127"/>
      <c r="B139" s="127"/>
      <c r="C139" s="127"/>
      <c r="D139" s="127"/>
      <c r="E139" s="127"/>
      <c r="F139" s="127"/>
      <c r="G139" s="127"/>
      <c r="H139" s="127"/>
      <c r="I139" s="127"/>
    </row>
    <row r="140" spans="1:9">
      <c r="A140" s="127"/>
      <c r="B140" s="127"/>
      <c r="C140" s="127"/>
      <c r="D140" s="127"/>
      <c r="E140" s="127"/>
      <c r="F140" s="127"/>
      <c r="G140" s="127"/>
      <c r="H140" s="127"/>
      <c r="I140" s="127"/>
    </row>
    <row r="141" spans="1:9" ht="45">
      <c r="A141" s="127"/>
      <c r="B141" s="408" t="s">
        <v>274</v>
      </c>
      <c r="C141" s="408" t="s">
        <v>275</v>
      </c>
      <c r="D141" s="408" t="s">
        <v>276</v>
      </c>
      <c r="E141" s="408" t="s">
        <v>277</v>
      </c>
      <c r="F141" s="408" t="s">
        <v>278</v>
      </c>
      <c r="G141" s="408" t="s">
        <v>279</v>
      </c>
      <c r="H141" s="408" t="s">
        <v>280</v>
      </c>
      <c r="I141" s="127"/>
    </row>
    <row r="142" spans="1:9">
      <c r="A142" s="127"/>
      <c r="B142" s="127"/>
      <c r="C142" s="127"/>
      <c r="D142" s="127"/>
      <c r="E142" s="127"/>
      <c r="F142" s="127"/>
      <c r="G142" s="127"/>
      <c r="H142" s="127"/>
      <c r="I142" s="127"/>
    </row>
    <row r="143" spans="1:9">
      <c r="A143" s="127"/>
      <c r="B143" s="127" t="s">
        <v>269</v>
      </c>
      <c r="C143" s="139">
        <v>426</v>
      </c>
      <c r="D143" s="406">
        <v>0.81</v>
      </c>
      <c r="E143" s="139">
        <v>73725</v>
      </c>
      <c r="F143" s="406">
        <v>0.06</v>
      </c>
      <c r="G143" s="186">
        <v>32585466</v>
      </c>
      <c r="H143" s="406">
        <v>0.14000000000000001</v>
      </c>
      <c r="I143" s="127"/>
    </row>
    <row r="144" spans="1:9">
      <c r="A144" s="127"/>
      <c r="B144" s="127" t="s">
        <v>270</v>
      </c>
      <c r="C144" s="139">
        <v>36</v>
      </c>
      <c r="D144" s="406">
        <v>7.0000000000000007E-2</v>
      </c>
      <c r="E144" s="139">
        <v>58561</v>
      </c>
      <c r="F144" s="406">
        <v>0.04</v>
      </c>
      <c r="G144" s="186">
        <v>16074720</v>
      </c>
      <c r="H144" s="406">
        <v>7.0000000000000007E-2</v>
      </c>
      <c r="I144" s="127"/>
    </row>
    <row r="145" spans="1:9">
      <c r="A145" s="127"/>
      <c r="B145" s="127" t="s">
        <v>271</v>
      </c>
      <c r="C145" s="139">
        <v>22</v>
      </c>
      <c r="D145" s="406">
        <v>0.04</v>
      </c>
      <c r="E145" s="139">
        <v>77798</v>
      </c>
      <c r="F145" s="406">
        <v>0.06</v>
      </c>
      <c r="G145" s="186">
        <v>18458313</v>
      </c>
      <c r="H145" s="406">
        <v>0.08</v>
      </c>
      <c r="I145" s="127"/>
    </row>
    <row r="146" spans="1:9">
      <c r="A146" s="127"/>
      <c r="B146" s="127" t="s">
        <v>272</v>
      </c>
      <c r="C146" s="139">
        <v>15</v>
      </c>
      <c r="D146" s="406">
        <v>0.03</v>
      </c>
      <c r="E146" s="139">
        <v>115356</v>
      </c>
      <c r="F146" s="406">
        <v>0.09</v>
      </c>
      <c r="G146" s="186">
        <v>31023494</v>
      </c>
      <c r="H146" s="406">
        <v>0.14000000000000001</v>
      </c>
      <c r="I146" s="127"/>
    </row>
    <row r="147" spans="1:9">
      <c r="A147" s="127"/>
      <c r="B147" s="127" t="s">
        <v>273</v>
      </c>
      <c r="C147" s="139">
        <v>28</v>
      </c>
      <c r="D147" s="406">
        <v>0.05</v>
      </c>
      <c r="E147" s="139">
        <v>988799</v>
      </c>
      <c r="F147" s="406">
        <v>0.75</v>
      </c>
      <c r="G147" s="186">
        <v>127603726</v>
      </c>
      <c r="H147" s="406">
        <v>0.56999999999999995</v>
      </c>
      <c r="I147" s="127"/>
    </row>
    <row r="148" spans="1:9">
      <c r="A148" s="220"/>
      <c r="B148" s="220" t="s">
        <v>252</v>
      </c>
      <c r="C148" s="409">
        <f t="shared" ref="C148:H148" si="11">SUM(C143:C147)</f>
        <v>527</v>
      </c>
      <c r="D148" s="407">
        <f t="shared" si="11"/>
        <v>1.0000000000000002</v>
      </c>
      <c r="E148" s="409">
        <f t="shared" si="11"/>
        <v>1314239</v>
      </c>
      <c r="F148" s="407">
        <f t="shared" si="11"/>
        <v>1</v>
      </c>
      <c r="G148" s="187">
        <f t="shared" si="11"/>
        <v>225745719</v>
      </c>
      <c r="H148" s="407">
        <f t="shared" si="11"/>
        <v>1</v>
      </c>
      <c r="I148" s="220"/>
    </row>
    <row r="149" spans="1:9">
      <c r="A149" s="127"/>
      <c r="B149" s="127"/>
      <c r="C149" s="127"/>
      <c r="D149" s="127"/>
      <c r="E149" s="127"/>
      <c r="F149" s="127"/>
      <c r="G149" s="127"/>
      <c r="H149" s="127"/>
      <c r="I149" s="127"/>
    </row>
    <row r="150" spans="1:9">
      <c r="A150" s="127"/>
      <c r="B150" s="127"/>
      <c r="C150" s="127"/>
      <c r="D150" s="127"/>
      <c r="E150" s="127"/>
      <c r="F150" s="127"/>
      <c r="G150" s="127"/>
      <c r="H150" s="127"/>
      <c r="I150" s="127"/>
    </row>
    <row r="151" spans="1:9">
      <c r="A151" s="127"/>
      <c r="B151" s="127"/>
      <c r="C151" s="127"/>
      <c r="D151" s="127"/>
      <c r="E151" s="127"/>
      <c r="F151" s="127"/>
      <c r="G151" s="127"/>
      <c r="H151" s="127"/>
      <c r="I151" s="127"/>
    </row>
    <row r="152" spans="1:9" ht="78.75">
      <c r="A152" s="127"/>
      <c r="B152" s="404" t="s">
        <v>282</v>
      </c>
      <c r="C152" s="404" t="s">
        <v>286</v>
      </c>
      <c r="D152" s="404" t="s">
        <v>287</v>
      </c>
      <c r="E152" s="404" t="s">
        <v>288</v>
      </c>
      <c r="F152" s="404" t="s">
        <v>246</v>
      </c>
      <c r="G152" s="404" t="s">
        <v>280</v>
      </c>
      <c r="H152" s="404" t="s">
        <v>289</v>
      </c>
      <c r="I152" s="404" t="s">
        <v>290</v>
      </c>
    </row>
    <row r="153" spans="1:9">
      <c r="A153" s="127"/>
      <c r="B153" s="127" t="s">
        <v>283</v>
      </c>
      <c r="C153" s="139" t="s">
        <v>190</v>
      </c>
      <c r="D153" s="139">
        <v>395231</v>
      </c>
      <c r="E153" s="410">
        <f t="shared" ref="E153:E166" si="12">+D153/$D$57</f>
        <v>0.20823891222670127</v>
      </c>
      <c r="F153" s="186"/>
      <c r="G153" s="410">
        <v>0</v>
      </c>
      <c r="H153" s="186"/>
      <c r="I153" s="410">
        <v>0</v>
      </c>
    </row>
    <row r="154" spans="1:9" ht="12">
      <c r="A154" s="127"/>
      <c r="B154" s="127" t="s">
        <v>284</v>
      </c>
      <c r="C154" s="139">
        <v>250</v>
      </c>
      <c r="D154" s="139">
        <v>47843</v>
      </c>
      <c r="E154" s="410">
        <f t="shared" si="12"/>
        <v>2.5207471776409415E-2</v>
      </c>
      <c r="F154" s="186">
        <v>10377892</v>
      </c>
      <c r="G154" s="410">
        <f t="shared" ref="G154:G166" si="13">+F154/$F$57</f>
        <v>4.0319753189880077E-2</v>
      </c>
      <c r="H154" s="186">
        <v>10377892</v>
      </c>
      <c r="I154" s="410">
        <f t="shared" ref="I154:I166" si="14">+H154/$H$57</f>
        <v>3.7261020780559727E-2</v>
      </c>
    </row>
    <row r="155" spans="1:9">
      <c r="A155" s="127"/>
      <c r="B155" s="127" t="s">
        <v>285</v>
      </c>
      <c r="C155" s="139"/>
      <c r="D155" s="139"/>
      <c r="E155" s="410">
        <f t="shared" si="12"/>
        <v>0</v>
      </c>
      <c r="F155" s="186"/>
      <c r="G155" s="410">
        <f t="shared" si="13"/>
        <v>0</v>
      </c>
      <c r="H155" s="186"/>
      <c r="I155" s="410">
        <f t="shared" si="14"/>
        <v>0</v>
      </c>
    </row>
    <row r="156" spans="1:9">
      <c r="A156" s="127"/>
      <c r="B156" s="127" t="s">
        <v>456</v>
      </c>
      <c r="C156" s="139">
        <v>543</v>
      </c>
      <c r="D156" s="139">
        <v>373942</v>
      </c>
      <c r="E156" s="410">
        <f t="shared" si="12"/>
        <v>0.19702218529385887</v>
      </c>
      <c r="F156" s="186">
        <v>84564960</v>
      </c>
      <c r="G156" s="410">
        <f t="shared" si="13"/>
        <v>0.32854825582228853</v>
      </c>
      <c r="H156" s="186">
        <v>84642160</v>
      </c>
      <c r="I156" s="410">
        <f t="shared" si="14"/>
        <v>0.30390114704137039</v>
      </c>
    </row>
    <row r="157" spans="1:9">
      <c r="A157" s="127"/>
      <c r="B157" s="230">
        <v>2014</v>
      </c>
      <c r="C157" s="139">
        <v>382</v>
      </c>
      <c r="D157" s="139">
        <v>115888</v>
      </c>
      <c r="E157" s="410">
        <f t="shared" si="12"/>
        <v>6.1058953017673105E-2</v>
      </c>
      <c r="F157" s="186">
        <v>29516754</v>
      </c>
      <c r="G157" s="410">
        <f t="shared" si="13"/>
        <v>0.11467726164874385</v>
      </c>
      <c r="H157" s="186">
        <v>29516754</v>
      </c>
      <c r="I157" s="410">
        <f t="shared" si="14"/>
        <v>0.10597762861365964</v>
      </c>
    </row>
    <row r="158" spans="1:9">
      <c r="A158" s="127"/>
      <c r="B158" s="230">
        <v>2015</v>
      </c>
      <c r="C158" s="139">
        <v>468</v>
      </c>
      <c r="D158" s="139">
        <v>217206</v>
      </c>
      <c r="E158" s="410">
        <f t="shared" si="12"/>
        <v>0.11444127907252437</v>
      </c>
      <c r="F158" s="186">
        <v>35587026</v>
      </c>
      <c r="G158" s="410">
        <f t="shared" si="13"/>
        <v>0.13826122926330756</v>
      </c>
      <c r="H158" s="186">
        <v>40471445</v>
      </c>
      <c r="I158" s="410">
        <f t="shared" si="14"/>
        <v>0.14530960171528862</v>
      </c>
    </row>
    <row r="159" spans="1:9">
      <c r="A159" s="127"/>
      <c r="B159" s="230">
        <v>2016</v>
      </c>
      <c r="C159" s="139">
        <v>85</v>
      </c>
      <c r="D159" s="139">
        <v>22622</v>
      </c>
      <c r="E159" s="410">
        <f t="shared" si="12"/>
        <v>1.1919056633696336E-2</v>
      </c>
      <c r="F159" s="186">
        <v>11477208</v>
      </c>
      <c r="G159" s="410">
        <f t="shared" si="13"/>
        <v>4.4590769866261586E-2</v>
      </c>
      <c r="H159" s="186">
        <v>12378553</v>
      </c>
      <c r="I159" s="410">
        <f t="shared" si="14"/>
        <v>4.4444239790340845E-2</v>
      </c>
    </row>
    <row r="160" spans="1:9">
      <c r="A160" s="127"/>
      <c r="B160" s="230">
        <v>2017</v>
      </c>
      <c r="C160" s="139">
        <v>79</v>
      </c>
      <c r="D160" s="139">
        <v>202939</v>
      </c>
      <c r="E160" s="410">
        <f t="shared" si="12"/>
        <v>0.10692429644530548</v>
      </c>
      <c r="F160" s="186">
        <v>24434472</v>
      </c>
      <c r="G160" s="410">
        <f t="shared" si="13"/>
        <v>9.4931791578196756E-2</v>
      </c>
      <c r="H160" s="186">
        <v>25054384</v>
      </c>
      <c r="I160" s="410">
        <f t="shared" si="14"/>
        <v>8.9955833310668795E-2</v>
      </c>
    </row>
    <row r="161" spans="1:9">
      <c r="A161" s="127"/>
      <c r="B161" s="230">
        <v>2018</v>
      </c>
      <c r="C161" s="139">
        <v>26</v>
      </c>
      <c r="D161" s="139">
        <v>36552</v>
      </c>
      <c r="E161" s="410">
        <f t="shared" si="12"/>
        <v>1.9258481039469033E-2</v>
      </c>
      <c r="F161" s="186">
        <v>6929433</v>
      </c>
      <c r="G161" s="410">
        <f t="shared" si="13"/>
        <v>2.6921944100575558E-2</v>
      </c>
      <c r="H161" s="186">
        <v>7097493</v>
      </c>
      <c r="I161" s="410">
        <f t="shared" si="14"/>
        <v>2.5483001187801647E-2</v>
      </c>
    </row>
    <row r="162" spans="1:9">
      <c r="A162" s="127"/>
      <c r="B162" s="230">
        <v>2019</v>
      </c>
      <c r="C162" s="139">
        <v>2</v>
      </c>
      <c r="D162" s="139">
        <v>94401</v>
      </c>
      <c r="E162" s="410">
        <f t="shared" si="12"/>
        <v>4.9737904043743598E-2</v>
      </c>
      <c r="F162" s="186">
        <v>4864124</v>
      </c>
      <c r="G162" s="410">
        <f t="shared" si="13"/>
        <v>1.8897891707195667E-2</v>
      </c>
      <c r="H162" s="186">
        <v>4864124</v>
      </c>
      <c r="I162" s="410">
        <f t="shared" si="14"/>
        <v>1.7464262052757855E-2</v>
      </c>
    </row>
    <row r="163" spans="1:9">
      <c r="A163" s="127"/>
      <c r="B163" s="230">
        <v>2020</v>
      </c>
      <c r="C163" s="139">
        <v>3</v>
      </c>
      <c r="D163" s="139">
        <v>81997</v>
      </c>
      <c r="E163" s="410">
        <f t="shared" si="12"/>
        <v>4.3202496984934946E-2</v>
      </c>
      <c r="F163" s="186">
        <v>6000225</v>
      </c>
      <c r="G163" s="410">
        <f t="shared" si="13"/>
        <v>2.3311823931463943E-2</v>
      </c>
      <c r="H163" s="186">
        <v>600225</v>
      </c>
      <c r="I163" s="410">
        <f t="shared" si="14"/>
        <v>2.1550615672249686E-3</v>
      </c>
    </row>
    <row r="164" spans="1:9">
      <c r="A164" s="127"/>
      <c r="B164" s="230">
        <v>2021</v>
      </c>
      <c r="C164" s="139">
        <v>2</v>
      </c>
      <c r="D164" s="139">
        <v>28697</v>
      </c>
      <c r="E164" s="410">
        <f t="shared" si="12"/>
        <v>1.5119846530686223E-2</v>
      </c>
      <c r="F164" s="186">
        <v>3877195</v>
      </c>
      <c r="G164" s="410">
        <f t="shared" si="13"/>
        <v>1.5063516316130203E-2</v>
      </c>
      <c r="H164" s="186">
        <v>6013195</v>
      </c>
      <c r="I164" s="410">
        <f t="shared" si="14"/>
        <v>2.1589912850563279E-2</v>
      </c>
    </row>
    <row r="165" spans="1:9">
      <c r="A165" s="127"/>
      <c r="B165" s="230">
        <v>2022</v>
      </c>
      <c r="C165" s="139">
        <v>6</v>
      </c>
      <c r="D165" s="139">
        <v>46163</v>
      </c>
      <c r="E165" s="410">
        <f t="shared" si="12"/>
        <v>2.4322315064155421E-2</v>
      </c>
      <c r="F165" s="186">
        <v>5412101</v>
      </c>
      <c r="G165" s="410">
        <f t="shared" si="13"/>
        <v>2.1026869094292286E-2</v>
      </c>
      <c r="H165" s="186">
        <v>9859682</v>
      </c>
      <c r="I165" s="410">
        <f t="shared" si="14"/>
        <v>3.5400427745028634E-2</v>
      </c>
    </row>
    <row r="166" spans="1:9">
      <c r="A166" s="127"/>
      <c r="B166" s="230" t="s">
        <v>413</v>
      </c>
      <c r="C166" s="139">
        <v>6</v>
      </c>
      <c r="D166" s="139">
        <v>45989</v>
      </c>
      <c r="E166" s="410">
        <f t="shared" si="12"/>
        <v>2.4230638118957686E-2</v>
      </c>
      <c r="F166" s="186">
        <v>2704329</v>
      </c>
      <c r="G166" s="410">
        <f t="shared" si="13"/>
        <v>1.0506746247141058E-2</v>
      </c>
      <c r="H166" s="186">
        <v>3197534</v>
      </c>
      <c r="I166" s="410">
        <f t="shared" si="14"/>
        <v>1.1480499201624595E-2</v>
      </c>
    </row>
    <row r="167" spans="1:9">
      <c r="A167" s="220"/>
      <c r="B167" s="220" t="s">
        <v>252</v>
      </c>
      <c r="C167" s="409">
        <f>+SUM(C153:C166)</f>
        <v>1852</v>
      </c>
      <c r="D167" s="409">
        <f>+SUM(D153:D166)</f>
        <v>1709470</v>
      </c>
      <c r="E167" s="411">
        <f>SUM(E153:E166)</f>
        <v>0.90068383624811554</v>
      </c>
      <c r="F167" s="187">
        <f>+SUM(F153:F166)</f>
        <v>225745719</v>
      </c>
      <c r="G167" s="407">
        <f>SUM(G153:G166)</f>
        <v>0.8770578527654771</v>
      </c>
      <c r="H167" s="187">
        <f>+SUM(H153:H166)</f>
        <v>234073441</v>
      </c>
      <c r="I167" s="407">
        <f>+SUM(I153:I166)</f>
        <v>0.84042263585688914</v>
      </c>
    </row>
    <row r="169" spans="1:9">
      <c r="A169" s="222" t="s">
        <v>293</v>
      </c>
      <c r="B169" s="403" t="s">
        <v>336</v>
      </c>
      <c r="C169" s="127"/>
      <c r="D169" s="127"/>
      <c r="E169" s="127"/>
      <c r="F169" s="127"/>
    </row>
    <row r="170" spans="1:9" ht="33.75">
      <c r="A170" s="127"/>
      <c r="B170" s="404" t="s">
        <v>258</v>
      </c>
      <c r="C170" s="404" t="s">
        <v>264</v>
      </c>
      <c r="D170" s="404" t="s">
        <v>246</v>
      </c>
      <c r="E170" s="404" t="s">
        <v>265</v>
      </c>
      <c r="F170" s="404" t="s">
        <v>266</v>
      </c>
    </row>
    <row r="171" spans="1:9">
      <c r="A171" s="127"/>
      <c r="B171" s="127"/>
      <c r="C171" s="127"/>
      <c r="D171" s="127"/>
      <c r="E171" s="127"/>
      <c r="F171" s="127"/>
    </row>
    <row r="172" spans="1:9">
      <c r="A172" s="127">
        <v>1</v>
      </c>
      <c r="B172" s="127" t="s">
        <v>267</v>
      </c>
      <c r="C172" s="405">
        <v>9</v>
      </c>
      <c r="D172" s="186">
        <v>20622599</v>
      </c>
      <c r="E172" s="406">
        <v>9.4E-2</v>
      </c>
      <c r="F172" s="405">
        <v>17.3</v>
      </c>
    </row>
    <row r="173" spans="1:9">
      <c r="A173" s="127">
        <v>2</v>
      </c>
      <c r="B173" s="127" t="s">
        <v>259</v>
      </c>
      <c r="C173" s="405">
        <v>2</v>
      </c>
      <c r="D173" s="186">
        <v>16016330</v>
      </c>
      <c r="E173" s="406">
        <v>7.2999999999999995E-2</v>
      </c>
      <c r="F173" s="405">
        <v>9.1999999999999993</v>
      </c>
    </row>
    <row r="174" spans="1:9">
      <c r="A174" s="127">
        <v>3</v>
      </c>
      <c r="B174" s="127" t="s">
        <v>259</v>
      </c>
      <c r="C174" s="405">
        <v>4</v>
      </c>
      <c r="D174" s="186">
        <v>15694772</v>
      </c>
      <c r="E174" s="406">
        <v>7.0999999999999994E-2</v>
      </c>
      <c r="F174" s="405">
        <v>6.6</v>
      </c>
    </row>
    <row r="175" spans="1:9">
      <c r="A175" s="127">
        <v>4</v>
      </c>
      <c r="B175" s="127" t="s">
        <v>260</v>
      </c>
      <c r="C175" s="405">
        <v>3</v>
      </c>
      <c r="D175" s="186">
        <v>12324241</v>
      </c>
      <c r="E175" s="406">
        <v>5.6000000000000001E-2</v>
      </c>
      <c r="F175" s="405">
        <v>9.1999999999999993</v>
      </c>
    </row>
    <row r="176" spans="1:9">
      <c r="A176" s="127">
        <v>5</v>
      </c>
      <c r="B176" s="127" t="s">
        <v>263</v>
      </c>
      <c r="C176" s="405">
        <v>2</v>
      </c>
      <c r="D176" s="186">
        <v>7110131</v>
      </c>
      <c r="E176" s="406">
        <v>3.2000000000000001E-2</v>
      </c>
      <c r="F176" s="405">
        <v>52</v>
      </c>
    </row>
    <row r="177" spans="1:7">
      <c r="A177" s="127">
        <v>6</v>
      </c>
      <c r="B177" s="127" t="s">
        <v>261</v>
      </c>
      <c r="C177" s="405">
        <v>1</v>
      </c>
      <c r="D177" s="186">
        <v>6537900</v>
      </c>
      <c r="E177" s="406">
        <v>0.03</v>
      </c>
      <c r="F177" s="405">
        <v>52.6</v>
      </c>
    </row>
    <row r="178" spans="1:7">
      <c r="A178" s="127">
        <v>7</v>
      </c>
      <c r="B178" s="127" t="s">
        <v>262</v>
      </c>
      <c r="C178" s="405">
        <v>1</v>
      </c>
      <c r="D178" s="186">
        <v>6310851</v>
      </c>
      <c r="E178" s="406">
        <v>2.9000000000000001E-2</v>
      </c>
      <c r="F178" s="405">
        <v>89.1</v>
      </c>
    </row>
    <row r="179" spans="1:7">
      <c r="A179" s="127">
        <v>8</v>
      </c>
      <c r="B179" s="127" t="s">
        <v>261</v>
      </c>
      <c r="C179" s="405">
        <v>1</v>
      </c>
      <c r="D179" s="186">
        <v>4924557</v>
      </c>
      <c r="E179" s="406">
        <v>2.1999999999999999E-2</v>
      </c>
      <c r="F179" s="405">
        <v>76</v>
      </c>
    </row>
    <row r="180" spans="1:7">
      <c r="A180" s="127">
        <v>9</v>
      </c>
      <c r="B180" s="127" t="s">
        <v>259</v>
      </c>
      <c r="C180" s="405">
        <v>2</v>
      </c>
      <c r="D180" s="186">
        <v>4731000</v>
      </c>
      <c r="E180" s="406">
        <v>2.1999999999999999E-2</v>
      </c>
      <c r="F180" s="405">
        <v>43</v>
      </c>
    </row>
    <row r="181" spans="1:7">
      <c r="A181" s="127">
        <v>10</v>
      </c>
      <c r="B181" s="127" t="s">
        <v>414</v>
      </c>
      <c r="C181" s="405">
        <v>1</v>
      </c>
      <c r="D181" s="186">
        <v>3952253</v>
      </c>
      <c r="E181" s="406">
        <v>1.7999999999999999E-2</v>
      </c>
      <c r="F181" s="405">
        <v>110.3</v>
      </c>
    </row>
    <row r="182" spans="1:7">
      <c r="A182" s="127">
        <v>11</v>
      </c>
      <c r="B182" s="127" t="s">
        <v>259</v>
      </c>
      <c r="C182" s="405">
        <v>1</v>
      </c>
      <c r="D182" s="186">
        <v>3858120</v>
      </c>
      <c r="E182" s="406">
        <v>1.7999999999999999E-2</v>
      </c>
      <c r="F182" s="405">
        <v>24.5</v>
      </c>
    </row>
    <row r="183" spans="1:7">
      <c r="A183" s="127">
        <v>12</v>
      </c>
      <c r="B183" s="127" t="s">
        <v>263</v>
      </c>
      <c r="C183" s="405">
        <v>2</v>
      </c>
      <c r="D183" s="186">
        <v>3808882</v>
      </c>
      <c r="E183" s="406">
        <v>1.7000000000000001E-2</v>
      </c>
      <c r="F183" s="405">
        <v>96.9</v>
      </c>
    </row>
    <row r="184" spans="1:7">
      <c r="A184" s="127">
        <v>13</v>
      </c>
      <c r="B184" s="127" t="s">
        <v>259</v>
      </c>
      <c r="C184" s="405">
        <v>3</v>
      </c>
      <c r="D184" s="186">
        <v>3695172</v>
      </c>
      <c r="E184" s="406">
        <v>1.7000000000000001E-2</v>
      </c>
      <c r="F184" s="405">
        <v>5.4</v>
      </c>
    </row>
    <row r="185" spans="1:7">
      <c r="A185" s="127">
        <v>14</v>
      </c>
      <c r="B185" s="127" t="s">
        <v>263</v>
      </c>
      <c r="C185" s="405">
        <v>1</v>
      </c>
      <c r="D185" s="186">
        <v>3608814</v>
      </c>
      <c r="E185" s="406">
        <v>1.6E-2</v>
      </c>
      <c r="F185" s="405">
        <v>96.8</v>
      </c>
    </row>
    <row r="186" spans="1:7">
      <c r="A186" s="127">
        <v>15</v>
      </c>
      <c r="B186" s="127" t="s">
        <v>259</v>
      </c>
      <c r="C186" s="405">
        <v>1</v>
      </c>
      <c r="D186" s="186">
        <v>3571203</v>
      </c>
      <c r="E186" s="406">
        <v>1.6E-2</v>
      </c>
      <c r="F186" s="405">
        <v>41</v>
      </c>
    </row>
    <row r="187" spans="1:7">
      <c r="A187" s="127">
        <v>16</v>
      </c>
      <c r="B187" s="127" t="s">
        <v>415</v>
      </c>
      <c r="C187" s="405">
        <v>1</v>
      </c>
      <c r="D187" s="186">
        <v>3451040</v>
      </c>
      <c r="E187" s="406">
        <v>1.6E-2</v>
      </c>
      <c r="F187" s="405">
        <v>11.7</v>
      </c>
    </row>
    <row r="188" spans="1:7">
      <c r="A188" s="127">
        <v>17</v>
      </c>
      <c r="B188" s="127" t="s">
        <v>259</v>
      </c>
      <c r="C188" s="405">
        <v>1</v>
      </c>
      <c r="D188" s="186">
        <v>3152567</v>
      </c>
      <c r="E188" s="406">
        <v>1.4E-2</v>
      </c>
      <c r="F188" s="405">
        <v>42.5</v>
      </c>
    </row>
    <row r="189" spans="1:7">
      <c r="A189" s="127">
        <v>18</v>
      </c>
      <c r="B189" s="127" t="s">
        <v>259</v>
      </c>
      <c r="C189" s="405">
        <v>1</v>
      </c>
      <c r="D189" s="186">
        <v>3042430</v>
      </c>
      <c r="E189" s="406">
        <v>1.4E-2</v>
      </c>
      <c r="F189" s="405">
        <v>13.3</v>
      </c>
    </row>
    <row r="190" spans="1:7">
      <c r="A190" s="127">
        <v>19</v>
      </c>
      <c r="B190" s="127" t="s">
        <v>259</v>
      </c>
      <c r="C190" s="405">
        <v>1</v>
      </c>
      <c r="D190" s="186">
        <v>3018000</v>
      </c>
      <c r="E190" s="406">
        <v>1.4E-2</v>
      </c>
      <c r="F190" s="405">
        <v>3</v>
      </c>
    </row>
    <row r="191" spans="1:7">
      <c r="A191" s="127">
        <v>20</v>
      </c>
      <c r="B191" s="127" t="s">
        <v>263</v>
      </c>
      <c r="C191" s="405">
        <v>1</v>
      </c>
      <c r="D191" s="186">
        <v>2681959</v>
      </c>
      <c r="E191" s="406">
        <v>1.2E-2</v>
      </c>
      <c r="F191" s="405">
        <v>30</v>
      </c>
    </row>
    <row r="192" spans="1:7">
      <c r="A192" s="220"/>
      <c r="B192" s="220" t="s">
        <v>252</v>
      </c>
      <c r="C192" s="220"/>
      <c r="D192" s="187">
        <v>132112821</v>
      </c>
      <c r="E192" s="412">
        <v>0.60099999999999998</v>
      </c>
      <c r="F192" s="403">
        <v>32.5</v>
      </c>
      <c r="G192" s="8"/>
    </row>
  </sheetData>
  <phoneticPr fontId="13"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P42"/>
  <sheetViews>
    <sheetView topLeftCell="A16" workbookViewId="0"/>
  </sheetViews>
  <sheetFormatPr defaultRowHeight="11.25"/>
  <cols>
    <col min="2" max="2" width="37.33203125" bestFit="1" customWidth="1"/>
    <col min="3" max="3" width="15.5" bestFit="1" customWidth="1"/>
    <col min="4" max="7" width="14.5" style="13" customWidth="1"/>
    <col min="8" max="8" width="14.5" style="13" bestFit="1" customWidth="1"/>
    <col min="9" max="9" width="14" bestFit="1" customWidth="1"/>
    <col min="10" max="11" width="14.5" style="13" bestFit="1" customWidth="1"/>
    <col min="14" max="14" width="9.83203125" bestFit="1" customWidth="1"/>
  </cols>
  <sheetData>
    <row r="2" spans="2:16">
      <c r="B2" s="220" t="s">
        <v>337</v>
      </c>
      <c r="C2" s="221">
        <v>41182</v>
      </c>
    </row>
    <row r="3" spans="2:16">
      <c r="E3" s="178" t="s">
        <v>251</v>
      </c>
      <c r="F3" s="178"/>
      <c r="G3" s="178"/>
      <c r="H3" s="178"/>
      <c r="I3" s="179"/>
    </row>
    <row r="4" spans="2:16" ht="56.25">
      <c r="B4" s="8" t="s">
        <v>214</v>
      </c>
      <c r="C4" s="174" t="s">
        <v>245</v>
      </c>
      <c r="D4" s="175" t="s">
        <v>246</v>
      </c>
      <c r="E4" s="180" t="s">
        <v>247</v>
      </c>
      <c r="F4" s="180" t="s">
        <v>248</v>
      </c>
      <c r="G4" s="180" t="s">
        <v>249</v>
      </c>
      <c r="H4" s="180" t="s">
        <v>242</v>
      </c>
      <c r="I4" s="181" t="s">
        <v>38</v>
      </c>
      <c r="J4" s="175" t="s">
        <v>243</v>
      </c>
      <c r="K4" s="175" t="s">
        <v>244</v>
      </c>
    </row>
    <row r="6" spans="2:16">
      <c r="B6" s="8" t="s">
        <v>215</v>
      </c>
    </row>
    <row r="7" spans="2:16">
      <c r="B7" t="s">
        <v>216</v>
      </c>
      <c r="C7" t="s">
        <v>195</v>
      </c>
      <c r="D7" s="149">
        <v>42129372</v>
      </c>
      <c r="E7" s="182">
        <v>63469</v>
      </c>
      <c r="F7" s="182">
        <v>17247</v>
      </c>
      <c r="G7" s="182">
        <v>23202</v>
      </c>
      <c r="H7" s="13">
        <f t="shared" ref="H7:H14" si="0">+SUM(E7:G7)</f>
        <v>103918</v>
      </c>
      <c r="I7" s="146">
        <v>0.91</v>
      </c>
      <c r="J7" s="182">
        <v>0</v>
      </c>
      <c r="K7" s="182">
        <v>16</v>
      </c>
      <c r="L7" t="s">
        <v>190</v>
      </c>
      <c r="M7">
        <f>+H7*I7</f>
        <v>94565.38</v>
      </c>
      <c r="N7">
        <f>+D7/M7</f>
        <v>445.50523669444357</v>
      </c>
      <c r="P7" s="118">
        <f>+E7/H7</f>
        <v>0.61076040724417324</v>
      </c>
    </row>
    <row r="8" spans="2:16">
      <c r="B8" t="s">
        <v>218</v>
      </c>
      <c r="C8" t="s">
        <v>195</v>
      </c>
      <c r="D8" s="149">
        <v>34616194</v>
      </c>
      <c r="E8" s="182">
        <v>112133</v>
      </c>
      <c r="F8" s="182">
        <v>8749</v>
      </c>
      <c r="G8" s="182">
        <v>35900</v>
      </c>
      <c r="H8" s="13">
        <f t="shared" si="0"/>
        <v>156782</v>
      </c>
      <c r="I8" s="146">
        <v>0.81</v>
      </c>
      <c r="J8" s="182">
        <v>3000</v>
      </c>
      <c r="K8" s="182">
        <v>12</v>
      </c>
      <c r="L8" t="s">
        <v>190</v>
      </c>
      <c r="M8">
        <f t="shared" ref="M8:M14" si="1">+H8*I8</f>
        <v>126993.42000000001</v>
      </c>
      <c r="N8">
        <f t="shared" ref="N8:N14" si="2">+D8/M8</f>
        <v>272.58257947537754</v>
      </c>
      <c r="P8" s="118">
        <f t="shared" ref="P8:P14" si="3">+E8/H8</f>
        <v>0.71521603245270504</v>
      </c>
    </row>
    <row r="9" spans="2:16">
      <c r="B9" t="s">
        <v>217</v>
      </c>
      <c r="C9" t="s">
        <v>192</v>
      </c>
      <c r="D9" s="149">
        <v>32181848</v>
      </c>
      <c r="E9" s="182">
        <v>108687</v>
      </c>
      <c r="F9" s="182">
        <v>9316</v>
      </c>
      <c r="G9" s="182">
        <v>59333</v>
      </c>
      <c r="H9" s="13">
        <f t="shared" si="0"/>
        <v>177336</v>
      </c>
      <c r="I9" s="146">
        <v>0.87</v>
      </c>
      <c r="J9" s="182">
        <v>2000</v>
      </c>
      <c r="K9" s="182">
        <v>8</v>
      </c>
      <c r="L9" t="s">
        <v>190</v>
      </c>
      <c r="M9">
        <f t="shared" si="1"/>
        <v>154282.32</v>
      </c>
      <c r="N9">
        <f t="shared" si="2"/>
        <v>208.59064084595045</v>
      </c>
      <c r="P9" s="118">
        <f t="shared" si="3"/>
        <v>0.61288740018947085</v>
      </c>
    </row>
    <row r="10" spans="2:16">
      <c r="B10" t="s">
        <v>219</v>
      </c>
      <c r="C10" t="s">
        <v>220</v>
      </c>
      <c r="D10" s="149">
        <v>5131316</v>
      </c>
      <c r="E10" s="182">
        <v>16223</v>
      </c>
      <c r="F10" s="182">
        <v>21376</v>
      </c>
      <c r="G10" s="182">
        <v>7516</v>
      </c>
      <c r="H10" s="13">
        <f t="shared" si="0"/>
        <v>45115</v>
      </c>
      <c r="I10" s="146">
        <v>0.93</v>
      </c>
      <c r="J10" s="182">
        <v>0</v>
      </c>
      <c r="K10" s="182">
        <v>5</v>
      </c>
      <c r="L10" t="s">
        <v>190</v>
      </c>
      <c r="M10">
        <f t="shared" si="1"/>
        <v>41956.950000000004</v>
      </c>
      <c r="N10">
        <f t="shared" si="2"/>
        <v>122.29954751239066</v>
      </c>
      <c r="P10" s="118">
        <f t="shared" si="3"/>
        <v>0.35959215338579187</v>
      </c>
    </row>
    <row r="11" spans="2:16">
      <c r="B11" t="s">
        <v>221</v>
      </c>
      <c r="C11" t="s">
        <v>220</v>
      </c>
      <c r="D11" s="149">
        <v>1401720</v>
      </c>
      <c r="E11" s="182">
        <v>40855</v>
      </c>
      <c r="F11" s="182">
        <v>4128</v>
      </c>
      <c r="G11" s="182">
        <v>18564</v>
      </c>
      <c r="H11" s="13">
        <f t="shared" si="0"/>
        <v>63547</v>
      </c>
      <c r="I11" s="146">
        <v>0.08</v>
      </c>
      <c r="J11" s="182">
        <v>0</v>
      </c>
      <c r="K11" s="182">
        <v>10</v>
      </c>
      <c r="L11" t="s">
        <v>190</v>
      </c>
      <c r="M11">
        <f t="shared" si="1"/>
        <v>5083.76</v>
      </c>
      <c r="N11">
        <f t="shared" si="2"/>
        <v>275.72505389711552</v>
      </c>
      <c r="P11" s="118">
        <f t="shared" si="3"/>
        <v>0.64290997214660017</v>
      </c>
    </row>
    <row r="12" spans="2:16">
      <c r="B12" t="s">
        <v>250</v>
      </c>
      <c r="C12" t="s">
        <v>193</v>
      </c>
      <c r="D12" s="149">
        <v>130428</v>
      </c>
      <c r="E12" s="182">
        <v>35765</v>
      </c>
      <c r="F12" s="182">
        <v>172</v>
      </c>
      <c r="G12" s="182">
        <v>25778</v>
      </c>
      <c r="H12" s="13">
        <f t="shared" si="0"/>
        <v>61715</v>
      </c>
      <c r="I12" s="146">
        <v>0.18</v>
      </c>
      <c r="J12" s="182">
        <v>35000</v>
      </c>
      <c r="K12" s="182">
        <v>10</v>
      </c>
      <c r="L12" t="s">
        <v>190</v>
      </c>
      <c r="M12">
        <f t="shared" si="1"/>
        <v>11108.699999999999</v>
      </c>
      <c r="N12">
        <f t="shared" si="2"/>
        <v>11.741067811715144</v>
      </c>
      <c r="P12" s="118">
        <f t="shared" si="3"/>
        <v>0.57951875556995869</v>
      </c>
    </row>
    <row r="13" spans="2:16">
      <c r="B13" t="s">
        <v>191</v>
      </c>
      <c r="C13" t="s">
        <v>192</v>
      </c>
      <c r="D13" s="149">
        <v>50364</v>
      </c>
      <c r="E13" s="182">
        <v>47366</v>
      </c>
      <c r="F13" s="182">
        <v>0</v>
      </c>
      <c r="G13" s="182">
        <v>30365</v>
      </c>
      <c r="H13" s="13">
        <f t="shared" si="0"/>
        <v>77731</v>
      </c>
      <c r="I13" s="146">
        <v>0.13</v>
      </c>
      <c r="J13" s="182">
        <v>522000</v>
      </c>
      <c r="K13" s="182">
        <v>10</v>
      </c>
      <c r="L13" t="s">
        <v>190</v>
      </c>
      <c r="M13">
        <f t="shared" si="1"/>
        <v>10105.030000000001</v>
      </c>
      <c r="N13">
        <f t="shared" si="2"/>
        <v>4.9840524966279167</v>
      </c>
      <c r="P13" s="118">
        <f t="shared" si="3"/>
        <v>0.60935791383103266</v>
      </c>
    </row>
    <row r="14" spans="2:16">
      <c r="B14" t="s">
        <v>222</v>
      </c>
      <c r="D14" s="149">
        <v>9380938</v>
      </c>
      <c r="E14" s="182">
        <v>28047</v>
      </c>
      <c r="F14" s="182">
        <v>1449</v>
      </c>
      <c r="G14" s="182">
        <v>0</v>
      </c>
      <c r="H14" s="13">
        <f t="shared" si="0"/>
        <v>29496</v>
      </c>
      <c r="I14" s="146">
        <v>0.96</v>
      </c>
      <c r="J14" s="182">
        <v>0</v>
      </c>
      <c r="K14" s="182">
        <v>2</v>
      </c>
      <c r="L14" t="s">
        <v>190</v>
      </c>
      <c r="M14">
        <f t="shared" si="1"/>
        <v>28316.16</v>
      </c>
      <c r="N14">
        <f t="shared" si="2"/>
        <v>331.29273178284063</v>
      </c>
      <c r="P14" s="118">
        <f t="shared" si="3"/>
        <v>0.95087469487388121</v>
      </c>
    </row>
    <row r="15" spans="2:16" s="8" customFormat="1">
      <c r="B15" s="8" t="s">
        <v>223</v>
      </c>
      <c r="D15" s="177">
        <f>+SUM(D7:D14)</f>
        <v>125022180</v>
      </c>
      <c r="E15" s="173">
        <f>+SUM(E7:E14)</f>
        <v>452545</v>
      </c>
      <c r="F15" s="173">
        <f>+SUM(F7:F14)</f>
        <v>62437</v>
      </c>
      <c r="G15" s="173">
        <f>+SUM(G7:G14)</f>
        <v>200658</v>
      </c>
      <c r="H15" s="173">
        <f>+SUM(H7:H14)</f>
        <v>715640</v>
      </c>
      <c r="I15" s="188">
        <v>0.69</v>
      </c>
      <c r="J15" s="173">
        <f>+SUM(J7:J14)</f>
        <v>562000</v>
      </c>
      <c r="K15" s="173">
        <f>+SUM(K7:K14)</f>
        <v>73</v>
      </c>
      <c r="L15" s="8" t="s">
        <v>190</v>
      </c>
      <c r="P15" s="172"/>
    </row>
    <row r="16" spans="2:16">
      <c r="D16" s="176"/>
      <c r="N16" s="13"/>
      <c r="P16" s="118"/>
    </row>
    <row r="17" spans="2:16">
      <c r="B17" s="8" t="s">
        <v>224</v>
      </c>
      <c r="D17" s="176"/>
      <c r="I17" s="118"/>
      <c r="P17" s="118"/>
    </row>
    <row r="18" spans="2:16">
      <c r="B18" t="s">
        <v>225</v>
      </c>
      <c r="C18" t="s">
        <v>234</v>
      </c>
      <c r="D18" s="149">
        <v>31524906</v>
      </c>
      <c r="E18" s="182">
        <v>208918</v>
      </c>
      <c r="F18" s="182">
        <v>5744</v>
      </c>
      <c r="G18" s="182">
        <v>161024</v>
      </c>
      <c r="H18" s="13">
        <f t="shared" ref="H18:H25" si="4">+SUM(E18:G18)</f>
        <v>375686</v>
      </c>
      <c r="I18" s="146">
        <v>0.96</v>
      </c>
      <c r="J18" s="182">
        <v>52000</v>
      </c>
      <c r="K18" s="182">
        <v>13</v>
      </c>
      <c r="L18" t="s">
        <v>190</v>
      </c>
      <c r="M18">
        <f t="shared" ref="M18:M25" si="5">+H18*I18</f>
        <v>360658.56</v>
      </c>
      <c r="N18">
        <f t="shared" ref="N18:N25" si="6">+D18/M18</f>
        <v>87.409282618995647</v>
      </c>
      <c r="P18" s="118">
        <f t="shared" ref="P18:P24" si="7">+E18/H18</f>
        <v>0.55609737919432722</v>
      </c>
    </row>
    <row r="19" spans="2:16">
      <c r="B19" t="s">
        <v>226</v>
      </c>
      <c r="C19" t="s">
        <v>234</v>
      </c>
      <c r="D19" s="149">
        <v>17437330</v>
      </c>
      <c r="E19" s="182">
        <v>60556</v>
      </c>
      <c r="F19" s="182">
        <v>32484</v>
      </c>
      <c r="G19" s="182">
        <v>44505</v>
      </c>
      <c r="H19" s="13">
        <f t="shared" si="4"/>
        <v>137545</v>
      </c>
      <c r="I19" s="146">
        <v>0.81</v>
      </c>
      <c r="J19" s="182">
        <v>90000</v>
      </c>
      <c r="K19" s="182">
        <v>12</v>
      </c>
      <c r="L19" t="s">
        <v>190</v>
      </c>
      <c r="M19">
        <f t="shared" si="5"/>
        <v>111411.45000000001</v>
      </c>
      <c r="N19">
        <f t="shared" si="6"/>
        <v>156.51290778461279</v>
      </c>
      <c r="P19" s="118">
        <f t="shared" si="7"/>
        <v>0.44026318659347852</v>
      </c>
    </row>
    <row r="20" spans="2:16">
      <c r="B20" t="s">
        <v>227</v>
      </c>
      <c r="C20" t="s">
        <v>234</v>
      </c>
      <c r="D20" s="149">
        <v>13148577</v>
      </c>
      <c r="E20" s="182">
        <v>52698</v>
      </c>
      <c r="F20" s="182">
        <v>46848</v>
      </c>
      <c r="G20" s="182">
        <v>40374</v>
      </c>
      <c r="H20" s="13">
        <f t="shared" si="4"/>
        <v>139920</v>
      </c>
      <c r="I20" s="146">
        <v>0.91</v>
      </c>
      <c r="J20" s="182">
        <v>0</v>
      </c>
      <c r="K20" s="182">
        <v>10</v>
      </c>
      <c r="L20" t="s">
        <v>190</v>
      </c>
      <c r="M20">
        <f t="shared" si="5"/>
        <v>127327.2</v>
      </c>
      <c r="N20">
        <f t="shared" si="6"/>
        <v>103.2660499877481</v>
      </c>
      <c r="P20" s="118">
        <f t="shared" si="7"/>
        <v>0.37662950257289879</v>
      </c>
    </row>
    <row r="21" spans="2:16">
      <c r="B21" t="s">
        <v>228</v>
      </c>
      <c r="C21" t="s">
        <v>234</v>
      </c>
      <c r="D21" s="149">
        <v>10322312</v>
      </c>
      <c r="E21" s="182">
        <v>46565</v>
      </c>
      <c r="F21" s="182">
        <v>1077</v>
      </c>
      <c r="G21" s="182">
        <v>35336</v>
      </c>
      <c r="H21" s="13">
        <f t="shared" si="4"/>
        <v>82978</v>
      </c>
      <c r="I21" s="146">
        <v>0.89</v>
      </c>
      <c r="J21" s="182">
        <v>0</v>
      </c>
      <c r="K21" s="182">
        <v>5</v>
      </c>
      <c r="L21" t="s">
        <v>190</v>
      </c>
      <c r="M21">
        <f t="shared" si="5"/>
        <v>73850.42</v>
      </c>
      <c r="N21">
        <f t="shared" si="6"/>
        <v>139.77323351715535</v>
      </c>
      <c r="P21" s="118">
        <f t="shared" si="7"/>
        <v>0.56117284099399845</v>
      </c>
    </row>
    <row r="22" spans="2:16">
      <c r="B22" t="s">
        <v>229</v>
      </c>
      <c r="C22" t="s">
        <v>234</v>
      </c>
      <c r="D22" s="149">
        <v>5746163</v>
      </c>
      <c r="E22" s="182">
        <v>34072</v>
      </c>
      <c r="F22" s="182">
        <v>26458</v>
      </c>
      <c r="G22" s="182">
        <v>17193</v>
      </c>
      <c r="H22" s="13">
        <f t="shared" si="4"/>
        <v>77723</v>
      </c>
      <c r="I22" s="146">
        <v>0.99</v>
      </c>
      <c r="J22" s="182">
        <v>0</v>
      </c>
      <c r="K22" s="182">
        <v>3</v>
      </c>
      <c r="L22" t="s">
        <v>190</v>
      </c>
      <c r="M22">
        <f t="shared" si="5"/>
        <v>76945.77</v>
      </c>
      <c r="N22">
        <f t="shared" si="6"/>
        <v>74.67808821719504</v>
      </c>
      <c r="P22" s="118">
        <f t="shared" si="7"/>
        <v>0.43837731430850585</v>
      </c>
    </row>
    <row r="23" spans="2:16">
      <c r="B23" t="s">
        <v>230</v>
      </c>
      <c r="C23" t="s">
        <v>235</v>
      </c>
      <c r="D23" s="149">
        <v>2319235</v>
      </c>
      <c r="E23" s="182">
        <v>13560</v>
      </c>
      <c r="F23" s="182">
        <v>4115</v>
      </c>
      <c r="G23" s="182">
        <v>12231</v>
      </c>
      <c r="H23" s="13">
        <f t="shared" si="4"/>
        <v>29906</v>
      </c>
      <c r="I23" s="146">
        <v>0.54</v>
      </c>
      <c r="J23" s="182">
        <v>29000</v>
      </c>
      <c r="K23" s="182">
        <v>3</v>
      </c>
      <c r="L23" t="s">
        <v>190</v>
      </c>
      <c r="M23">
        <f t="shared" si="5"/>
        <v>16149.240000000002</v>
      </c>
      <c r="N23">
        <f t="shared" si="6"/>
        <v>143.61264059485151</v>
      </c>
      <c r="P23" s="118">
        <f t="shared" si="7"/>
        <v>0.45342071825051827</v>
      </c>
    </row>
    <row r="24" spans="2:16">
      <c r="B24" t="s">
        <v>231</v>
      </c>
      <c r="C24" t="s">
        <v>234</v>
      </c>
      <c r="D24" s="149">
        <v>1410429</v>
      </c>
      <c r="E24" s="182">
        <v>2728</v>
      </c>
      <c r="F24" s="182">
        <v>5280</v>
      </c>
      <c r="G24" s="182">
        <v>16481</v>
      </c>
      <c r="H24" s="13">
        <f t="shared" si="4"/>
        <v>24489</v>
      </c>
      <c r="I24" s="146">
        <v>1</v>
      </c>
      <c r="J24" s="182">
        <v>14000</v>
      </c>
      <c r="K24" s="182">
        <v>1</v>
      </c>
      <c r="L24" t="s">
        <v>190</v>
      </c>
      <c r="M24">
        <f t="shared" si="5"/>
        <v>24489</v>
      </c>
      <c r="N24">
        <f t="shared" si="6"/>
        <v>57.594389317652826</v>
      </c>
      <c r="P24" s="118">
        <f t="shared" si="7"/>
        <v>0.1113969537343297</v>
      </c>
    </row>
    <row r="25" spans="2:16">
      <c r="B25" t="s">
        <v>232</v>
      </c>
      <c r="D25" s="149">
        <v>3145667</v>
      </c>
      <c r="E25" s="182">
        <v>15911</v>
      </c>
      <c r="F25" s="182">
        <v>6950</v>
      </c>
      <c r="G25" s="182">
        <v>13769</v>
      </c>
      <c r="H25" s="13">
        <f t="shared" si="4"/>
        <v>36630</v>
      </c>
      <c r="I25" s="146">
        <v>0.75</v>
      </c>
      <c r="J25" s="182">
        <v>15000</v>
      </c>
      <c r="K25" s="182">
        <v>3</v>
      </c>
      <c r="L25" t="s">
        <v>190</v>
      </c>
      <c r="M25">
        <f t="shared" si="5"/>
        <v>27472.5</v>
      </c>
      <c r="N25">
        <f t="shared" si="6"/>
        <v>114.5023933023933</v>
      </c>
      <c r="P25" s="118"/>
    </row>
    <row r="26" spans="2:16" s="8" customFormat="1">
      <c r="B26" s="8" t="s">
        <v>233</v>
      </c>
      <c r="D26" s="177">
        <f>SUM(D18:D25)</f>
        <v>85054619</v>
      </c>
      <c r="E26" s="173">
        <f>SUM(E18:E25)</f>
        <v>435008</v>
      </c>
      <c r="F26" s="173">
        <f>SUM(F18:F25)</f>
        <v>128956</v>
      </c>
      <c r="G26" s="173">
        <f>SUM(G18:G25)</f>
        <v>340913</v>
      </c>
      <c r="H26" s="173">
        <f>SUM(H18:H25)</f>
        <v>904877</v>
      </c>
      <c r="I26" s="188">
        <v>0.9</v>
      </c>
      <c r="J26" s="173">
        <f>SUM(J18:J25)</f>
        <v>200000</v>
      </c>
      <c r="K26" s="173">
        <f>SUM(K18:K25)</f>
        <v>50</v>
      </c>
      <c r="L26" s="8" t="s">
        <v>190</v>
      </c>
      <c r="P26" s="172"/>
    </row>
    <row r="27" spans="2:16">
      <c r="D27" s="176"/>
      <c r="I27" s="118"/>
      <c r="P27" s="118"/>
    </row>
    <row r="28" spans="2:16">
      <c r="B28" s="8" t="s">
        <v>236</v>
      </c>
      <c r="D28" s="176"/>
      <c r="I28" s="118"/>
      <c r="P28" s="118"/>
    </row>
    <row r="29" spans="2:16">
      <c r="B29" t="s">
        <v>237</v>
      </c>
      <c r="C29" t="s">
        <v>238</v>
      </c>
      <c r="D29" s="149">
        <v>1349727</v>
      </c>
      <c r="E29" s="182">
        <v>5000</v>
      </c>
      <c r="F29" s="182">
        <v>0</v>
      </c>
      <c r="G29" s="182">
        <v>0</v>
      </c>
      <c r="H29" s="13">
        <f>+SUM(E29:G29)</f>
        <v>5000</v>
      </c>
      <c r="I29" s="146">
        <v>0.32</v>
      </c>
      <c r="J29" s="182">
        <v>0</v>
      </c>
      <c r="K29" s="182">
        <v>1</v>
      </c>
      <c r="L29" t="s">
        <v>190</v>
      </c>
      <c r="M29">
        <f>+H29*I29</f>
        <v>1600</v>
      </c>
      <c r="N29">
        <f>+D29/M29</f>
        <v>843.57937500000003</v>
      </c>
      <c r="P29" s="118">
        <f>+E29/H29</f>
        <v>1</v>
      </c>
    </row>
    <row r="30" spans="2:16">
      <c r="B30" t="s">
        <v>239</v>
      </c>
      <c r="C30" t="s">
        <v>240</v>
      </c>
      <c r="D30" s="149">
        <v>303207</v>
      </c>
      <c r="E30" s="182">
        <v>3200</v>
      </c>
      <c r="F30" s="182">
        <v>0</v>
      </c>
      <c r="G30" s="182">
        <v>0</v>
      </c>
      <c r="H30" s="13">
        <f>+SUM(E30:G30)</f>
        <v>3200</v>
      </c>
      <c r="I30" s="146">
        <v>0.12</v>
      </c>
      <c r="J30" s="182">
        <v>0</v>
      </c>
      <c r="K30" s="182">
        <v>1</v>
      </c>
      <c r="L30" t="s">
        <v>190</v>
      </c>
      <c r="M30">
        <f>+H30*I30</f>
        <v>384</v>
      </c>
      <c r="N30">
        <f>+D30/M30</f>
        <v>789.6015625</v>
      </c>
      <c r="P30" s="118">
        <f>+E30/H30</f>
        <v>1</v>
      </c>
    </row>
    <row r="31" spans="2:16" s="8" customFormat="1">
      <c r="B31" s="8" t="s">
        <v>241</v>
      </c>
      <c r="D31" s="177">
        <f>SUM(D29:D30)</f>
        <v>1652934</v>
      </c>
      <c r="E31" s="173">
        <f>SUM(E29:E30)</f>
        <v>8200</v>
      </c>
      <c r="F31" s="173">
        <f>SUM(F29:F30)</f>
        <v>0</v>
      </c>
      <c r="G31" s="173">
        <f>SUM(G29:G30)</f>
        <v>0</v>
      </c>
      <c r="H31" s="173">
        <f>SUM(H29:H30)</f>
        <v>8200</v>
      </c>
      <c r="I31" s="188">
        <v>0.24</v>
      </c>
      <c r="J31" s="173">
        <f>SUM(J29:J30)</f>
        <v>0</v>
      </c>
      <c r="K31" s="173">
        <f>SUM(K29:K30)</f>
        <v>2</v>
      </c>
      <c r="L31" s="8" t="s">
        <v>190</v>
      </c>
      <c r="P31" s="172"/>
    </row>
    <row r="32" spans="2:16">
      <c r="D32" s="176"/>
      <c r="I32" s="118"/>
      <c r="P32" s="118"/>
    </row>
    <row r="33" spans="2:16" s="8" customFormat="1">
      <c r="B33" s="8" t="s">
        <v>252</v>
      </c>
      <c r="D33" s="177">
        <f>+D15+D26+D31</f>
        <v>211729733</v>
      </c>
      <c r="E33" s="173">
        <f>+E15+E26+E31</f>
        <v>895753</v>
      </c>
      <c r="F33" s="173">
        <f>+F15+F26+F31</f>
        <v>191393</v>
      </c>
      <c r="G33" s="173">
        <f>+G15+G26+G31</f>
        <v>541571</v>
      </c>
      <c r="H33" s="173">
        <f>+H15+H26+H31</f>
        <v>1628717</v>
      </c>
      <c r="I33" s="188">
        <v>0.79</v>
      </c>
      <c r="J33" s="173">
        <f>+J15+J26+J31</f>
        <v>762000</v>
      </c>
      <c r="K33" s="173">
        <f>+K15+K26+K31</f>
        <v>125</v>
      </c>
      <c r="L33" s="8">
        <v>0.78</v>
      </c>
      <c r="M33" s="8">
        <f>+L33*E33</f>
        <v>698687.34</v>
      </c>
      <c r="N33" s="8">
        <f>+D33/M33</f>
        <v>303.03931512484542</v>
      </c>
      <c r="P33" s="118">
        <f>+E33/H33</f>
        <v>0.54997461191846098</v>
      </c>
    </row>
    <row r="34" spans="2:16">
      <c r="H34" s="118">
        <f>379000/H33</f>
        <v>0.2326984982658129</v>
      </c>
      <c r="J34" s="118"/>
    </row>
    <row r="37" spans="2:16">
      <c r="D37" s="178" t="s">
        <v>256</v>
      </c>
      <c r="E37" s="178"/>
      <c r="F37" s="178"/>
      <c r="G37" s="178"/>
      <c r="H37" s="178"/>
      <c r="I37" s="183" t="s">
        <v>257</v>
      </c>
      <c r="J37" s="184"/>
      <c r="K37" s="184"/>
    </row>
    <row r="38" spans="2:16" ht="33.75">
      <c r="C38" s="174" t="s">
        <v>245</v>
      </c>
      <c r="D38" s="180" t="s">
        <v>247</v>
      </c>
      <c r="E38" s="180" t="s">
        <v>248</v>
      </c>
      <c r="F38" s="180" t="s">
        <v>249</v>
      </c>
      <c r="G38" s="180" t="s">
        <v>253</v>
      </c>
      <c r="H38" s="180" t="s">
        <v>187</v>
      </c>
      <c r="I38" s="185" t="s">
        <v>254</v>
      </c>
      <c r="J38" s="185" t="s">
        <v>255</v>
      </c>
      <c r="K38" s="185" t="s">
        <v>187</v>
      </c>
    </row>
    <row r="39" spans="2:16">
      <c r="B39" t="s">
        <v>188</v>
      </c>
      <c r="C39" t="s">
        <v>189</v>
      </c>
      <c r="D39" s="182">
        <v>36000</v>
      </c>
      <c r="E39" s="182"/>
      <c r="F39" s="182">
        <v>30000</v>
      </c>
      <c r="G39" s="182">
        <v>126000</v>
      </c>
      <c r="H39" s="13">
        <f>+SUM(D39:G39)</f>
        <v>192000</v>
      </c>
      <c r="I39" s="186">
        <v>34</v>
      </c>
      <c r="J39" s="186">
        <v>44</v>
      </c>
      <c r="K39" s="186">
        <v>78</v>
      </c>
      <c r="N39">
        <f>+K39*1000000/D39</f>
        <v>2166.6666666666665</v>
      </c>
    </row>
    <row r="40" spans="2:16">
      <c r="B40" t="s">
        <v>191</v>
      </c>
      <c r="C40" t="s">
        <v>192</v>
      </c>
      <c r="D40" s="182"/>
      <c r="E40" s="182">
        <v>30000</v>
      </c>
      <c r="F40" s="182"/>
      <c r="G40" s="182"/>
      <c r="H40" s="13">
        <f>+SUM(D40:G40)</f>
        <v>30000</v>
      </c>
      <c r="I40" s="186">
        <v>2</v>
      </c>
      <c r="J40" s="186">
        <v>0</v>
      </c>
      <c r="K40" s="186">
        <v>2</v>
      </c>
      <c r="N40" t="e">
        <f>+K40*1000000/D40</f>
        <v>#DIV/0!</v>
      </c>
    </row>
    <row r="41" spans="2:16">
      <c r="B41" t="s">
        <v>194</v>
      </c>
      <c r="C41" t="s">
        <v>195</v>
      </c>
      <c r="D41" s="182">
        <v>42000</v>
      </c>
      <c r="E41" s="182">
        <v>30000</v>
      </c>
      <c r="F41" s="182">
        <v>42000</v>
      </c>
      <c r="G41" s="182">
        <v>43000</v>
      </c>
      <c r="H41" s="13">
        <f>+SUM(D41:G41)</f>
        <v>157000</v>
      </c>
      <c r="I41" s="186">
        <v>3</v>
      </c>
      <c r="J41" s="186">
        <v>22</v>
      </c>
      <c r="K41" s="186">
        <v>25</v>
      </c>
      <c r="N41">
        <f>+K41*1000000/D41</f>
        <v>595.23809523809518</v>
      </c>
    </row>
    <row r="42" spans="2:16" s="8" customFormat="1">
      <c r="B42" s="8" t="s">
        <v>252</v>
      </c>
      <c r="D42" s="173">
        <f t="shared" ref="D42:K42" si="8">+SUM(D39:D41)</f>
        <v>78000</v>
      </c>
      <c r="E42" s="173">
        <f t="shared" si="8"/>
        <v>60000</v>
      </c>
      <c r="F42" s="173">
        <f t="shared" si="8"/>
        <v>72000</v>
      </c>
      <c r="G42" s="173">
        <f t="shared" si="8"/>
        <v>169000</v>
      </c>
      <c r="H42" s="173">
        <f t="shared" si="8"/>
        <v>379000</v>
      </c>
      <c r="I42" s="187">
        <f t="shared" si="8"/>
        <v>39</v>
      </c>
      <c r="J42" s="187">
        <f t="shared" si="8"/>
        <v>66</v>
      </c>
      <c r="K42" s="187">
        <f t="shared" si="8"/>
        <v>105</v>
      </c>
      <c r="N42">
        <f>+K42*1000000/D42</f>
        <v>1346.1538461538462</v>
      </c>
    </row>
  </sheetData>
  <phoneticPr fontId="13" type="noConversion"/>
  <pageMargins left="0.75" right="0.75" top="1" bottom="1" header="0.5" footer="0.5"/>
  <pageSetup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
  <sheetViews>
    <sheetView workbookViewId="0"/>
  </sheetViews>
  <sheetFormatPr defaultRowHeight="11.25"/>
  <sheetData>
    <row r="1" spans="1:6">
      <c r="A1" t="s">
        <v>364</v>
      </c>
    </row>
    <row r="2" spans="1:6">
      <c r="A2" s="233" t="s">
        <v>363</v>
      </c>
      <c r="B2" s="233" t="s">
        <v>310</v>
      </c>
      <c r="C2" s="233" t="s">
        <v>361</v>
      </c>
      <c r="D2" s="233" t="s">
        <v>723</v>
      </c>
      <c r="E2" s="233" t="s">
        <v>362</v>
      </c>
      <c r="F2" s="233" t="s">
        <v>386</v>
      </c>
    </row>
  </sheetData>
  <phoneticPr fontId="0"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e21ff876-ef02-4deb-870d-a8882b77a633</GUID>
    <SOURCETYPE>Chart</SOURCETYPE>
    <SOURCE_OBJECTNAME>Chart 20</SOURCE_OBJECTNAME>
    <SOURCE_SHEETCODE>Sheet3</SOURCE_SHEETCODE>
    <SOURCE_SHEETNAME>Charts</SOURCE_SHEETNAME>
    <OBJECTTYPE>Native</OBJECTTYPE>
    <SOURCEAPPLICATION>EXCEL_SOURCE</SOURCEAPPLICATION>
    <UPDATEDAT>4/23/2015 7:33:53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/MSResearch/Content/ExternalAssets/2015-04/Images/o-KI4HaafUKBmemiQ3_vQA--.png</TARGET_BINARYFULLNAME>
    <TARGET_STORYFULLNAME>/MSResearch/Content/ExternalAssets/2015-04/Sections/20150423_073350_Chart20.xml</TARGET_STORYFULLNAME>
    <TARGET_UUID>3263f2c2-ea11-11e4-b44c-544b7b2f2e67</TARGET_UUID>
  </Link>
  <Link>
    <GUID>579eedf2-d35c-4069-9180-d6a1be496851</GUID>
    <SOURCETYPE>Chart</SOURCETYPE>
    <SOURCE_OBJECTNAME>Chart 14</SOURCE_OBJECTNAME>
    <SOURCE_SHEETCODE>Sheet3</SOURCE_SHEETCODE>
    <SOURCE_SHEETNAME>Charts</SOURCE_SHEETNAME>
    <OBJECTTYPE>Native</OBJECTTYPE>
    <SOURCEAPPLICATION>EXCEL_SOURCE</SOURCEAPPLICATION>
    <UPDATEDAT>4/23/2015 7:34:56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/MSResearch/Content/ExternalAssets/2015-04/Images/smjiEqGKNkS0rQuxXanKPg--.png</TARGET_BINARYFULLNAME>
    <TARGET_STORYFULLNAME>/MSResearch/Content/ExternalAssets/2015-04/Sections/20150423_073454_Chart14.xml</TARGET_STORYFULLNAME>
    <TARGET_UUID>58115de8-ea11-11e4-b44c-544b7b2f2e67</TARGET_UUID>
  </Link>
  <Link>
    <GUID>c6708e92-39c1-4a70-9aa6-8489b3179eef</GUID>
    <SOURCETYPE>Chart</SOURCETYPE>
    <SOURCE_OBJECTNAME>Chart 36</SOURCE_OBJECTNAME>
    <SOURCE_SHEETCODE>Sheet3</SOURCE_SHEETCODE>
    <SOURCE_SHEETNAME>Charts</SOURCE_SHEETNAME>
    <OBJECTTYPE>Native</OBJECTTYPE>
    <SOURCEAPPLICATION>EXCEL_SOURCE</SOURCEAPPLICATION>
    <UPDATEDAT>4/23/2015 7:37:33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/MSResearch/Content/ExternalAssets/2015-04/Images/eEDynALxfEiLVWgBYa3QxQ--.png</TARGET_BINARYFULLNAME>
    <TARGET_STORYFULLNAME>/MSResearch/Content/ExternalAssets/2015-04/Sections/20150423_073729_Chart36.xml</TARGET_STORYFULLNAME>
    <TARGET_UUID>b50422ba-ea11-11e4-b44c-544b7b2f2e67</TARGET_UUID>
  </Link>
  <Link>
    <GUID>4aac0c63-8a40-4749-a65f-ffc482869b2f</GUID>
    <SOURCETYPE>Chart</SOURCETYPE>
    <SOURCE_OBJECTNAME>Chart 18</SOURCE_OBJECTNAME>
    <SOURCE_SHEETCODE>Sheet3</SOURCE_SHEETCODE>
    <SOURCE_SHEETNAME>Charts</SOURCE_SHEETNAME>
    <OBJECTTYPE>Native</OBJECTTYPE>
    <SOURCEAPPLICATION>EXCEL_SOURCE</SOURCEAPPLICATION>
    <UPDATEDAT>4/23/2015 7:37:46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/MSResearch/Content/ExternalAssets/2015-04/Images/xEFfKE2gXky-j5TCAkJ98A--.png</TARGET_BINARYFULLNAME>
    <TARGET_STORYFULLNAME>/MSResearch/Content/ExternalAssets/2015-04/Sections/20150423_073743_Chart18.xml</TARGET_STORYFULLNAME>
    <TARGET_UUID>bd2d5cb8-ea11-11e4-b44c-544b7b2f2e67</TARGET_UUID>
  </Link>
  <Link>
    <GUID>ee0c4cc5-a957-4494-849c-f718b3be327c</GUID>
    <SOURCETYPE>Chart</SOURCETYPE>
    <SOURCE_OBJECTNAME>Chart 13</SOURCE_OBJECTNAME>
    <SOURCE_SHEETCODE>Sheet3</SOURCE_SHEETCODE>
    <SOURCE_SHEETNAME>Charts</SOURCE_SHEETNAME>
    <OBJECTTYPE>Native</OBJECTTYPE>
    <SOURCEAPPLICATION>EXCEL_SOURCE</SOURCEAPPLICATION>
    <UPDATEDAT>4/23/2015 7:41:12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/MSResearch/Content/ExternalAssets/2015-04/Images/Jmq7fdIulEiyV2VWvSgl9g--.png</TARGET_BINARYFULLNAME>
    <TARGET_STORYFULLNAME>/MSResearch/Content/ExternalAssets/2015-04/Sections/20150423_073811_Chart13.xml</TARGET_STORYFULLNAME>
    <TARGET_UUID>cd9cbc1a-ea11-11e4-b44c-544b7b2f2e67</TARGET_UUID>
    <HIDEGRIDLINES>False</HIDEGRIDLINES>
  </Link>
  <Link>
    <GUID>b5404f65-bd9b-4567-a550-7abd45a5766b</GUID>
    <SOURCETYPE>Chart</SOURCETYPE>
    <SOURCE_OBJECTNAME>Chart 1</SOURCE_OBJECTNAME>
    <SOURCE_SHEETCODE>Sheet3</SOURCE_SHEETCODE>
    <SOURCE_SHEETNAME>Charts</SOURCE_SHEETNAME>
    <OBJECTTYPE>Native</OBJECTTYPE>
    <SOURCEAPPLICATION>EXCEL_SOURCE</SOURCEAPPLICATION>
    <UPDATEDAT>4/23/2015 7:41:28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/MSResearch/Content/ExternalAssets/2015-04/Images/naLCWczFfEOTVQN0CSYpUw--.png</TARGET_BINARYFULLNAME>
    <TARGET_STORYFULLNAME>/MSResearch/Content/ExternalAssets/2015-04/Sections/20150423_074125_Chart1.xml</TARGET_STORYFULLNAME>
    <TARGET_UUID>4153a376-ea12-11e4-b44c-544b7b2f2e67</TARGET_UUID>
  </Link>
  <Link>
    <GUID>128ec919-92ff-4eaa-a28d-1cd80eea6648</GUID>
    <SOURCETYPE>Chart</SOURCETYPE>
    <SOURCE_OBJECTNAME>Chart 4</SOURCE_OBJECTNAME>
    <SOURCE_SHEETCODE>Sheet3</SOURCE_SHEETCODE>
    <SOURCE_SHEETNAME>Charts</SOURCE_SHEETNAME>
    <OBJECTTYPE>Native</OBJECTTYPE>
    <SOURCEAPPLICATION>EXCEL_SOURCE</SOURCEAPPLICATION>
    <UPDATEDAT>4/23/2015 7:41:46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/MSResearch/Content/ExternalAssets/2015-04/Images/muVuMdhVDU_zEwj7Sy6fHQ--.png</TARGET_BINARYFULLNAME>
    <TARGET_STORYFULLNAME>/MSResearch/Content/ExternalAssets/2015-04/Sections/20150423_074144_Chart4.xml</TARGET_STORYFULLNAME>
    <TARGET_UUID>4c78b07a-ea12-11e4-b44c-544b7b2f2e67</TARGET_UUID>
  </Link>
  <Link>
    <GUID>dce3af1e-f401-4b52-bab2-75ce433f3cff</GUID>
    <SOURCETYPE>Chart</SOURCETYPE>
    <SOURCE_OBJECTNAME>Chart 6</SOURCE_OBJECTNAME>
    <SOURCE_SHEETCODE>Sheet3</SOURCE_SHEETCODE>
    <SOURCE_SHEETNAME>Charts</SOURCE_SHEETNAME>
    <OBJECTTYPE>Native</OBJECTTYPE>
    <SOURCEAPPLICATION>EXCEL_SOURCE</SOURCEAPPLICATION>
    <UPDATEDAT>4/23/2015 7:42:20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/MSResearch/Content/ExternalAssets/2015-04/Images/ZX-l3XQ3FUyY3-Ei4AinLw--.png</TARGET_BINARYFULLNAME>
    <TARGET_STORYFULLNAME>/MSResearch/Content/ExternalAssets/2015-04/Sections/20150423_074215_Chart6.xml</TARGET_STORYFULLNAME>
    <TARGET_UUID>5f28b42c-ea12-11e4-b44c-544b7b2f2e67</TARGET_UUID>
  </Link>
  <Link>
    <GUID>915ff1a8-5a4a-4746-84e4-ac3d1f63153f</GUID>
    <SOURCETYPE>Chart</SOURCETYPE>
    <SOURCE_OBJECTNAME>capex</SOURCE_OBJECTNAME>
    <SOURCE_SHEETCODE>Sheet3</SOURCE_SHEETCODE>
    <SOURCE_SHEETNAME>Charts</SOURCE_SHEETNAME>
    <OBJECTTYPE>Native</OBJECTTYPE>
    <SOURCEAPPLICATION>EXCEL_SOURCE</SOURCEAPPLICATION>
    <UPDATEDAT>4/23/2015 7:57:06 PM</UPDATEDAT>
    <SOURCE_ISOUTOFDATE>False</SOURCE_ISOUTOFDATE>
    <SOURCE_WORKBOOKNAME>CONE Morgan Stanley - v1.xls</SOURCE_WORKBOOKNAME>
    <SOURCE_WORKBOOKPATH>\\MSAD\ROOT\NA\NY\LIB\ER\ER13\CLECs\CLEC\CONE\Model</SOURCE_WORKBOOKPATH>
    <TRANSPARENTBACKGROUND>True</TRANSPARENTBACKGROUND>
    <TRANSPARENTPLOTAREA>True</TRANSPARENTPLOTAREA>
    <TARGETTYPE>Picture</TARGETTYPE>
    <TARGETAPPLICATION>METHODE_TARGET</TARGETAPPLICATION>
    <TABLEBACKGROUND>Existing</TABLEBACKGROUND>
    <EXTRACTSOURCEMODE>CopyToClipboard</EXTRACTSOURCEMODE>
    <TARGET_BINARYFULLNAME>/MSResearch/Content/ExternalAssets/2015-04/Images/yDnrQIkyFkipbqtAHDj0Ug--.png</TARGET_BINARYFULLNAME>
    <TARGET_STORYFULLNAME>/MSResearch/Content/ExternalAssets/2015-04/Sections/20150423_075703_capex.xml</TARGET_STORYFULLNAME>
    <TARGET_UUID>706ad236-ea14-11e4-b44c-544b7b2f2e67</TARGET_UUID>
  </Link>
  <Link>
    <GUID>4217086f-9aab-436e-a184-ec277d57f422</GUID>
    <SOURCETYPE>Chart</SOURCETYPE>
    <SOURCE_OBJECTNAME>MWA_Risk_Reward</SOURCE_OBJECTNAME>
    <SOURCE_SHEETCODE>MWRSSData</SOURCE_SHEETCODE>
    <SOURCE_SHEETNAME>MWA RR</SOURCE_SHEETNAME>
    <OBJECTTYPE>Native</OBJECTTYPE>
    <SOURCEAPPLICATION>EXCEL_SOURCE</SOURCEAPPLICATION>
    <UPDATEDAT>4/23/2015 8:48:14 PM</UPDATEDAT>
    <SOURCE_ISOUTOFDATE>False</SOURCE_ISOUTOFDATE>
    <SOURCE_WORKBOOKNAME>CONE Morgan Stanley - v1.xls</SOURCE_WORKBOOKNAME>
    <SOURCE_WORKBOOKPATH>\\MSAD\ROOT\NA\NY\LIB\ER\ER13\CLECs\CLEC\CONE\Model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/MSResearch/Content/ExternalAssets/2015-04/Images/EFIyvTQ1M0iFWqsxfIXABA--.png</TARGET_BINARYFULLNAME>
    <TARGET_STORYFULLNAME>/MSResearch/Content/ExternalAssets/2015-04/Sections/20150423_084810_MWA_Risk_Reward.xml</TARGET_STORYFULLNAME>
    <TARGET_UUID>94b6cb8e-ea1b-11e4-b44c-544b7b2f2e67</TARGET_UUID>
  </Link>
  <Link>
    <GUID>1a984255-f3e2-4187-a6fc-a8c3f4537ca4</GUID>
    <SOURCE_ALTADDRESS>$B$7:$BF$83</SOURCE_ALTADDRESS>
    <SOURCETYPE>Table</SOURCETYPE>
    <SOURCE_OBJECTNAME>Linking_Range_38</SOURCE_OBJECTNAME>
    <OBJECTTYPE>Native</OBJECTTYPE>
    <SOURCE_SHEETCODE>Sheet2</SOURCE_SHEETCODE>
    <SOURCE_SHEETNAME>Model</SOURCE_SHEETNAME>
    <SOURCEAPPLICATION>EXCEL_SOURCE</SOURCEAPPLICATION>
    <UPDATEDAT>4/23/2015 8:58:51 PM</UPDATEDAT>
    <SOURCE_ISOUTOFDATE>False</SOURCE_ISOUTOFDATE>
    <SOURCE_WORKBOOKNAME>CONE Morgan Stanley - v1.xls</SOURCE_WORKBOOKNAME>
    <SOURCE_WORKBOOKPATH>\\MSAD\ROOT\NA\NY\LIB\ER\ER13\CLECs\CLEC\CONE\Model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/MSResearch/Content/ExternalAssets/2015-04/Images/Jq3a5NIUQUiSfX7dJ4dFvg--.png</TARGET_BINARYFULLNAME>
    <TARGET_STORYFULLNAME>/MSResearch/Content/ExternalAssets/2015-04/Sections/20150423_085848_Linking_Range_38.xml</TARGET_STORYFULLNAME>
    <TARGET_UUID>10b485cc-ea1d-11e4-b44c-544b7b2f2e67</TARGET_UUID>
  </Link>
  <Link>
    <GUID>b78ee589-e05b-48e5-8e2c-12bd74ea0617</GUID>
    <SOURCE_ALTADDRESS>$B$342:$BF$367</SOURCE_ALTADDRESS>
    <SOURCETYPE>Table</SOURCETYPE>
    <SOURCE_OBJECTNAME>Linking_Range_39</SOURCE_OBJECTNAME>
    <OBJECTTYPE>Native</OBJECTTYPE>
    <SOURCE_SHEETCODE>Sheet2</SOURCE_SHEETCODE>
    <SOURCE_SHEETNAME>Model</SOURCE_SHEETNAME>
    <SOURCEAPPLICATION>EXCEL_SOURCE</SOURCEAPPLICATION>
    <UPDATEDAT>4/23/2015 8:59:14 PM</UPDATEDAT>
    <SOURCE_ISOUTOFDATE>False</SOURCE_ISOUTOFDATE>
    <SOURCE_WORKBOOKNAME>CONE Morgan Stanley - v1.xls</SOURCE_WORKBOOKNAME>
    <SOURCE_WORKBOOKPATH>\\MSAD\ROOT\NA\NY\LIB\ER\ER13\CLECs\CLEC\CONE\Model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/MSResearch/Content/ExternalAssets/2015-04/Images/ZMMkdGu-NUKptqToyfviFg--.png</TARGET_BINARYFULLNAME>
    <TARGET_STORYFULLNAME>/MSResearch/Content/ExternalAssets/2015-04/Sections/20150423_085911_Linking_Range_39.xml</TARGET_STORYFULLNAME>
    <TARGET_UUID>1eb1338c-ea1d-11e4-b44c-544b7b2f2e67</TARGET_UUID>
  </Link>
  <Link>
    <GUID>b5ea26f5-7f23-4117-8864-50e8d82e5441</GUID>
    <SOURCE_ALTADDRESS>$B$371:$BF$401</SOURCE_ALTADDRESS>
    <SOURCETYPE>Table</SOURCETYPE>
    <SOURCE_OBJECTNAME>Linking_Range_40</SOURCE_OBJECTNAME>
    <OBJECTTYPE>Native</OBJECTTYPE>
    <SOURCE_SHEETCODE>Sheet2</SOURCE_SHEETCODE>
    <SOURCE_SHEETNAME>Model</SOURCE_SHEETNAME>
    <SOURCEAPPLICATION>EXCEL_SOURCE</SOURCEAPPLICATION>
    <UPDATEDAT>4/23/2015 8:59:35 PM</UPDATEDAT>
    <SOURCE_ISOUTOFDATE>False</SOURCE_ISOUTOFDATE>
    <SOURCE_WORKBOOKNAME>CONE Morgan Stanley - v1.xls</SOURCE_WORKBOOKNAME>
    <SOURCE_WORKBOOKPATH>\\MSAD\ROOT\NA\NY\LIB\ER\ER13\CLECs\CLEC\CONE\Model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/MSResearch/Content/ExternalAssets/2015-04/Images/_YSt7uFvQkCP5Fs1ZCjOAQ--.png</TARGET_BINARYFULLNAME>
    <TARGET_STORYFULLNAME>/MSResearch/Content/ExternalAssets/2015-04/Sections/20150423_085932_Linking_Range_40.xml</TARGET_STORYFULLNAME>
    <TARGET_UUID>2ad01110-ea1d-11e4-b44c-544b7b2f2e67</TARGET_UUID>
  </Link>
  <Link>
    <GUID>2dc0c3c9-d1b2-46c2-a769-6964c1ca29ee</GUID>
    <SOURCE_ALTADDRESS>$D$8:$V$39</SOURCE_ALTADDRESS>
    <SOURCETYPE>Table</SOURCETYPE>
    <SOURCE_OBJECTNAME>Linking_Range_45</SOURCE_OBJECTNAME>
    <OBJECTTYPE>Native</OBJECTTYPE>
    <SOURCE_SHEETCODE>Sheet22</SOURCE_SHEETCODE>
    <SOURCE_SHEETNAME>Q</SOURCE_SHEETNAME>
    <SOURCEAPPLICATION>EXCEL_SOURCE</SOURCEAPPLICATION>
    <UPDATEDAT>5/7/2015 8:46:34 AM</UPDATEDAT>
    <SOURCE_ISOUTOFDATE>False</SOURCE_ISOUTOFDATE>
    <SOURCE_WORKBOOKNAME>CONE Morgan Stanley - v1.xls</SOURCE_WORKBOOKNAME>
    <SOURCE_WORKBOOKPATH>\\MSAD\ROOT\NA\NY\LIB\ER\ER13\CLECs\CLEC\CONE\Model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/MSResearch/Content/ExternalAssets/2015-05/Images/GDmeb2A2Z0mV7pioDkeabA--.png</TARGET_BINARYFULLNAME>
    <TARGET_STORYFULLNAME>/MSResearch/Content/ExternalAssets/2015-05/Sections/20150507_084437_Linking_Range_45.xml</TARGET_STORYFULLNAME>
    <TARGET_UUID>d2371c48-f4b6-11e4-96ae-7c07ebc02301</TARGET_UUID>
    <TRANSPARENTBACKGROUND>False</TRANSPARENTBACKGROUND>
    <TRANSPARENTPLOTAREA>False</TRANSPARENTPLOTAREA>
  </Link>
  <Link>
    <GUID>fa78051a-27d8-4370-80c5-57d6e13c2d77</GUID>
    <SOURCE_ALTADDRESS>$Z$10:$AC$20</SOURCE_ALTADDRESS>
    <SOURCETYPE>Table</SOURCETYPE>
    <SOURCE_OBJECTNAME>Linking_Range_48</SOURCE_OBJECTNAME>
    <OBJECTTYPE>Native</OBJECTTYPE>
    <SOURCE_SHEETCODE>Sheet22</SOURCE_SHEETCODE>
    <SOURCE_SHEETNAME>Q</SOURCE_SHEETNAME>
    <SOURCEAPPLICATION>EXCEL_SOURCE</SOURCEAPPLICATION>
    <UPDATEDAT>5/7/2015 8:47:54 AM</UPDATEDAT>
    <SOURCE_ISOUTOFDATE>False</SOURCE_ISOUTOFDATE>
    <SOURCE_WORKBOOKNAME>CONE Morgan Stanley - v1.xls</SOURCE_WORKBOOKNAME>
    <SOURCE_WORKBOOKPATH>\\MSAD\ROOT\NA\NY\LIB\ER\ER13\CLECs\CLEC\CONE\Model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/MSResearch/Content/ExternalAssets/2015-05/Images/atcOoSq7h0ib_Hiv4MuGGw--.png</TARGET_BINARYFULLNAME>
    <TARGET_STORYFULLNAME>/MSResearch/Content/ExternalAssets/2015-05/Sections/20150507_084753_Linking_Range_48.xml</TARGET_STORYFULLNAME>
    <TARGET_UUID>46cdf9d2-f4b7-11e4-96ae-7c07ebc02301</TARGET_UUID>
  </Link>
</lk:Links>
</file>

<file path=customXml/item2.xml><?xml version="1.0" encoding="utf-8"?>
<lkmtd:Metadata xmlns:lkmtd="thomsonreuters.linking.metadatachange">
  <MetadataChanged>1</MetadataChanged>
</lkmtd:Metadata>
</file>

<file path=customXml/itemProps1.xml><?xml version="1.0" encoding="utf-8"?>
<ds:datastoreItem xmlns:ds="http://schemas.openxmlformats.org/officeDocument/2006/customXml" ds:itemID="{7F61D911-E962-450B-82CF-D34634B82CB5}">
  <ds:schemaRefs>
    <ds:schemaRef ds:uri="thomsonreuters.linking.metadata"/>
  </ds:schemaRefs>
</ds:datastoreItem>
</file>

<file path=customXml/itemProps2.xml><?xml version="1.0" encoding="utf-8"?>
<ds:datastoreItem xmlns:ds="http://schemas.openxmlformats.org/officeDocument/2006/customXml" ds:itemID="{754E557A-CE6F-460D-BA39-65479E45A3F2}">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156</vt:i4>
      </vt:variant>
    </vt:vector>
  </HeadingPairs>
  <TitlesOfParts>
    <vt:vector size="158" baseType="lpstr">
      <vt:lpstr>ImportantDisclosures</vt:lpstr>
      <vt:lpstr>CircularReferenceAlert</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Linking_10</vt:lpstr>
      <vt:lpstr>Linking_11</vt:lpstr>
      <vt:lpstr>Linking_12</vt:lpstr>
      <vt:lpstr>Linking_13</vt:lpstr>
      <vt:lpstr>Linking_14</vt:lpstr>
      <vt:lpstr>Linking_15</vt:lpstr>
      <vt:lpstr>Linking_16</vt:lpstr>
      <vt:lpstr>Linking_17</vt:lpstr>
      <vt:lpstr>Linking_18</vt:lpstr>
      <vt:lpstr>Linking_19</vt:lpstr>
      <vt:lpstr>Linking_2</vt:lpstr>
      <vt:lpstr>Linking_20</vt:lpstr>
      <vt:lpstr>Linking_21</vt:lpstr>
      <vt:lpstr>Linking_22</vt:lpstr>
      <vt:lpstr>Linking_23</vt:lpstr>
      <vt:lpstr>Linking_24</vt:lpstr>
      <vt:lpstr>Linking_25</vt:lpstr>
      <vt:lpstr>Linking_26</vt:lpstr>
      <vt:lpstr>Linking_27</vt:lpstr>
      <vt:lpstr>Linking_28</vt:lpstr>
      <vt:lpstr>Linking_29</vt:lpstr>
      <vt:lpstr>Linking_3</vt:lpstr>
      <vt:lpstr>Linking_30</vt:lpstr>
      <vt:lpstr>Linking_31</vt:lpstr>
      <vt:lpstr>Linking_4</vt:lpstr>
      <vt:lpstr>Linking_5</vt:lpstr>
      <vt:lpstr>Linking_6</vt:lpstr>
      <vt:lpstr>Linking_7</vt:lpstr>
      <vt:lpstr>Linking_8</vt:lpstr>
      <vt:lpstr>Linking_9</vt:lpstr>
      <vt:lpstr>Rents!Linking_Range_1</vt:lpstr>
      <vt:lpstr>Linking_Range_11</vt:lpstr>
      <vt:lpstr>Linking_Range_12</vt:lpstr>
      <vt:lpstr>Linking_Range_13</vt:lpstr>
      <vt:lpstr>Linking_Range_15</vt:lpstr>
      <vt:lpstr>Linking_Range_16</vt:lpstr>
      <vt:lpstr>Linking_Range_17</vt:lpstr>
      <vt:lpstr>Linking_Range_19</vt:lpstr>
      <vt:lpstr>Rents!Linking_Range_2</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Linking_Range_28</vt:lpstr>
      <vt:lpstr>Linking_Range_29</vt:lpstr>
      <vt:lpstr>Linking_Range_3</vt:lpstr>
      <vt:lpstr>Linking_Range_30</vt:lpstr>
      <vt:lpstr>Linking_Range_31</vt:lpstr>
      <vt:lpstr>Linking_Range_32</vt:lpstr>
      <vt:lpstr>Linking_Range_33</vt:lpstr>
      <vt:lpstr>Linking_Range_34</vt:lpstr>
      <vt:lpstr>Linking_Range_35</vt:lpstr>
      <vt:lpstr>Linking_Range_36</vt:lpstr>
      <vt:lpstr>Linking_Range_37</vt:lpstr>
      <vt:lpstr>Linking_Range_38</vt:lpstr>
      <vt:lpstr>Linking_Range_39</vt:lpstr>
      <vt:lpstr>Linking_Range_4</vt:lpstr>
      <vt:lpstr>Linking_Range_40</vt:lpstr>
      <vt:lpstr>Linking_Range_41</vt:lpstr>
      <vt:lpstr>Linking_Range_42</vt:lpstr>
      <vt:lpstr>Linking_Range_43</vt:lpstr>
      <vt:lpstr>Linking_Range_44</vt:lpstr>
      <vt:lpstr>Linking_Range_45</vt:lpstr>
      <vt:lpstr>Linking_Range_46</vt:lpstr>
      <vt:lpstr>Linking_Range_47</vt:lpstr>
      <vt:lpstr>Linking_Range_48</vt:lpstr>
      <vt:lpstr>Linking_Range_49</vt:lpstr>
      <vt:lpstr>Linking_Range_5</vt:lpstr>
      <vt:lpstr>Linking_Range_50</vt:lpstr>
      <vt:lpstr>Linking_Range_51</vt:lpstr>
      <vt:lpstr>Linking_Range_6</vt:lpstr>
      <vt:lpstr>Linking_Range_7</vt:lpstr>
      <vt:lpstr>Linking_Range_8</vt:lpstr>
      <vt:lpstr>Linking_Range_9</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Estimates!Print_Area</vt:lpstr>
      <vt:lpstr>Model!Print_Area</vt:lpstr>
      <vt:lpstr>Q!Print_Area</vt:lpstr>
      <vt:lpstr>Valuation!Print_Area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2012-10-12T15:38:29Z</dcterms:created>
  <dc:creator>catonch</dc:creator>
  <cp:lastModifiedBy>Lam, Lisa (Research)</cp:lastModifiedBy>
  <cp:lastPrinted>2018-04-20T13:42:14Z</cp:lastPrinted>
  <dcterms:modified xsi:type="dcterms:W3CDTF">2018-04-23T13:25:05Z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51</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763321</vt:lpwstr>
  </property>
  <property fmtid="{D5CDD505-2E9C-101B-9397-08002B2CF9AE}" name="ERModPubCompanyName" pid="6">
    <vt:lpwstr>CyrusOne Inc</vt:lpwstr>
  </property>
  <property fmtid="{D5CDD505-2E9C-101B-9397-08002B2CF9AE}" name="ERModPubMaxIterations" pid="7">
    <vt:i4>100</vt:i4>
  </property>
  <property fmtid="{D5CDD505-2E9C-101B-9397-08002B2CF9AE}" name="ERModPubMaxChange" pid="8">
    <vt:r8>0.001</vt:r8>
  </property>
  <property fmtid="{D5CDD505-2E9C-101B-9397-08002B2CF9AE}" name="MSDH34TAG" pid="9">
    <vt:lpwstr>.TEZUF76X5TAHATHESADREYAK-00-INB160+*94600-06=c090903a/-46f9/-11e8/-adef/-6a0a1ce82510,MD=20180423092932/-0400,ZZ=000Z-22f8.</vt:lpwstr>
  </property>
</Properties>
</file>