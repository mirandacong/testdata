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gif" Extension="gif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openxmlformats-officedocument.drawingml.chart+xml" PartName="/xl/charts/chart4.xml"/>
  <Override ContentType="application/vnd.openxmlformats-officedocument.drawingml.chart+xml" PartName="/xl/charts/chart40.xml"/>
  <Override ContentType="application/vnd.openxmlformats-officedocument.drawingml.chart+xml" PartName="/xl/charts/chart41.xml"/>
  <Override ContentType="application/vnd.openxmlformats-officedocument.drawingml.chart+xml" PartName="/xl/charts/chart42.xml"/>
  <Override ContentType="application/vnd.openxmlformats-officedocument.drawingml.chart+xml" PartName="/xl/charts/chart43.xml"/>
  <Override ContentType="application/vnd.openxmlformats-officedocument.drawingml.chart+xml" PartName="/xl/charts/chart44.xml"/>
  <Override ContentType="application/vnd.openxmlformats-officedocument.drawingml.chart+xml" PartName="/xl/charts/chart45.xml"/>
  <Override ContentType="application/vnd.openxmlformats-officedocument.drawingml.chart+xml" PartName="/xl/charts/chart46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spreadsheetml.comments+xml" PartName="/xl/comments3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1.xml"/>
  <Override ContentType="application/vnd.openxmlformats-officedocument.drawingml.chartshapes+xml" PartName="/xl/drawings/drawing10.xml"/>
  <Override ContentType="application/vnd.openxmlformats-officedocument.drawingml.chartshapes+xml" PartName="/xl/drawings/drawing11.xml"/>
  <Override ContentType="application/vnd.openxmlformats-officedocument.drawingml.chartshapes+xml" PartName="/xl/drawings/drawing12.xml"/>
  <Override ContentType="application/vnd.openxmlformats-officedocument.drawingml.chartshapes+xml" PartName="/xl/drawings/drawing13.xml"/>
  <Override ContentType="application/vnd.openxmlformats-officedocument.drawingml.chartshapes+xml" PartName="/xl/drawings/drawing14.xml"/>
  <Override ContentType="application/vnd.openxmlformats-officedocument.drawingml.chartshapes+xml" PartName="/xl/drawings/drawing15.xml"/>
  <Override ContentType="application/vnd.openxmlformats-officedocument.drawingml.chartshapes+xml" PartName="/xl/drawings/drawing16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ml.chartshapes+xml" PartName="/xl/drawings/drawing6.xml"/>
  <Override ContentType="application/vnd.openxmlformats-officedocument.drawingml.chartshapes+xml" PartName="/xl/drawings/drawing7.xml"/>
  <Override ContentType="application/vnd.openxmlformats-officedocument.drawingml.chartshapes+xml" PartName="/xl/drawings/drawing8.xml"/>
  <Override ContentType="application/vnd.openxmlformats-officedocument.drawingml.chartshapes+xml" PartName="/xl/drawings/drawing9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spreadsheetml.externalLink+xml" PartName="/xl/externalLinks/externalLink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10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yes"?>
<Relationships xmlns="http://schemas.openxmlformats.org/package/2006/relationships">
<Relationship Id="rId1" Target="xl/workbook.xml" Type="http://schemas.openxmlformats.org/officeDocument/2006/relationships/officeDocument"/>
<Relationship Id="rId2" Target="docProps/core.xml" Type="http://schemas.openxmlformats.org/package/2006/relationships/metadata/core-properties"/>
<Relationship Id="rId3" Target="docProps/app.xml" Type="http://schemas.openxmlformats.org/officeDocument/2006/relationships/extended-properties"/>
<Relationship Id="rId4" Target="docProps/custom.xml" Type="http://schemas.openxmlformats.org/officeDocument/2006/relationships/custom-properties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9080" windowHeight="11310" tabRatio="950"/>
  </bookViews>
  <sheets>
    <sheet name="ImportantDisclosures" sheetId="65" r:id="rId1"/>
    <sheet name="SheetVisibilityStatus" sheetId="69" state="veryHidden" r:id="rId2"/>
    <sheet name="CircularReferenceAlert" sheetId="68" r:id="rId3"/>
    <sheet name="Cover" sheetId="28" state="veryHidden" r:id="rId4"/>
    <sheet name="Financial Statements" sheetId="2" state="veryHidden" r:id="rId5"/>
    <sheet name="Segments" sheetId="3" state="veryHidden" r:id="rId6"/>
    <sheet name="IndexInformation" sheetId="66" state="veryHidden" r:id="rId7"/>
    <sheet name="ModPubIndex" sheetId="67" state="veryHidden" r:id="rId8"/>
    <sheet name="__FDSCACHE__" sheetId="15" state="veryHidden" r:id="rId9"/>
    <sheet name="MW-Cache" sheetId="21" state="veryHidden" r:id="rId10"/>
  </sheets>
  <externalReferences>
    <externalReference r:id="rId11"/>
    <externalReference r:id="rId12"/>
    <externalReference r:id="rId13"/>
  </externalReferences>
  <definedNames>
    <definedName name="__FDS_HYPERLINK_TOGGLE_STATE__" hidden="1">"ON"</definedName>
    <definedName name="_bdm.0EE8916C3F264745A2676933BD118C09.edm" hidden="1">'Financial Statements'!$1:$1048576</definedName>
    <definedName name="_bdm.23605D8C93D34D9E98FED2C4DAD6A59B.edm" localSheetId="4" hidden="1">'Financial Statements'!$A$109:$AB$149</definedName>
    <definedName name="_bdm.2625514BBFC648B580C48946A6BD41CD.edm" localSheetId="4" hidden="1">'Financial Statements'!$A$63:$BA$105</definedName>
    <definedName name="_bdm.422D2DD896D64943BE8B22479704E9CA.edm" localSheetId="4" hidden="1">'Financial Statements'!$A$109:$BA$149</definedName>
    <definedName name="_bdm.43ACE008CA564613BE410C72D1014928.edm" localSheetId="4" hidden="1">'Financial Statements'!$A$109:$AV$149</definedName>
    <definedName name="_bdm.6934E7475E5844D8B5E52E661B6B67A2.edm" localSheetId="4" hidden="1">'Financial Statements'!$A$4:$AB$45</definedName>
    <definedName name="_bdm.772DDD5BE73942428D605FEFAF68F0F4.edm" localSheetId="4" hidden="1">'Financial Statements'!$A$4:$AV$54</definedName>
    <definedName name="_bdm.84D00DB18CC348B1A4CFDE16232ABD6A.edm" localSheetId="4" hidden="1">'Financial Statements'!$A$4:$BA$54</definedName>
    <definedName name="_bdm.A983C9B761C44E2DA6C802A56B444586.edm" localSheetId="5" hidden="1">Segments!$A$101:$AM$167</definedName>
    <definedName name="_bdm.C0085472E7F74F6B9033B0523F0AD0E8.edm" localSheetId="4" hidden="1">'Financial Statements'!$A$63:$AB$105</definedName>
    <definedName name="_bdm.C13488D7E0DC49FAB9BF5EB82ED95A2C.edm" hidden="1">Segments!$1:$1048576</definedName>
    <definedName name="_bdm.DD509C96FD7A4AB0BD29D6F932A0BD32.edm" localSheetId="5" hidden="1">Segments!$A$5:$AM$91</definedName>
    <definedName name="_bdm.FBB810BCBB6045EE80E2EF1DCE3D4DAA.edm" localSheetId="4" hidden="1">'Financial Statements'!$A$63:$AV$105</definedName>
    <definedName name="_pe2" hidden="1">{"income",#N/A,FALSE,"K";"cashflow",#N/A,FALSE,"K";"balances",#N/A,FALSE,"K";"ratios",#N/A,FALSE,"K"}</definedName>
    <definedName name="ACV">[1]Industry_NetDebt_EBITDA!$A$13,[1]Industry_NetDebt_EBITDA!$A$14,[1]Industry_NetDebt_EBITDA!$A$16,[1]Industry_NetDebt_EBITDA!$A$20,[1]Industry_NetDebt_EBITDA!$A$17,[1]Industry_NetDebt_EBITDA!$A$18,[1]Industry_NetDebt_EBITDA!$A$23,[1]Industry_NetDebt_EBITDA!$A$22,[1]Industry_NetDebt_EBITDA!$A$24,[1]Industry_NetDebt_EBITDA!$A$25,[1]Industry_NetDebt_EBITDA!$A$12</definedName>
    <definedName name="AdditionalInstructions">IndexInformation!$B$42</definedName>
    <definedName name="Address" localSheetId="0">ImportantDisclosures!$A$2:$A$2</definedName>
    <definedName name="AM">[1]Industry_NetDebt_EBITDA!$A$12,[1]Industry_NetDebt_EBITDA!$A$14,[1]Industry_NetDebt_EBITDA!$A$16,[1]Industry_NetDebt_EBITDA!$A$20,[1]Industry_NetDebt_EBITDA!$A$17,[1]Industry_NetDebt_EBITDA!$A$23,[1]Industry_NetDebt_EBITDA!$A$22,[1]Industry_NetDebt_EBITDA!$A$18,[1]Industry_NetDebt_EBITDA!$A$21,[1]Industry_NetDebt_EBITDA!$A$24,[1]Industry_NetDebt_EBITDA!$A$13</definedName>
    <definedName name="ANA" localSheetId="7">ModPubIndex!$A$7</definedName>
    <definedName name="Authors" localSheetId="0">ImportantDisclosures!$A$7</definedName>
    <definedName name="Authors" localSheetId="6">IndexInformation!$B$18</definedName>
    <definedName name="Avg">"Avg"</definedName>
    <definedName name="BRO" localSheetId="7">ModPubIndex!$A$1</definedName>
    <definedName name="Buttons" localSheetId="2">CircularReferenceAlert!$B$13:$B$15</definedName>
    <definedName name="CENT">[1]Industry_NetDebt_EBITDA!$A$13,[1]Industry_NetDebt_EBITDA!$A$16,[1]Industry_NetDebt_EBITDA!$A$17,[1]Industry_NetDebt_EBITDA!$A$18,[1]Industry_NetDebt_EBITDA!$A$21,[1]Industry_NetDebt_EBITDA!$A$22,[1]Industry_NetDebt_EBITDA!$A$23,[1]Industry_NetDebt_EBITDA!$A$24,[1]Industry_NetDebt_EBITDA!$A$14</definedName>
    <definedName name="CHD">[1]Industry_NetDebt_EBITDA!$A$12,[1]Industry_NetDebt_EBITDA!$A$18,[1]Industry_NetDebt_EBITDA!$A$20,[1]Industry_NetDebt_EBITDA!$A$17,[1]Industry_NetDebt_EBITDA!$A$22,[1]Industry_NetDebt_EBITDA!$A$23,[1]Industry_NetDebt_EBITDA!$A$16</definedName>
    <definedName name="CHTT">[1]Industry_NetDebt_EBITDA!$A$16,[1]Industry_NetDebt_EBITDA!$A$14,[1]Industry_NetDebt_EBITDA!$A$17,[1]Industry_NetDebt_EBITDA!$A$23,[1]Industry_NetDebt_EBITDA!$A$22,[1]Industry_NetDebt_EBITDA!$A$18,[1]Industry_NetDebt_EBITDA!$A$24,[1]Industry_NetDebt_EBITDA!$A$21,[1]Industry_NetDebt_EBITDA!$A$15</definedName>
    <definedName name="CopyrightStamp">ImportantDisclosures!$A$27</definedName>
    <definedName name="COU" localSheetId="7">ModPubIndex!$A$5</definedName>
    <definedName name="CQEnd" localSheetId="6">IndexInformation!$B$31</definedName>
    <definedName name="Currency" localSheetId="6">IndexInformation!$B$24</definedName>
    <definedName name="CurrentStockPrice" localSheetId="6">IndexInformation!$B$23</definedName>
    <definedName name="CurrQtrEPS" localSheetId="6">IndexInformation!$B$29</definedName>
    <definedName name="CurrYearEPS" localSheetId="6">IndexInformation!$B$11</definedName>
    <definedName name="CurrYearTotalRevenue" localSheetId="6">IndexInformation!$B$10</definedName>
    <definedName name="CurrYearTotalRevenueActual" localSheetId="6">IndexInformation!$B$32</definedName>
    <definedName name="CUSIP" localSheetId="6">IndexInformation!$B$20</definedName>
    <definedName name="CYEnd" localSheetId="6">IndexInformation!$B$30</definedName>
    <definedName name="dataseries4">OFFSET([2]c1!$G$12,0,0,COUNTA([2]c1!$G$12:$G$31),1)</definedName>
    <definedName name="Date" localSheetId="0">ImportantDisclosures!$A$8</definedName>
    <definedName name="days">[3]Financials!$D$96</definedName>
    <definedName name="Deleted" localSheetId="6">IndexInformation!$B$27</definedName>
    <definedName name="Description" localSheetId="6">IndexInformation!$B$7</definedName>
    <definedName name="diffname" hidden="1">{"summary1",#N/A,FALSE,"K";"summary2",#N/A,FALSE,"K";"USmarket",#N/A,FALSE,"K";"USearnings",#N/A,FALSE,"K"}</definedName>
    <definedName name="Discipline" localSheetId="6">IndexInformation!$B$3</definedName>
    <definedName name="DISCIPLINE" localSheetId="7">ModPubIndex!$A$12</definedName>
    <definedName name="DisclosuresText">ImportantDisclosures!$A$22</definedName>
    <definedName name="Distribution" localSheetId="6">IndexInformation!$B$26</definedName>
    <definedName name="DistTable" localSheetId="0">ImportantDisclosures!#REF!</definedName>
    <definedName name="DistTablePreamble" localSheetId="0">ImportantDisclosures!#REF!</definedName>
    <definedName name="DOCDAT" localSheetId="7">ModPubIndex!$A$2</definedName>
    <definedName name="DOCTIME" localSheetId="7">ModPubIndex!$A$3</definedName>
    <definedName name="DocType" localSheetId="6">IndexInformation!$B$5</definedName>
    <definedName name="EMAIL_ALERT" localSheetId="7">ModPubIndex!$A$10</definedName>
    <definedName name="EmailAlert" localSheetId="6">IndexInformation!$B$28</definedName>
    <definedName name="ENR">[1]Industry_NetDebt_EBITDA!$A$12,[1]Industry_NetDebt_EBITDA!$A$14,[1]Industry_NetDebt_EBITDA!$A$16,[1]Industry_NetDebt_EBITDA!$A$20,[1]Industry_NetDebt_EBITDA!$A$17,[1]Industry_NetDebt_EBITDA!$A$23,[1]Industry_NetDebt_EBITDA!$A$22,[1]Industry_NetDebt_EBITDA!$A$24,[1]Industry_NetDebt_EBITDA!$A$18</definedName>
    <definedName name="FiveYearGrowthRate" localSheetId="6">IndexInformation!$B$16</definedName>
    <definedName name="FollowingYearEPS" localSheetId="6">IndexInformation!$B$15</definedName>
    <definedName name="FollowingYearTotalRevenue" localSheetId="6">IndexInformation!$B$14</definedName>
    <definedName name="FollowingYearTotalRevenueActual" localSheetId="6">IndexInformation!$B$34</definedName>
    <definedName name="HELE">[1]Industry_NetDebt_EBITDA!$A$18,[1]Industry_NetDebt_EBITDA!$A$16,[1]Industry_NetDebt_EBITDA!$A$12,[1]Industry_NetDebt_EBITDA!$A$23,[1]Industry_NetDebt_EBITDA!$A$22,[1]Industry_NetDebt_EBITDA!$A$17,[1]Industry_NetDebt_EBITDA!$A$14,[1]Industry_NetDebt_EBITDA!$A$15,[1]Industry_NetDebt_EBITDA!$A$21,[1]Industry_NetDebt_EBITDA!$A$13,[1]Industry_NetDebt_EBITDA!$A$19</definedName>
    <definedName name="HL" localSheetId="7">ModPubIndex!$A$8</definedName>
    <definedName name="IND" localSheetId="7">ModPubIndex!$A$9</definedName>
    <definedName name="Industry" localSheetId="0">ImportantDisclosures!$A$12</definedName>
    <definedName name="IndustryId">IndexInformation!$B$40</definedName>
    <definedName name="IndustryRating" localSheetId="0">ImportantDisclosures!$A$13</definedName>
    <definedName name="IQ_ADDIN" hidden="1">"AUTO"</definedName>
    <definedName name="KeepVersions" localSheetId="6">IndexInformation!$B$8</definedName>
    <definedName name="LanguageCode">IndexInformation!$B$38</definedName>
    <definedName name="LastCell" localSheetId="0">ImportantDisclosures!$A$22</definedName>
    <definedName name="Linking_Range_10">'Financial Statements'!$A$109:$BF$149</definedName>
    <definedName name="Linking_Range_18">'Financial Statements'!$A$4:$BK$54</definedName>
    <definedName name="Linking_Range_19">'Financial Statements'!$A$63:$BK$105</definedName>
    <definedName name="Linking_Range_20">'Financial Statements'!$A$109:$BK$149</definedName>
    <definedName name="Linking_Range_5">'Financial Statements'!$A$4:$BA$54</definedName>
    <definedName name="Linking_Range_6">'Financial Statements'!$A$63:$BA$105</definedName>
    <definedName name="Linking_Range_8">'Financial Statements'!$A$4:$BF$54</definedName>
    <definedName name="Linking_Range_9">'Financial Statements'!$A$63:$BF$105</definedName>
    <definedName name="Linking_Text_4">23</definedName>
    <definedName name="Linking_Text_5">21</definedName>
    <definedName name="Linking_Text_6">16.5</definedName>
    <definedName name="MacroVersion" localSheetId="6">IndexInformation!$B$1</definedName>
    <definedName name="MaxChange" localSheetId="2">CircularReferenceAlert!$B$9</definedName>
    <definedName name="MaxIterations" localSheetId="2">CircularReferenceAlert!$B$8</definedName>
    <definedName name="ModelPrice" localSheetId="0">ImportantDisclosures!$A$14</definedName>
    <definedName name="MtCap">10000000000</definedName>
    <definedName name="Multiplier" localSheetId="6">IndexInformation!$B$35</definedName>
    <definedName name="NextYearEPS" localSheetId="6">IndexInformation!$B$13</definedName>
    <definedName name="NextYearTotalRevenue" localSheetId="6">IndexInformation!$B$12</definedName>
    <definedName name="NextYearTotalRevenueActual" localSheetId="6">IndexInformation!$B$33</definedName>
    <definedName name="ObjectType">IndexInformation!$B$37</definedName>
    <definedName name="PANA" localSheetId="7">ModPubIndex!$A$11</definedName>
    <definedName name="PathName" localSheetId="6">IndexInformation!$B$25</definedName>
    <definedName name="PBH">[1]Industry_NetDebt_EBITDA!$A$16,[1]Industry_NetDebt_EBITDA!$A$15,[1]Industry_NetDebt_EBITDA!$A$12,[1]Industry_NetDebt_EBITDA!$A$17,[1]Industry_NetDebt_EBITDA!$A$23,[1]Industry_NetDebt_EBITDA!$A$22,[1]Industry_NetDebt_EBITDA!$A$18,[1]Industry_NetDebt_EBITDA!$A$24,[1]Industry_NetDebt_EBITDA!$A$21</definedName>
    <definedName name="pe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_xlnm.Print_Area" localSheetId="3">Cover!$A$1:$M$34</definedName>
    <definedName name="_xlnm.Print_Area" localSheetId="4">'Financial Statements'!$A$1:$BZ$204</definedName>
    <definedName name="_xlnm.Print_Area" localSheetId="5">Segments!$A$5:$AU$168</definedName>
    <definedName name="_xlnm.Print_Titles" localSheetId="4">'Financial Statements'!$A:$B,'Financial Statements'!$1:$1</definedName>
    <definedName name="_xlnm.Print_Titles" localSheetId="5">Segments!$A:$B,Segments!$1:$5</definedName>
    <definedName name="PRODUCT" localSheetId="7">ModPubIndex!$A$6</definedName>
    <definedName name="PSYM" localSheetId="7">ModPubIndex!$A$4</definedName>
    <definedName name="PublishDate" localSheetId="6">IndexInformation!$B$2</definedName>
    <definedName name="Rating" localSheetId="6">IndexInformation!$B$9</definedName>
    <definedName name="RatingsDefined" localSheetId="0">ImportantDisclosures!$A$21</definedName>
    <definedName name="RatingsDefs" localSheetId="0">ImportantDisclosures!#REF!</definedName>
    <definedName name="RDEN">[1]Industry_NetDebt_EBITDA!$A$12,[1]Industry_NetDebt_EBITDA!$A$13,[1]Industry_NetDebt_EBITDA!$A$14,[1]Industry_NetDebt_EBITDA!$A$16,[1]Industry_NetDebt_EBITDA!$A$23,[1]Industry_NetDebt_EBITDA!$A$22,[1]Industry_NetDebt_EBITDA!$A$18,[1]Industry_NetDebt_EBITDA!$A$21,[1]Industry_NetDebt_EBITDA!$A$24,[1]Industry_NetDebt_EBITDA!$A$17</definedName>
    <definedName name="RegACDisclosure" localSheetId="0">ImportantDisclosures!#REF!</definedName>
    <definedName name="ResearchTopic" localSheetId="6">IndexInformation!$B$4</definedName>
    <definedName name="RIC" localSheetId="6">IndexInformation!$B$21</definedName>
    <definedName name="SECSettlement" localSheetId="0">ImportantDisclosures!#REF!</definedName>
    <definedName name="SEDOL" localSheetId="6">IndexInformation!$B$22</definedName>
    <definedName name="SMG">[1]Industry_NetDebt_EBITDA!$A$12:$A$14,[1]Industry_NetDebt_EBITDA!$A$16:$A$17,[1]Industry_NetDebt_EBITDA!$A$18,[1]Industry_NetDebt_EBITDA!$A$20,[1]Industry_NetDebt_EBITDA!$A$21,[1]Industry_NetDebt_EBITDA!$A$22,[1]Industry_NetDebt_EBITDA!$A$24,[1]Industry_NetDebt_EBITDA!$A$25,[1]Industry_NetDebt_EBITDA!$A$23</definedName>
    <definedName name="SourceDefined" localSheetId="0">ImportantDisclosures!$A$19</definedName>
    <definedName name="Sp">"       "</definedName>
    <definedName name="SPC">[1]Industry_NetDebt_EBITDA!$A$12,[1]Industry_NetDebt_EBITDA!$A$16,[1]Industry_NetDebt_EBITDA!$A$17,[1]Industry_NetDebt_EBITDA!$A$18,[1]Industry_NetDebt_EBITDA!$A$20,[1]Industry_NetDebt_EBITDA!$A$23,[1]Industry_NetDebt_EBITDA!$A$24,[1]Industry_NetDebt_EBITDA!$A$22</definedName>
    <definedName name="StockRating" localSheetId="0">ImportantDisclosures!$A$11</definedName>
    <definedName name="SubjectCode" localSheetId="6">IndexInformation!$B$6</definedName>
    <definedName name="SubmitterUserId">IndexInformation!$B$39</definedName>
    <definedName name="SUPPRESSED" localSheetId="7">ModPubIndex!$A$13</definedName>
    <definedName name="TargetPrice" localSheetId="0">ImportantDisclosures!$A$15</definedName>
    <definedName name="TemplateRegion">IndexInformation!$B$36</definedName>
    <definedName name="test">'[1]Valuation-DCF'!$C$37</definedName>
    <definedName name="test10">'[1]Valuation-DCF'!$C$40</definedName>
    <definedName name="test11">'[1]Valuation-DCF'!$C$41</definedName>
    <definedName name="test12">'[1]Valuation-DCF'!$C$46</definedName>
    <definedName name="test13">'[1]Valuation-DCF'!$G$45</definedName>
    <definedName name="test14">'[1]Valuation-DCF'!$C$35</definedName>
    <definedName name="test15">'[1]Valuation-DCF'!$C$45</definedName>
    <definedName name="test2">'[1]Valuation-DCF'!$C$38</definedName>
    <definedName name="test3">'[1]Valuation-DCF'!$C$39</definedName>
    <definedName name="test4">'[1]Valuation-DCF'!$G$56</definedName>
    <definedName name="test5">'[1]Valuation-DCF'!$C$44</definedName>
    <definedName name="test6">'[1]Valuation-DCF'!$C$36</definedName>
    <definedName name="test7">'[1]Valuation-DCF'!$G$46</definedName>
    <definedName name="test8">'[1]Valuation-DCF'!$G$32</definedName>
    <definedName name="test9">'[1]Valuation-DCF'!$C$34</definedName>
    <definedName name="Ticker" localSheetId="0">ImportantDisclosures!$A$10</definedName>
    <definedName name="TickerRegion">IndexInformation!$B$41</definedName>
    <definedName name="Tickers" localSheetId="6">IndexInformation!$B$19</definedName>
    <definedName name="TUP">[1]Industry_NetDebt_EBITDA!$A$12,[1]Industry_NetDebt_EBITDA!$A$16,[1]Industry_NetDebt_EBITDA!$A$17,[1]Industry_NetDebt_EBITDA!$A$18,[1]Industry_NetDebt_EBITDA!$A$20,[1]Industry_NetDebt_EBITDA!$A$22,[1]Industry_NetDebt_EBITDA!$A$23,[1]Industry_NetDebt_EBITDA!$A$24</definedName>
    <definedName name="UpdateReason" localSheetId="6">IndexInformation!$B$17</definedName>
    <definedName name="USRegDisclosures" localSheetId="0">ImportantDisclosures!#REF!</definedName>
    <definedName name="wrn.detail_US." hidden="1">{"summary1",#N/A,FALSE,"K";"summary2",#N/A,FALSE,"K";"USmarket",#N/A,FALSE,"K";"USearnings",#N/A,FALSE,"K"}</definedName>
    <definedName name="wrn.Earnings._.Model.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financials." hidden="1">{"income",#N/A,FALSE,"K";"cashflow",#N/A,FALSE,"K";"balances",#N/A,FALSE,"K";"ratios",#N/A,FALSE,"K"}</definedName>
  </definedNames>
  <calcPr calcId="145621" iterate="1"/>
</workbook>
</file>

<file path=xl/calcChain.xml><?xml version="1.0" encoding="utf-8"?>
<calcChain xmlns="http://schemas.openxmlformats.org/spreadsheetml/2006/main">
  <c r="BP35" i="2" l="1"/>
  <c r="BL35" i="2" s="1"/>
  <c r="BM35" i="2" s="1"/>
  <c r="BM16" i="2" s="1"/>
  <c r="BC101" i="3"/>
  <c r="BF101" i="3"/>
  <c r="BF139" i="3"/>
  <c r="BE139" i="3"/>
  <c r="BD139" i="3"/>
  <c r="BC139" i="3"/>
  <c r="BF120" i="3"/>
  <c r="BE120" i="3"/>
  <c r="BD120" i="3"/>
  <c r="BC120" i="3"/>
  <c r="BF117" i="3"/>
  <c r="BE117" i="3"/>
  <c r="BD117" i="3"/>
  <c r="BC117" i="3"/>
  <c r="BF114" i="3"/>
  <c r="BE114" i="3"/>
  <c r="BD114" i="3"/>
  <c r="BC114" i="3"/>
  <c r="BF111" i="3"/>
  <c r="BE111" i="3"/>
  <c r="BD111" i="3"/>
  <c r="BC111" i="3"/>
  <c r="BF108" i="3"/>
  <c r="BE108" i="3"/>
  <c r="BD108" i="3"/>
  <c r="BC108" i="3"/>
  <c r="BL16" i="2" l="1"/>
  <c r="BK139" i="3"/>
  <c r="BK117" i="3"/>
  <c r="BK114" i="3"/>
  <c r="BK111" i="3"/>
  <c r="BK108" i="3"/>
  <c r="BT35" i="2"/>
  <c r="BS16" i="2"/>
  <c r="BJ139" i="3"/>
  <c r="BJ108" i="3"/>
  <c r="BR16" i="2"/>
  <c r="BQ16" i="2"/>
  <c r="BI114" i="3"/>
  <c r="BH139" i="3"/>
  <c r="H33" i="2" l="1"/>
  <c r="M33" i="2"/>
  <c r="AL33" i="2"/>
  <c r="AQ33" i="2"/>
  <c r="AV33" i="2"/>
  <c r="BA33" i="2"/>
  <c r="BF33" i="2"/>
  <c r="BK33" i="2"/>
  <c r="BP33" i="2"/>
  <c r="BU33" i="2"/>
  <c r="H34" i="2"/>
  <c r="M34" i="2"/>
  <c r="W34" i="2"/>
  <c r="AL34" i="2"/>
  <c r="AQ34" i="2"/>
  <c r="AV34" i="2"/>
  <c r="BA34" i="2"/>
  <c r="BF34" i="2"/>
  <c r="BK34" i="2"/>
  <c r="BP34" i="2"/>
  <c r="BU34" i="2"/>
  <c r="AK35" i="2"/>
  <c r="AP35" i="2"/>
  <c r="AV35" i="2"/>
  <c r="AW35" i="2"/>
  <c r="AX35" i="2" s="1"/>
  <c r="AY35" i="2" s="1"/>
  <c r="BB35" i="2"/>
  <c r="BN35" i="2"/>
  <c r="BU35" i="2"/>
  <c r="BZ35" i="2" s="1"/>
  <c r="BV35" i="2"/>
  <c r="BW35" i="2"/>
  <c r="CB35" i="2" s="1"/>
  <c r="CG35" i="2" s="1"/>
  <c r="CL35" i="2" s="1"/>
  <c r="CQ35" i="2" s="1"/>
  <c r="BX35" i="2"/>
  <c r="CC35" i="2" s="1"/>
  <c r="CH35" i="2" s="1"/>
  <c r="CM35" i="2" s="1"/>
  <c r="CR35" i="2" s="1"/>
  <c r="BK120" i="3"/>
  <c r="BJ120" i="3"/>
  <c r="BJ117" i="3"/>
  <c r="BJ114" i="3"/>
  <c r="BJ111" i="3"/>
  <c r="BI139" i="3"/>
  <c r="BI120" i="3"/>
  <c r="BI111" i="3"/>
  <c r="BI108" i="3"/>
  <c r="BC35" i="2" l="1"/>
  <c r="BD35" i="2" s="1"/>
  <c r="CA35" i="2"/>
  <c r="CF35" i="2" s="1"/>
  <c r="CK35" i="2" s="1"/>
  <c r="CP35" i="2" s="1"/>
  <c r="BY35" i="2"/>
  <c r="BN16" i="2"/>
  <c r="BO35" i="2"/>
  <c r="CE35" i="2"/>
  <c r="AZ35" i="2"/>
  <c r="AR35" i="2"/>
  <c r="AS35" i="2" s="1"/>
  <c r="AT35" i="2" s="1"/>
  <c r="BE35" i="2" l="1"/>
  <c r="BO16" i="2"/>
  <c r="CD35" i="2"/>
  <c r="CJ35" i="2"/>
  <c r="AU35" i="2"/>
  <c r="CO35" i="2" l="1"/>
  <c r="CI35" i="2"/>
  <c r="CN35" i="2" l="1"/>
  <c r="CT35" i="2"/>
  <c r="CS35" i="2" s="1"/>
  <c r="BH120" i="3" l="1"/>
  <c r="BH117" i="3"/>
  <c r="BH114" i="3"/>
  <c r="BH111" i="3"/>
  <c r="BH108" i="3"/>
  <c r="BT21" i="2" l="1"/>
  <c r="BT16" i="2" s="1"/>
  <c r="R32" i="2" l="1"/>
  <c r="S32" i="2"/>
  <c r="AL32" i="2"/>
  <c r="AQ32" i="2"/>
  <c r="AR32" i="2"/>
  <c r="AS32" i="2"/>
  <c r="AT32" i="2"/>
  <c r="AY32" i="2" s="1"/>
  <c r="BD32" i="2" s="1"/>
  <c r="BI32" i="2" s="1"/>
  <c r="AU32" i="2"/>
  <c r="AZ32" i="2" s="1"/>
  <c r="BE32" i="2" s="1"/>
  <c r="BJ32" i="2" s="1"/>
  <c r="AW32" i="2"/>
  <c r="BB32" i="2"/>
  <c r="BG32" i="2" s="1"/>
  <c r="BP32" i="2"/>
  <c r="BU32" i="2"/>
  <c r="BV32" i="2"/>
  <c r="BW32" i="2"/>
  <c r="CB32" i="2" s="1"/>
  <c r="CG32" i="2" s="1"/>
  <c r="CL32" i="2" s="1"/>
  <c r="CQ32" i="2" s="1"/>
  <c r="BX32" i="2"/>
  <c r="CC32" i="2" s="1"/>
  <c r="CH32" i="2" s="1"/>
  <c r="CM32" i="2" s="1"/>
  <c r="CR32" i="2" s="1"/>
  <c r="BY32" i="2"/>
  <c r="CA32" i="2" l="1"/>
  <c r="CF32" i="2" s="1"/>
  <c r="BZ32" i="2"/>
  <c r="AV32" i="2"/>
  <c r="CD32" i="2"/>
  <c r="CI32" i="2" s="1"/>
  <c r="CN32" i="2" s="1"/>
  <c r="CS32" i="2" s="1"/>
  <c r="AX32" i="2"/>
  <c r="BA32" i="2" l="1"/>
  <c r="BC32" i="2"/>
  <c r="CE32" i="2"/>
  <c r="CJ32" i="2"/>
  <c r="CK32" i="2"/>
  <c r="BZ160" i="3"/>
  <c r="BY160" i="3"/>
  <c r="BX160" i="3"/>
  <c r="BW160" i="3"/>
  <c r="BZ159" i="3"/>
  <c r="BY159" i="3"/>
  <c r="BX159" i="3"/>
  <c r="BW159" i="3"/>
  <c r="CG140" i="3"/>
  <c r="CO32" i="2" l="1"/>
  <c r="CP32" i="2"/>
  <c r="CT32" i="2" s="1"/>
  <c r="BH32" i="2"/>
  <c r="BK32" i="2" s="1"/>
  <c r="BF32" i="2"/>
  <c r="BY42" i="2"/>
  <c r="CD42" i="2" s="1"/>
  <c r="BX42" i="2"/>
  <c r="CC42" i="2" s="1"/>
  <c r="BW42" i="2"/>
  <c r="CB42" i="2" s="1"/>
  <c r="BV42" i="2"/>
  <c r="BY115" i="2"/>
  <c r="BX115" i="2"/>
  <c r="BW115" i="2"/>
  <c r="BV115" i="2"/>
  <c r="CA176" i="2"/>
  <c r="BY176" i="2"/>
  <c r="BX176" i="2"/>
  <c r="BW176" i="2"/>
  <c r="BT59" i="2"/>
  <c r="BT173" i="2"/>
  <c r="BY173" i="2" s="1"/>
  <c r="BT166" i="2"/>
  <c r="BY166" i="2" s="1"/>
  <c r="BU141" i="2"/>
  <c r="BU140" i="2"/>
  <c r="BU139" i="2"/>
  <c r="BU138" i="2"/>
  <c r="BU132" i="2"/>
  <c r="BU133" i="2"/>
  <c r="BT118" i="2"/>
  <c r="BU86" i="2"/>
  <c r="BU85" i="2"/>
  <c r="BU84" i="2"/>
  <c r="BU66" i="2"/>
  <c r="BU8" i="2"/>
  <c r="BL53" i="3"/>
  <c r="BL56" i="3" s="1"/>
  <c r="BK149" i="3"/>
  <c r="BK148" i="3"/>
  <c r="BK147" i="3"/>
  <c r="BK146" i="3"/>
  <c r="BK145" i="3"/>
  <c r="BK144" i="3"/>
  <c r="BK67" i="3"/>
  <c r="BK58" i="3"/>
  <c r="BK49" i="3"/>
  <c r="BK39" i="3"/>
  <c r="BK40" i="3"/>
  <c r="BK38" i="3"/>
  <c r="BK33" i="3"/>
  <c r="BK26" i="3"/>
  <c r="BK31" i="3"/>
  <c r="BK24" i="3"/>
  <c r="BK140" i="3"/>
  <c r="BU16" i="2"/>
  <c r="CA42" i="2" l="1"/>
  <c r="BN183" i="2" l="1"/>
  <c r="BS184" i="2" l="1"/>
  <c r="BU176" i="2"/>
  <c r="BS174" i="2"/>
  <c r="BS173" i="2"/>
  <c r="BX173" i="2" s="1"/>
  <c r="BS167" i="2"/>
  <c r="BS166" i="2"/>
  <c r="BX166" i="2" s="1"/>
  <c r="BS61" i="2"/>
  <c r="BS59" i="2"/>
  <c r="BS60" i="2" s="1"/>
  <c r="BJ149" i="3"/>
  <c r="BJ148" i="3"/>
  <c r="BJ147" i="3"/>
  <c r="BJ146" i="3"/>
  <c r="BJ145" i="3"/>
  <c r="BJ144" i="3"/>
  <c r="BJ140" i="3"/>
  <c r="BJ67" i="3"/>
  <c r="BJ58" i="3"/>
  <c r="BJ49" i="3"/>
  <c r="BJ40" i="3"/>
  <c r="BJ38" i="3"/>
  <c r="BJ33" i="3"/>
  <c r="BJ31" i="3"/>
  <c r="BJ26" i="3"/>
  <c r="BJ24" i="3"/>
  <c r="BS18" i="2"/>
  <c r="BR166" i="2" l="1"/>
  <c r="BW166" i="2" s="1"/>
  <c r="BR167" i="2"/>
  <c r="BR173" i="2"/>
  <c r="BW173" i="2" s="1"/>
  <c r="BR174" i="2"/>
  <c r="BR146" i="2"/>
  <c r="BR142" i="2"/>
  <c r="BR140" i="2"/>
  <c r="BR181" i="2" s="1"/>
  <c r="BR138" i="2"/>
  <c r="BR131" i="2"/>
  <c r="BR134" i="2"/>
  <c r="BR130" i="2"/>
  <c r="BR127" i="2"/>
  <c r="BS127" i="2" s="1"/>
  <c r="BR126" i="2"/>
  <c r="BR125" i="2"/>
  <c r="BR124" i="2"/>
  <c r="BR123" i="2"/>
  <c r="BR122" i="2"/>
  <c r="BW119" i="2"/>
  <c r="BX119" i="2" s="1"/>
  <c r="BY119" i="2" s="1"/>
  <c r="BR119" i="2"/>
  <c r="BR117" i="2"/>
  <c r="BR116" i="2"/>
  <c r="BR115" i="2"/>
  <c r="BR114" i="2"/>
  <c r="BR113" i="2"/>
  <c r="BR172" i="2" s="1"/>
  <c r="BS125" i="2" l="1"/>
  <c r="BT125" i="2" s="1"/>
  <c r="BS131" i="2"/>
  <c r="BT131" i="2" s="1"/>
  <c r="BS142" i="2"/>
  <c r="BT142" i="2" s="1"/>
  <c r="BS114" i="2"/>
  <c r="BT114" i="2" s="1"/>
  <c r="BS134" i="2"/>
  <c r="BT134" i="2" s="1"/>
  <c r="BS138" i="2"/>
  <c r="BT138" i="2" s="1"/>
  <c r="BS113" i="2"/>
  <c r="BS122" i="2"/>
  <c r="BT122" i="2" s="1"/>
  <c r="BS126" i="2"/>
  <c r="BT126" i="2" s="1"/>
  <c r="BS123" i="2"/>
  <c r="BT123" i="2" s="1"/>
  <c r="BS146" i="2"/>
  <c r="BT146" i="2" s="1"/>
  <c r="BR171" i="2"/>
  <c r="BT117" i="2"/>
  <c r="BS117" i="2"/>
  <c r="BS119" i="2"/>
  <c r="BT119" i="2" s="1"/>
  <c r="BS115" i="2"/>
  <c r="BT115" i="2" s="1"/>
  <c r="BS116" i="2"/>
  <c r="BT116" i="2" s="1"/>
  <c r="BS124" i="2"/>
  <c r="BT124" i="2" s="1"/>
  <c r="BS130" i="2"/>
  <c r="BS169" i="2" s="1"/>
  <c r="BS140" i="2"/>
  <c r="BS181" i="2" s="1"/>
  <c r="BR169" i="2"/>
  <c r="BI40" i="3"/>
  <c r="BH26" i="3"/>
  <c r="BI26" i="3"/>
  <c r="BI24" i="3"/>
  <c r="BR61" i="2"/>
  <c r="BR59" i="2"/>
  <c r="BR72" i="2"/>
  <c r="BR80" i="2" s="1"/>
  <c r="BI53" i="3"/>
  <c r="BI56" i="3" s="1"/>
  <c r="BI38" i="3"/>
  <c r="BI31" i="3"/>
  <c r="BH38" i="3"/>
  <c r="BI144" i="3"/>
  <c r="BI145" i="3"/>
  <c r="BI146" i="3"/>
  <c r="BI147" i="3"/>
  <c r="BI148" i="3"/>
  <c r="BI149" i="3"/>
  <c r="BI140" i="3"/>
  <c r="BI67" i="3"/>
  <c r="BI58" i="3"/>
  <c r="BI49" i="3"/>
  <c r="BI33" i="3"/>
  <c r="BR60" i="2" l="1"/>
  <c r="BT140" i="2"/>
  <c r="BT181" i="2" s="1"/>
  <c r="BT130" i="2"/>
  <c r="BS172" i="2"/>
  <c r="BS171" i="2"/>
  <c r="BT113" i="2"/>
  <c r="BH67" i="3"/>
  <c r="BH102" i="3"/>
  <c r="BT28" i="2" l="1"/>
  <c r="BT171" i="2"/>
  <c r="R39" i="2" l="1"/>
  <c r="AV39" i="2"/>
  <c r="BA39" i="2"/>
  <c r="BF39" i="2"/>
  <c r="BK39" i="2"/>
  <c r="BP39" i="2"/>
  <c r="D40" i="2"/>
  <c r="E40" i="2"/>
  <c r="F40" i="2"/>
  <c r="G40" i="2"/>
  <c r="I40" i="2"/>
  <c r="J40" i="2"/>
  <c r="K40" i="2"/>
  <c r="L40" i="2"/>
  <c r="N40" i="2"/>
  <c r="O40" i="2"/>
  <c r="P40" i="2"/>
  <c r="Q40" i="2"/>
  <c r="T40" i="2"/>
  <c r="AP40" i="2"/>
  <c r="CA40" i="2" l="1"/>
  <c r="CB40" i="2" l="1"/>
  <c r="CC40" i="2" l="1"/>
  <c r="CD40" i="2" l="1"/>
  <c r="CF40" i="2" l="1"/>
  <c r="CG40" i="2" l="1"/>
  <c r="BX21" i="2"/>
  <c r="BW21" i="2"/>
  <c r="BV21" i="2"/>
  <c r="CH40" i="2" l="1"/>
  <c r="CI40" i="2" l="1"/>
  <c r="CK40" i="2" l="1"/>
  <c r="CL40" i="2" l="1"/>
  <c r="BQ61" i="2"/>
  <c r="BQ59" i="2"/>
  <c r="BQ181" i="2"/>
  <c r="BU181" i="2" s="1"/>
  <c r="BQ179" i="2"/>
  <c r="BQ174" i="2"/>
  <c r="BQ173" i="2"/>
  <c r="BV173" i="2" s="1"/>
  <c r="BQ172" i="2"/>
  <c r="BQ169" i="2"/>
  <c r="BQ167" i="2"/>
  <c r="BQ166" i="2"/>
  <c r="BV166" i="2" s="1"/>
  <c r="BQ141" i="2"/>
  <c r="BQ139" i="2"/>
  <c r="BQ132" i="2"/>
  <c r="BQ133" i="2"/>
  <c r="BQ60" i="2" l="1"/>
  <c r="BR139" i="2"/>
  <c r="BS139" i="2" s="1"/>
  <c r="BR141" i="2"/>
  <c r="BS141" i="2" s="1"/>
  <c r="BR133" i="2"/>
  <c r="BS133" i="2" s="1"/>
  <c r="BR132" i="2"/>
  <c r="CM40" i="2"/>
  <c r="BH149" i="3"/>
  <c r="BH148" i="3"/>
  <c r="BH147" i="3"/>
  <c r="BH146" i="3"/>
  <c r="BH145" i="3"/>
  <c r="BH144" i="3"/>
  <c r="BH140" i="3"/>
  <c r="BH31" i="3"/>
  <c r="BH24" i="3"/>
  <c r="BH58" i="3"/>
  <c r="BH49" i="3"/>
  <c r="BH40" i="3"/>
  <c r="BH33" i="3"/>
  <c r="BS132" i="2" l="1"/>
  <c r="BT132" i="2" s="1"/>
  <c r="BR135" i="2"/>
  <c r="BT141" i="2"/>
  <c r="BT133" i="2"/>
  <c r="BT139" i="2"/>
  <c r="CN40" i="2"/>
  <c r="BT135" i="2" l="1"/>
  <c r="BT143" i="2"/>
  <c r="CP40" i="2"/>
  <c r="CQ40" i="2" l="1"/>
  <c r="CR40" i="2" l="1"/>
  <c r="CS40" i="2" l="1"/>
  <c r="BA296" i="3"/>
  <c r="AY295" i="3"/>
  <c r="BA293" i="3"/>
  <c r="BA292" i="3"/>
  <c r="AZ292" i="3"/>
  <c r="AY292" i="3"/>
  <c r="AX292" i="3"/>
  <c r="BA291" i="3"/>
  <c r="AZ291" i="3"/>
  <c r="AY291" i="3"/>
  <c r="AX291" i="3"/>
  <c r="BC296" i="3"/>
  <c r="BC295" i="3"/>
  <c r="BC294" i="3"/>
  <c r="BC293" i="3"/>
  <c r="BC292" i="3"/>
  <c r="BC291" i="3"/>
  <c r="BD296" i="3"/>
  <c r="BD295" i="3"/>
  <c r="BD294" i="3"/>
  <c r="BD293" i="3"/>
  <c r="BD292" i="3"/>
  <c r="BD291" i="3"/>
  <c r="BE296" i="3"/>
  <c r="BE295" i="3"/>
  <c r="BE294" i="3"/>
  <c r="BE293" i="3"/>
  <c r="BE292" i="3"/>
  <c r="BE291" i="3"/>
  <c r="BF296" i="3"/>
  <c r="BF295" i="3"/>
  <c r="BF294" i="3"/>
  <c r="BF293" i="3"/>
  <c r="BF292" i="3"/>
  <c r="BF291" i="3"/>
  <c r="BO61" i="2" l="1"/>
  <c r="BO59" i="2"/>
  <c r="BO184" i="2"/>
  <c r="BO183" i="2"/>
  <c r="BO186" i="2" s="1"/>
  <c r="BO174" i="2"/>
  <c r="BO173" i="2"/>
  <c r="BO167" i="2"/>
  <c r="BO166" i="2"/>
  <c r="BP141" i="2"/>
  <c r="BP140" i="2"/>
  <c r="BP138" i="2"/>
  <c r="BP139" i="2"/>
  <c r="BP132" i="2"/>
  <c r="BG53" i="3"/>
  <c r="BF149" i="3"/>
  <c r="BK163" i="3" s="1"/>
  <c r="BF148" i="3"/>
  <c r="BK162" i="3" s="1"/>
  <c r="BF147" i="3"/>
  <c r="BK161" i="3" s="1"/>
  <c r="BF146" i="3"/>
  <c r="BK160" i="3" s="1"/>
  <c r="BF145" i="3"/>
  <c r="BK159" i="3" s="1"/>
  <c r="BF144" i="3"/>
  <c r="BK158" i="3" s="1"/>
  <c r="BF140" i="3"/>
  <c r="BF67" i="3"/>
  <c r="BF58" i="3"/>
  <c r="BF49" i="3"/>
  <c r="BF39" i="3"/>
  <c r="BF38" i="3"/>
  <c r="BF40" i="3"/>
  <c r="BF33" i="3"/>
  <c r="BF31" i="3"/>
  <c r="BF24" i="3"/>
  <c r="BP21" i="2"/>
  <c r="BP16" i="2"/>
  <c r="BP8" i="2"/>
  <c r="BF26" i="3"/>
  <c r="BP304" i="3" l="1"/>
  <c r="BO60" i="2"/>
  <c r="BT60" i="2" s="1"/>
  <c r="BP134" i="2"/>
  <c r="BP303" i="3"/>
  <c r="BP302" i="3"/>
  <c r="BP301" i="3"/>
  <c r="BP300" i="3"/>
  <c r="BP299" i="3"/>
  <c r="BU18" i="2"/>
  <c r="BO185" i="2"/>
  <c r="BL181" i="2" l="1"/>
  <c r="BN166" i="2"/>
  <c r="BN167" i="2"/>
  <c r="BN173" i="2"/>
  <c r="BN174" i="2"/>
  <c r="BN61" i="2"/>
  <c r="BN60" i="2" s="1"/>
  <c r="BN59" i="2"/>
  <c r="BM59" i="2"/>
  <c r="BM61" i="2"/>
  <c r="BM60" i="2" s="1"/>
  <c r="BE38" i="3" l="1"/>
  <c r="BE31" i="3"/>
  <c r="BE24" i="3"/>
  <c r="BE102" i="3"/>
  <c r="BE144" i="3"/>
  <c r="BE145" i="3"/>
  <c r="BE146" i="3"/>
  <c r="BE147" i="3"/>
  <c r="BE148" i="3"/>
  <c r="BE149" i="3"/>
  <c r="BJ163" i="3" s="1"/>
  <c r="BE140" i="3"/>
  <c r="BE67" i="3"/>
  <c r="BE58" i="3"/>
  <c r="BE49" i="3"/>
  <c r="BE40" i="3"/>
  <c r="BE33" i="3"/>
  <c r="BE26" i="3"/>
  <c r="BD102" i="3"/>
  <c r="BO304" i="3" l="1"/>
  <c r="BJ162" i="3"/>
  <c r="BJ161" i="3"/>
  <c r="BJ160" i="3"/>
  <c r="BJ159" i="3"/>
  <c r="BJ158" i="3"/>
  <c r="BM256" i="2"/>
  <c r="BN256" i="2"/>
  <c r="BM257" i="2"/>
  <c r="BN257" i="2"/>
  <c r="BM258" i="2"/>
  <c r="BN258" i="2"/>
  <c r="BL258" i="2"/>
  <c r="BL257" i="2"/>
  <c r="BL256" i="2"/>
  <c r="A258" i="2"/>
  <c r="A257" i="2"/>
  <c r="A256" i="2"/>
  <c r="BL259" i="2" l="1"/>
  <c r="BM259" i="2"/>
  <c r="BN259" i="2"/>
  <c r="BO303" i="3"/>
  <c r="BO302" i="3"/>
  <c r="BO301" i="3"/>
  <c r="BO300" i="3"/>
  <c r="BO299" i="3"/>
  <c r="BM174" i="2"/>
  <c r="BM173" i="2"/>
  <c r="BM167" i="2"/>
  <c r="BM166" i="2"/>
  <c r="BM146" i="2"/>
  <c r="BM142" i="2"/>
  <c r="BM140" i="2"/>
  <c r="BM139" i="2"/>
  <c r="BM134" i="2"/>
  <c r="BM133" i="2"/>
  <c r="BM132" i="2"/>
  <c r="BM131" i="2"/>
  <c r="BM130" i="2"/>
  <c r="BM169" i="2" s="1"/>
  <c r="BM127" i="2"/>
  <c r="BN127" i="2" s="1"/>
  <c r="BM126" i="2"/>
  <c r="BM125" i="2"/>
  <c r="BM124" i="2"/>
  <c r="BM123" i="2"/>
  <c r="BM122" i="2"/>
  <c r="BM119" i="2"/>
  <c r="BM117" i="2"/>
  <c r="BM116" i="2"/>
  <c r="BM115" i="2"/>
  <c r="BM114" i="2"/>
  <c r="BM113" i="2"/>
  <c r="BM172" i="2" s="1"/>
  <c r="BM171" i="2" l="1"/>
  <c r="BN125" i="2"/>
  <c r="BO125" i="2" s="1"/>
  <c r="BN131" i="2"/>
  <c r="BO131" i="2" s="1"/>
  <c r="BM176" i="2"/>
  <c r="BN142" i="2"/>
  <c r="BN176" i="2" s="1"/>
  <c r="BN122" i="2"/>
  <c r="BO122" i="2" s="1"/>
  <c r="BN139" i="2"/>
  <c r="BO139" i="2" s="1"/>
  <c r="BN146" i="2"/>
  <c r="BO146" i="2" s="1"/>
  <c r="BN114" i="2"/>
  <c r="BN115" i="2"/>
  <c r="BO115" i="2" s="1"/>
  <c r="BN116" i="2"/>
  <c r="BN140" i="2"/>
  <c r="BO140" i="2" s="1"/>
  <c r="BO181" i="2" s="1"/>
  <c r="BO179" i="2" s="1"/>
  <c r="BM181" i="2"/>
  <c r="BN119" i="2"/>
  <c r="BO119" i="2" s="1"/>
  <c r="BN126" i="2"/>
  <c r="BO126" i="2" s="1"/>
  <c r="BN132" i="2"/>
  <c r="BO132" i="2" s="1"/>
  <c r="BN123" i="2"/>
  <c r="BO123" i="2" s="1"/>
  <c r="BN133" i="2"/>
  <c r="BO133" i="2" s="1"/>
  <c r="BN113" i="2"/>
  <c r="BN117" i="2"/>
  <c r="BO117" i="2" s="1"/>
  <c r="BN124" i="2"/>
  <c r="BO124" i="2" s="1"/>
  <c r="BN130" i="2"/>
  <c r="BM135" i="2"/>
  <c r="BN134" i="2"/>
  <c r="BO134" i="2" s="1"/>
  <c r="BD53" i="3"/>
  <c r="BN135" i="2" l="1"/>
  <c r="BN169" i="2"/>
  <c r="BN171" i="2"/>
  <c r="BN172" i="2"/>
  <c r="BO116" i="2"/>
  <c r="BO114" i="2"/>
  <c r="BO142" i="2"/>
  <c r="BO176" i="2" s="1"/>
  <c r="BO130" i="2"/>
  <c r="BO113" i="2"/>
  <c r="BN181" i="2"/>
  <c r="BN179" i="2" s="1"/>
  <c r="BD149" i="3"/>
  <c r="BI163" i="3" s="1"/>
  <c r="BD148" i="3"/>
  <c r="BI162" i="3" s="1"/>
  <c r="BD147" i="3"/>
  <c r="BD146" i="3"/>
  <c r="BD145" i="3"/>
  <c r="BI159" i="3" s="1"/>
  <c r="BD144" i="3"/>
  <c r="BI158" i="3" s="1"/>
  <c r="BD140" i="3"/>
  <c r="BD67" i="3"/>
  <c r="BD58" i="3"/>
  <c r="BD56" i="3"/>
  <c r="BD49" i="3"/>
  <c r="BD40" i="3"/>
  <c r="BD38" i="3"/>
  <c r="BD33" i="3"/>
  <c r="BD31" i="3"/>
  <c r="BD26" i="3"/>
  <c r="BD24" i="3"/>
  <c r="BN304" i="3" l="1"/>
  <c r="BP181" i="2"/>
  <c r="BO135" i="2"/>
  <c r="BO169" i="2"/>
  <c r="BO172" i="2"/>
  <c r="BO171" i="2"/>
  <c r="BN303" i="3"/>
  <c r="BI161" i="3"/>
  <c r="BI160" i="3"/>
  <c r="BN300" i="3"/>
  <c r="BN299" i="3"/>
  <c r="BN302" i="3" l="1"/>
  <c r="BN301" i="3"/>
  <c r="N253" i="2"/>
  <c r="O253" i="2"/>
  <c r="P253" i="2"/>
  <c r="Q253" i="2"/>
  <c r="R253" i="2"/>
  <c r="AK253" i="2"/>
  <c r="AM253" i="2"/>
  <c r="AN253" i="2"/>
  <c r="AO253" i="2"/>
  <c r="AP253" i="2"/>
  <c r="AR253" i="2"/>
  <c r="AS253" i="2"/>
  <c r="AT253" i="2"/>
  <c r="AU253" i="2"/>
  <c r="AW253" i="2"/>
  <c r="AX253" i="2"/>
  <c r="AY253" i="2"/>
  <c r="AZ253" i="2"/>
  <c r="M253" i="2"/>
  <c r="AU16" i="2" l="1"/>
  <c r="AT16" i="2"/>
  <c r="AS16" i="2"/>
  <c r="AR16" i="2"/>
  <c r="AU8" i="2"/>
  <c r="AT8" i="2"/>
  <c r="AS8" i="2"/>
  <c r="AR8" i="2"/>
  <c r="AZ16" i="2"/>
  <c r="AY16" i="2"/>
  <c r="AX16" i="2"/>
  <c r="AW16" i="2"/>
  <c r="AZ8" i="2"/>
  <c r="AY8" i="2"/>
  <c r="AX8" i="2"/>
  <c r="AW8" i="2"/>
  <c r="BE16" i="2" l="1"/>
  <c r="BD16" i="2"/>
  <c r="BC16" i="2"/>
  <c r="BB16" i="2"/>
  <c r="BE8" i="2"/>
  <c r="BD8" i="2"/>
  <c r="BC8" i="2"/>
  <c r="BB8" i="2"/>
  <c r="BC140" i="3" l="1"/>
  <c r="AZ53" i="3"/>
  <c r="AZ56" i="3" s="1"/>
  <c r="AZ38" i="3"/>
  <c r="AZ31" i="3"/>
  <c r="AZ24" i="3"/>
  <c r="BA53" i="3"/>
  <c r="BA56" i="3" s="1"/>
  <c r="BA38" i="3"/>
  <c r="BA31" i="3"/>
  <c r="BA24" i="3"/>
  <c r="BC65" i="3"/>
  <c r="BC56" i="3"/>
  <c r="BC47" i="3"/>
  <c r="BC38" i="3"/>
  <c r="BC24" i="3"/>
  <c r="BC31" i="3"/>
  <c r="BJ16" i="2"/>
  <c r="BI16" i="2"/>
  <c r="BH16" i="2"/>
  <c r="BJ8" i="2"/>
  <c r="BI8" i="2"/>
  <c r="BH8" i="2"/>
  <c r="BL59" i="2" l="1"/>
  <c r="BL176" i="2" s="1"/>
  <c r="BP176" i="2" s="1"/>
  <c r="BJ59" i="2"/>
  <c r="BI59" i="2"/>
  <c r="BH59" i="2"/>
  <c r="BG59" i="2"/>
  <c r="BL61" i="2"/>
  <c r="BL174" i="2"/>
  <c r="BL173" i="2"/>
  <c r="BL166" i="2"/>
  <c r="BL141" i="2"/>
  <c r="BL138" i="2"/>
  <c r="BC149" i="3"/>
  <c r="BC148" i="3"/>
  <c r="BC147" i="3"/>
  <c r="BC146" i="3"/>
  <c r="BC145" i="3"/>
  <c r="BC144" i="3"/>
  <c r="BC67" i="3"/>
  <c r="BC58" i="3"/>
  <c r="BC49" i="3"/>
  <c r="BC40" i="3"/>
  <c r="BC33" i="3"/>
  <c r="BC26" i="3"/>
  <c r="BH163" i="3" l="1"/>
  <c r="BM138" i="2"/>
  <c r="BN138" i="2" s="1"/>
  <c r="BM141" i="2"/>
  <c r="BH162" i="3"/>
  <c r="BH161" i="3"/>
  <c r="BH160" i="3"/>
  <c r="BH159" i="3"/>
  <c r="BH158" i="3"/>
  <c r="BM304" i="3" l="1"/>
  <c r="BM143" i="2"/>
  <c r="BN141" i="2"/>
  <c r="BN143" i="2"/>
  <c r="BO141" i="2"/>
  <c r="BO138" i="2"/>
  <c r="BM303" i="3"/>
  <c r="BM302" i="3"/>
  <c r="BM301" i="3"/>
  <c r="BM300" i="3"/>
  <c r="BM299" i="3"/>
  <c r="BO143" i="2" l="1"/>
  <c r="BK169" i="2" l="1"/>
  <c r="BK42" i="2"/>
  <c r="BK21" i="2"/>
  <c r="BK16" i="2"/>
  <c r="BP18" i="2" s="1"/>
  <c r="BK8" i="2"/>
  <c r="BK7" i="2"/>
  <c r="BJ173" i="2"/>
  <c r="BJ166" i="2"/>
  <c r="BJ61" i="2"/>
  <c r="BK141" i="2"/>
  <c r="BK138" i="2"/>
  <c r="BK143" i="2" s="1"/>
  <c r="BK134" i="2"/>
  <c r="BK133" i="2"/>
  <c r="BG126" i="2"/>
  <c r="BH126" i="2" s="1"/>
  <c r="BB126" i="2"/>
  <c r="BC126" i="2" s="1"/>
  <c r="BD126" i="2" s="1"/>
  <c r="BA67" i="3"/>
  <c r="BA58" i="3"/>
  <c r="BA49" i="3"/>
  <c r="BA40" i="3"/>
  <c r="BA33" i="3"/>
  <c r="BA26" i="3"/>
  <c r="BA149" i="3"/>
  <c r="BA148" i="3"/>
  <c r="BA147" i="3"/>
  <c r="BA146" i="3"/>
  <c r="BA145" i="3"/>
  <c r="BA144" i="3"/>
  <c r="BA140" i="3"/>
  <c r="BI126" i="2" l="1"/>
  <c r="BJ126" i="2" s="1"/>
  <c r="BK135" i="2"/>
  <c r="BK247" i="2"/>
  <c r="BA225" i="3" l="1"/>
  <c r="AZ223" i="3"/>
  <c r="AZ140" i="3"/>
  <c r="BI173" i="2"/>
  <c r="BI166" i="2"/>
  <c r="BH61" i="2"/>
  <c r="BI61" i="2"/>
  <c r="AZ149" i="3"/>
  <c r="BE163" i="3" s="1"/>
  <c r="AZ148" i="3"/>
  <c r="BE162" i="3" s="1"/>
  <c r="AZ147" i="3"/>
  <c r="BE161" i="3" s="1"/>
  <c r="AZ146" i="3"/>
  <c r="BE160" i="3" s="1"/>
  <c r="AZ145" i="3"/>
  <c r="BE159" i="3" s="1"/>
  <c r="AZ144" i="3"/>
  <c r="BE158" i="3" s="1"/>
  <c r="AZ58" i="3"/>
  <c r="AZ67" i="3"/>
  <c r="AZ49" i="3"/>
  <c r="AZ40" i="3"/>
  <c r="AZ33" i="3"/>
  <c r="AZ26" i="3"/>
  <c r="AY144" i="3"/>
  <c r="BD158" i="3" s="1"/>
  <c r="AW139" i="3"/>
  <c r="A1" i="3"/>
  <c r="Y5" i="3"/>
  <c r="Z5" i="3"/>
  <c r="AB5" i="3"/>
  <c r="AC5" i="3"/>
  <c r="AD5" i="3"/>
  <c r="AE5" i="3"/>
  <c r="AF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E6" i="3"/>
  <c r="F6" i="3"/>
  <c r="G6" i="3"/>
  <c r="H6" i="3"/>
  <c r="AX6" i="3"/>
  <c r="AY6" i="3"/>
  <c r="AZ6" i="3"/>
  <c r="BE11" i="3" s="1"/>
  <c r="AJ7" i="3"/>
  <c r="AD9" i="3"/>
  <c r="AD10" i="3" s="1"/>
  <c r="AP9" i="3"/>
  <c r="AN10" i="3"/>
  <c r="AO10" i="3"/>
  <c r="E13" i="3"/>
  <c r="J16" i="3" s="1"/>
  <c r="F13" i="3"/>
  <c r="K16" i="3" s="1"/>
  <c r="G13" i="3"/>
  <c r="G92" i="3" s="1"/>
  <c r="I13" i="3"/>
  <c r="I6" i="3" s="1"/>
  <c r="K13" i="3"/>
  <c r="L13" i="3"/>
  <c r="M13" i="3"/>
  <c r="M6" i="3" s="1"/>
  <c r="N13" i="3"/>
  <c r="N6" i="3" s="1"/>
  <c r="N192" i="3" s="1"/>
  <c r="O13" i="3"/>
  <c r="O6" i="3" s="1"/>
  <c r="P13" i="3"/>
  <c r="P6" i="3" s="1"/>
  <c r="P193" i="3" s="1"/>
  <c r="Q13" i="3"/>
  <c r="Q6" i="3" s="1"/>
  <c r="R13" i="3"/>
  <c r="R6" i="3" s="1"/>
  <c r="S13" i="3"/>
  <c r="T13" i="3"/>
  <c r="T6" i="3" s="1"/>
  <c r="Y9" i="3" s="1"/>
  <c r="U13" i="3"/>
  <c r="U6" i="3" s="1"/>
  <c r="V13" i="3"/>
  <c r="W13" i="3"/>
  <c r="W19" i="3" s="1"/>
  <c r="W15" i="3" s="1"/>
  <c r="W18" i="3" s="1"/>
  <c r="X13" i="3"/>
  <c r="X6" i="3" s="1"/>
  <c r="Y13" i="3"/>
  <c r="Z13" i="3"/>
  <c r="Z6" i="3" s="1"/>
  <c r="Z185" i="3" s="1"/>
  <c r="AA13" i="3"/>
  <c r="AB13" i="3"/>
  <c r="AG15" i="3" s="1"/>
  <c r="AD13" i="3"/>
  <c r="AD6" i="3" s="1"/>
  <c r="AE13" i="3"/>
  <c r="AF13" i="3"/>
  <c r="AI13" i="3"/>
  <c r="AJ13" i="3"/>
  <c r="AK13" i="3"/>
  <c r="AL13" i="3"/>
  <c r="AL6" i="3" s="1"/>
  <c r="AN13" i="3"/>
  <c r="AN6" i="3" s="1"/>
  <c r="AO13" i="3"/>
  <c r="AP13" i="3"/>
  <c r="AQ13" i="3"/>
  <c r="AV15" i="3" s="1"/>
  <c r="AS13" i="3"/>
  <c r="AT13" i="3"/>
  <c r="AY15" i="3" s="1"/>
  <c r="AU13" i="3"/>
  <c r="AV13" i="3"/>
  <c r="AV6" i="3" s="1"/>
  <c r="AX13" i="3"/>
  <c r="AY13" i="3"/>
  <c r="R14" i="3"/>
  <c r="AL14" i="3"/>
  <c r="AM14" i="3"/>
  <c r="AN14" i="3"/>
  <c r="AO14" i="3"/>
  <c r="AP14" i="3"/>
  <c r="AR14" i="3"/>
  <c r="AG16" i="3"/>
  <c r="AI16" i="3"/>
  <c r="T17" i="3"/>
  <c r="U17" i="3"/>
  <c r="V17" i="3"/>
  <c r="W17" i="3"/>
  <c r="X17" i="3"/>
  <c r="Y17" i="3"/>
  <c r="Z17" i="3"/>
  <c r="AA17" i="3"/>
  <c r="AB17" i="3"/>
  <c r="AC17" i="3"/>
  <c r="AD17" i="3"/>
  <c r="AE17" i="3"/>
  <c r="AS17" i="3"/>
  <c r="AE18" i="3"/>
  <c r="AI18" i="3"/>
  <c r="AO18" i="3"/>
  <c r="AQ18" i="3"/>
  <c r="AS18" i="3"/>
  <c r="AT18" i="3"/>
  <c r="AX18" i="3"/>
  <c r="N19" i="3"/>
  <c r="Z19" i="3"/>
  <c r="Z15" i="3" s="1"/>
  <c r="AK19" i="3"/>
  <c r="J20" i="3"/>
  <c r="O26" i="3" s="1"/>
  <c r="AC20" i="3"/>
  <c r="AG20" i="3"/>
  <c r="AM20" i="3"/>
  <c r="AR20" i="3"/>
  <c r="AW20" i="3"/>
  <c r="P21" i="3"/>
  <c r="AL21" i="3"/>
  <c r="AM21" i="3"/>
  <c r="AN21" i="3"/>
  <c r="AO21" i="3"/>
  <c r="AP21" i="3"/>
  <c r="N24" i="3"/>
  <c r="O24" i="3"/>
  <c r="P24" i="3"/>
  <c r="R24" i="3"/>
  <c r="S24" i="3"/>
  <c r="T24" i="3"/>
  <c r="U24" i="3"/>
  <c r="V24" i="3"/>
  <c r="W24" i="3"/>
  <c r="AD24" i="3"/>
  <c r="AE24" i="3"/>
  <c r="AF24" i="3"/>
  <c r="AG24" i="3"/>
  <c r="AG21" i="3" s="1"/>
  <c r="AS24" i="3"/>
  <c r="AT24" i="3"/>
  <c r="AU24" i="3"/>
  <c r="AV24" i="3"/>
  <c r="AW24" i="3"/>
  <c r="AX24" i="3"/>
  <c r="AY24" i="3"/>
  <c r="BX24" i="3"/>
  <c r="CC24" i="3" s="1"/>
  <c r="CH24" i="3" s="1"/>
  <c r="BY24" i="3"/>
  <c r="CD24" i="3" s="1"/>
  <c r="CI24" i="3" s="1"/>
  <c r="BP21" i="3"/>
  <c r="BP26" i="3" s="1"/>
  <c r="BW24" i="3"/>
  <c r="CB24" i="3" s="1"/>
  <c r="CG24" i="3" s="1"/>
  <c r="K26" i="3"/>
  <c r="K21" i="3" s="1"/>
  <c r="L26" i="3"/>
  <c r="L21" i="3" s="1"/>
  <c r="M26" i="3"/>
  <c r="N26" i="3"/>
  <c r="N22" i="3" s="1"/>
  <c r="P26" i="3"/>
  <c r="P22" i="3" s="1"/>
  <c r="P25" i="3" s="1"/>
  <c r="Q26" i="3"/>
  <c r="Q21" i="3" s="1"/>
  <c r="Q22" i="3" s="1"/>
  <c r="Q25" i="3" s="1"/>
  <c r="R26" i="3"/>
  <c r="S26" i="3"/>
  <c r="S22" i="3" s="1"/>
  <c r="T26" i="3"/>
  <c r="T22" i="3" s="1"/>
  <c r="U26" i="3"/>
  <c r="V26" i="3"/>
  <c r="V22" i="3" s="1"/>
  <c r="W26" i="3"/>
  <c r="W22" i="3" s="1"/>
  <c r="AD26" i="3"/>
  <c r="AE26" i="3"/>
  <c r="AF26" i="3"/>
  <c r="AG26" i="3"/>
  <c r="AI26" i="3"/>
  <c r="AI24" i="3" s="1"/>
  <c r="AJ26" i="3"/>
  <c r="AJ24" i="3" s="1"/>
  <c r="AK26" i="3"/>
  <c r="AK24" i="3"/>
  <c r="AK21" i="3" s="1"/>
  <c r="AL26" i="3"/>
  <c r="AN26" i="3"/>
  <c r="AO26" i="3"/>
  <c r="AP26" i="3"/>
  <c r="AQ26" i="3"/>
  <c r="AS26" i="3"/>
  <c r="AT26" i="3"/>
  <c r="AU26" i="3"/>
  <c r="AV26" i="3"/>
  <c r="AX26" i="3"/>
  <c r="AY26" i="3"/>
  <c r="J27" i="3"/>
  <c r="AC27" i="3"/>
  <c r="AH30" i="3" s="1"/>
  <c r="AG27" i="3"/>
  <c r="AG13" i="3" s="1"/>
  <c r="AM27" i="3"/>
  <c r="AR30" i="3" s="1"/>
  <c r="AR27" i="3"/>
  <c r="AW27" i="3"/>
  <c r="N28" i="3"/>
  <c r="AO28" i="3"/>
  <c r="AW29" i="3"/>
  <c r="BR30" i="3"/>
  <c r="N31" i="3"/>
  <c r="T31" i="3"/>
  <c r="U31" i="3"/>
  <c r="V31" i="3"/>
  <c r="W31" i="3"/>
  <c r="AD31" i="3"/>
  <c r="AE31" i="3"/>
  <c r="AF31" i="3"/>
  <c r="AG31" i="3"/>
  <c r="AL31" i="3"/>
  <c r="AP31" i="3"/>
  <c r="AQ31" i="3"/>
  <c r="AS31" i="3"/>
  <c r="AT31" i="3"/>
  <c r="AU31" i="3"/>
  <c r="AW31" i="3"/>
  <c r="AX31" i="3"/>
  <c r="AY31" i="3"/>
  <c r="BS31" i="3"/>
  <c r="BU31" i="3"/>
  <c r="BZ31" i="3" s="1"/>
  <c r="CE31" i="3" s="1"/>
  <c r="CJ31" i="3" s="1"/>
  <c r="BR31" i="3"/>
  <c r="BW31" i="3" s="1"/>
  <c r="CB31" i="3" s="1"/>
  <c r="CG31" i="3" s="1"/>
  <c r="BT31" i="3"/>
  <c r="BY31" i="3" s="1"/>
  <c r="CD31" i="3" s="1"/>
  <c r="CI31" i="3" s="1"/>
  <c r="BB32" i="3"/>
  <c r="K33" i="3"/>
  <c r="L33" i="3"/>
  <c r="L28" i="3" s="1"/>
  <c r="L31" i="3" s="1"/>
  <c r="M33" i="3"/>
  <c r="M28" i="3" s="1"/>
  <c r="N33" i="3"/>
  <c r="P33" i="3"/>
  <c r="P28" i="3" s="1"/>
  <c r="P31" i="3" s="1"/>
  <c r="Q33" i="3"/>
  <c r="Q28" i="3" s="1"/>
  <c r="R33" i="3"/>
  <c r="S33" i="3"/>
  <c r="T33" i="3"/>
  <c r="U33" i="3"/>
  <c r="V33" i="3"/>
  <c r="V29" i="3" s="1"/>
  <c r="W33" i="3"/>
  <c r="W29" i="3" s="1"/>
  <c r="AD33" i="3"/>
  <c r="AE33" i="3"/>
  <c r="AE29" i="3" s="1"/>
  <c r="AF33" i="3"/>
  <c r="AG33" i="3"/>
  <c r="AI33" i="3"/>
  <c r="AI31" i="3" s="1"/>
  <c r="AJ33" i="3"/>
  <c r="AJ31" i="3" s="1"/>
  <c r="AJ28" i="3" s="1"/>
  <c r="AK33" i="3"/>
  <c r="AK31" i="3" s="1"/>
  <c r="AK28" i="3" s="1"/>
  <c r="AL33" i="3"/>
  <c r="AN33" i="3"/>
  <c r="AO33" i="3"/>
  <c r="AP33" i="3"/>
  <c r="AQ33" i="3"/>
  <c r="AS33" i="3"/>
  <c r="AT33" i="3"/>
  <c r="AU33" i="3"/>
  <c r="AV33" i="3"/>
  <c r="AX33" i="3"/>
  <c r="AY33" i="3"/>
  <c r="AN34" i="3"/>
  <c r="AO34" i="3"/>
  <c r="AP34" i="3"/>
  <c r="AQ34" i="3"/>
  <c r="AW34" i="3"/>
  <c r="AS35" i="3"/>
  <c r="AX293" i="3" s="1"/>
  <c r="AT35" i="3"/>
  <c r="AU35" i="3"/>
  <c r="AZ293" i="3" s="1"/>
  <c r="BM35" i="3"/>
  <c r="BR35" i="3"/>
  <c r="BR40" i="3" s="1"/>
  <c r="BW35" i="3"/>
  <c r="BW40" i="3" s="1"/>
  <c r="CB35" i="3"/>
  <c r="CG35" i="3"/>
  <c r="CG40" i="3" s="1"/>
  <c r="BS37" i="3"/>
  <c r="BT37" i="3" s="1"/>
  <c r="BU37" i="3" s="1"/>
  <c r="BX37" i="3"/>
  <c r="CC37" i="3"/>
  <c r="CD37" i="3" s="1"/>
  <c r="CH37" i="3"/>
  <c r="CI37" i="3" s="1"/>
  <c r="CJ37" i="3" s="1"/>
  <c r="AV38" i="3"/>
  <c r="AW38" i="3"/>
  <c r="AX38" i="3"/>
  <c r="AY38" i="3"/>
  <c r="BP35" i="3"/>
  <c r="BP40" i="3" s="1"/>
  <c r="BS38" i="3"/>
  <c r="BT38" i="3" s="1"/>
  <c r="BU38" i="3" s="1"/>
  <c r="BX38" i="3"/>
  <c r="BY38" i="3" s="1"/>
  <c r="CC38" i="3"/>
  <c r="CD38" i="3" s="1"/>
  <c r="CH38" i="3"/>
  <c r="CI38" i="3" s="1"/>
  <c r="BS39" i="3"/>
  <c r="BT39" i="3" s="1"/>
  <c r="BU39" i="3" s="1"/>
  <c r="BX39" i="3"/>
  <c r="BY39" i="3" s="1"/>
  <c r="BZ39" i="3" s="1"/>
  <c r="CC39" i="3"/>
  <c r="CD39" i="3" s="1"/>
  <c r="CE39" i="3" s="1"/>
  <c r="CH39" i="3"/>
  <c r="CI39" i="3" s="1"/>
  <c r="CJ39" i="3" s="1"/>
  <c r="AX40" i="3"/>
  <c r="AY40" i="3"/>
  <c r="CB40" i="3"/>
  <c r="AW41" i="3"/>
  <c r="AS42" i="3"/>
  <c r="AX294" i="3" s="1"/>
  <c r="AT42" i="3"/>
  <c r="AY294" i="3" s="1"/>
  <c r="AU42" i="3"/>
  <c r="AZ294" i="3" s="1"/>
  <c r="AV42" i="3"/>
  <c r="BA294" i="3" s="1"/>
  <c r="BS45" i="3"/>
  <c r="BT45" i="3" s="1"/>
  <c r="BX45" i="3"/>
  <c r="CC45" i="3"/>
  <c r="CD45" i="3" s="1"/>
  <c r="CE45" i="3" s="1"/>
  <c r="CH45" i="3"/>
  <c r="BS46" i="3"/>
  <c r="BX46" i="3"/>
  <c r="BY46" i="3" s="1"/>
  <c r="BZ46" i="3" s="1"/>
  <c r="CC46" i="3"/>
  <c r="CD46" i="3" s="1"/>
  <c r="CE46" i="3" s="1"/>
  <c r="CH46" i="3"/>
  <c r="CI46" i="3" s="1"/>
  <c r="CJ46" i="3" s="1"/>
  <c r="BS47" i="3"/>
  <c r="BT47" i="3" s="1"/>
  <c r="BU47" i="3" s="1"/>
  <c r="BX47" i="3"/>
  <c r="BY47" i="3" s="1"/>
  <c r="BZ47" i="3" s="1"/>
  <c r="CC47" i="3"/>
  <c r="CD47" i="3" s="1"/>
  <c r="CE47" i="3" s="1"/>
  <c r="CH47" i="3"/>
  <c r="CI47" i="3" s="1"/>
  <c r="CJ47" i="3" s="1"/>
  <c r="BS48" i="3"/>
  <c r="BT48" i="3" s="1"/>
  <c r="BU48" i="3" s="1"/>
  <c r="BX48" i="3"/>
  <c r="BY48" i="3" s="1"/>
  <c r="CC48" i="3"/>
  <c r="CD48" i="3" s="1"/>
  <c r="CE48" i="3" s="1"/>
  <c r="CH48" i="3"/>
  <c r="CI48" i="3" s="1"/>
  <c r="CJ48" i="3" s="1"/>
  <c r="AX49" i="3"/>
  <c r="AY49" i="3"/>
  <c r="AW50" i="3"/>
  <c r="AS51" i="3"/>
  <c r="AX295" i="3" s="1"/>
  <c r="AU51" i="3"/>
  <c r="AV51" i="3"/>
  <c r="BA295" i="3" s="1"/>
  <c r="AS53" i="3"/>
  <c r="AT53" i="3"/>
  <c r="AU53" i="3"/>
  <c r="AV53" i="3"/>
  <c r="AW53" i="3"/>
  <c r="AX53" i="3"/>
  <c r="AX56" i="3" s="1"/>
  <c r="AY53" i="3"/>
  <c r="AY56" i="3" s="1"/>
  <c r="BH53" i="3"/>
  <c r="BM53" i="3"/>
  <c r="BR53" i="3"/>
  <c r="BR51" i="3" s="1"/>
  <c r="BR58" i="3" s="1"/>
  <c r="BW53" i="3"/>
  <c r="BW51" i="3" s="1"/>
  <c r="BW58" i="3" s="1"/>
  <c r="CB53" i="3"/>
  <c r="CB51" i="3" s="1"/>
  <c r="CB58" i="3" s="1"/>
  <c r="CG53" i="3"/>
  <c r="CG51" i="3" s="1"/>
  <c r="CG58" i="3" s="1"/>
  <c r="BS54" i="3"/>
  <c r="BX54" i="3"/>
  <c r="BY54" i="3" s="1"/>
  <c r="BZ54" i="3" s="1"/>
  <c r="CC54" i="3"/>
  <c r="CD54" i="3" s="1"/>
  <c r="CH54" i="3"/>
  <c r="BS55" i="3"/>
  <c r="BS53" i="3" s="1"/>
  <c r="BX55" i="3"/>
  <c r="BY55" i="3" s="1"/>
  <c r="CC55" i="3"/>
  <c r="CC53" i="3" s="1"/>
  <c r="CH55" i="3"/>
  <c r="CI55" i="3" s="1"/>
  <c r="CJ55" i="3" s="1"/>
  <c r="AS56" i="3"/>
  <c r="AN50" i="3" s="1"/>
  <c r="AT56" i="3"/>
  <c r="AO50" i="3" s="1"/>
  <c r="AW56" i="3"/>
  <c r="BS56" i="3"/>
  <c r="BT56" i="3" s="1"/>
  <c r="BU56" i="3" s="1"/>
  <c r="BX56" i="3"/>
  <c r="BY56" i="3" s="1"/>
  <c r="BZ56" i="3" s="1"/>
  <c r="CC56" i="3"/>
  <c r="CH56" i="3"/>
  <c r="CI56" i="3" s="1"/>
  <c r="CJ56" i="3" s="1"/>
  <c r="BS57" i="3"/>
  <c r="BT57" i="3" s="1"/>
  <c r="BU57" i="3" s="1"/>
  <c r="BX57" i="3"/>
  <c r="BY57" i="3" s="1"/>
  <c r="CC57" i="3"/>
  <c r="CD57" i="3" s="1"/>
  <c r="CE57" i="3" s="1"/>
  <c r="CH57" i="3"/>
  <c r="CI57" i="3" s="1"/>
  <c r="CJ57" i="3" s="1"/>
  <c r="AW58" i="3"/>
  <c r="AX58" i="3"/>
  <c r="AY58" i="3"/>
  <c r="AW59" i="3"/>
  <c r="AS60" i="3"/>
  <c r="AX296" i="3" s="1"/>
  <c r="AT60" i="3"/>
  <c r="AY296" i="3" s="1"/>
  <c r="AU60" i="3"/>
  <c r="AZ296" i="3" s="1"/>
  <c r="C63" i="3"/>
  <c r="BS63" i="3"/>
  <c r="BX63" i="3"/>
  <c r="BY63" i="3" s="1"/>
  <c r="CC63" i="3"/>
  <c r="CD63" i="3" s="1"/>
  <c r="CH63" i="3"/>
  <c r="CI63" i="3" s="1"/>
  <c r="C64" i="3"/>
  <c r="BS64" i="3"/>
  <c r="BT64" i="3" s="1"/>
  <c r="BU64" i="3" s="1"/>
  <c r="BX64" i="3"/>
  <c r="BY64" i="3" s="1"/>
  <c r="BZ64" i="3" s="1"/>
  <c r="CC64" i="3"/>
  <c r="CD64" i="3"/>
  <c r="CE64" i="3" s="1"/>
  <c r="CH64" i="3"/>
  <c r="CI64" i="3" s="1"/>
  <c r="CJ64" i="3" s="1"/>
  <c r="BS65" i="3"/>
  <c r="BT65" i="3" s="1"/>
  <c r="BU65" i="3" s="1"/>
  <c r="BX65" i="3"/>
  <c r="BY65" i="3" s="1"/>
  <c r="BZ65" i="3" s="1"/>
  <c r="CC65" i="3"/>
  <c r="CD65" i="3" s="1"/>
  <c r="CE65" i="3" s="1"/>
  <c r="CH65" i="3"/>
  <c r="CI65" i="3" s="1"/>
  <c r="CJ65" i="3" s="1"/>
  <c r="BS66" i="3"/>
  <c r="BT66" i="3" s="1"/>
  <c r="BU66" i="3" s="1"/>
  <c r="BX66" i="3"/>
  <c r="BY66" i="3" s="1"/>
  <c r="BZ66" i="3" s="1"/>
  <c r="CC66" i="3"/>
  <c r="CD66" i="3" s="1"/>
  <c r="CE66" i="3" s="1"/>
  <c r="CH66" i="3"/>
  <c r="CI66" i="3" s="1"/>
  <c r="AW67" i="3"/>
  <c r="AX67" i="3"/>
  <c r="AY67" i="3"/>
  <c r="H69" i="3"/>
  <c r="H13" i="3" s="1"/>
  <c r="M16" i="3" s="1"/>
  <c r="J69" i="3"/>
  <c r="AC69" i="3"/>
  <c r="AH69" i="3"/>
  <c r="AM69" i="3"/>
  <c r="AR69" i="3"/>
  <c r="AW69" i="3"/>
  <c r="N70" i="3"/>
  <c r="O70" i="3"/>
  <c r="Q70" i="3"/>
  <c r="R70" i="3"/>
  <c r="R73" i="3" s="1"/>
  <c r="S70" i="3"/>
  <c r="AI70" i="3"/>
  <c r="AL70" i="3"/>
  <c r="AM70" i="3"/>
  <c r="AO70" i="3"/>
  <c r="AP70" i="3"/>
  <c r="AQ70" i="3"/>
  <c r="N72" i="3"/>
  <c r="N16" i="3"/>
  <c r="O72" i="3"/>
  <c r="Q72" i="3"/>
  <c r="S72" i="3"/>
  <c r="S16" i="3"/>
  <c r="N73" i="3"/>
  <c r="P73" i="3"/>
  <c r="T73" i="3"/>
  <c r="U73" i="3"/>
  <c r="V73" i="3"/>
  <c r="W73" i="3"/>
  <c r="X73" i="3"/>
  <c r="Y73" i="3"/>
  <c r="Z73" i="3"/>
  <c r="AA73" i="3"/>
  <c r="AB73" i="3"/>
  <c r="AC73" i="3"/>
  <c r="AD73" i="3"/>
  <c r="AE73" i="3"/>
  <c r="AF73" i="3"/>
  <c r="AG73" i="3"/>
  <c r="AG70" i="3" s="1"/>
  <c r="AS73" i="3"/>
  <c r="AT73" i="3"/>
  <c r="AU73" i="3"/>
  <c r="AU17" i="3" s="1"/>
  <c r="AV73" i="3"/>
  <c r="AW73" i="3"/>
  <c r="AX73" i="3"/>
  <c r="AY73" i="3"/>
  <c r="J74" i="3"/>
  <c r="K74" i="3" s="1"/>
  <c r="AR74" i="3"/>
  <c r="K75" i="3"/>
  <c r="L75" i="3"/>
  <c r="N75" i="3"/>
  <c r="N71" i="3" s="1"/>
  <c r="P75" i="3"/>
  <c r="P71" i="3" s="1"/>
  <c r="Q75" i="3"/>
  <c r="R75" i="3"/>
  <c r="S75" i="3"/>
  <c r="S71" i="3" s="1"/>
  <c r="T75" i="3"/>
  <c r="T71" i="3" s="1"/>
  <c r="U75" i="3"/>
  <c r="U71" i="3" s="1"/>
  <c r="V75" i="3"/>
  <c r="W75" i="3"/>
  <c r="W71" i="3" s="1"/>
  <c r="X75" i="3"/>
  <c r="X71" i="3" s="1"/>
  <c r="Y75" i="3"/>
  <c r="Z75" i="3"/>
  <c r="AA75" i="3"/>
  <c r="AA71" i="3" s="1"/>
  <c r="AB75" i="3"/>
  <c r="AB71" i="3" s="1"/>
  <c r="AE75" i="3"/>
  <c r="AF75" i="3"/>
  <c r="AG75" i="3"/>
  <c r="AI75" i="3"/>
  <c r="AJ75" i="3"/>
  <c r="AJ72" i="3" s="1"/>
  <c r="AK75" i="3"/>
  <c r="AK72" i="3" s="1"/>
  <c r="AL75" i="3"/>
  <c r="AM75" i="3"/>
  <c r="AN75" i="3"/>
  <c r="AO75" i="3"/>
  <c r="AP75" i="3"/>
  <c r="AQ75" i="3"/>
  <c r="AS75" i="3"/>
  <c r="AT75" i="3"/>
  <c r="AU75" i="3"/>
  <c r="AV75" i="3"/>
  <c r="AX75" i="3"/>
  <c r="AY75" i="3"/>
  <c r="K76" i="3"/>
  <c r="K152" i="3" s="1"/>
  <c r="AC76" i="3"/>
  <c r="AG76" i="3"/>
  <c r="AH76" i="3" s="1"/>
  <c r="AM76" i="3"/>
  <c r="AR76" i="3"/>
  <c r="AW76" i="3"/>
  <c r="N77" i="3"/>
  <c r="N80" i="3" s="1"/>
  <c r="O77" i="3"/>
  <c r="O80" i="3" s="1"/>
  <c r="P77" i="3"/>
  <c r="R77" i="3"/>
  <c r="Y77" i="3"/>
  <c r="Z77" i="3"/>
  <c r="AA77" i="3"/>
  <c r="AB77" i="3"/>
  <c r="AC77" i="3"/>
  <c r="AD77" i="3"/>
  <c r="AG77" i="3"/>
  <c r="AG80" i="3" s="1"/>
  <c r="AJ77" i="3"/>
  <c r="AK77" i="3"/>
  <c r="AL77" i="3"/>
  <c r="AM77" i="3"/>
  <c r="AO77" i="3"/>
  <c r="AP77" i="3"/>
  <c r="AQ77" i="3"/>
  <c r="AR78" i="3"/>
  <c r="J79" i="3"/>
  <c r="K79" i="3"/>
  <c r="L79" i="3"/>
  <c r="M79" i="3"/>
  <c r="P80" i="3"/>
  <c r="Q80" i="3"/>
  <c r="R80" i="3"/>
  <c r="S80" i="3"/>
  <c r="T80" i="3"/>
  <c r="U80" i="3"/>
  <c r="V80" i="3"/>
  <c r="W80" i="3"/>
  <c r="X80" i="3"/>
  <c r="AE80" i="3"/>
  <c r="AF80" i="3"/>
  <c r="AS80" i="3"/>
  <c r="AT80" i="3"/>
  <c r="AU80" i="3"/>
  <c r="AX80" i="3"/>
  <c r="AY80" i="3"/>
  <c r="L82" i="3"/>
  <c r="M82" i="3"/>
  <c r="N82" i="3"/>
  <c r="N78" i="3" s="1"/>
  <c r="Q82" i="3"/>
  <c r="R82" i="3"/>
  <c r="R78" i="3" s="1"/>
  <c r="R81" i="3" s="1"/>
  <c r="S82" i="3"/>
  <c r="T82" i="3"/>
  <c r="T78" i="3" s="1"/>
  <c r="U82" i="3"/>
  <c r="U78" i="3" s="1"/>
  <c r="V82" i="3"/>
  <c r="V78" i="3" s="1"/>
  <c r="W82" i="3"/>
  <c r="X82" i="3"/>
  <c r="Y82" i="3"/>
  <c r="Z82" i="3"/>
  <c r="AA82" i="3"/>
  <c r="AB82" i="3"/>
  <c r="AB81" i="3" s="1"/>
  <c r="AC82" i="3"/>
  <c r="AD82" i="3"/>
  <c r="AD81" i="3" s="1"/>
  <c r="AE82" i="3"/>
  <c r="AE78" i="3" s="1"/>
  <c r="AF82" i="3"/>
  <c r="AG82" i="3"/>
  <c r="AI82" i="3"/>
  <c r="AI80" i="3" s="1"/>
  <c r="AI77" i="3" s="1"/>
  <c r="AJ82" i="3"/>
  <c r="AJ81" i="3" s="1"/>
  <c r="AK82" i="3"/>
  <c r="AL82" i="3"/>
  <c r="AN82" i="3"/>
  <c r="AO82" i="3"/>
  <c r="AP82" i="3"/>
  <c r="AQ82" i="3"/>
  <c r="AS82" i="3"/>
  <c r="AT82" i="3"/>
  <c r="AU82" i="3"/>
  <c r="AV82" i="3"/>
  <c r="AX82" i="3"/>
  <c r="AY82" i="3"/>
  <c r="H83" i="3"/>
  <c r="J83" i="3"/>
  <c r="AC83" i="3"/>
  <c r="AH87" i="3" s="1"/>
  <c r="AG83" i="3"/>
  <c r="AH83" i="3" s="1"/>
  <c r="AM83" i="3"/>
  <c r="AR88" i="3" s="1"/>
  <c r="AR83" i="3"/>
  <c r="AW83" i="3"/>
  <c r="N84" i="3"/>
  <c r="O84" i="3"/>
  <c r="P84" i="3"/>
  <c r="Q84" i="3"/>
  <c r="R84" i="3"/>
  <c r="S84" i="3"/>
  <c r="T84" i="3"/>
  <c r="U84" i="3"/>
  <c r="V84" i="3"/>
  <c r="W84" i="3"/>
  <c r="AE84" i="3"/>
  <c r="AO84" i="3"/>
  <c r="AH85" i="3"/>
  <c r="N87" i="3"/>
  <c r="O87" i="3"/>
  <c r="P87" i="3"/>
  <c r="Q87" i="3"/>
  <c r="R87" i="3"/>
  <c r="S87" i="3"/>
  <c r="T87" i="3"/>
  <c r="U87" i="3"/>
  <c r="V87" i="3"/>
  <c r="C88" i="3"/>
  <c r="D88" i="3"/>
  <c r="AP86" i="3" s="1"/>
  <c r="O88" i="3"/>
  <c r="P88" i="3"/>
  <c r="Q88" i="3"/>
  <c r="R88" i="3"/>
  <c r="S88" i="3"/>
  <c r="T88" i="3"/>
  <c r="U88" i="3"/>
  <c r="V88" i="3"/>
  <c r="N91" i="3"/>
  <c r="N85" i="3" s="1"/>
  <c r="P91" i="3"/>
  <c r="Q91" i="3"/>
  <c r="Q85" i="3" s="1"/>
  <c r="R91" i="3"/>
  <c r="R85" i="3" s="1"/>
  <c r="S91" i="3"/>
  <c r="S85" i="3" s="1"/>
  <c r="T91" i="3"/>
  <c r="U91" i="3"/>
  <c r="V91" i="3"/>
  <c r="V85" i="3" s="1"/>
  <c r="W91" i="3"/>
  <c r="W85" i="3" s="1"/>
  <c r="AD91" i="3"/>
  <c r="AE91" i="3"/>
  <c r="AF91" i="3"/>
  <c r="AG91" i="3"/>
  <c r="AI91" i="3"/>
  <c r="AI86" i="3" s="1"/>
  <c r="AI84" i="3" s="1"/>
  <c r="AJ91" i="3"/>
  <c r="AJ86" i="3" s="1"/>
  <c r="AJ84" i="3" s="1"/>
  <c r="AK91" i="3"/>
  <c r="AK86" i="3" s="1"/>
  <c r="AL91" i="3"/>
  <c r="AN91" i="3"/>
  <c r="AO91" i="3"/>
  <c r="AP91" i="3"/>
  <c r="AQ91" i="3"/>
  <c r="AS91" i="3"/>
  <c r="AT91" i="3"/>
  <c r="AU91" i="3"/>
  <c r="AV91" i="3"/>
  <c r="AX91" i="3"/>
  <c r="AY91" i="3"/>
  <c r="E92" i="3"/>
  <c r="J92" i="3"/>
  <c r="O100" i="3" s="1"/>
  <c r="AC92" i="3"/>
  <c r="AH97" i="3" s="1"/>
  <c r="AH92" i="3"/>
  <c r="AM97" i="3" s="1"/>
  <c r="AM92" i="3"/>
  <c r="AR92" i="3"/>
  <c r="AW92" i="3"/>
  <c r="N93" i="3"/>
  <c r="O93" i="3"/>
  <c r="P93" i="3"/>
  <c r="Q93" i="3"/>
  <c r="R93" i="3"/>
  <c r="S93" i="3"/>
  <c r="T93" i="3"/>
  <c r="U93" i="3"/>
  <c r="V93" i="3"/>
  <c r="AJ93" i="3"/>
  <c r="AK93" i="3"/>
  <c r="O95" i="3"/>
  <c r="P95" i="3"/>
  <c r="Q95" i="3"/>
  <c r="R95" i="3"/>
  <c r="S95" i="3"/>
  <c r="S98" i="3" s="1"/>
  <c r="T95" i="3"/>
  <c r="U95" i="3"/>
  <c r="AD95" i="3"/>
  <c r="AE95" i="3"/>
  <c r="AF95" i="3"/>
  <c r="AF98" i="3" s="1"/>
  <c r="AG95" i="3"/>
  <c r="AG98" i="3" s="1"/>
  <c r="AL95" i="3"/>
  <c r="AL93" i="3" s="1"/>
  <c r="AN95" i="3"/>
  <c r="AO95" i="3"/>
  <c r="AO98" i="3" s="1"/>
  <c r="AP95" i="3"/>
  <c r="AP98" i="3" s="1"/>
  <c r="AQ95" i="3"/>
  <c r="AQ98" i="3" s="1"/>
  <c r="AS95" i="3"/>
  <c r="AS98" i="3" s="1"/>
  <c r="AT95" i="3"/>
  <c r="AU95" i="3"/>
  <c r="AU98" i="3" s="1"/>
  <c r="N96" i="3"/>
  <c r="N95" i="3" s="1"/>
  <c r="V96" i="3"/>
  <c r="V95" i="3" s="1"/>
  <c r="V98" i="3" s="1"/>
  <c r="W96" i="3"/>
  <c r="W95" i="3" s="1"/>
  <c r="W98" i="3" s="1"/>
  <c r="AR97" i="3"/>
  <c r="O98" i="3"/>
  <c r="AX98" i="3"/>
  <c r="AY98" i="3"/>
  <c r="AD99" i="3"/>
  <c r="AH99" i="3" s="1"/>
  <c r="N100" i="3"/>
  <c r="P100" i="3"/>
  <c r="P94" i="3" s="1"/>
  <c r="Q100" i="3"/>
  <c r="R100" i="3"/>
  <c r="S100" i="3"/>
  <c r="S94" i="3" s="1"/>
  <c r="T100" i="3"/>
  <c r="T94" i="3" s="1"/>
  <c r="U100" i="3"/>
  <c r="V100" i="3"/>
  <c r="W100" i="3"/>
  <c r="W94" i="3" s="1"/>
  <c r="AE100" i="3"/>
  <c r="AF100" i="3"/>
  <c r="AG100" i="3"/>
  <c r="AI100" i="3"/>
  <c r="AI95" i="3" s="1"/>
  <c r="AJ100" i="3"/>
  <c r="AK100" i="3"/>
  <c r="AL100" i="3"/>
  <c r="AN100" i="3"/>
  <c r="AO100" i="3"/>
  <c r="AP100" i="3"/>
  <c r="AQ100" i="3"/>
  <c r="AS100" i="3"/>
  <c r="AT100" i="3"/>
  <c r="AU100" i="3"/>
  <c r="AV100" i="3"/>
  <c r="AX100" i="3"/>
  <c r="AY100" i="3"/>
  <c r="AS102" i="3"/>
  <c r="AT102" i="3"/>
  <c r="AV102" i="3"/>
  <c r="AX102" i="3"/>
  <c r="AY102" i="3"/>
  <c r="B105" i="3"/>
  <c r="B143" i="3" s="1"/>
  <c r="B157" i="3" s="1"/>
  <c r="E105" i="3"/>
  <c r="E102" i="3" s="1"/>
  <c r="F105" i="3"/>
  <c r="F102" i="3" s="1"/>
  <c r="G105" i="3"/>
  <c r="G102" i="3" s="1"/>
  <c r="H105" i="3"/>
  <c r="H102" i="3" s="1"/>
  <c r="I105" i="3"/>
  <c r="I102" i="3" s="1"/>
  <c r="L105" i="3"/>
  <c r="L102" i="3" s="1"/>
  <c r="M105" i="3"/>
  <c r="M102" i="3" s="1"/>
  <c r="N105" i="3"/>
  <c r="N143" i="3" s="1"/>
  <c r="O105" i="3"/>
  <c r="P105" i="3"/>
  <c r="P102" i="3" s="1"/>
  <c r="Q105" i="3"/>
  <c r="R105" i="3"/>
  <c r="W106" i="3" s="1"/>
  <c r="S105" i="3"/>
  <c r="S102" i="3" s="1"/>
  <c r="T105" i="3"/>
  <c r="U105" i="3"/>
  <c r="U102" i="3" s="1"/>
  <c r="V105" i="3"/>
  <c r="V143" i="3" s="1"/>
  <c r="W105" i="3"/>
  <c r="X105" i="3"/>
  <c r="Y105" i="3"/>
  <c r="Z105" i="3"/>
  <c r="AA105" i="3"/>
  <c r="AA102" i="3" s="1"/>
  <c r="AB105" i="3"/>
  <c r="AD105" i="3"/>
  <c r="AE105" i="3"/>
  <c r="AE102" i="3" s="1"/>
  <c r="AF105" i="3"/>
  <c r="AF102" i="3" s="1"/>
  <c r="AG105" i="3"/>
  <c r="AG102" i="3" s="1"/>
  <c r="AI105" i="3"/>
  <c r="AI106" i="3" s="1"/>
  <c r="AI107" i="3" s="1"/>
  <c r="AJ105" i="3"/>
  <c r="AJ102" i="3" s="1"/>
  <c r="AK105" i="3"/>
  <c r="AK102" i="3" s="1"/>
  <c r="AL105" i="3"/>
  <c r="AN105" i="3"/>
  <c r="AN102" i="3" s="1"/>
  <c r="AO105" i="3"/>
  <c r="AP105" i="3"/>
  <c r="AP106" i="3" s="1"/>
  <c r="AP107" i="3" s="1"/>
  <c r="AQ105" i="3"/>
  <c r="AS105" i="3"/>
  <c r="AT105" i="3"/>
  <c r="AV105" i="3"/>
  <c r="AX105" i="3"/>
  <c r="AX143" i="3" s="1"/>
  <c r="AY105" i="3"/>
  <c r="U106" i="3"/>
  <c r="AA106" i="3"/>
  <c r="AO106" i="3"/>
  <c r="AO107" i="3" s="1"/>
  <c r="B108" i="3"/>
  <c r="J108" i="3"/>
  <c r="J144" i="3" s="1"/>
  <c r="AC108" i="3"/>
  <c r="AC144" i="3" s="1"/>
  <c r="AH108" i="3"/>
  <c r="AM108" i="3"/>
  <c r="AR108" i="3"/>
  <c r="AW108" i="3"/>
  <c r="N109" i="3"/>
  <c r="P109" i="3"/>
  <c r="Q109" i="3"/>
  <c r="R109" i="3"/>
  <c r="S109" i="3"/>
  <c r="T109" i="3"/>
  <c r="U109" i="3"/>
  <c r="V109" i="3"/>
  <c r="W109" i="3"/>
  <c r="AD109" i="3"/>
  <c r="AD110" i="3" s="1"/>
  <c r="AE109" i="3"/>
  <c r="AE110" i="3" s="1"/>
  <c r="AF109" i="3"/>
  <c r="AF110" i="3" s="1"/>
  <c r="AG109" i="3"/>
  <c r="AG110" i="3" s="1"/>
  <c r="AI109" i="3"/>
  <c r="AJ109" i="3"/>
  <c r="AJ110" i="3" s="1"/>
  <c r="AK109" i="3"/>
  <c r="AK110" i="3" s="1"/>
  <c r="AL109" i="3"/>
  <c r="AL110" i="3" s="1"/>
  <c r="AN109" i="3"/>
  <c r="AN110" i="3" s="1"/>
  <c r="AO109" i="3"/>
  <c r="AO110" i="3" s="1"/>
  <c r="AP109" i="3"/>
  <c r="AP110" i="3" s="1"/>
  <c r="AQ109" i="3"/>
  <c r="AQ110" i="3" s="1"/>
  <c r="AS109" i="3"/>
  <c r="AS110" i="3" s="1"/>
  <c r="AT109" i="3"/>
  <c r="AT110" i="3" s="1"/>
  <c r="AU109" i="3"/>
  <c r="AU110" i="3" s="1"/>
  <c r="AV109" i="3"/>
  <c r="AV110" i="3" s="1"/>
  <c r="AX109" i="3"/>
  <c r="AY109" i="3"/>
  <c r="AZ109" i="3"/>
  <c r="AI110" i="3"/>
  <c r="AX110" i="3"/>
  <c r="B111" i="3"/>
  <c r="B145" i="3" s="1"/>
  <c r="B159" i="3" s="1"/>
  <c r="K111" i="3"/>
  <c r="AC111" i="3"/>
  <c r="AH111" i="3"/>
  <c r="AH112" i="3" s="1"/>
  <c r="AH113" i="3" s="1"/>
  <c r="AM111" i="3"/>
  <c r="AM145" i="3" s="1"/>
  <c r="AR111" i="3"/>
  <c r="AU111" i="3"/>
  <c r="AU105" i="3"/>
  <c r="N112" i="3"/>
  <c r="Q112" i="3"/>
  <c r="R112" i="3"/>
  <c r="S112" i="3"/>
  <c r="T112" i="3"/>
  <c r="U112" i="3"/>
  <c r="V112" i="3"/>
  <c r="W112" i="3"/>
  <c r="AD112" i="3"/>
  <c r="AD113" i="3" s="1"/>
  <c r="AE112" i="3"/>
  <c r="AE113" i="3" s="1"/>
  <c r="AF112" i="3"/>
  <c r="AF113" i="3"/>
  <c r="AG112" i="3"/>
  <c r="AG113" i="3" s="1"/>
  <c r="AI112" i="3"/>
  <c r="AI113" i="3" s="1"/>
  <c r="AJ112" i="3"/>
  <c r="AJ113" i="3"/>
  <c r="AK112" i="3"/>
  <c r="AK113" i="3" s="1"/>
  <c r="AL112" i="3"/>
  <c r="AL113" i="3" s="1"/>
  <c r="AN112" i="3"/>
  <c r="AN113" i="3"/>
  <c r="AO112" i="3"/>
  <c r="AO113" i="3" s="1"/>
  <c r="AP112" i="3"/>
  <c r="AP113" i="3" s="1"/>
  <c r="AQ112" i="3"/>
  <c r="AQ113" i="3" s="1"/>
  <c r="AS112" i="3"/>
  <c r="AS113" i="3" s="1"/>
  <c r="AT112" i="3"/>
  <c r="AT113" i="3" s="1"/>
  <c r="AU112" i="3"/>
  <c r="AV112" i="3"/>
  <c r="AV113" i="3"/>
  <c r="AX112" i="3"/>
  <c r="AX113" i="3" s="1"/>
  <c r="AY112" i="3"/>
  <c r="AU113" i="3"/>
  <c r="B114" i="3"/>
  <c r="AW114" i="3"/>
  <c r="AW115" i="3"/>
  <c r="AX115" i="3"/>
  <c r="AY115" i="3"/>
  <c r="B117" i="3"/>
  <c r="AW117" i="3"/>
  <c r="AW118" i="3" s="1"/>
  <c r="AX118" i="3"/>
  <c r="AY118" i="3"/>
  <c r="AZ118" i="3"/>
  <c r="B120" i="3"/>
  <c r="B148" i="3" s="1"/>
  <c r="B162" i="3" s="1"/>
  <c r="AW120" i="3"/>
  <c r="AW121" i="3" s="1"/>
  <c r="AX121" i="3"/>
  <c r="AY121" i="3"/>
  <c r="AZ121" i="3"/>
  <c r="B123" i="3"/>
  <c r="AW123" i="3"/>
  <c r="AW124" i="3" s="1"/>
  <c r="AX124" i="3"/>
  <c r="AY124" i="3"/>
  <c r="AZ124" i="3"/>
  <c r="B127" i="3"/>
  <c r="J127" i="3"/>
  <c r="AC127" i="3"/>
  <c r="AC128" i="3" s="1"/>
  <c r="AH127" i="3"/>
  <c r="AM127" i="3"/>
  <c r="AM128" i="3" s="1"/>
  <c r="AM129" i="3" s="1"/>
  <c r="AR127" i="3"/>
  <c r="AW127" i="3"/>
  <c r="N128" i="3"/>
  <c r="P128" i="3"/>
  <c r="Q128" i="3"/>
  <c r="R128" i="3"/>
  <c r="S128" i="3"/>
  <c r="T128" i="3"/>
  <c r="U128" i="3"/>
  <c r="V128" i="3"/>
  <c r="W128" i="3"/>
  <c r="X128" i="3"/>
  <c r="Y128" i="3"/>
  <c r="Z128" i="3"/>
  <c r="AA128" i="3"/>
  <c r="AB128" i="3"/>
  <c r="AD128" i="3"/>
  <c r="AD129" i="3" s="1"/>
  <c r="AE128" i="3"/>
  <c r="AE129" i="3" s="1"/>
  <c r="AF128" i="3"/>
  <c r="AF129" i="3" s="1"/>
  <c r="AG128" i="3"/>
  <c r="AG129" i="3" s="1"/>
  <c r="AI128" i="3"/>
  <c r="AI129" i="3" s="1"/>
  <c r="AJ128" i="3"/>
  <c r="AJ129" i="3" s="1"/>
  <c r="AK128" i="3"/>
  <c r="AK129" i="3" s="1"/>
  <c r="AL128" i="3"/>
  <c r="AL129" i="3" s="1"/>
  <c r="AN128" i="3"/>
  <c r="AN129" i="3" s="1"/>
  <c r="AO128" i="3"/>
  <c r="AO129" i="3" s="1"/>
  <c r="AP128" i="3"/>
  <c r="AP129" i="3" s="1"/>
  <c r="AQ128" i="3"/>
  <c r="AQ129" i="3" s="1"/>
  <c r="AS128" i="3"/>
  <c r="AS129" i="3" s="1"/>
  <c r="AT128" i="3"/>
  <c r="AT129" i="3" s="1"/>
  <c r="AU128" i="3"/>
  <c r="AU129" i="3" s="1"/>
  <c r="AV128" i="3"/>
  <c r="AV129" i="3" s="1"/>
  <c r="AX128" i="3"/>
  <c r="AX129" i="3" s="1"/>
  <c r="AX107" i="3" s="1"/>
  <c r="AY128" i="3"/>
  <c r="B130" i="3"/>
  <c r="B152" i="3" s="1"/>
  <c r="B166" i="3" s="1"/>
  <c r="K130" i="3"/>
  <c r="J130" i="3" s="1"/>
  <c r="AC130" i="3"/>
  <c r="AC131" i="3" s="1"/>
  <c r="AH130" i="3"/>
  <c r="AM130" i="3"/>
  <c r="AR130" i="3"/>
  <c r="AW130" i="3"/>
  <c r="N131" i="3"/>
  <c r="Q131" i="3"/>
  <c r="R131" i="3"/>
  <c r="S131" i="3"/>
  <c r="T131" i="3"/>
  <c r="U131" i="3"/>
  <c r="V131" i="3"/>
  <c r="W131" i="3"/>
  <c r="X131" i="3"/>
  <c r="Y131" i="3"/>
  <c r="Z131" i="3"/>
  <c r="AA131" i="3"/>
  <c r="AB131" i="3"/>
  <c r="AD131" i="3"/>
  <c r="AD132" i="3" s="1"/>
  <c r="AE131" i="3"/>
  <c r="AE132" i="3" s="1"/>
  <c r="AF131" i="3"/>
  <c r="AF132" i="3" s="1"/>
  <c r="AG131" i="3"/>
  <c r="AG132" i="3" s="1"/>
  <c r="AI131" i="3"/>
  <c r="AI132" i="3" s="1"/>
  <c r="AJ131" i="3"/>
  <c r="AJ132" i="3" s="1"/>
  <c r="AK131" i="3"/>
  <c r="AK132" i="3" s="1"/>
  <c r="AL131" i="3"/>
  <c r="AL132" i="3" s="1"/>
  <c r="AN131" i="3"/>
  <c r="AN132" i="3" s="1"/>
  <c r="AO131" i="3"/>
  <c r="AO132" i="3" s="1"/>
  <c r="AP131" i="3"/>
  <c r="AP132" i="3" s="1"/>
  <c r="AQ131" i="3"/>
  <c r="AQ132" i="3" s="1"/>
  <c r="AS131" i="3"/>
  <c r="AS132" i="3" s="1"/>
  <c r="AT131" i="3"/>
  <c r="AT132" i="3" s="1"/>
  <c r="AU131" i="3"/>
  <c r="AU132" i="3" s="1"/>
  <c r="AV131" i="3"/>
  <c r="AV132" i="3" s="1"/>
  <c r="AX131" i="3"/>
  <c r="AX132" i="3" s="1"/>
  <c r="AY131" i="3"/>
  <c r="B133" i="3"/>
  <c r="B153" i="3" s="1"/>
  <c r="B167" i="3" s="1"/>
  <c r="K133" i="3"/>
  <c r="P134" i="3" s="1"/>
  <c r="AC133" i="3"/>
  <c r="AH133" i="3"/>
  <c r="AM133" i="3"/>
  <c r="AR133" i="3"/>
  <c r="AS133" i="3"/>
  <c r="AU133" i="3"/>
  <c r="AU134" i="3" s="1"/>
  <c r="AU135" i="3" s="1"/>
  <c r="N134" i="3"/>
  <c r="Q134" i="3"/>
  <c r="R134" i="3"/>
  <c r="S134" i="3"/>
  <c r="T134" i="3"/>
  <c r="U134" i="3"/>
  <c r="V134" i="3"/>
  <c r="W134" i="3"/>
  <c r="AD134" i="3"/>
  <c r="AD135" i="3" s="1"/>
  <c r="AE134" i="3"/>
  <c r="AE135" i="3" s="1"/>
  <c r="AF134" i="3"/>
  <c r="AF135" i="3" s="1"/>
  <c r="AG134" i="3"/>
  <c r="AG135" i="3" s="1"/>
  <c r="AI134" i="3"/>
  <c r="AI135" i="3" s="1"/>
  <c r="AJ134" i="3"/>
  <c r="AJ135" i="3" s="1"/>
  <c r="AK134" i="3"/>
  <c r="AK135" i="3" s="1"/>
  <c r="AL134" i="3"/>
  <c r="AL135" i="3" s="1"/>
  <c r="AN134" i="3"/>
  <c r="AN135" i="3" s="1"/>
  <c r="AO134" i="3"/>
  <c r="AO135" i="3" s="1"/>
  <c r="AP134" i="3"/>
  <c r="AP135" i="3" s="1"/>
  <c r="AQ134" i="3"/>
  <c r="AQ135" i="3" s="1"/>
  <c r="AS134" i="3"/>
  <c r="AS135" i="3" s="1"/>
  <c r="AT134" i="3"/>
  <c r="AT135" i="3" s="1"/>
  <c r="AV134" i="3"/>
  <c r="AV135" i="3" s="1"/>
  <c r="AY134" i="3"/>
  <c r="S135" i="3"/>
  <c r="B136" i="3"/>
  <c r="B154" i="3" s="1"/>
  <c r="B168" i="3" s="1"/>
  <c r="K136" i="3"/>
  <c r="J136" i="3" s="1"/>
  <c r="AC136" i="3"/>
  <c r="AC154" i="3" s="1"/>
  <c r="AH136" i="3"/>
  <c r="AH154" i="3" s="1"/>
  <c r="AM136" i="3"/>
  <c r="AO136" i="3"/>
  <c r="AO102" i="3"/>
  <c r="AR136" i="3"/>
  <c r="AU136" i="3"/>
  <c r="AW136" i="3" s="1"/>
  <c r="N137" i="3"/>
  <c r="P137" i="3"/>
  <c r="Q137" i="3"/>
  <c r="R137" i="3"/>
  <c r="S137" i="3"/>
  <c r="T137" i="3"/>
  <c r="U137" i="3"/>
  <c r="V137" i="3"/>
  <c r="W137" i="3"/>
  <c r="AD137" i="3"/>
  <c r="AD138" i="3" s="1"/>
  <c r="AE137" i="3"/>
  <c r="AE138" i="3" s="1"/>
  <c r="AF137" i="3"/>
  <c r="AG137" i="3"/>
  <c r="AG138" i="3" s="1"/>
  <c r="AI137" i="3"/>
  <c r="AI138" i="3" s="1"/>
  <c r="AJ137" i="3"/>
  <c r="AJ138" i="3" s="1"/>
  <c r="AK137" i="3"/>
  <c r="AK138" i="3" s="1"/>
  <c r="AL137" i="3"/>
  <c r="AL138" i="3" s="1"/>
  <c r="AN137" i="3"/>
  <c r="AN138" i="3" s="1"/>
  <c r="AO137" i="3"/>
  <c r="AO138" i="3" s="1"/>
  <c r="AP137" i="3"/>
  <c r="AP138" i="3" s="1"/>
  <c r="AQ137" i="3"/>
  <c r="AQ138" i="3" s="1"/>
  <c r="AS137" i="3"/>
  <c r="AS138" i="3" s="1"/>
  <c r="AT137" i="3"/>
  <c r="AT138" i="3" s="1"/>
  <c r="AV137" i="3"/>
  <c r="AV138" i="3" s="1"/>
  <c r="AX137" i="3"/>
  <c r="AX138" i="3" s="1"/>
  <c r="AY137" i="3"/>
  <c r="S138" i="3"/>
  <c r="AF138" i="3"/>
  <c r="K139" i="3"/>
  <c r="P140" i="3"/>
  <c r="AC139" i="3"/>
  <c r="AC140" i="3" s="1"/>
  <c r="AH139" i="3"/>
  <c r="AM139" i="3"/>
  <c r="AR139" i="3"/>
  <c r="AW140" i="3" s="1"/>
  <c r="BB139" i="3"/>
  <c r="BB140" i="3" s="1"/>
  <c r="BP139" i="3"/>
  <c r="N140" i="3"/>
  <c r="Q140" i="3"/>
  <c r="R140" i="3"/>
  <c r="S140" i="3"/>
  <c r="T140" i="3"/>
  <c r="U140" i="3"/>
  <c r="V140" i="3"/>
  <c r="W140" i="3"/>
  <c r="X140" i="3"/>
  <c r="Y140" i="3"/>
  <c r="Z140" i="3"/>
  <c r="AA140" i="3"/>
  <c r="AB140" i="3"/>
  <c r="AD140" i="3"/>
  <c r="AE140" i="3"/>
  <c r="AF140" i="3"/>
  <c r="AG140" i="3"/>
  <c r="AI140" i="3"/>
  <c r="AJ140" i="3"/>
  <c r="AK140" i="3"/>
  <c r="AL140" i="3"/>
  <c r="AN140" i="3"/>
  <c r="AO140" i="3"/>
  <c r="AP140" i="3"/>
  <c r="AQ140" i="3"/>
  <c r="AS140" i="3"/>
  <c r="AT140" i="3"/>
  <c r="AU140" i="3"/>
  <c r="AV140" i="3"/>
  <c r="AX140" i="3"/>
  <c r="AY140" i="3"/>
  <c r="CH140" i="3"/>
  <c r="CI140" i="3"/>
  <c r="CJ140" i="3"/>
  <c r="I143" i="3"/>
  <c r="M143" i="3"/>
  <c r="U143" i="3"/>
  <c r="AI143" i="3"/>
  <c r="AJ143" i="3"/>
  <c r="AN143" i="3"/>
  <c r="AS143" i="3"/>
  <c r="AT143" i="3"/>
  <c r="B144" i="3"/>
  <c r="B158" i="3" s="1"/>
  <c r="I144" i="3"/>
  <c r="K144" i="3"/>
  <c r="L144" i="3"/>
  <c r="M144" i="3"/>
  <c r="N144" i="3"/>
  <c r="S158" i="3" s="1"/>
  <c r="O144" i="3"/>
  <c r="P144" i="3"/>
  <c r="Q144" i="3"/>
  <c r="R144" i="3"/>
  <c r="S144" i="3"/>
  <c r="T144" i="3"/>
  <c r="U144" i="3"/>
  <c r="V144" i="3"/>
  <c r="W144" i="3"/>
  <c r="X144" i="3"/>
  <c r="Y144" i="3"/>
  <c r="Z144" i="3"/>
  <c r="AA144" i="3"/>
  <c r="AB144" i="3"/>
  <c r="AD144" i="3"/>
  <c r="AE144" i="3"/>
  <c r="AE158" i="3" s="1"/>
  <c r="AF144" i="3"/>
  <c r="AG144" i="3"/>
  <c r="AI144" i="3"/>
  <c r="AJ144" i="3"/>
  <c r="AK144" i="3"/>
  <c r="AL144" i="3"/>
  <c r="AN144" i="3"/>
  <c r="AO144" i="3"/>
  <c r="AP144" i="3"/>
  <c r="AQ144" i="3"/>
  <c r="AQ158" i="3" s="1"/>
  <c r="AR144" i="3"/>
  <c r="AS144" i="3"/>
  <c r="AT144" i="3"/>
  <c r="AU144" i="3"/>
  <c r="AV144" i="3"/>
  <c r="AW144" i="3"/>
  <c r="AX144" i="3"/>
  <c r="BC158" i="3" s="1"/>
  <c r="I145" i="3"/>
  <c r="L145" i="3"/>
  <c r="M145" i="3"/>
  <c r="N145" i="3"/>
  <c r="O145" i="3"/>
  <c r="P145" i="3"/>
  <c r="Q145" i="3"/>
  <c r="R145" i="3"/>
  <c r="R159" i="3" s="1"/>
  <c r="S145" i="3"/>
  <c r="T145" i="3"/>
  <c r="T159" i="3" s="1"/>
  <c r="U145" i="3"/>
  <c r="V145" i="3"/>
  <c r="V159" i="3" s="1"/>
  <c r="W145" i="3"/>
  <c r="X145" i="3"/>
  <c r="X159" i="3" s="1"/>
  <c r="Y145" i="3"/>
  <c r="Z145" i="3"/>
  <c r="Z159" i="3" s="1"/>
  <c r="AA145" i="3"/>
  <c r="AB145" i="3"/>
  <c r="AB159" i="3" s="1"/>
  <c r="AC145" i="3"/>
  <c r="AD145" i="3"/>
  <c r="AD159" i="3" s="1"/>
  <c r="AE145" i="3"/>
  <c r="AF145" i="3"/>
  <c r="AF159" i="3" s="1"/>
  <c r="AG145" i="3"/>
  <c r="AI145" i="3"/>
  <c r="AI159" i="3" s="1"/>
  <c r="AJ145" i="3"/>
  <c r="AK145" i="3"/>
  <c r="AL145" i="3"/>
  <c r="AL159" i="3" s="1"/>
  <c r="AN145" i="3"/>
  <c r="AN159" i="3" s="1"/>
  <c r="AO145" i="3"/>
  <c r="AP145" i="3"/>
  <c r="AQ145" i="3"/>
  <c r="AQ159" i="3" s="1"/>
  <c r="AS145" i="3"/>
  <c r="AS159" i="3" s="1"/>
  <c r="AT145" i="3"/>
  <c r="AT159" i="3" s="1"/>
  <c r="AU145" i="3"/>
  <c r="AV145" i="3"/>
  <c r="BA159" i="3" s="1"/>
  <c r="AX145" i="3"/>
  <c r="AY145" i="3"/>
  <c r="BD159" i="3" s="1"/>
  <c r="B146" i="3"/>
  <c r="AR146" i="3"/>
  <c r="AS146" i="3"/>
  <c r="AT146" i="3"/>
  <c r="AU146" i="3"/>
  <c r="AV146" i="3"/>
  <c r="BA160" i="3" s="1"/>
  <c r="BA301" i="3" s="1"/>
  <c r="AW146" i="3"/>
  <c r="AW160" i="3" s="1"/>
  <c r="AX146" i="3"/>
  <c r="BC160" i="3" s="1"/>
  <c r="AY146" i="3"/>
  <c r="BD160" i="3" s="1"/>
  <c r="B147" i="3"/>
  <c r="B161" i="3" s="1"/>
  <c r="AR147" i="3"/>
  <c r="AS147" i="3"/>
  <c r="AT147" i="3"/>
  <c r="AU147" i="3"/>
  <c r="AV147" i="3"/>
  <c r="BA161" i="3" s="1"/>
  <c r="BA302" i="3" s="1"/>
  <c r="AX147" i="3"/>
  <c r="AY147" i="3"/>
  <c r="BD161" i="3" s="1"/>
  <c r="AR148" i="3"/>
  <c r="AS148" i="3"/>
  <c r="AT148" i="3"/>
  <c r="AU148" i="3"/>
  <c r="AV148" i="3"/>
  <c r="BA162" i="3" s="1"/>
  <c r="BA303" i="3" s="1"/>
  <c r="AX148" i="3"/>
  <c r="BC162" i="3" s="1"/>
  <c r="AY148" i="3"/>
  <c r="B149" i="3"/>
  <c r="AR149" i="3"/>
  <c r="AS149" i="3"/>
  <c r="AT149" i="3"/>
  <c r="AU149" i="3"/>
  <c r="AV149" i="3"/>
  <c r="BA163" i="3" s="1"/>
  <c r="BA304" i="3" s="1"/>
  <c r="AX149" i="3"/>
  <c r="BC163" i="3" s="1"/>
  <c r="AY149" i="3"/>
  <c r="B151" i="3"/>
  <c r="B165" i="3" s="1"/>
  <c r="I151" i="3"/>
  <c r="K151" i="3"/>
  <c r="P165" i="3" s="1"/>
  <c r="L151" i="3"/>
  <c r="M151" i="3"/>
  <c r="N151" i="3"/>
  <c r="O151" i="3"/>
  <c r="P151" i="3"/>
  <c r="Q151" i="3"/>
  <c r="R151" i="3"/>
  <c r="S151" i="3"/>
  <c r="T151" i="3"/>
  <c r="U151" i="3"/>
  <c r="V151" i="3"/>
  <c r="W151" i="3"/>
  <c r="X151" i="3"/>
  <c r="Y151" i="3"/>
  <c r="Z151" i="3"/>
  <c r="AA151" i="3"/>
  <c r="AB151" i="3"/>
  <c r="AD151" i="3"/>
  <c r="AE151" i="3"/>
  <c r="AE165" i="3" s="1"/>
  <c r="AF151" i="3"/>
  <c r="AF165" i="3" s="1"/>
  <c r="AG151" i="3"/>
  <c r="AI151" i="3"/>
  <c r="AJ151" i="3"/>
  <c r="AJ165" i="3" s="1"/>
  <c r="AK151" i="3"/>
  <c r="AL151" i="3"/>
  <c r="AM151" i="3"/>
  <c r="AN151" i="3"/>
  <c r="AO151" i="3"/>
  <c r="AP151" i="3"/>
  <c r="AQ151" i="3"/>
  <c r="AR151" i="3"/>
  <c r="AS151" i="3"/>
  <c r="AT151" i="3"/>
  <c r="AU151" i="3"/>
  <c r="AV151" i="3"/>
  <c r="AX151" i="3"/>
  <c r="AY151" i="3"/>
  <c r="I152" i="3"/>
  <c r="L152" i="3"/>
  <c r="M152" i="3"/>
  <c r="N152" i="3"/>
  <c r="O152" i="3"/>
  <c r="P152" i="3"/>
  <c r="Q152" i="3"/>
  <c r="R152" i="3"/>
  <c r="S152" i="3"/>
  <c r="T152" i="3"/>
  <c r="U152" i="3"/>
  <c r="V152" i="3"/>
  <c r="W152" i="3"/>
  <c r="X152" i="3"/>
  <c r="Y152" i="3"/>
  <c r="Z152" i="3"/>
  <c r="AA152" i="3"/>
  <c r="AB152" i="3"/>
  <c r="AD152" i="3"/>
  <c r="AD166" i="3" s="1"/>
  <c r="AE152" i="3"/>
  <c r="AE166" i="3" s="1"/>
  <c r="AF152" i="3"/>
  <c r="AG152" i="3"/>
  <c r="AI152" i="3"/>
  <c r="AI166" i="3" s="1"/>
  <c r="AJ152" i="3"/>
  <c r="AK152" i="3"/>
  <c r="AL152" i="3"/>
  <c r="AM152" i="3"/>
  <c r="AN152" i="3"/>
  <c r="AO152" i="3"/>
  <c r="AP152" i="3"/>
  <c r="AP166" i="3" s="1"/>
  <c r="AQ152" i="3"/>
  <c r="AQ166" i="3" s="1"/>
  <c r="AR152" i="3"/>
  <c r="AS152" i="3"/>
  <c r="AT152" i="3"/>
  <c r="AU152" i="3"/>
  <c r="AV152" i="3"/>
  <c r="AW152" i="3"/>
  <c r="AX152" i="3"/>
  <c r="AY152" i="3"/>
  <c r="I153" i="3"/>
  <c r="K153" i="3"/>
  <c r="L153" i="3"/>
  <c r="M153" i="3"/>
  <c r="N153" i="3"/>
  <c r="N167" i="3" s="1"/>
  <c r="O153" i="3"/>
  <c r="P153" i="3"/>
  <c r="Q153" i="3"/>
  <c r="R153" i="3"/>
  <c r="S153" i="3"/>
  <c r="T153" i="3"/>
  <c r="U153" i="3"/>
  <c r="U167" i="3" s="1"/>
  <c r="V153" i="3"/>
  <c r="W153" i="3"/>
  <c r="X153" i="3"/>
  <c r="Y153" i="3"/>
  <c r="Y167" i="3" s="1"/>
  <c r="Z153" i="3"/>
  <c r="AA153" i="3"/>
  <c r="AB153" i="3"/>
  <c r="AD153" i="3"/>
  <c r="AD167" i="3" s="1"/>
  <c r="AE153" i="3"/>
  <c r="AE167" i="3" s="1"/>
  <c r="AF153" i="3"/>
  <c r="AG153" i="3"/>
  <c r="AG167" i="3" s="1"/>
  <c r="AI153" i="3"/>
  <c r="AJ153" i="3"/>
  <c r="AK153" i="3"/>
  <c r="AK167" i="3" s="1"/>
  <c r="AL153" i="3"/>
  <c r="AL167" i="3" s="1"/>
  <c r="AM153" i="3"/>
  <c r="AN153" i="3"/>
  <c r="AO153" i="3"/>
  <c r="AP153" i="3"/>
  <c r="AP167" i="3" s="1"/>
  <c r="AQ153" i="3"/>
  <c r="AR153" i="3"/>
  <c r="AS153" i="3"/>
  <c r="AT153" i="3"/>
  <c r="AV153" i="3"/>
  <c r="AX153" i="3"/>
  <c r="AY153" i="3"/>
  <c r="I154" i="3"/>
  <c r="K154" i="3"/>
  <c r="L154" i="3"/>
  <c r="M154" i="3"/>
  <c r="N154" i="3"/>
  <c r="O154" i="3"/>
  <c r="P154" i="3"/>
  <c r="Q154" i="3"/>
  <c r="R154" i="3"/>
  <c r="S154" i="3"/>
  <c r="S168" i="3" s="1"/>
  <c r="T154" i="3"/>
  <c r="U154" i="3"/>
  <c r="V154" i="3"/>
  <c r="V168" i="3" s="1"/>
  <c r="W154" i="3"/>
  <c r="X154" i="3"/>
  <c r="Y154" i="3"/>
  <c r="Z154" i="3"/>
  <c r="AA154" i="3"/>
  <c r="AB154" i="3"/>
  <c r="AD154" i="3"/>
  <c r="AD168" i="3" s="1"/>
  <c r="AE154" i="3"/>
  <c r="AF154" i="3"/>
  <c r="AG154" i="3"/>
  <c r="AG168" i="3" s="1"/>
  <c r="AI154" i="3"/>
  <c r="AJ154" i="3"/>
  <c r="AK154" i="3"/>
  <c r="AL154" i="3"/>
  <c r="AN154" i="3"/>
  <c r="AO154" i="3"/>
  <c r="AP154" i="3"/>
  <c r="AQ154" i="3"/>
  <c r="AS154" i="3"/>
  <c r="AS168" i="3" s="1"/>
  <c r="AT154" i="3"/>
  <c r="AT168" i="3" s="1"/>
  <c r="AV154" i="3"/>
  <c r="AX154" i="3"/>
  <c r="AY154" i="3"/>
  <c r="N158" i="3"/>
  <c r="P158" i="3"/>
  <c r="T158" i="3"/>
  <c r="X158" i="3"/>
  <c r="Z158" i="3"/>
  <c r="AB158" i="3"/>
  <c r="AD158" i="3"/>
  <c r="AF158" i="3"/>
  <c r="AI158" i="3"/>
  <c r="AK158" i="3"/>
  <c r="AL158" i="3"/>
  <c r="AP158" i="3"/>
  <c r="AT158" i="3"/>
  <c r="AU158" i="3"/>
  <c r="AY158" i="3"/>
  <c r="BW158" i="3"/>
  <c r="CB158" i="3" s="1"/>
  <c r="CG158" i="3" s="1"/>
  <c r="BX158" i="3"/>
  <c r="CC158" i="3" s="1"/>
  <c r="CH158" i="3" s="1"/>
  <c r="BY158" i="3"/>
  <c r="CD158" i="3" s="1"/>
  <c r="CI158" i="3" s="1"/>
  <c r="BZ158" i="3"/>
  <c r="CE158" i="3" s="1"/>
  <c r="CJ158" i="3" s="1"/>
  <c r="S159" i="3"/>
  <c r="W159" i="3"/>
  <c r="AJ159" i="3"/>
  <c r="AU159" i="3"/>
  <c r="AV159" i="3"/>
  <c r="CB159" i="3"/>
  <c r="CG159" i="3" s="1"/>
  <c r="CC159" i="3"/>
  <c r="CH159" i="3" s="1"/>
  <c r="CD159" i="3"/>
  <c r="CI159" i="3" s="1"/>
  <c r="B160" i="3"/>
  <c r="CB160" i="3"/>
  <c r="CG160" i="3" s="1"/>
  <c r="CC160" i="3"/>
  <c r="CH160" i="3" s="1"/>
  <c r="CD160" i="3"/>
  <c r="CI160" i="3" s="1"/>
  <c r="CE160" i="3"/>
  <c r="CJ160" i="3" s="1"/>
  <c r="AY161" i="3"/>
  <c r="AY302" i="3" s="1"/>
  <c r="BW161" i="3"/>
  <c r="CB161" i="3" s="1"/>
  <c r="CG161" i="3" s="1"/>
  <c r="BX161" i="3"/>
  <c r="CC161" i="3" s="1"/>
  <c r="CH161" i="3" s="1"/>
  <c r="BY161" i="3"/>
  <c r="CD161" i="3" s="1"/>
  <c r="CI161" i="3" s="1"/>
  <c r="BZ161" i="3"/>
  <c r="CE161" i="3" s="1"/>
  <c r="CJ161" i="3" s="1"/>
  <c r="AX162" i="3"/>
  <c r="AX303" i="3" s="1"/>
  <c r="BW162" i="3"/>
  <c r="CB162" i="3" s="1"/>
  <c r="CG162" i="3" s="1"/>
  <c r="BX162" i="3"/>
  <c r="CC162" i="3" s="1"/>
  <c r="CH162" i="3" s="1"/>
  <c r="BY162" i="3"/>
  <c r="CD162" i="3" s="1"/>
  <c r="CI162" i="3" s="1"/>
  <c r="BZ162" i="3"/>
  <c r="CE162" i="3" s="1"/>
  <c r="CJ162" i="3" s="1"/>
  <c r="B163" i="3"/>
  <c r="BX163" i="3"/>
  <c r="CC163" i="3" s="1"/>
  <c r="CH163" i="3" s="1"/>
  <c r="BY163" i="3"/>
  <c r="CD163" i="3" s="1"/>
  <c r="CI163" i="3" s="1"/>
  <c r="BZ163" i="3"/>
  <c r="CE163" i="3" s="1"/>
  <c r="CJ163" i="3" s="1"/>
  <c r="BW163" i="3"/>
  <c r="CB163" i="3" s="1"/>
  <c r="CG163" i="3" s="1"/>
  <c r="X165" i="3"/>
  <c r="AI165" i="3"/>
  <c r="AQ165" i="3"/>
  <c r="AU165" i="3"/>
  <c r="AY165" i="3"/>
  <c r="AL166" i="3"/>
  <c r="AX166" i="3"/>
  <c r="Q167" i="3"/>
  <c r="AI167" i="3"/>
  <c r="N168" i="3"/>
  <c r="U168" i="3"/>
  <c r="N172" i="3"/>
  <c r="X172" i="3"/>
  <c r="N173" i="3"/>
  <c r="S173" i="3"/>
  <c r="X173" i="3"/>
  <c r="AC173" i="3"/>
  <c r="N174" i="3"/>
  <c r="S174" i="3"/>
  <c r="X174" i="3"/>
  <c r="AC174" i="3"/>
  <c r="N175" i="3"/>
  <c r="S175" i="3"/>
  <c r="X175" i="3"/>
  <c r="N176" i="3"/>
  <c r="S176" i="3"/>
  <c r="X176" i="3"/>
  <c r="N177" i="3"/>
  <c r="S177" i="3"/>
  <c r="X177" i="3"/>
  <c r="N178" i="3"/>
  <c r="S178" i="3"/>
  <c r="X178" i="3"/>
  <c r="Z184" i="3"/>
  <c r="Z186" i="3"/>
  <c r="AY186" i="3"/>
  <c r="AX190" i="3"/>
  <c r="P192" i="3"/>
  <c r="Q193" i="3"/>
  <c r="N194" i="3"/>
  <c r="P194" i="3"/>
  <c r="N195" i="3"/>
  <c r="AX195" i="3"/>
  <c r="AS198" i="3"/>
  <c r="AT198" i="3"/>
  <c r="AV198" i="3"/>
  <c r="AX198" i="3"/>
  <c r="AY198" i="3"/>
  <c r="AS199" i="3"/>
  <c r="AT199" i="3"/>
  <c r="AV199" i="3"/>
  <c r="AY199" i="3"/>
  <c r="AS200" i="3"/>
  <c r="AT200" i="3"/>
  <c r="AV200" i="3"/>
  <c r="AY200" i="3"/>
  <c r="AS201" i="3"/>
  <c r="AT201" i="3"/>
  <c r="AV201" i="3"/>
  <c r="AY201" i="3"/>
  <c r="AS202" i="3"/>
  <c r="AT202" i="3"/>
  <c r="AV202" i="3"/>
  <c r="AX202" i="3"/>
  <c r="AY202" i="3"/>
  <c r="AS203" i="3"/>
  <c r="AT203" i="3"/>
  <c r="AV203" i="3"/>
  <c r="AY203" i="3"/>
  <c r="AS204" i="3"/>
  <c r="AT204" i="3"/>
  <c r="AV204" i="3"/>
  <c r="AY204" i="3"/>
  <c r="AS206" i="3"/>
  <c r="AT206" i="3"/>
  <c r="AV206" i="3"/>
  <c r="AY206" i="3"/>
  <c r="AS207" i="3"/>
  <c r="AT207" i="3"/>
  <c r="AV207" i="3"/>
  <c r="AX207" i="3"/>
  <c r="AY207" i="3"/>
  <c r="AS208" i="3"/>
  <c r="AT208" i="3"/>
  <c r="AV208" i="3"/>
  <c r="AY208" i="3"/>
  <c r="AS209" i="3"/>
  <c r="AT209" i="3"/>
  <c r="AV209" i="3"/>
  <c r="AY209" i="3"/>
  <c r="AG212" i="3"/>
  <c r="AG213" i="3"/>
  <c r="AG217" i="3"/>
  <c r="AG218" i="3"/>
  <c r="AR221" i="3"/>
  <c r="AW221" i="3"/>
  <c r="AR222" i="3"/>
  <c r="AW222" i="3"/>
  <c r="AN223" i="3"/>
  <c r="AR223" i="3"/>
  <c r="AW223" i="3"/>
  <c r="AS226" i="3"/>
  <c r="AS229" i="3" s="1"/>
  <c r="AT226" i="3"/>
  <c r="AR262" i="3"/>
  <c r="AO267" i="3"/>
  <c r="AO273" i="3" s="1"/>
  <c r="AP267" i="3"/>
  <c r="AQ267" i="3"/>
  <c r="AQ269" i="3"/>
  <c r="AQ270" i="3"/>
  <c r="AP273" i="3"/>
  <c r="AP274" i="3" s="1"/>
  <c r="AQ273" i="3"/>
  <c r="AQ276" i="3"/>
  <c r="AR285" i="3"/>
  <c r="E4" i="2"/>
  <c r="F4" i="2" s="1"/>
  <c r="M4" i="2"/>
  <c r="R4" i="2" s="1"/>
  <c r="AJ4" i="2"/>
  <c r="AP4" i="2"/>
  <c r="AC5" i="2"/>
  <c r="AC160" i="2" s="1"/>
  <c r="AQ5" i="2"/>
  <c r="AV5" i="2"/>
  <c r="BA5" i="2"/>
  <c r="H6" i="2"/>
  <c r="H7" i="2" s="1"/>
  <c r="I6" i="2"/>
  <c r="J6" i="2"/>
  <c r="K6" i="2"/>
  <c r="L6" i="2"/>
  <c r="M6" i="2"/>
  <c r="N6" i="2"/>
  <c r="O6" i="2"/>
  <c r="P6" i="2"/>
  <c r="Q6" i="2"/>
  <c r="R6" i="2"/>
  <c r="AP6" i="2"/>
  <c r="AR6" i="2"/>
  <c r="AS6" i="2"/>
  <c r="AT6" i="2"/>
  <c r="AU6" i="2"/>
  <c r="AW6" i="2"/>
  <c r="AX6" i="2"/>
  <c r="AY6" i="2"/>
  <c r="AZ6" i="2"/>
  <c r="AM7" i="2"/>
  <c r="AO7" i="2"/>
  <c r="AS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S8" i="2"/>
  <c r="S166" i="2" s="1"/>
  <c r="AL8" i="2"/>
  <c r="AQ8" i="2"/>
  <c r="AV8" i="2"/>
  <c r="BA8" i="2"/>
  <c r="BA247" i="2" s="1"/>
  <c r="BF8" i="2"/>
  <c r="BF247" i="2" s="1"/>
  <c r="D9" i="2"/>
  <c r="E9" i="2"/>
  <c r="F9" i="2"/>
  <c r="G9" i="2"/>
  <c r="H9" i="2"/>
  <c r="I9" i="2"/>
  <c r="I10" i="2" s="1"/>
  <c r="J9" i="2"/>
  <c r="K9" i="2"/>
  <c r="L9" i="2"/>
  <c r="L10" i="2" s="1"/>
  <c r="M9" i="2"/>
  <c r="N9" i="2"/>
  <c r="O9" i="2"/>
  <c r="P9" i="2"/>
  <c r="Q9" i="2"/>
  <c r="Q10" i="2" s="1"/>
  <c r="R9" i="2"/>
  <c r="AK9" i="2"/>
  <c r="AM9" i="2"/>
  <c r="AN9" i="2"/>
  <c r="AO9" i="2"/>
  <c r="AP9" i="2"/>
  <c r="AR9" i="2"/>
  <c r="AR10" i="2" s="1"/>
  <c r="AS9" i="2"/>
  <c r="AT9" i="2"/>
  <c r="AU9" i="2"/>
  <c r="AU10" i="2" s="1"/>
  <c r="AW9" i="2"/>
  <c r="AX9" i="2"/>
  <c r="AY9" i="2"/>
  <c r="AY10" i="2" s="1"/>
  <c r="AZ9" i="2"/>
  <c r="AZ10" i="2" s="1"/>
  <c r="CA10" i="2"/>
  <c r="CB10" i="2"/>
  <c r="CC10" i="2"/>
  <c r="CF10" i="2"/>
  <c r="CG10" i="2"/>
  <c r="CH10" i="2"/>
  <c r="CK10" i="2"/>
  <c r="CL10" i="2"/>
  <c r="CM10" i="2"/>
  <c r="CP10" i="2"/>
  <c r="CQ10" i="2"/>
  <c r="CR10" i="2"/>
  <c r="D12" i="2"/>
  <c r="D23" i="2" s="1"/>
  <c r="D37" i="2" s="1"/>
  <c r="E12" i="2"/>
  <c r="E13" i="2" s="1"/>
  <c r="F12" i="2"/>
  <c r="G12" i="2"/>
  <c r="G13" i="2" s="1"/>
  <c r="H12" i="2"/>
  <c r="H23" i="2" s="1"/>
  <c r="H37" i="2" s="1"/>
  <c r="H40" i="2" s="1"/>
  <c r="I12" i="2"/>
  <c r="J12" i="2"/>
  <c r="J13" i="2" s="1"/>
  <c r="K12" i="2"/>
  <c r="K23" i="2" s="1"/>
  <c r="K37" i="2" s="1"/>
  <c r="L12" i="2"/>
  <c r="M12" i="2"/>
  <c r="M23" i="2" s="1"/>
  <c r="M37" i="2" s="1"/>
  <c r="M40" i="2" s="1"/>
  <c r="N12" i="2"/>
  <c r="N23" i="2" s="1"/>
  <c r="N37" i="2" s="1"/>
  <c r="N13" i="2"/>
  <c r="O12" i="2"/>
  <c r="P12" i="2"/>
  <c r="P23" i="2" s="1"/>
  <c r="Q12" i="2"/>
  <c r="R12" i="2"/>
  <c r="R13" i="2" s="1"/>
  <c r="AK12" i="2"/>
  <c r="AM12" i="2"/>
  <c r="AN12" i="2"/>
  <c r="AN23" i="2" s="1"/>
  <c r="AN37" i="2" s="1"/>
  <c r="AN40" i="2" s="1"/>
  <c r="AO12" i="2"/>
  <c r="AO23" i="2" s="1"/>
  <c r="AP12" i="2"/>
  <c r="AP23" i="2" s="1"/>
  <c r="AP37" i="2" s="1"/>
  <c r="AP39" i="2" s="1"/>
  <c r="AQ39" i="2" s="1"/>
  <c r="AR12" i="2"/>
  <c r="AR13" i="2" s="1"/>
  <c r="AS12" i="2"/>
  <c r="AS23" i="2" s="1"/>
  <c r="AT12" i="2"/>
  <c r="AT23" i="2" s="1"/>
  <c r="AT37" i="2" s="1"/>
  <c r="AT40" i="2" s="1"/>
  <c r="AU12" i="2"/>
  <c r="AU13" i="2" s="1"/>
  <c r="AW12" i="2"/>
  <c r="AX12" i="2"/>
  <c r="AX13" i="2" s="1"/>
  <c r="AY12" i="2"/>
  <c r="AY13" i="2" s="1"/>
  <c r="AZ12" i="2"/>
  <c r="AZ13" i="2" s="1"/>
  <c r="K13" i="2"/>
  <c r="O13" i="2"/>
  <c r="R16" i="2"/>
  <c r="R18" i="2" s="1"/>
  <c r="S16" i="2"/>
  <c r="X18" i="2" s="1"/>
  <c r="T16" i="2"/>
  <c r="U16" i="2"/>
  <c r="U18" i="2" s="1"/>
  <c r="AL16" i="2"/>
  <c r="AL18" i="2" s="1"/>
  <c r="AQ16" i="2"/>
  <c r="AV16" i="2"/>
  <c r="BA16" i="2"/>
  <c r="BF16" i="2"/>
  <c r="BK18" i="2" s="1"/>
  <c r="D17" i="2"/>
  <c r="E17" i="2"/>
  <c r="F17" i="2"/>
  <c r="K19" i="2" s="1"/>
  <c r="G17" i="2"/>
  <c r="H17" i="2"/>
  <c r="I17" i="2"/>
  <c r="J17" i="2"/>
  <c r="K17" i="2"/>
  <c r="L17" i="2"/>
  <c r="M17" i="2"/>
  <c r="N17" i="2"/>
  <c r="O17" i="2"/>
  <c r="P17" i="2"/>
  <c r="P161" i="2" s="1"/>
  <c r="Q17" i="2"/>
  <c r="R17" i="2"/>
  <c r="R161" i="2" s="1"/>
  <c r="AK17" i="2"/>
  <c r="AM17" i="2"/>
  <c r="AM161" i="2" s="1"/>
  <c r="AN17" i="2"/>
  <c r="AN161" i="2" s="1"/>
  <c r="AO17" i="2"/>
  <c r="AP17" i="2"/>
  <c r="AR17" i="2"/>
  <c r="AR19" i="2" s="1"/>
  <c r="AS17" i="2"/>
  <c r="AT17" i="2"/>
  <c r="AT161" i="2" s="1"/>
  <c r="AU17" i="2"/>
  <c r="AU19" i="2" s="1"/>
  <c r="AW17" i="2"/>
  <c r="AW161" i="2" s="1"/>
  <c r="AX17" i="2"/>
  <c r="AY17" i="2"/>
  <c r="I18" i="2"/>
  <c r="J18" i="2"/>
  <c r="K18" i="2"/>
  <c r="L18" i="2"/>
  <c r="M18" i="2"/>
  <c r="N18" i="2"/>
  <c r="O18" i="2"/>
  <c r="P18" i="2"/>
  <c r="Q18" i="2"/>
  <c r="T18" i="2"/>
  <c r="V18" i="2"/>
  <c r="Y18" i="2"/>
  <c r="AA18" i="2"/>
  <c r="AB18" i="2"/>
  <c r="AC18" i="2"/>
  <c r="AD18" i="2"/>
  <c r="AE18" i="2"/>
  <c r="AF18" i="2"/>
  <c r="AG18" i="2"/>
  <c r="AH18" i="2"/>
  <c r="AI18" i="2"/>
  <c r="AJ18" i="2"/>
  <c r="AK18" i="2"/>
  <c r="AM18" i="2"/>
  <c r="AN18" i="2"/>
  <c r="AO18" i="2"/>
  <c r="AP18" i="2"/>
  <c r="AR18" i="2"/>
  <c r="AS18" i="2"/>
  <c r="AT18" i="2"/>
  <c r="AU18" i="2"/>
  <c r="AW18" i="2"/>
  <c r="AX18" i="2"/>
  <c r="AY18" i="2"/>
  <c r="AZ18" i="2"/>
  <c r="BB18" i="2"/>
  <c r="BC18" i="2"/>
  <c r="BD18" i="2"/>
  <c r="BG18" i="2"/>
  <c r="BH18" i="2"/>
  <c r="S21" i="2"/>
  <c r="AL21" i="2"/>
  <c r="AQ21" i="2"/>
  <c r="AV21" i="2"/>
  <c r="BA21" i="2"/>
  <c r="BF21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AK22" i="2"/>
  <c r="AM22" i="2"/>
  <c r="AN22" i="2"/>
  <c r="AO22" i="2"/>
  <c r="AP22" i="2"/>
  <c r="AR22" i="2"/>
  <c r="AS22" i="2"/>
  <c r="AT22" i="2"/>
  <c r="AU22" i="2"/>
  <c r="AW22" i="2"/>
  <c r="AX22" i="2"/>
  <c r="AY22" i="2"/>
  <c r="AZ22" i="2"/>
  <c r="G23" i="2"/>
  <c r="O23" i="2"/>
  <c r="AK23" i="2"/>
  <c r="AR23" i="2"/>
  <c r="AR37" i="2" s="1"/>
  <c r="AR40" i="2" s="1"/>
  <c r="AU23" i="2"/>
  <c r="AY23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R28" i="2"/>
  <c r="S28" i="2"/>
  <c r="T28" i="2"/>
  <c r="U28" i="2"/>
  <c r="W28" i="2"/>
  <c r="X28" i="2"/>
  <c r="AB28" i="2"/>
  <c r="AC28" i="2"/>
  <c r="AG28" i="2"/>
  <c r="AH28" i="2"/>
  <c r="AL28" i="2"/>
  <c r="AM28" i="2"/>
  <c r="AQ28" i="2"/>
  <c r="AR28" i="2"/>
  <c r="AV28" i="2"/>
  <c r="AW28" i="2"/>
  <c r="BA28" i="2"/>
  <c r="BB28" i="2"/>
  <c r="BF28" i="2"/>
  <c r="BG28" i="2"/>
  <c r="AE42" i="2"/>
  <c r="AL42" i="2"/>
  <c r="AQ42" i="2"/>
  <c r="AV42" i="2"/>
  <c r="BA42" i="2"/>
  <c r="BF42" i="2"/>
  <c r="CG42" i="2"/>
  <c r="CL42" i="2" s="1"/>
  <c r="CQ42" i="2" s="1"/>
  <c r="T48" i="2"/>
  <c r="U48" i="2"/>
  <c r="V48" i="2"/>
  <c r="X48" i="2"/>
  <c r="Y48" i="2"/>
  <c r="Z48" i="2"/>
  <c r="AA48" i="2"/>
  <c r="AC48" i="2"/>
  <c r="AD48" i="2"/>
  <c r="AE48" i="2"/>
  <c r="AF48" i="2"/>
  <c r="AG48" i="2"/>
  <c r="AH48" i="2"/>
  <c r="AI48" i="2"/>
  <c r="AJ48" i="2"/>
  <c r="AK48" i="2"/>
  <c r="AM48" i="2"/>
  <c r="AN48" i="2"/>
  <c r="AO48" i="2"/>
  <c r="AP48" i="2"/>
  <c r="AR48" i="2"/>
  <c r="AS48" i="2"/>
  <c r="AT48" i="2"/>
  <c r="AV48" i="2" s="1"/>
  <c r="AU48" i="2"/>
  <c r="H50" i="2"/>
  <c r="M50" i="2"/>
  <c r="R50" i="2"/>
  <c r="H51" i="2"/>
  <c r="M51" i="2"/>
  <c r="R51" i="2"/>
  <c r="AL53" i="2"/>
  <c r="AL59" i="2" s="1"/>
  <c r="AQ53" i="2"/>
  <c r="AV53" i="2"/>
  <c r="BA53" i="2"/>
  <c r="BA59" i="2" s="1"/>
  <c r="BF53" i="2"/>
  <c r="BF59" i="2" s="1"/>
  <c r="AL54" i="2"/>
  <c r="AQ54" i="2"/>
  <c r="AV54" i="2"/>
  <c r="AV61" i="2" s="1"/>
  <c r="BA54" i="2"/>
  <c r="BA61" i="2" s="1"/>
  <c r="BF54" i="2"/>
  <c r="AH56" i="2"/>
  <c r="AL56" i="2" s="1"/>
  <c r="AQ56" i="2"/>
  <c r="AV56" i="2"/>
  <c r="AZ56" i="2"/>
  <c r="BF56" i="2"/>
  <c r="BK56" i="2"/>
  <c r="AL57" i="2"/>
  <c r="AQ57" i="2"/>
  <c r="AV57" i="2"/>
  <c r="AX57" i="2"/>
  <c r="AY57" i="2"/>
  <c r="H58" i="2"/>
  <c r="M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L55" i="2" s="1"/>
  <c r="AH58" i="2"/>
  <c r="AI58" i="2"/>
  <c r="AJ58" i="2"/>
  <c r="AK55" i="2" s="1"/>
  <c r="AK58" i="2" s="1"/>
  <c r="AL58" i="2" s="1"/>
  <c r="H59" i="2"/>
  <c r="M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AK59" i="2"/>
  <c r="AK60" i="2" s="1"/>
  <c r="AM59" i="2"/>
  <c r="AN59" i="2"/>
  <c r="AO59" i="2"/>
  <c r="AP59" i="2"/>
  <c r="AQ59" i="2"/>
  <c r="AR59" i="2"/>
  <c r="AS59" i="2"/>
  <c r="AT59" i="2"/>
  <c r="AU59" i="2"/>
  <c r="AV59" i="2"/>
  <c r="AW59" i="2"/>
  <c r="AX59" i="2"/>
  <c r="AY59" i="2"/>
  <c r="AZ59" i="2"/>
  <c r="BB59" i="2"/>
  <c r="BC59" i="2"/>
  <c r="BD59" i="2"/>
  <c r="BE59" i="2"/>
  <c r="D61" i="2"/>
  <c r="E61" i="2"/>
  <c r="F61" i="2"/>
  <c r="G61" i="2"/>
  <c r="H61" i="2"/>
  <c r="H60" i="2"/>
  <c r="I61" i="2"/>
  <c r="J61" i="2"/>
  <c r="K61" i="2"/>
  <c r="L61" i="2"/>
  <c r="M61" i="2"/>
  <c r="N61" i="2"/>
  <c r="O61" i="2"/>
  <c r="P61" i="2"/>
  <c r="Q61" i="2"/>
  <c r="R61" i="2"/>
  <c r="S61" i="2"/>
  <c r="S60" i="2" s="1"/>
  <c r="T61" i="2"/>
  <c r="T60" i="2" s="1"/>
  <c r="U61" i="2"/>
  <c r="V61" i="2"/>
  <c r="V60" i="2" s="1"/>
  <c r="W61" i="2"/>
  <c r="W60" i="2" s="1"/>
  <c r="X61" i="2"/>
  <c r="X60" i="2" s="1"/>
  <c r="Y61" i="2"/>
  <c r="Y60" i="2" s="1"/>
  <c r="Z61" i="2"/>
  <c r="Z60" i="2" s="1"/>
  <c r="AA61" i="2"/>
  <c r="AA60" i="2" s="1"/>
  <c r="AB61" i="2"/>
  <c r="AB60" i="2" s="1"/>
  <c r="AC61" i="2"/>
  <c r="AD61" i="2"/>
  <c r="AD60" i="2" s="1"/>
  <c r="AE61" i="2"/>
  <c r="AE60" i="2" s="1"/>
  <c r="AF61" i="2"/>
  <c r="AG61" i="2"/>
  <c r="AH61" i="2"/>
  <c r="AH60" i="2"/>
  <c r="AI61" i="2"/>
  <c r="AI60" i="2" s="1"/>
  <c r="AJ61" i="2"/>
  <c r="AJ60" i="2" s="1"/>
  <c r="AL61" i="2"/>
  <c r="AM61" i="2"/>
  <c r="AM60" i="2" s="1"/>
  <c r="AN61" i="2"/>
  <c r="AO61" i="2"/>
  <c r="AP61" i="2"/>
  <c r="AP60" i="2" s="1"/>
  <c r="AQ61" i="2"/>
  <c r="AR61" i="2"/>
  <c r="AR60" i="2" s="1"/>
  <c r="AS61" i="2"/>
  <c r="AS60" i="2" s="1"/>
  <c r="AT61" i="2"/>
  <c r="AT60" i="2" s="1"/>
  <c r="AU61" i="2"/>
  <c r="AU60" i="2" s="1"/>
  <c r="AW61" i="2"/>
  <c r="AW60" i="2" s="1"/>
  <c r="AX61" i="2"/>
  <c r="AX60" i="2" s="1"/>
  <c r="AY61" i="2"/>
  <c r="AY60" i="2" s="1"/>
  <c r="AZ61" i="2"/>
  <c r="AZ60" i="2" s="1"/>
  <c r="BB61" i="2"/>
  <c r="BB60" i="2" s="1"/>
  <c r="BC61" i="2"/>
  <c r="BC60" i="2" s="1"/>
  <c r="BD61" i="2"/>
  <c r="BD60" i="2" s="1"/>
  <c r="BE61" i="2"/>
  <c r="BE60" i="2" s="1"/>
  <c r="BF61" i="2"/>
  <c r="BG61" i="2"/>
  <c r="D63" i="2"/>
  <c r="E63" i="2"/>
  <c r="H63" i="2"/>
  <c r="M63" i="2"/>
  <c r="AH63" i="2"/>
  <c r="AI63" i="2"/>
  <c r="AJ63" i="2"/>
  <c r="AK63" i="2"/>
  <c r="AL63" i="2"/>
  <c r="AM63" i="2"/>
  <c r="AN63" i="2"/>
  <c r="AO63" i="2"/>
  <c r="AP63" i="2"/>
  <c r="AQ63" i="2"/>
  <c r="AR63" i="2"/>
  <c r="AS63" i="2"/>
  <c r="AT63" i="2"/>
  <c r="AU63" i="2"/>
  <c r="AV63" i="2"/>
  <c r="AW63" i="2"/>
  <c r="AX63" i="2"/>
  <c r="AY63" i="2"/>
  <c r="AZ63" i="2"/>
  <c r="BA63" i="2"/>
  <c r="BB63" i="2"/>
  <c r="BC63" i="2"/>
  <c r="BD63" i="2"/>
  <c r="BE63" i="2"/>
  <c r="BF63" i="2"/>
  <c r="BG63" i="2"/>
  <c r="BH63" i="2"/>
  <c r="BI63" i="2"/>
  <c r="BJ63" i="2"/>
  <c r="BK63" i="2"/>
  <c r="BL63" i="2"/>
  <c r="BM63" i="2"/>
  <c r="BN63" i="2"/>
  <c r="BO63" i="2"/>
  <c r="BP63" i="2"/>
  <c r="BQ63" i="2"/>
  <c r="BR63" i="2"/>
  <c r="BS63" i="2"/>
  <c r="BT63" i="2"/>
  <c r="BU63" i="2"/>
  <c r="BV63" i="2"/>
  <c r="BW63" i="2"/>
  <c r="BX63" i="2"/>
  <c r="BY63" i="2"/>
  <c r="BZ63" i="2"/>
  <c r="CA63" i="2"/>
  <c r="CB63" i="2"/>
  <c r="CC63" i="2"/>
  <c r="CD63" i="2"/>
  <c r="CE63" i="2"/>
  <c r="CF63" i="2"/>
  <c r="CG63" i="2"/>
  <c r="CH63" i="2"/>
  <c r="CI63" i="2"/>
  <c r="CJ63" i="2"/>
  <c r="CK63" i="2"/>
  <c r="CL63" i="2"/>
  <c r="CM63" i="2"/>
  <c r="CN63" i="2"/>
  <c r="CO63" i="2"/>
  <c r="CP63" i="2"/>
  <c r="CQ63" i="2"/>
  <c r="CR63" i="2"/>
  <c r="CS63" i="2"/>
  <c r="CT63" i="2"/>
  <c r="H66" i="2"/>
  <c r="M66" i="2"/>
  <c r="N66" i="2"/>
  <c r="N72" i="2" s="1"/>
  <c r="N80" i="2" s="1"/>
  <c r="R66" i="2"/>
  <c r="W66" i="2"/>
  <c r="AB66" i="2"/>
  <c r="AG66" i="2"/>
  <c r="AQ66" i="2"/>
  <c r="H67" i="2"/>
  <c r="M67" i="2"/>
  <c r="R67" i="2"/>
  <c r="W67" i="2"/>
  <c r="AB67" i="2"/>
  <c r="AG67" i="2"/>
  <c r="AL67" i="2"/>
  <c r="AQ67" i="2"/>
  <c r="AV67" i="2"/>
  <c r="BA67" i="2"/>
  <c r="BF67" i="2"/>
  <c r="BK67" i="2"/>
  <c r="H68" i="2"/>
  <c r="M68" i="2"/>
  <c r="R68" i="2"/>
  <c r="W68" i="2"/>
  <c r="AB68" i="2"/>
  <c r="AG68" i="2"/>
  <c r="AL68" i="2"/>
  <c r="AQ68" i="2"/>
  <c r="AV68" i="2"/>
  <c r="BA68" i="2"/>
  <c r="BF68" i="2"/>
  <c r="BK68" i="2"/>
  <c r="H69" i="2"/>
  <c r="M69" i="2"/>
  <c r="R69" i="2"/>
  <c r="W69" i="2"/>
  <c r="AB69" i="2"/>
  <c r="AG69" i="2"/>
  <c r="AL69" i="2"/>
  <c r="AQ69" i="2"/>
  <c r="AV69" i="2"/>
  <c r="BA69" i="2"/>
  <c r="BF69" i="2"/>
  <c r="H70" i="2"/>
  <c r="M70" i="2"/>
  <c r="R70" i="2"/>
  <c r="W70" i="2"/>
  <c r="AB70" i="2"/>
  <c r="AG70" i="2"/>
  <c r="AL70" i="2"/>
  <c r="AQ70" i="2"/>
  <c r="AV70" i="2"/>
  <c r="BA70" i="2"/>
  <c r="BF70" i="2"/>
  <c r="H71" i="2"/>
  <c r="M71" i="2"/>
  <c r="R71" i="2"/>
  <c r="W71" i="2"/>
  <c r="AB71" i="2"/>
  <c r="AG71" i="2"/>
  <c r="AL71" i="2"/>
  <c r="AQ71" i="2"/>
  <c r="AV71" i="2"/>
  <c r="BA71" i="2"/>
  <c r="BF71" i="2"/>
  <c r="D72" i="2"/>
  <c r="D80" i="2" s="1"/>
  <c r="E72" i="2"/>
  <c r="F72" i="2"/>
  <c r="F80" i="2" s="1"/>
  <c r="G72" i="2"/>
  <c r="G80" i="2" s="1"/>
  <c r="I72" i="2"/>
  <c r="I80" i="2" s="1"/>
  <c r="J72" i="2"/>
  <c r="J80" i="2" s="1"/>
  <c r="K72" i="2"/>
  <c r="K80" i="2" s="1"/>
  <c r="L72" i="2"/>
  <c r="L80" i="2" s="1"/>
  <c r="O72" i="2"/>
  <c r="O80" i="2" s="1"/>
  <c r="P72" i="2"/>
  <c r="P80" i="2" s="1"/>
  <c r="Q72" i="2"/>
  <c r="S72" i="2"/>
  <c r="T72" i="2"/>
  <c r="T80" i="2" s="1"/>
  <c r="U72" i="2"/>
  <c r="V72" i="2"/>
  <c r="V80" i="2" s="1"/>
  <c r="X72" i="2"/>
  <c r="X80" i="2" s="1"/>
  <c r="Y72" i="2"/>
  <c r="Y80" i="2" s="1"/>
  <c r="Z72" i="2"/>
  <c r="AA72" i="2"/>
  <c r="AA80" i="2" s="1"/>
  <c r="AC72" i="2"/>
  <c r="AD72" i="2"/>
  <c r="AD80" i="2" s="1"/>
  <c r="AE72" i="2"/>
  <c r="AE80" i="2" s="1"/>
  <c r="AF72" i="2"/>
  <c r="AF80" i="2" s="1"/>
  <c r="AF192" i="2" s="1"/>
  <c r="AH72" i="2"/>
  <c r="AH80" i="2" s="1"/>
  <c r="AI72" i="2"/>
  <c r="AI80" i="2" s="1"/>
  <c r="AJ72" i="2"/>
  <c r="AJ80" i="2" s="1"/>
  <c r="AJ192" i="2" s="1"/>
  <c r="AK72" i="2"/>
  <c r="AO72" i="2"/>
  <c r="AO80" i="2" s="1"/>
  <c r="AP72" i="2"/>
  <c r="AP80" i="2" s="1"/>
  <c r="AR72" i="2"/>
  <c r="AR80" i="2" s="1"/>
  <c r="AR192" i="2" s="1"/>
  <c r="AS72" i="2"/>
  <c r="AT72" i="2"/>
  <c r="AU72" i="2"/>
  <c r="AU80" i="2" s="1"/>
  <c r="AU192" i="2" s="1"/>
  <c r="AW72" i="2"/>
  <c r="AW80" i="2" s="1"/>
  <c r="AW192" i="2" s="1"/>
  <c r="AX72" i="2"/>
  <c r="AX80" i="2" s="1"/>
  <c r="AY72" i="2"/>
  <c r="AY80" i="2" s="1"/>
  <c r="AY192" i="2" s="1"/>
  <c r="BB72" i="2"/>
  <c r="BB80" i="2" s="1"/>
  <c r="BB192" i="2" s="1"/>
  <c r="BD72" i="2"/>
  <c r="BD80" i="2" s="1"/>
  <c r="BD192" i="2" s="1"/>
  <c r="BE72" i="2"/>
  <c r="BE80" i="2" s="1"/>
  <c r="BE192" i="2" s="1"/>
  <c r="H74" i="2"/>
  <c r="M74" i="2"/>
  <c r="R74" i="2"/>
  <c r="W74" i="2"/>
  <c r="AB74" i="2"/>
  <c r="AG74" i="2"/>
  <c r="AL74" i="2"/>
  <c r="AQ74" i="2"/>
  <c r="AV74" i="2"/>
  <c r="BA74" i="2"/>
  <c r="BF74" i="2"/>
  <c r="BK171" i="2" s="1"/>
  <c r="H75" i="2"/>
  <c r="M75" i="2"/>
  <c r="R75" i="2"/>
  <c r="W75" i="2"/>
  <c r="AB75" i="2"/>
  <c r="AG75" i="2"/>
  <c r="AL75" i="2"/>
  <c r="AQ75" i="2"/>
  <c r="AV75" i="2"/>
  <c r="BA75" i="2"/>
  <c r="BF75" i="2"/>
  <c r="BK75" i="2"/>
  <c r="H76" i="2"/>
  <c r="M76" i="2"/>
  <c r="R76" i="2"/>
  <c r="S76" i="2"/>
  <c r="S80" i="2" s="1"/>
  <c r="W76" i="2"/>
  <c r="AB76" i="2"/>
  <c r="AG76" i="2"/>
  <c r="AL76" i="2"/>
  <c r="AQ76" i="2"/>
  <c r="AV76" i="2"/>
  <c r="BA76" i="2"/>
  <c r="BF76" i="2"/>
  <c r="BK76" i="2"/>
  <c r="H77" i="2"/>
  <c r="M77" i="2"/>
  <c r="R77" i="2"/>
  <c r="W77" i="2"/>
  <c r="AB77" i="2"/>
  <c r="AG77" i="2"/>
  <c r="AL77" i="2"/>
  <c r="AQ77" i="2"/>
  <c r="AV77" i="2"/>
  <c r="BA77" i="2"/>
  <c r="BF77" i="2"/>
  <c r="BK77" i="2"/>
  <c r="H78" i="2"/>
  <c r="M78" i="2"/>
  <c r="R78" i="2"/>
  <c r="W78" i="2"/>
  <c r="AB78" i="2"/>
  <c r="AG78" i="2"/>
  <c r="AL78" i="2"/>
  <c r="AQ78" i="2"/>
  <c r="AV78" i="2"/>
  <c r="BA78" i="2"/>
  <c r="BF78" i="2"/>
  <c r="BK78" i="2"/>
  <c r="H79" i="2"/>
  <c r="M79" i="2"/>
  <c r="R79" i="2"/>
  <c r="W79" i="2"/>
  <c r="AB79" i="2"/>
  <c r="AG79" i="2"/>
  <c r="AL79" i="2"/>
  <c r="AQ79" i="2"/>
  <c r="AV79" i="2"/>
  <c r="BA79" i="2"/>
  <c r="BF79" i="2"/>
  <c r="BK79" i="2"/>
  <c r="E80" i="2"/>
  <c r="Q80" i="2"/>
  <c r="U80" i="2"/>
  <c r="Z80" i="2"/>
  <c r="AC80" i="2"/>
  <c r="AK80" i="2"/>
  <c r="AS80" i="2"/>
  <c r="AS192" i="2" s="1"/>
  <c r="AT80" i="2"/>
  <c r="AT192" i="2" s="1"/>
  <c r="H83" i="2"/>
  <c r="M83" i="2"/>
  <c r="R83" i="2"/>
  <c r="W83" i="2"/>
  <c r="AB83" i="2"/>
  <c r="AG83" i="2"/>
  <c r="AQ83" i="2"/>
  <c r="AV83" i="2"/>
  <c r="BA83" i="2"/>
  <c r="BF83" i="2"/>
  <c r="H84" i="2"/>
  <c r="M84" i="2"/>
  <c r="R84" i="2"/>
  <c r="W84" i="2"/>
  <c r="AB84" i="2"/>
  <c r="AG84" i="2"/>
  <c r="AL84" i="2"/>
  <c r="AQ84" i="2"/>
  <c r="AV84" i="2"/>
  <c r="BA84" i="2"/>
  <c r="BF84" i="2"/>
  <c r="BK84" i="2"/>
  <c r="BP84" i="2" s="1"/>
  <c r="BV84" i="2" s="1"/>
  <c r="BW84" i="2" s="1"/>
  <c r="BX84" i="2" s="1"/>
  <c r="BY84" i="2" s="1"/>
  <c r="BZ84" i="2" s="1"/>
  <c r="CA84" i="2" s="1"/>
  <c r="CB84" i="2" s="1"/>
  <c r="CC84" i="2" s="1"/>
  <c r="CD84" i="2" s="1"/>
  <c r="CE84" i="2" s="1"/>
  <c r="CF84" i="2" s="1"/>
  <c r="CG84" i="2" s="1"/>
  <c r="CH84" i="2" s="1"/>
  <c r="CI84" i="2" s="1"/>
  <c r="CJ84" i="2" s="1"/>
  <c r="CK84" i="2" s="1"/>
  <c r="CL84" i="2" s="1"/>
  <c r="CM84" i="2" s="1"/>
  <c r="CN84" i="2" s="1"/>
  <c r="CO84" i="2" s="1"/>
  <c r="CP84" i="2" s="1"/>
  <c r="CQ84" i="2" s="1"/>
  <c r="CR84" i="2" s="1"/>
  <c r="CS84" i="2" s="1"/>
  <c r="CT84" i="2" s="1"/>
  <c r="H85" i="2"/>
  <c r="M85" i="2"/>
  <c r="R85" i="2"/>
  <c r="W85" i="2"/>
  <c r="AB85" i="2"/>
  <c r="AG85" i="2"/>
  <c r="AL85" i="2"/>
  <c r="AQ85" i="2"/>
  <c r="AV85" i="2"/>
  <c r="BA85" i="2"/>
  <c r="BF85" i="2"/>
  <c r="H86" i="2"/>
  <c r="M86" i="2"/>
  <c r="R86" i="2"/>
  <c r="W86" i="2"/>
  <c r="AB86" i="2"/>
  <c r="AG86" i="2"/>
  <c r="AL86" i="2"/>
  <c r="AQ86" i="2"/>
  <c r="AV86" i="2"/>
  <c r="BA86" i="2"/>
  <c r="BF86" i="2"/>
  <c r="D87" i="2"/>
  <c r="D93" i="2" s="1"/>
  <c r="E87" i="2"/>
  <c r="E93" i="2" s="1"/>
  <c r="F87" i="2"/>
  <c r="F93" i="2" s="1"/>
  <c r="G87" i="2"/>
  <c r="I87" i="2"/>
  <c r="I93" i="2" s="1"/>
  <c r="J87" i="2"/>
  <c r="J93" i="2" s="1"/>
  <c r="K87" i="2"/>
  <c r="L87" i="2"/>
  <c r="L93" i="2" s="1"/>
  <c r="N87" i="2"/>
  <c r="O87" i="2"/>
  <c r="O93" i="2" s="1"/>
  <c r="P87" i="2"/>
  <c r="P93" i="2" s="1"/>
  <c r="Q87" i="2"/>
  <c r="Q93" i="2" s="1"/>
  <c r="S87" i="2"/>
  <c r="S93" i="2" s="1"/>
  <c r="T87" i="2"/>
  <c r="T93" i="2" s="1"/>
  <c r="U87" i="2"/>
  <c r="U93" i="2" s="1"/>
  <c r="V87" i="2"/>
  <c r="W87" i="2" s="1"/>
  <c r="X87" i="2"/>
  <c r="X93" i="2" s="1"/>
  <c r="Y87" i="2"/>
  <c r="Y93" i="2" s="1"/>
  <c r="Z87" i="2"/>
  <c r="Z93" i="2" s="1"/>
  <c r="AA87" i="2"/>
  <c r="AA93" i="2" s="1"/>
  <c r="AC87" i="2"/>
  <c r="AC93" i="2" s="1"/>
  <c r="AD87" i="2"/>
  <c r="AD93" i="2" s="1"/>
  <c r="AD105" i="2" s="1"/>
  <c r="AE87" i="2"/>
  <c r="AE93" i="2" s="1"/>
  <c r="AF87" i="2"/>
  <c r="AG87" i="2" s="1"/>
  <c r="AH87" i="2"/>
  <c r="AH93" i="2" s="1"/>
  <c r="AI87" i="2"/>
  <c r="AI93" i="2" s="1"/>
  <c r="AJ87" i="2"/>
  <c r="AJ93" i="2" s="1"/>
  <c r="AK87" i="2"/>
  <c r="AL87" i="2" s="1"/>
  <c r="AM87" i="2"/>
  <c r="AN87" i="2"/>
  <c r="AN93" i="2" s="1"/>
  <c r="AO87" i="2"/>
  <c r="AO93" i="2" s="1"/>
  <c r="AP87" i="2"/>
  <c r="AQ87" i="2" s="1"/>
  <c r="AR87" i="2"/>
  <c r="AR93" i="2" s="1"/>
  <c r="AS87" i="2"/>
  <c r="AS93" i="2" s="1"/>
  <c r="AT87" i="2"/>
  <c r="AT93" i="2" s="1"/>
  <c r="AU87" i="2"/>
  <c r="AV87" i="2" s="1"/>
  <c r="AW87" i="2"/>
  <c r="AW93" i="2" s="1"/>
  <c r="AX87" i="2"/>
  <c r="AX93" i="2" s="1"/>
  <c r="AY87" i="2"/>
  <c r="AY93" i="2" s="1"/>
  <c r="AZ87" i="2"/>
  <c r="BA87" i="2" s="1"/>
  <c r="BB87" i="2"/>
  <c r="BB93" i="2" s="1"/>
  <c r="BC87" i="2"/>
  <c r="BC93" i="2" s="1"/>
  <c r="BD87" i="2"/>
  <c r="BD93" i="2" s="1"/>
  <c r="BE87" i="2"/>
  <c r="BF87" i="2" s="1"/>
  <c r="H89" i="2"/>
  <c r="M89" i="2"/>
  <c r="R89" i="2"/>
  <c r="W89" i="2"/>
  <c r="AB89" i="2"/>
  <c r="AG89" i="2"/>
  <c r="AL89" i="2"/>
  <c r="AQ89" i="2"/>
  <c r="AV89" i="2"/>
  <c r="BA89" i="2"/>
  <c r="BF89" i="2"/>
  <c r="BK89" i="2"/>
  <c r="H90" i="2"/>
  <c r="M90" i="2"/>
  <c r="R90" i="2"/>
  <c r="W90" i="2"/>
  <c r="AB90" i="2"/>
  <c r="AG90" i="2"/>
  <c r="AL90" i="2"/>
  <c r="AQ90" i="2"/>
  <c r="AV90" i="2"/>
  <c r="BA90" i="2"/>
  <c r="BF90" i="2"/>
  <c r="H91" i="2"/>
  <c r="M91" i="2"/>
  <c r="R91" i="2"/>
  <c r="W91" i="2"/>
  <c r="AB91" i="2"/>
  <c r="AG91" i="2"/>
  <c r="AL91" i="2"/>
  <c r="AQ91" i="2"/>
  <c r="AV91" i="2"/>
  <c r="BA91" i="2"/>
  <c r="BF91" i="2"/>
  <c r="BK91" i="2"/>
  <c r="H92" i="2"/>
  <c r="M92" i="2"/>
  <c r="R92" i="2"/>
  <c r="W92" i="2"/>
  <c r="AB92" i="2"/>
  <c r="AG92" i="2"/>
  <c r="AL92" i="2"/>
  <c r="AQ92" i="2"/>
  <c r="AV92" i="2"/>
  <c r="BA92" i="2"/>
  <c r="BF92" i="2"/>
  <c r="G93" i="2"/>
  <c r="K93" i="2"/>
  <c r="N93" i="2"/>
  <c r="AM93" i="2"/>
  <c r="AU93" i="2"/>
  <c r="H96" i="2"/>
  <c r="M96" i="2"/>
  <c r="R96" i="2"/>
  <c r="W96" i="2"/>
  <c r="AB96" i="2"/>
  <c r="AG96" i="2"/>
  <c r="AL96" i="2"/>
  <c r="AQ96" i="2"/>
  <c r="AV96" i="2"/>
  <c r="BA96" i="2"/>
  <c r="BF96" i="2"/>
  <c r="BK96" i="2"/>
  <c r="D97" i="2"/>
  <c r="E97" i="2"/>
  <c r="E103" i="2" s="1"/>
  <c r="F97" i="2"/>
  <c r="F103" i="2" s="1"/>
  <c r="F105" i="2" s="1"/>
  <c r="G97" i="2"/>
  <c r="G103" i="2" s="1"/>
  <c r="I97" i="2"/>
  <c r="I103" i="2" s="1"/>
  <c r="J97" i="2"/>
  <c r="J103" i="2" s="1"/>
  <c r="K97" i="2"/>
  <c r="K103" i="2" s="1"/>
  <c r="K105" i="2" s="1"/>
  <c r="L97" i="2"/>
  <c r="M97" i="2" s="1"/>
  <c r="N97" i="2"/>
  <c r="N103" i="2" s="1"/>
  <c r="O97" i="2"/>
  <c r="O103" i="2" s="1"/>
  <c r="O105" i="2" s="1"/>
  <c r="P97" i="2"/>
  <c r="P103" i="2" s="1"/>
  <c r="P105" i="2" s="1"/>
  <c r="Q97" i="2"/>
  <c r="R97" i="2" s="1"/>
  <c r="S97" i="2"/>
  <c r="S103" i="2" s="1"/>
  <c r="W97" i="2"/>
  <c r="AB97" i="2"/>
  <c r="AG97" i="2"/>
  <c r="AL97" i="2"/>
  <c r="AQ97" i="2"/>
  <c r="AV97" i="2"/>
  <c r="BA97" i="2"/>
  <c r="BF97" i="2"/>
  <c r="BK97" i="2"/>
  <c r="H98" i="2"/>
  <c r="M98" i="2"/>
  <c r="R98" i="2"/>
  <c r="W98" i="2"/>
  <c r="AB98" i="2"/>
  <c r="AG98" i="2"/>
  <c r="AL98" i="2"/>
  <c r="AQ98" i="2"/>
  <c r="AV98" i="2"/>
  <c r="BA98" i="2"/>
  <c r="BF98" i="2"/>
  <c r="BK98" i="2"/>
  <c r="H99" i="2"/>
  <c r="M99" i="2"/>
  <c r="R99" i="2"/>
  <c r="W99" i="2"/>
  <c r="AB99" i="2"/>
  <c r="AG99" i="2"/>
  <c r="AL99" i="2"/>
  <c r="AQ99" i="2"/>
  <c r="AV99" i="2"/>
  <c r="BA99" i="2"/>
  <c r="BF99" i="2"/>
  <c r="BK99" i="2"/>
  <c r="H100" i="2"/>
  <c r="M100" i="2"/>
  <c r="R100" i="2"/>
  <c r="W100" i="2"/>
  <c r="AB100" i="2"/>
  <c r="AG100" i="2"/>
  <c r="AL100" i="2"/>
  <c r="AQ100" i="2"/>
  <c r="AV100" i="2"/>
  <c r="BA100" i="2"/>
  <c r="BF100" i="2"/>
  <c r="H101" i="2"/>
  <c r="M101" i="2"/>
  <c r="R101" i="2"/>
  <c r="W101" i="2"/>
  <c r="AB101" i="2"/>
  <c r="AG101" i="2"/>
  <c r="AL101" i="2"/>
  <c r="AQ101" i="2"/>
  <c r="AV101" i="2"/>
  <c r="BA101" i="2"/>
  <c r="BF101" i="2"/>
  <c r="BK101" i="2"/>
  <c r="BP101" i="2" s="1"/>
  <c r="BU101" i="2" s="1"/>
  <c r="BV101" i="2" s="1"/>
  <c r="BW101" i="2" s="1"/>
  <c r="BX101" i="2" s="1"/>
  <c r="BY101" i="2" s="1"/>
  <c r="BZ101" i="2" s="1"/>
  <c r="CA101" i="2" s="1"/>
  <c r="CB101" i="2" s="1"/>
  <c r="CC101" i="2" s="1"/>
  <c r="CD101" i="2" s="1"/>
  <c r="CE101" i="2" s="1"/>
  <c r="CF101" i="2" s="1"/>
  <c r="CG101" i="2" s="1"/>
  <c r="CH101" i="2" s="1"/>
  <c r="CI101" i="2" s="1"/>
  <c r="CJ101" i="2" s="1"/>
  <c r="CK101" i="2" s="1"/>
  <c r="CL101" i="2" s="1"/>
  <c r="CM101" i="2" s="1"/>
  <c r="CN101" i="2" s="1"/>
  <c r="CO101" i="2" s="1"/>
  <c r="CP101" i="2" s="1"/>
  <c r="CQ101" i="2" s="1"/>
  <c r="CR101" i="2" s="1"/>
  <c r="CS101" i="2" s="1"/>
  <c r="CT101" i="2" s="1"/>
  <c r="H102" i="2"/>
  <c r="M102" i="2"/>
  <c r="R102" i="2"/>
  <c r="W102" i="2"/>
  <c r="AB102" i="2"/>
  <c r="AG102" i="2"/>
  <c r="AL102" i="2"/>
  <c r="AQ102" i="2"/>
  <c r="AV102" i="2"/>
  <c r="BA102" i="2"/>
  <c r="BF102" i="2"/>
  <c r="D103" i="2"/>
  <c r="T103" i="2"/>
  <c r="T105" i="2" s="1"/>
  <c r="U103" i="2"/>
  <c r="V103" i="2"/>
  <c r="X103" i="2"/>
  <c r="Y103" i="2"/>
  <c r="Z103" i="2"/>
  <c r="AA103" i="2"/>
  <c r="AC103" i="2"/>
  <c r="AD103" i="2"/>
  <c r="AE103" i="2"/>
  <c r="AF103" i="2"/>
  <c r="AH103" i="2"/>
  <c r="AI103" i="2"/>
  <c r="AI105" i="2" s="1"/>
  <c r="AJ103" i="2"/>
  <c r="AK103" i="2"/>
  <c r="AM103" i="2"/>
  <c r="AM66" i="2" s="1"/>
  <c r="AN103" i="2"/>
  <c r="AN66" i="2" s="1"/>
  <c r="AN72" i="2" s="1"/>
  <c r="AN80" i="2" s="1"/>
  <c r="AO103" i="2"/>
  <c r="AP103" i="2"/>
  <c r="AR103" i="2"/>
  <c r="AS103" i="2"/>
  <c r="AT103" i="2"/>
  <c r="AT105" i="2" s="1"/>
  <c r="AU103" i="2"/>
  <c r="AW103" i="2"/>
  <c r="AW105" i="2" s="1"/>
  <c r="AX103" i="2"/>
  <c r="AY103" i="2"/>
  <c r="AY105" i="2" s="1"/>
  <c r="AZ103" i="2"/>
  <c r="AZ66" i="2" s="1"/>
  <c r="BB103" i="2"/>
  <c r="BC103" i="2"/>
  <c r="BD103" i="2"/>
  <c r="BE103" i="2"/>
  <c r="BG103" i="2"/>
  <c r="BH103" i="2"/>
  <c r="D109" i="2"/>
  <c r="E109" i="2"/>
  <c r="H109" i="2"/>
  <c r="M109" i="2"/>
  <c r="AH109" i="2"/>
  <c r="AI109" i="2"/>
  <c r="AJ109" i="2"/>
  <c r="AK109" i="2"/>
  <c r="AL109" i="2"/>
  <c r="AM109" i="2"/>
  <c r="AN109" i="2"/>
  <c r="AO109" i="2"/>
  <c r="AP109" i="2"/>
  <c r="AQ109" i="2"/>
  <c r="AR109" i="2"/>
  <c r="AS109" i="2"/>
  <c r="AT109" i="2"/>
  <c r="AU109" i="2"/>
  <c r="AV109" i="2"/>
  <c r="AW109" i="2"/>
  <c r="AX109" i="2"/>
  <c r="AY109" i="2"/>
  <c r="AZ109" i="2"/>
  <c r="BA109" i="2"/>
  <c r="BB109" i="2"/>
  <c r="BC109" i="2"/>
  <c r="BD109" i="2"/>
  <c r="BE109" i="2"/>
  <c r="BF109" i="2"/>
  <c r="BG109" i="2"/>
  <c r="BH109" i="2"/>
  <c r="BI109" i="2"/>
  <c r="BJ109" i="2"/>
  <c r="BK109" i="2"/>
  <c r="BL109" i="2"/>
  <c r="BM109" i="2"/>
  <c r="BN109" i="2"/>
  <c r="BO109" i="2"/>
  <c r="BP109" i="2"/>
  <c r="BQ109" i="2"/>
  <c r="BR109" i="2"/>
  <c r="BS109" i="2"/>
  <c r="BT109" i="2"/>
  <c r="BU109" i="2"/>
  <c r="BV109" i="2"/>
  <c r="BW109" i="2"/>
  <c r="BX109" i="2"/>
  <c r="BY109" i="2"/>
  <c r="BZ109" i="2"/>
  <c r="CA109" i="2"/>
  <c r="CB109" i="2"/>
  <c r="CC109" i="2"/>
  <c r="CD109" i="2"/>
  <c r="CE109" i="2"/>
  <c r="CF109" i="2"/>
  <c r="CG109" i="2"/>
  <c r="CH109" i="2"/>
  <c r="CI109" i="2"/>
  <c r="CJ109" i="2"/>
  <c r="CK109" i="2"/>
  <c r="CL109" i="2"/>
  <c r="CM109" i="2"/>
  <c r="CN109" i="2"/>
  <c r="CO109" i="2"/>
  <c r="CP109" i="2"/>
  <c r="CQ109" i="2"/>
  <c r="CR109" i="2"/>
  <c r="CS109" i="2"/>
  <c r="CT109" i="2"/>
  <c r="Q113" i="2"/>
  <c r="Q28" i="2" s="1"/>
  <c r="V113" i="2"/>
  <c r="V28" i="2" s="1"/>
  <c r="Y113" i="2"/>
  <c r="Y28" i="2" s="1"/>
  <c r="AD113" i="2"/>
  <c r="AE113" i="2" s="1"/>
  <c r="AE28" i="2" s="1"/>
  <c r="AI113" i="2"/>
  <c r="AJ113" i="2" s="1"/>
  <c r="AJ28" i="2" s="1"/>
  <c r="AN113" i="2"/>
  <c r="AN28" i="2" s="1"/>
  <c r="AS113" i="2"/>
  <c r="AS28" i="2" s="1"/>
  <c r="AX113" i="2"/>
  <c r="AY113" i="2" s="1"/>
  <c r="AY28" i="2" s="1"/>
  <c r="AY29" i="2" s="1"/>
  <c r="AY30" i="2" s="1"/>
  <c r="BC113" i="2"/>
  <c r="BD113" i="2" s="1"/>
  <c r="BD28" i="2" s="1"/>
  <c r="BH113" i="2"/>
  <c r="Q114" i="2"/>
  <c r="V114" i="2"/>
  <c r="Y114" i="2"/>
  <c r="AD114" i="2"/>
  <c r="AE114" i="2" s="1"/>
  <c r="AF114" i="2" s="1"/>
  <c r="AI114" i="2"/>
  <c r="AN114" i="2"/>
  <c r="AO114" i="2" s="1"/>
  <c r="AS114" i="2"/>
  <c r="AX114" i="2"/>
  <c r="AY114" i="2" s="1"/>
  <c r="BC114" i="2"/>
  <c r="BD114" i="2" s="1"/>
  <c r="BE114" i="2" s="1"/>
  <c r="BH114" i="2"/>
  <c r="BV114" i="2"/>
  <c r="CA114" i="2" s="1"/>
  <c r="CF114" i="2" s="1"/>
  <c r="CK114" i="2" s="1"/>
  <c r="CP114" i="2" s="1"/>
  <c r="E115" i="2"/>
  <c r="G115" i="2" s="1"/>
  <c r="M115" i="2"/>
  <c r="L115" i="2" s="1"/>
  <c r="P115" i="2"/>
  <c r="Q115" i="2" s="1"/>
  <c r="S115" i="2"/>
  <c r="T115" i="2" s="1"/>
  <c r="Y115" i="2"/>
  <c r="AD115" i="2"/>
  <c r="AE115" i="2" s="1"/>
  <c r="AI115" i="2"/>
  <c r="AO115" i="2"/>
  <c r="AP115" i="2" s="1"/>
  <c r="AS115" i="2"/>
  <c r="AT115" i="2" s="1"/>
  <c r="AX115" i="2"/>
  <c r="AY115" i="2" s="1"/>
  <c r="BC115" i="2"/>
  <c r="BH115" i="2"/>
  <c r="E116" i="2"/>
  <c r="G116" i="2" s="1"/>
  <c r="M116" i="2"/>
  <c r="L116" i="2" s="1"/>
  <c r="P116" i="2"/>
  <c r="Q116" i="2" s="1"/>
  <c r="S116" i="2"/>
  <c r="Y116" i="2"/>
  <c r="Z116" i="2" s="1"/>
  <c r="AD116" i="2"/>
  <c r="AE116" i="2" s="1"/>
  <c r="AF116" i="2" s="1"/>
  <c r="AI116" i="2"/>
  <c r="AN116" i="2"/>
  <c r="AS116" i="2"/>
  <c r="AT116" i="2" s="1"/>
  <c r="AX116" i="2"/>
  <c r="BC116" i="2"/>
  <c r="BD116" i="2" s="1"/>
  <c r="BE116" i="2" s="1"/>
  <c r="BH116" i="2"/>
  <c r="Q117" i="2"/>
  <c r="V117" i="2"/>
  <c r="Y117" i="2"/>
  <c r="AD117" i="2"/>
  <c r="AE117" i="2" s="1"/>
  <c r="AI117" i="2"/>
  <c r="AN117" i="2"/>
  <c r="AO117" i="2" s="1"/>
  <c r="AS117" i="2"/>
  <c r="AT117" i="2" s="1"/>
  <c r="AU117" i="2" s="1"/>
  <c r="AX117" i="2"/>
  <c r="BC117" i="2"/>
  <c r="BH117" i="2"/>
  <c r="P118" i="2"/>
  <c r="Q118" i="2" s="1"/>
  <c r="V118" i="2"/>
  <c r="Y118" i="2"/>
  <c r="Z118" i="2" s="1"/>
  <c r="AD118" i="2"/>
  <c r="AI118" i="2"/>
  <c r="AP118" i="2"/>
  <c r="AU118" i="2"/>
  <c r="AZ118" i="2"/>
  <c r="Y119" i="2"/>
  <c r="Z119" i="2" s="1"/>
  <c r="AA119" i="2" s="1"/>
  <c r="AD119" i="2"/>
  <c r="AI119" i="2"/>
  <c r="AN119" i="2"/>
  <c r="AO119" i="2" s="1"/>
  <c r="AU119" i="2"/>
  <c r="AW119" i="2"/>
  <c r="AX119" i="2" s="1"/>
  <c r="BA119" i="2"/>
  <c r="BB119" i="2"/>
  <c r="BC119" i="2"/>
  <c r="BH119" i="2"/>
  <c r="CA119" i="2"/>
  <c r="CF119" i="2" s="1"/>
  <c r="CK119" i="2" s="1"/>
  <c r="CP119" i="2" s="1"/>
  <c r="N122" i="2"/>
  <c r="O122" i="2"/>
  <c r="P122" i="2" s="1"/>
  <c r="Q122" i="2" s="1"/>
  <c r="T122" i="2"/>
  <c r="U122" i="2" s="1"/>
  <c r="V122" i="2" s="1"/>
  <c r="Y122" i="2"/>
  <c r="AD122" i="2"/>
  <c r="AI122" i="2"/>
  <c r="AJ122" i="2" s="1"/>
  <c r="AN122" i="2"/>
  <c r="AO122" i="2" s="1"/>
  <c r="AP122" i="2" s="1"/>
  <c r="AS122" i="2"/>
  <c r="AT122" i="2" s="1"/>
  <c r="AU122" i="2" s="1"/>
  <c r="AX122" i="2"/>
  <c r="BC122" i="2"/>
  <c r="BD122" i="2" s="1"/>
  <c r="BH122" i="2"/>
  <c r="BI122" i="2" s="1"/>
  <c r="N123" i="2"/>
  <c r="T123" i="2"/>
  <c r="U123" i="2" s="1"/>
  <c r="V123" i="2" s="1"/>
  <c r="Y123" i="2"/>
  <c r="AD123" i="2"/>
  <c r="AE123" i="2" s="1"/>
  <c r="AI123" i="2"/>
  <c r="AN123" i="2"/>
  <c r="AO123" i="2" s="1"/>
  <c r="AS123" i="2"/>
  <c r="AT123" i="2" s="1"/>
  <c r="AU123" i="2" s="1"/>
  <c r="AX123" i="2"/>
  <c r="BC123" i="2"/>
  <c r="BH123" i="2"/>
  <c r="N124" i="2"/>
  <c r="O124" i="2"/>
  <c r="T124" i="2"/>
  <c r="Y124" i="2"/>
  <c r="Z124" i="2" s="1"/>
  <c r="AD124" i="2"/>
  <c r="AE124" i="2" s="1"/>
  <c r="AI124" i="2"/>
  <c r="AN124" i="2"/>
  <c r="AS124" i="2"/>
  <c r="AT124" i="2" s="1"/>
  <c r="AX124" i="2"/>
  <c r="BC124" i="2"/>
  <c r="BD124" i="2" s="1"/>
  <c r="BH124" i="2"/>
  <c r="N125" i="2"/>
  <c r="T125" i="2"/>
  <c r="Y125" i="2"/>
  <c r="AD125" i="2"/>
  <c r="AE125" i="2" s="1"/>
  <c r="AI125" i="2"/>
  <c r="AJ125" i="2" s="1"/>
  <c r="AN125" i="2"/>
  <c r="AO125" i="2" s="1"/>
  <c r="AP125" i="2" s="1"/>
  <c r="AS125" i="2"/>
  <c r="AX125" i="2"/>
  <c r="AY125" i="2" s="1"/>
  <c r="BC125" i="2"/>
  <c r="BD125" i="2" s="1"/>
  <c r="BH125" i="2"/>
  <c r="BI125" i="2"/>
  <c r="N126" i="2"/>
  <c r="O126" i="2" s="1"/>
  <c r="P126" i="2" s="1"/>
  <c r="T126" i="2"/>
  <c r="U126" i="2" s="1"/>
  <c r="Y126" i="2"/>
  <c r="AD126" i="2"/>
  <c r="AI126" i="2"/>
  <c r="AJ126" i="2" s="1"/>
  <c r="AN126" i="2"/>
  <c r="AS126" i="2"/>
  <c r="AT126" i="2"/>
  <c r="AX126" i="2"/>
  <c r="O127" i="2"/>
  <c r="V127" i="2"/>
  <c r="V152" i="2" s="1"/>
  <c r="Y127" i="2"/>
  <c r="AD127" i="2"/>
  <c r="AE127" i="2" s="1"/>
  <c r="AI127" i="2"/>
  <c r="AN127" i="2"/>
  <c r="AO127" i="2" s="1"/>
  <c r="AS127" i="2"/>
  <c r="AS152" i="2" s="1"/>
  <c r="AX127" i="2"/>
  <c r="BC127" i="2"/>
  <c r="BD127" i="2" s="1"/>
  <c r="BH127" i="2"/>
  <c r="BI127" i="2" s="1"/>
  <c r="Q130" i="2"/>
  <c r="V130" i="2"/>
  <c r="Y130" i="2"/>
  <c r="Z130" i="2" s="1"/>
  <c r="Z169" i="2" s="1"/>
  <c r="AD130" i="2"/>
  <c r="AI130" i="2"/>
  <c r="AN130" i="2"/>
  <c r="AS130" i="2"/>
  <c r="AX130" i="2"/>
  <c r="AY130" i="2" s="1"/>
  <c r="BC130" i="2"/>
  <c r="BH130" i="2"/>
  <c r="R131" i="2"/>
  <c r="Q131" i="2" s="1"/>
  <c r="W131" i="2"/>
  <c r="V131" i="2" s="1"/>
  <c r="Y131" i="2"/>
  <c r="Z131" i="2" s="1"/>
  <c r="AA131" i="2" s="1"/>
  <c r="AD131" i="2"/>
  <c r="AI131" i="2"/>
  <c r="AJ131" i="2" s="1"/>
  <c r="AN131" i="2"/>
  <c r="AS131" i="2"/>
  <c r="AT131" i="2" s="1"/>
  <c r="AX131" i="2"/>
  <c r="BC131" i="2"/>
  <c r="BD131" i="2" s="1"/>
  <c r="BE131" i="2" s="1"/>
  <c r="BH131" i="2"/>
  <c r="BZ131" i="2"/>
  <c r="CE131" i="2"/>
  <c r="CJ131" i="2"/>
  <c r="CO131" i="2"/>
  <c r="CT131" i="2"/>
  <c r="R132" i="2"/>
  <c r="Q132" i="2" s="1"/>
  <c r="W132" i="2"/>
  <c r="V132" i="2" s="1"/>
  <c r="X132" i="2"/>
  <c r="AB132" i="2"/>
  <c r="AC132" i="2"/>
  <c r="AD132" i="2" s="1"/>
  <c r="AG132" i="2"/>
  <c r="AH132" i="2"/>
  <c r="AI132" i="2"/>
  <c r="AJ132" i="2" s="1"/>
  <c r="AN132" i="2"/>
  <c r="AO132" i="2" s="1"/>
  <c r="AP132" i="2" s="1"/>
  <c r="AS132" i="2"/>
  <c r="AT132" i="2" s="1"/>
  <c r="AX132" i="2"/>
  <c r="BC132" i="2"/>
  <c r="BD132" i="2" s="1"/>
  <c r="BH132" i="2"/>
  <c r="BI132" i="2" s="1"/>
  <c r="M133" i="2"/>
  <c r="R133" i="2"/>
  <c r="Q133" i="2" s="1"/>
  <c r="V133" i="2"/>
  <c r="X133" i="2"/>
  <c r="AB133" i="2"/>
  <c r="AD133" i="2"/>
  <c r="AE133" i="2" s="1"/>
  <c r="AG133" i="2"/>
  <c r="AH133" i="2"/>
  <c r="AI133" i="2" s="1"/>
  <c r="AL133" i="2"/>
  <c r="AM133" i="2"/>
  <c r="AN133" i="2" s="1"/>
  <c r="AQ133" i="2"/>
  <c r="AQ135" i="2" s="1"/>
  <c r="AR133" i="2"/>
  <c r="AS133" i="2" s="1"/>
  <c r="AV133" i="2"/>
  <c r="AV135" i="2" s="1"/>
  <c r="AX133" i="2"/>
  <c r="AY133" i="2" s="1"/>
  <c r="AZ133" i="2" s="1"/>
  <c r="BA133" i="2"/>
  <c r="BB133" i="2"/>
  <c r="BC133" i="2"/>
  <c r="BD133" i="2" s="1"/>
  <c r="BF133" i="2"/>
  <c r="BG133" i="2"/>
  <c r="BH133" i="2"/>
  <c r="BZ133" i="2"/>
  <c r="CE133" i="2"/>
  <c r="CJ133" i="2"/>
  <c r="CO133" i="2"/>
  <c r="CT133" i="2"/>
  <c r="O134" i="2"/>
  <c r="T134" i="2"/>
  <c r="Y134" i="2"/>
  <c r="AD134" i="2"/>
  <c r="AE134" i="2" s="1"/>
  <c r="AI134" i="2"/>
  <c r="AJ134" i="2" s="1"/>
  <c r="AK134" i="2" s="1"/>
  <c r="AN134" i="2"/>
  <c r="AO134" i="2" s="1"/>
  <c r="AP134" i="2" s="1"/>
  <c r="AS134" i="2"/>
  <c r="AX134" i="2"/>
  <c r="AY134" i="2" s="1"/>
  <c r="BB134" i="2"/>
  <c r="BH134" i="2"/>
  <c r="BI134" i="2" s="1"/>
  <c r="H135" i="2"/>
  <c r="M135" i="2"/>
  <c r="N135" i="2"/>
  <c r="R135" i="2"/>
  <c r="S135" i="2"/>
  <c r="AW135" i="2"/>
  <c r="BA135" i="2"/>
  <c r="BF135" i="2"/>
  <c r="R138" i="2"/>
  <c r="Q138" i="2" s="1"/>
  <c r="W138" i="2"/>
  <c r="V138" i="2" s="1"/>
  <c r="Y138" i="2"/>
  <c r="Z138" i="2" s="1"/>
  <c r="AB138" i="2"/>
  <c r="AC138" i="2"/>
  <c r="AD138" i="2" s="1"/>
  <c r="AG138" i="2"/>
  <c r="AH138" i="2"/>
  <c r="AL138" i="2"/>
  <c r="AM138" i="2"/>
  <c r="AN138" i="2"/>
  <c r="AQ138" i="2"/>
  <c r="AR138" i="2"/>
  <c r="AS138" i="2" s="1"/>
  <c r="AT138" i="2" s="1"/>
  <c r="AU138" i="2" s="1"/>
  <c r="AV138" i="2"/>
  <c r="AW138" i="2"/>
  <c r="AX138" i="2" s="1"/>
  <c r="BA138" i="2"/>
  <c r="BB138" i="2"/>
  <c r="BC138" i="2" s="1"/>
  <c r="BF138" i="2"/>
  <c r="BH138" i="2"/>
  <c r="BI138" i="2" s="1"/>
  <c r="R139" i="2"/>
  <c r="W139" i="2"/>
  <c r="V139" i="2" s="1"/>
  <c r="X139" i="2"/>
  <c r="Y139" i="2" s="1"/>
  <c r="AB139" i="2"/>
  <c r="AC139" i="2"/>
  <c r="AG139" i="2"/>
  <c r="AH139" i="2"/>
  <c r="AN139" i="2"/>
  <c r="AO139" i="2" s="1"/>
  <c r="AS139" i="2"/>
  <c r="AT139" i="2" s="1"/>
  <c r="AX139" i="2"/>
  <c r="AY139" i="2" s="1"/>
  <c r="BA139" i="2"/>
  <c r="BC139" i="2"/>
  <c r="BD139" i="2" s="1"/>
  <c r="BE139" i="2" s="1"/>
  <c r="BH139" i="2"/>
  <c r="BI139" i="2" s="1"/>
  <c r="R140" i="2"/>
  <c r="Q140" i="2" s="1"/>
  <c r="W140" i="2"/>
  <c r="V140" i="2" s="1"/>
  <c r="X140" i="2"/>
  <c r="Y140" i="2" s="1"/>
  <c r="AB140" i="2"/>
  <c r="AB156" i="2" s="1"/>
  <c r="AD140" i="2"/>
  <c r="AH140" i="2"/>
  <c r="AH156" i="2" s="1"/>
  <c r="AL140" i="2"/>
  <c r="AM140" i="2"/>
  <c r="AN140" i="2" s="1"/>
  <c r="AO140" i="2" s="1"/>
  <c r="AQ140" i="2"/>
  <c r="AQ143" i="2" s="1"/>
  <c r="AR140" i="2"/>
  <c r="AS140" i="2" s="1"/>
  <c r="AV140" i="2"/>
  <c r="AW140" i="2"/>
  <c r="AX140" i="2"/>
  <c r="BA140" i="2"/>
  <c r="BA156" i="2" s="1"/>
  <c r="BC140" i="2"/>
  <c r="BD140" i="2" s="1"/>
  <c r="BH140" i="2"/>
  <c r="BI140" i="2" s="1"/>
  <c r="BI181" i="2" s="1"/>
  <c r="BI179" i="2" s="1"/>
  <c r="R141" i="2"/>
  <c r="Q141" i="2" s="1"/>
  <c r="W141" i="2"/>
  <c r="V141" i="2" s="1"/>
  <c r="X141" i="2"/>
  <c r="Y141" i="2" s="1"/>
  <c r="AB141" i="2"/>
  <c r="AC141" i="2"/>
  <c r="AG141" i="2"/>
  <c r="AH141" i="2"/>
  <c r="AI141" i="2" s="1"/>
  <c r="AL141" i="2"/>
  <c r="AM141" i="2"/>
  <c r="AQ141" i="2"/>
  <c r="AR141" i="2"/>
  <c r="AV141" i="2"/>
  <c r="AW141" i="2"/>
  <c r="AX141" i="2" s="1"/>
  <c r="BA141" i="2"/>
  <c r="BB141" i="2"/>
  <c r="BC141" i="2" s="1"/>
  <c r="BF141" i="2"/>
  <c r="BG141" i="2"/>
  <c r="Q142" i="2"/>
  <c r="V142" i="2"/>
  <c r="V156" i="2" s="1"/>
  <c r="Y142" i="2"/>
  <c r="Z142" i="2" s="1"/>
  <c r="AD142" i="2"/>
  <c r="AI142" i="2"/>
  <c r="AN142" i="2"/>
  <c r="AN156" i="2" s="1"/>
  <c r="AS142" i="2"/>
  <c r="AT142" i="2" s="1"/>
  <c r="AX142" i="2"/>
  <c r="BC142" i="2"/>
  <c r="BC156" i="2" s="1"/>
  <c r="BH142" i="2"/>
  <c r="BI142" i="2" s="1"/>
  <c r="H143" i="2"/>
  <c r="M143" i="2"/>
  <c r="N143" i="2"/>
  <c r="N147" i="2" s="1"/>
  <c r="N149" i="2" s="1"/>
  <c r="O148" i="2" s="1"/>
  <c r="O143" i="2"/>
  <c r="P143" i="2"/>
  <c r="S143" i="2"/>
  <c r="T143" i="2"/>
  <c r="U143" i="2"/>
  <c r="AV143" i="2"/>
  <c r="P145" i="2"/>
  <c r="AQ145" i="2"/>
  <c r="AV145" i="2"/>
  <c r="BF145" i="2"/>
  <c r="BK145" i="2"/>
  <c r="BU145" i="2"/>
  <c r="BZ145" i="2"/>
  <c r="CE145" i="2"/>
  <c r="CJ145" i="2"/>
  <c r="CO145" i="2"/>
  <c r="CT145" i="2"/>
  <c r="Q146" i="2"/>
  <c r="V146" i="2"/>
  <c r="Y146" i="2"/>
  <c r="Z146" i="2" s="1"/>
  <c r="AD146" i="2"/>
  <c r="AE146" i="2" s="1"/>
  <c r="AI146" i="2"/>
  <c r="AJ146" i="2" s="1"/>
  <c r="AK146" i="2" s="1"/>
  <c r="AN146" i="2"/>
  <c r="AS146" i="2"/>
  <c r="AT146" i="2" s="1"/>
  <c r="AU146" i="2" s="1"/>
  <c r="AX146" i="2"/>
  <c r="BC146" i="2"/>
  <c r="BD146" i="2" s="1"/>
  <c r="BH146" i="2"/>
  <c r="BI146" i="2" s="1"/>
  <c r="BZ146" i="2"/>
  <c r="CE146" i="2"/>
  <c r="CJ146" i="2"/>
  <c r="CO146" i="2"/>
  <c r="CT146" i="2"/>
  <c r="M148" i="2"/>
  <c r="AT151" i="2"/>
  <c r="AU151" i="2"/>
  <c r="AV151" i="2"/>
  <c r="AZ151" i="2"/>
  <c r="H152" i="2"/>
  <c r="M152" i="2"/>
  <c r="N152" i="2"/>
  <c r="O152" i="2"/>
  <c r="P152" i="2"/>
  <c r="R152" i="2"/>
  <c r="S152" i="2"/>
  <c r="T152" i="2"/>
  <c r="U152" i="2"/>
  <c r="W152" i="2"/>
  <c r="X152" i="2"/>
  <c r="X153" i="2" s="1"/>
  <c r="X154" i="2" s="1"/>
  <c r="Y152" i="2"/>
  <c r="Y153" i="2" s="1"/>
  <c r="Y154" i="2" s="1"/>
  <c r="AB152" i="2"/>
  <c r="AB153" i="2" s="1"/>
  <c r="AC152" i="2"/>
  <c r="AC153" i="2" s="1"/>
  <c r="AC154" i="2" s="1"/>
  <c r="AD152" i="2"/>
  <c r="AD153" i="2" s="1"/>
  <c r="AD154" i="2" s="1"/>
  <c r="AG152" i="2"/>
  <c r="AG153" i="2" s="1"/>
  <c r="AG154" i="2" s="1"/>
  <c r="AH152" i="2"/>
  <c r="AH153" i="2" s="1"/>
  <c r="AL152" i="2"/>
  <c r="AL153" i="2" s="1"/>
  <c r="AL154" i="2" s="1"/>
  <c r="AM152" i="2"/>
  <c r="AN152" i="2"/>
  <c r="AN153" i="2" s="1"/>
  <c r="AN154" i="2" s="1"/>
  <c r="AQ152" i="2"/>
  <c r="AQ153" i="2" s="1"/>
  <c r="AR152" i="2"/>
  <c r="AR153" i="2" s="1"/>
  <c r="AV152" i="2"/>
  <c r="AV153" i="2" s="1"/>
  <c r="AV154" i="2" s="1"/>
  <c r="AW152" i="2"/>
  <c r="AW153" i="2" s="1"/>
  <c r="AW154" i="2" s="1"/>
  <c r="AX152" i="2"/>
  <c r="AX153" i="2" s="1"/>
  <c r="AX154" i="2" s="1"/>
  <c r="BA152" i="2"/>
  <c r="BB152" i="2"/>
  <c r="BC152" i="2"/>
  <c r="BC153" i="2" s="1"/>
  <c r="BC154" i="2" s="1"/>
  <c r="BD152" i="2"/>
  <c r="BF152" i="2"/>
  <c r="BF153" i="2" s="1"/>
  <c r="BF154" i="2" s="1"/>
  <c r="BG152" i="2"/>
  <c r="BH152" i="2"/>
  <c r="BH153" i="2" s="1"/>
  <c r="BH154" i="2" s="1"/>
  <c r="BH155" i="2" s="1"/>
  <c r="H153" i="2"/>
  <c r="H154" i="2" s="1"/>
  <c r="H155" i="2" s="1"/>
  <c r="M153" i="2"/>
  <c r="N153" i="2"/>
  <c r="N154" i="2" s="1"/>
  <c r="N155" i="2" s="1"/>
  <c r="O153" i="2"/>
  <c r="O154" i="2" s="1"/>
  <c r="O155" i="2" s="1"/>
  <c r="P153" i="2"/>
  <c r="P154" i="2" s="1"/>
  <c r="P155" i="2" s="1"/>
  <c r="R153" i="2"/>
  <c r="R154" i="2" s="1"/>
  <c r="S153" i="2"/>
  <c r="T153" i="2"/>
  <c r="T154" i="2" s="1"/>
  <c r="T155" i="2" s="1"/>
  <c r="U153" i="2"/>
  <c r="U154" i="2" s="1"/>
  <c r="U155" i="2" s="1"/>
  <c r="W153" i="2"/>
  <c r="AM153" i="2"/>
  <c r="AS153" i="2"/>
  <c r="AS154" i="2" s="1"/>
  <c r="BA153" i="2"/>
  <c r="BA154" i="2" s="1"/>
  <c r="BB153" i="2"/>
  <c r="BB154" i="2" s="1"/>
  <c r="BG153" i="2"/>
  <c r="BG154" i="2" s="1"/>
  <c r="M154" i="2"/>
  <c r="S154" i="2"/>
  <c r="W154" i="2"/>
  <c r="H156" i="2"/>
  <c r="M156" i="2"/>
  <c r="N156" i="2"/>
  <c r="N157" i="2" s="1"/>
  <c r="O156" i="2"/>
  <c r="P156" i="2"/>
  <c r="R156" i="2"/>
  <c r="S156" i="2"/>
  <c r="T156" i="2"/>
  <c r="U156" i="2"/>
  <c r="W156" i="2"/>
  <c r="W157" i="2" s="1"/>
  <c r="X156" i="2"/>
  <c r="AC156" i="2"/>
  <c r="AG156" i="2"/>
  <c r="AL156" i="2"/>
  <c r="AM156" i="2"/>
  <c r="AQ156" i="2"/>
  <c r="AR156" i="2"/>
  <c r="AV156" i="2"/>
  <c r="AW156" i="2"/>
  <c r="BB156" i="2"/>
  <c r="BF156" i="2"/>
  <c r="BG156" i="2"/>
  <c r="BH156" i="2"/>
  <c r="H159" i="2"/>
  <c r="M159" i="2"/>
  <c r="R159" i="2"/>
  <c r="AH159" i="2"/>
  <c r="AI159" i="2"/>
  <c r="AJ159" i="2"/>
  <c r="AK159" i="2"/>
  <c r="AL159" i="2"/>
  <c r="AM159" i="2"/>
  <c r="AN159" i="2"/>
  <c r="AO159" i="2"/>
  <c r="AP159" i="2"/>
  <c r="AQ159" i="2"/>
  <c r="AR159" i="2"/>
  <c r="AS159" i="2"/>
  <c r="AT159" i="2"/>
  <c r="AU159" i="2"/>
  <c r="AV159" i="2"/>
  <c r="AW159" i="2"/>
  <c r="AX159" i="2"/>
  <c r="AY159" i="2"/>
  <c r="AZ159" i="2"/>
  <c r="BA159" i="2"/>
  <c r="BB159" i="2"/>
  <c r="BC159" i="2"/>
  <c r="BD159" i="2"/>
  <c r="BE159" i="2"/>
  <c r="BF159" i="2"/>
  <c r="BG159" i="2"/>
  <c r="BH159" i="2"/>
  <c r="BI159" i="2"/>
  <c r="BJ159" i="2"/>
  <c r="BK159" i="2"/>
  <c r="BL159" i="2"/>
  <c r="BM159" i="2"/>
  <c r="BN159" i="2"/>
  <c r="BO159" i="2"/>
  <c r="BO178" i="2" s="1"/>
  <c r="BP159" i="2"/>
  <c r="BP178" i="2" s="1"/>
  <c r="BQ159" i="2"/>
  <c r="BR159" i="2"/>
  <c r="BS159" i="2"/>
  <c r="BT159" i="2"/>
  <c r="BU159" i="2"/>
  <c r="BV159" i="2"/>
  <c r="BW159" i="2"/>
  <c r="BX159" i="2"/>
  <c r="BY159" i="2"/>
  <c r="BZ159" i="2"/>
  <c r="CA159" i="2"/>
  <c r="CB159" i="2"/>
  <c r="CC159" i="2"/>
  <c r="CD159" i="2"/>
  <c r="CE159" i="2"/>
  <c r="CF159" i="2"/>
  <c r="CG159" i="2"/>
  <c r="CH159" i="2"/>
  <c r="CI159" i="2"/>
  <c r="CJ159" i="2"/>
  <c r="CK159" i="2"/>
  <c r="CL159" i="2"/>
  <c r="CM159" i="2"/>
  <c r="CN159" i="2"/>
  <c r="CO159" i="2"/>
  <c r="CP159" i="2"/>
  <c r="CQ159" i="2"/>
  <c r="CR159" i="2"/>
  <c r="CS159" i="2"/>
  <c r="CT159" i="2"/>
  <c r="H160" i="2"/>
  <c r="M160" i="2"/>
  <c r="N160" i="2"/>
  <c r="O160" i="2"/>
  <c r="P160" i="2"/>
  <c r="Q160" i="2"/>
  <c r="R160" i="2"/>
  <c r="AK160" i="2"/>
  <c r="AM160" i="2"/>
  <c r="AN160" i="2"/>
  <c r="AO160" i="2"/>
  <c r="AP160" i="2"/>
  <c r="AR160" i="2"/>
  <c r="AS160" i="2"/>
  <c r="AT160" i="2"/>
  <c r="AU160" i="2"/>
  <c r="AW160" i="2"/>
  <c r="AX160" i="2"/>
  <c r="AY160" i="2"/>
  <c r="AZ160" i="2"/>
  <c r="M161" i="2"/>
  <c r="O161" i="2"/>
  <c r="AK161" i="2"/>
  <c r="AO161" i="2"/>
  <c r="AP161" i="2"/>
  <c r="AU161" i="2"/>
  <c r="AY161" i="2"/>
  <c r="N162" i="2"/>
  <c r="O162" i="2"/>
  <c r="P162" i="2"/>
  <c r="Q162" i="2"/>
  <c r="T162" i="2"/>
  <c r="U162" i="2"/>
  <c r="AP162" i="2"/>
  <c r="H163" i="2"/>
  <c r="M163" i="2"/>
  <c r="N163" i="2"/>
  <c r="O163" i="2"/>
  <c r="P163" i="2"/>
  <c r="Q163" i="2"/>
  <c r="R163" i="2"/>
  <c r="AK163" i="2"/>
  <c r="AM163" i="2"/>
  <c r="AN163" i="2"/>
  <c r="AO163" i="2"/>
  <c r="AP163" i="2"/>
  <c r="AR163" i="2"/>
  <c r="AS163" i="2"/>
  <c r="AT163" i="2"/>
  <c r="AU163" i="2"/>
  <c r="AW163" i="2"/>
  <c r="AX163" i="2"/>
  <c r="AY163" i="2"/>
  <c r="AZ163" i="2"/>
  <c r="M164" i="2"/>
  <c r="N164" i="2"/>
  <c r="O164" i="2"/>
  <c r="P164" i="2"/>
  <c r="Q164" i="2"/>
  <c r="R164" i="2"/>
  <c r="AK164" i="2"/>
  <c r="AM164" i="2"/>
  <c r="AN164" i="2"/>
  <c r="AO164" i="2"/>
  <c r="AP164" i="2"/>
  <c r="AR164" i="2"/>
  <c r="AS164" i="2"/>
  <c r="AT164" i="2"/>
  <c r="AU164" i="2"/>
  <c r="AW164" i="2"/>
  <c r="AX164" i="2"/>
  <c r="AY164" i="2"/>
  <c r="AZ164" i="2"/>
  <c r="M165" i="2"/>
  <c r="N165" i="2"/>
  <c r="N202" i="2" s="1"/>
  <c r="O165" i="2"/>
  <c r="P165" i="2"/>
  <c r="Q165" i="2"/>
  <c r="R165" i="2"/>
  <c r="R202" i="2" s="1"/>
  <c r="AK165" i="2"/>
  <c r="AK202" i="2" s="1"/>
  <c r="AM165" i="2"/>
  <c r="AN165" i="2"/>
  <c r="AO165" i="2"/>
  <c r="AP165" i="2"/>
  <c r="AP202" i="2" s="1"/>
  <c r="AR165" i="2"/>
  <c r="AS165" i="2"/>
  <c r="AS202" i="2" s="1"/>
  <c r="AT165" i="2"/>
  <c r="AU165" i="2"/>
  <c r="AW165" i="2"/>
  <c r="AW202" i="2" s="1"/>
  <c r="AX165" i="2"/>
  <c r="AY165" i="2"/>
  <c r="AZ165" i="2"/>
  <c r="M166" i="2"/>
  <c r="N166" i="2"/>
  <c r="O166" i="2"/>
  <c r="P166" i="2"/>
  <c r="Q166" i="2"/>
  <c r="R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G166" i="2"/>
  <c r="AH166" i="2"/>
  <c r="AI166" i="2"/>
  <c r="AJ166" i="2"/>
  <c r="AK166" i="2"/>
  <c r="AM166" i="2"/>
  <c r="AN166" i="2"/>
  <c r="AO166" i="2"/>
  <c r="AP166" i="2"/>
  <c r="AQ166" i="2"/>
  <c r="AR166" i="2"/>
  <c r="AS166" i="2"/>
  <c r="AT166" i="2"/>
  <c r="AU166" i="2"/>
  <c r="AV166" i="2"/>
  <c r="AW166" i="2"/>
  <c r="AX166" i="2"/>
  <c r="AY166" i="2"/>
  <c r="AZ166" i="2"/>
  <c r="BB166" i="2"/>
  <c r="BC166" i="2"/>
  <c r="BD166" i="2"/>
  <c r="BE166" i="2"/>
  <c r="BF166" i="2"/>
  <c r="BG166" i="2"/>
  <c r="CA166" i="2" s="1"/>
  <c r="CF166" i="2" s="1"/>
  <c r="CK166" i="2" s="1"/>
  <c r="CP166" i="2" s="1"/>
  <c r="BH166" i="2"/>
  <c r="CD166" i="2"/>
  <c r="CI166" i="2" s="1"/>
  <c r="CN166" i="2" s="1"/>
  <c r="CS166" i="2" s="1"/>
  <c r="CC166" i="2"/>
  <c r="CH166" i="2" s="1"/>
  <c r="CM166" i="2" s="1"/>
  <c r="CR166" i="2" s="1"/>
  <c r="M167" i="2"/>
  <c r="N167" i="2"/>
  <c r="N201" i="2" s="1"/>
  <c r="O167" i="2"/>
  <c r="P167" i="2"/>
  <c r="P201" i="2" s="1"/>
  <c r="Q167" i="2"/>
  <c r="R167" i="2"/>
  <c r="R201" i="2" s="1"/>
  <c r="T167" i="2"/>
  <c r="T201" i="2" s="1"/>
  <c r="U167" i="2"/>
  <c r="V167" i="2"/>
  <c r="V201" i="2" s="1"/>
  <c r="W167" i="2"/>
  <c r="X167" i="2"/>
  <c r="Y167" i="2"/>
  <c r="Z167" i="2"/>
  <c r="Z201" i="2" s="1"/>
  <c r="AA167" i="2"/>
  <c r="AB167" i="2"/>
  <c r="AB201" i="2" s="1"/>
  <c r="AC167" i="2"/>
  <c r="AD167" i="2"/>
  <c r="AD201" i="2" s="1"/>
  <c r="AE167" i="2"/>
  <c r="AF167" i="2"/>
  <c r="AF201" i="2" s="1"/>
  <c r="AG167" i="2"/>
  <c r="AH167" i="2"/>
  <c r="AH201" i="2" s="1"/>
  <c r="AI167" i="2"/>
  <c r="AJ167" i="2"/>
  <c r="AJ201" i="2" s="1"/>
  <c r="AK167" i="2"/>
  <c r="AL167" i="2"/>
  <c r="AL201" i="2" s="1"/>
  <c r="AM167" i="2"/>
  <c r="AN167" i="2"/>
  <c r="AO167" i="2"/>
  <c r="AP167" i="2"/>
  <c r="AP201" i="2" s="1"/>
  <c r="AQ167" i="2"/>
  <c r="AR167" i="2"/>
  <c r="AR201" i="2" s="1"/>
  <c r="AS167" i="2"/>
  <c r="AT167" i="2"/>
  <c r="AT201" i="2" s="1"/>
  <c r="AU167" i="2"/>
  <c r="AV167" i="2"/>
  <c r="AV201" i="2" s="1"/>
  <c r="AW167" i="2"/>
  <c r="AX167" i="2"/>
  <c r="AX201" i="2" s="1"/>
  <c r="AY167" i="2"/>
  <c r="AY201" i="2" s="1"/>
  <c r="AZ167" i="2"/>
  <c r="BB167" i="2"/>
  <c r="BB201" i="2" s="1"/>
  <c r="BC167" i="2"/>
  <c r="BC201" i="2" s="1"/>
  <c r="BD167" i="2"/>
  <c r="BE167" i="2"/>
  <c r="BE201" i="2" s="1"/>
  <c r="BF167" i="2"/>
  <c r="BF201" i="2" s="1"/>
  <c r="BG167" i="2"/>
  <c r="BG201" i="2" s="1"/>
  <c r="BH167" i="2"/>
  <c r="M168" i="2"/>
  <c r="N168" i="2"/>
  <c r="O168" i="2"/>
  <c r="P168" i="2"/>
  <c r="Q168" i="2"/>
  <c r="R168" i="2"/>
  <c r="AK168" i="2"/>
  <c r="AM168" i="2"/>
  <c r="AN168" i="2"/>
  <c r="AO168" i="2"/>
  <c r="AP168" i="2"/>
  <c r="AR168" i="2"/>
  <c r="AS168" i="2"/>
  <c r="AT168" i="2"/>
  <c r="AU168" i="2"/>
  <c r="AW168" i="2"/>
  <c r="AX168" i="2"/>
  <c r="AY168" i="2"/>
  <c r="AZ168" i="2"/>
  <c r="H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AB169" i="2"/>
  <c r="AC169" i="2"/>
  <c r="AD169" i="2"/>
  <c r="AG169" i="2"/>
  <c r="AH169" i="2"/>
  <c r="AI169" i="2"/>
  <c r="AL169" i="2"/>
  <c r="AM169" i="2"/>
  <c r="AN169" i="2"/>
  <c r="AQ169" i="2"/>
  <c r="AR169" i="2"/>
  <c r="AS169" i="2"/>
  <c r="AV169" i="2"/>
  <c r="AW169" i="2"/>
  <c r="AX169" i="2"/>
  <c r="BA169" i="2"/>
  <c r="BB169" i="2"/>
  <c r="BC169" i="2"/>
  <c r="BF169" i="2"/>
  <c r="BG169" i="2"/>
  <c r="BH169" i="2"/>
  <c r="H170" i="2"/>
  <c r="M170" i="2"/>
  <c r="N170" i="2"/>
  <c r="O170" i="2"/>
  <c r="P170" i="2"/>
  <c r="Q170" i="2"/>
  <c r="R170" i="2"/>
  <c r="AM170" i="2"/>
  <c r="AN170" i="2"/>
  <c r="AR170" i="2"/>
  <c r="AS170" i="2"/>
  <c r="AW170" i="2"/>
  <c r="AX170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AB171" i="2"/>
  <c r="AC171" i="2"/>
  <c r="AD171" i="2"/>
  <c r="AE171" i="2"/>
  <c r="AG171" i="2"/>
  <c r="AH171" i="2"/>
  <c r="AI171" i="2"/>
  <c r="AJ171" i="2"/>
  <c r="AL171" i="2"/>
  <c r="AM171" i="2"/>
  <c r="AN171" i="2"/>
  <c r="AQ171" i="2"/>
  <c r="AR171" i="2"/>
  <c r="AS171" i="2"/>
  <c r="AV171" i="2"/>
  <c r="AW171" i="2"/>
  <c r="AX171" i="2"/>
  <c r="AY171" i="2"/>
  <c r="BA171" i="2"/>
  <c r="BB171" i="2"/>
  <c r="BC171" i="2"/>
  <c r="BD171" i="2"/>
  <c r="BF171" i="2"/>
  <c r="BG171" i="2"/>
  <c r="BH171" i="2"/>
  <c r="BW171" i="2" s="1"/>
  <c r="CB171" i="2" s="1"/>
  <c r="CG171" i="2" s="1"/>
  <c r="CL171" i="2" s="1"/>
  <c r="CQ171" i="2" s="1"/>
  <c r="BY171" i="2"/>
  <c r="CD171" i="2" s="1"/>
  <c r="CI171" i="2" s="1"/>
  <c r="CN171" i="2" s="1"/>
  <c r="CS171" i="2" s="1"/>
  <c r="H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AB172" i="2"/>
  <c r="AC172" i="2"/>
  <c r="AD172" i="2"/>
  <c r="AE172" i="2"/>
  <c r="AG172" i="2"/>
  <c r="AH172" i="2"/>
  <c r="AI172" i="2"/>
  <c r="AJ172" i="2"/>
  <c r="AL172" i="2"/>
  <c r="AM172" i="2"/>
  <c r="AN172" i="2"/>
  <c r="AQ172" i="2"/>
  <c r="AR172" i="2"/>
  <c r="AS172" i="2"/>
  <c r="AV172" i="2"/>
  <c r="AW172" i="2"/>
  <c r="AX172" i="2"/>
  <c r="AY172" i="2"/>
  <c r="BA172" i="2"/>
  <c r="BB172" i="2"/>
  <c r="BC172" i="2"/>
  <c r="BD172" i="2"/>
  <c r="BF172" i="2"/>
  <c r="BG172" i="2"/>
  <c r="BH172" i="2"/>
  <c r="M173" i="2"/>
  <c r="N173" i="2"/>
  <c r="O173" i="2"/>
  <c r="P173" i="2"/>
  <c r="Q173" i="2"/>
  <c r="R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G173" i="2"/>
  <c r="AH173" i="2"/>
  <c r="AI173" i="2"/>
  <c r="AJ173" i="2"/>
  <c r="AK173" i="2"/>
  <c r="AM173" i="2"/>
  <c r="AN173" i="2"/>
  <c r="AO173" i="2"/>
  <c r="AP173" i="2"/>
  <c r="AQ173" i="2"/>
  <c r="AR173" i="2"/>
  <c r="AS173" i="2"/>
  <c r="AT173" i="2"/>
  <c r="AU173" i="2"/>
  <c r="AV173" i="2"/>
  <c r="AW173" i="2"/>
  <c r="AX173" i="2"/>
  <c r="AY173" i="2"/>
  <c r="AZ173" i="2"/>
  <c r="BB173" i="2"/>
  <c r="BC173" i="2"/>
  <c r="BD173" i="2"/>
  <c r="BE173" i="2"/>
  <c r="BF173" i="2"/>
  <c r="BG173" i="2"/>
  <c r="BH173" i="2"/>
  <c r="CD173" i="2"/>
  <c r="CI173" i="2" s="1"/>
  <c r="CN173" i="2" s="1"/>
  <c r="CS173" i="2" s="1"/>
  <c r="CC173" i="2"/>
  <c r="CH173" i="2" s="1"/>
  <c r="CM173" i="2" s="1"/>
  <c r="CR173" i="2" s="1"/>
  <c r="M174" i="2"/>
  <c r="N174" i="2"/>
  <c r="O174" i="2"/>
  <c r="P174" i="2"/>
  <c r="P203" i="2" s="1"/>
  <c r="Q174" i="2"/>
  <c r="R174" i="2"/>
  <c r="T174" i="2"/>
  <c r="T203" i="2" s="1"/>
  <c r="U174" i="2"/>
  <c r="V174" i="2"/>
  <c r="W174" i="2"/>
  <c r="X174" i="2"/>
  <c r="X203" i="2" s="1"/>
  <c r="Y174" i="2"/>
  <c r="Z174" i="2"/>
  <c r="AA174" i="2"/>
  <c r="AB174" i="2"/>
  <c r="AB203" i="2" s="1"/>
  <c r="AC174" i="2"/>
  <c r="AD174" i="2"/>
  <c r="AE174" i="2"/>
  <c r="AF174" i="2"/>
  <c r="AF203" i="2" s="1"/>
  <c r="AG174" i="2"/>
  <c r="AH174" i="2"/>
  <c r="AI174" i="2"/>
  <c r="AJ174" i="2"/>
  <c r="AJ203" i="2" s="1"/>
  <c r="AK174" i="2"/>
  <c r="AM174" i="2"/>
  <c r="AN174" i="2"/>
  <c r="AO174" i="2"/>
  <c r="AO203" i="2" s="1"/>
  <c r="AP174" i="2"/>
  <c r="AQ174" i="2"/>
  <c r="AR174" i="2"/>
  <c r="AS174" i="2"/>
  <c r="AS203" i="2" s="1"/>
  <c r="AT174" i="2"/>
  <c r="AU174" i="2"/>
  <c r="AV174" i="2"/>
  <c r="AV203" i="2" s="1"/>
  <c r="AW174" i="2"/>
  <c r="AW203" i="2" s="1"/>
  <c r="AX174" i="2"/>
  <c r="AY174" i="2"/>
  <c r="AZ174" i="2"/>
  <c r="BB174" i="2"/>
  <c r="BB203" i="2" s="1"/>
  <c r="BC174" i="2"/>
  <c r="BD174" i="2"/>
  <c r="BE174" i="2"/>
  <c r="BE203" i="2" s="1"/>
  <c r="BF174" i="2"/>
  <c r="BF203" i="2" s="1"/>
  <c r="BG174" i="2"/>
  <c r="BH174" i="2"/>
  <c r="M175" i="2"/>
  <c r="N175" i="2"/>
  <c r="O175" i="2"/>
  <c r="P175" i="2"/>
  <c r="Q175" i="2"/>
  <c r="R175" i="2"/>
  <c r="AK175" i="2"/>
  <c r="AM175" i="2"/>
  <c r="AN175" i="2"/>
  <c r="AO175" i="2"/>
  <c r="AP175" i="2"/>
  <c r="AR175" i="2"/>
  <c r="AS175" i="2"/>
  <c r="AT175" i="2"/>
  <c r="AU175" i="2"/>
  <c r="AW175" i="2"/>
  <c r="AX175" i="2"/>
  <c r="AY175" i="2"/>
  <c r="AZ175" i="2"/>
  <c r="H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AB176" i="2"/>
  <c r="AC176" i="2"/>
  <c r="AD176" i="2"/>
  <c r="AG176" i="2"/>
  <c r="AH176" i="2"/>
  <c r="AI176" i="2"/>
  <c r="AL176" i="2"/>
  <c r="AM176" i="2"/>
  <c r="AN176" i="2"/>
  <c r="AQ176" i="2"/>
  <c r="AR176" i="2"/>
  <c r="AS176" i="2"/>
  <c r="AV176" i="2"/>
  <c r="AW176" i="2"/>
  <c r="AX176" i="2"/>
  <c r="BA176" i="2"/>
  <c r="BB176" i="2"/>
  <c r="BC176" i="2"/>
  <c r="BF176" i="2"/>
  <c r="BG176" i="2"/>
  <c r="BH176" i="2"/>
  <c r="H178" i="2"/>
  <c r="M178" i="2"/>
  <c r="R178" i="2"/>
  <c r="AH178" i="2"/>
  <c r="AI178" i="2"/>
  <c r="AJ178" i="2"/>
  <c r="AK178" i="2"/>
  <c r="AL178" i="2"/>
  <c r="AM178" i="2"/>
  <c r="AN178" i="2"/>
  <c r="AO178" i="2"/>
  <c r="AP178" i="2"/>
  <c r="AQ178" i="2"/>
  <c r="AR178" i="2"/>
  <c r="AS178" i="2"/>
  <c r="AT178" i="2"/>
  <c r="AU178" i="2"/>
  <c r="AV178" i="2"/>
  <c r="AW178" i="2"/>
  <c r="AX178" i="2"/>
  <c r="AY178" i="2"/>
  <c r="AZ178" i="2"/>
  <c r="BA178" i="2"/>
  <c r="BB178" i="2"/>
  <c r="BC178" i="2"/>
  <c r="BD178" i="2"/>
  <c r="BE178" i="2"/>
  <c r="BF178" i="2"/>
  <c r="BG178" i="2"/>
  <c r="BH178" i="2"/>
  <c r="BI178" i="2"/>
  <c r="BJ178" i="2"/>
  <c r="BK178" i="2"/>
  <c r="BL178" i="2"/>
  <c r="BM178" i="2"/>
  <c r="BN178" i="2"/>
  <c r="BQ178" i="2"/>
  <c r="BR178" i="2"/>
  <c r="BS178" i="2"/>
  <c r="BT178" i="2"/>
  <c r="BU178" i="2"/>
  <c r="BV178" i="2"/>
  <c r="BW178" i="2"/>
  <c r="BX178" i="2"/>
  <c r="BY178" i="2"/>
  <c r="BZ178" i="2"/>
  <c r="CA178" i="2"/>
  <c r="CB178" i="2"/>
  <c r="CC178" i="2"/>
  <c r="CD178" i="2"/>
  <c r="CE178" i="2"/>
  <c r="CF178" i="2"/>
  <c r="CG178" i="2"/>
  <c r="CH178" i="2"/>
  <c r="CI178" i="2"/>
  <c r="CJ178" i="2"/>
  <c r="CK178" i="2"/>
  <c r="CL178" i="2"/>
  <c r="CM178" i="2"/>
  <c r="CN178" i="2"/>
  <c r="CO178" i="2"/>
  <c r="CP178" i="2"/>
  <c r="CQ178" i="2"/>
  <c r="CR178" i="2"/>
  <c r="CS178" i="2"/>
  <c r="CT178" i="2"/>
  <c r="H179" i="2"/>
  <c r="M179" i="2"/>
  <c r="M180" i="2" s="1"/>
  <c r="R179" i="2"/>
  <c r="S179" i="2"/>
  <c r="S180" i="2" s="1"/>
  <c r="T179" i="2"/>
  <c r="T180" i="2" s="1"/>
  <c r="U179" i="2"/>
  <c r="V179" i="2"/>
  <c r="X179" i="2"/>
  <c r="Y179" i="2"/>
  <c r="Z179" i="2"/>
  <c r="AA179" i="2"/>
  <c r="AC179" i="2"/>
  <c r="AD179" i="2"/>
  <c r="AE179" i="2"/>
  <c r="AF179" i="2"/>
  <c r="AH179" i="2"/>
  <c r="AH180" i="2" s="1"/>
  <c r="AI179" i="2"/>
  <c r="AJ179" i="2"/>
  <c r="AK179" i="2"/>
  <c r="AM179" i="2"/>
  <c r="AN179" i="2"/>
  <c r="AO179" i="2"/>
  <c r="AP179" i="2"/>
  <c r="AR179" i="2"/>
  <c r="AS179" i="2"/>
  <c r="AT179" i="2"/>
  <c r="AU179" i="2"/>
  <c r="H180" i="2"/>
  <c r="U180" i="2"/>
  <c r="R181" i="2"/>
  <c r="Q181" i="2" s="1"/>
  <c r="W181" i="2"/>
  <c r="V181" i="2" s="1"/>
  <c r="X181" i="2"/>
  <c r="Y181" i="2" s="1"/>
  <c r="Z181" i="2" s="1"/>
  <c r="AA181" i="2" s="1"/>
  <c r="AB181" i="2"/>
  <c r="AJ181" i="2"/>
  <c r="AL181" i="2"/>
  <c r="AM181" i="2"/>
  <c r="AN181" i="2"/>
  <c r="AQ181" i="2"/>
  <c r="AR181" i="2"/>
  <c r="AW181" i="2"/>
  <c r="BB181" i="2"/>
  <c r="BB179" i="2" s="1"/>
  <c r="BB57" i="2" s="1"/>
  <c r="BF57" i="2" s="1"/>
  <c r="BC181" i="2"/>
  <c r="BC179" i="2" s="1"/>
  <c r="BG181" i="2"/>
  <c r="BH181" i="2"/>
  <c r="BH179" i="2" s="1"/>
  <c r="BL179" i="2"/>
  <c r="CE181" i="2"/>
  <c r="H183" i="2"/>
  <c r="M183" i="2"/>
  <c r="N183" i="2"/>
  <c r="O183" i="2"/>
  <c r="P186" i="2" s="1"/>
  <c r="P183" i="2"/>
  <c r="Q183" i="2"/>
  <c r="R183" i="2"/>
  <c r="S183" i="2"/>
  <c r="S185" i="2" s="1"/>
  <c r="S190" i="2" s="1"/>
  <c r="T183" i="2"/>
  <c r="U183" i="2"/>
  <c r="V183" i="2"/>
  <c r="V186" i="2" s="1"/>
  <c r="W183" i="2"/>
  <c r="AB186" i="2" s="1"/>
  <c r="X183" i="2"/>
  <c r="Y183" i="2"/>
  <c r="Z183" i="2"/>
  <c r="AA183" i="2"/>
  <c r="AB183" i="2"/>
  <c r="AC183" i="2"/>
  <c r="AD183" i="2"/>
  <c r="AE183" i="2"/>
  <c r="AF183" i="2"/>
  <c r="AG183" i="2"/>
  <c r="AH183" i="2"/>
  <c r="AI183" i="2"/>
  <c r="AJ183" i="2"/>
  <c r="AK183" i="2"/>
  <c r="AM183" i="2"/>
  <c r="AN186" i="2" s="1"/>
  <c r="AN183" i="2"/>
  <c r="AO183" i="2"/>
  <c r="AP183" i="2"/>
  <c r="AQ183" i="2"/>
  <c r="AR183" i="2"/>
  <c r="AS183" i="2"/>
  <c r="AT183" i="2"/>
  <c r="AU183" i="2"/>
  <c r="AV183" i="2"/>
  <c r="AW183" i="2"/>
  <c r="AX183" i="2"/>
  <c r="AY183" i="2"/>
  <c r="AZ183" i="2"/>
  <c r="BA183" i="2"/>
  <c r="BB183" i="2"/>
  <c r="BB186" i="2" s="1"/>
  <c r="BC183" i="2"/>
  <c r="BD183" i="2"/>
  <c r="BD185" i="2" s="1"/>
  <c r="BD240" i="2" s="1"/>
  <c r="BE183" i="2"/>
  <c r="BF183" i="2"/>
  <c r="H184" i="2"/>
  <c r="M184" i="2"/>
  <c r="N184" i="2"/>
  <c r="O184" i="2"/>
  <c r="P184" i="2"/>
  <c r="P185" i="2" s="1"/>
  <c r="P190" i="2" s="1"/>
  <c r="Q188" i="2" s="1"/>
  <c r="Q184" i="2"/>
  <c r="R184" i="2"/>
  <c r="S184" i="2"/>
  <c r="T184" i="2"/>
  <c r="U184" i="2"/>
  <c r="V184" i="2"/>
  <c r="W184" i="2"/>
  <c r="X184" i="2"/>
  <c r="Y184" i="2"/>
  <c r="Z184" i="2"/>
  <c r="AA184" i="2"/>
  <c r="AB184" i="2"/>
  <c r="AB187" i="2" s="1"/>
  <c r="AC184" i="2"/>
  <c r="AC185" i="2" s="1"/>
  <c r="AC190" i="2" s="1"/>
  <c r="AD184" i="2"/>
  <c r="AE184" i="2"/>
  <c r="AF184" i="2"/>
  <c r="AG184" i="2"/>
  <c r="AH184" i="2"/>
  <c r="AI184" i="2"/>
  <c r="AJ184" i="2"/>
  <c r="AJ187" i="2" s="1"/>
  <c r="AK184" i="2"/>
  <c r="AN184" i="2"/>
  <c r="AO184" i="2"/>
  <c r="AO185" i="2" s="1"/>
  <c r="AO240" i="2" s="1"/>
  <c r="AP184" i="2"/>
  <c r="AP187" i="2" s="1"/>
  <c r="AQ184" i="2"/>
  <c r="AR187" i="2" s="1"/>
  <c r="AR184" i="2"/>
  <c r="AS184" i="2"/>
  <c r="AT184" i="2"/>
  <c r="AT187" i="2" s="1"/>
  <c r="AU184" i="2"/>
  <c r="AW184" i="2"/>
  <c r="AX184" i="2"/>
  <c r="AY184" i="2"/>
  <c r="AY185" i="2" s="1"/>
  <c r="AY240" i="2" s="1"/>
  <c r="BA184" i="2"/>
  <c r="BB187" i="2" s="1"/>
  <c r="BB184" i="2"/>
  <c r="BD184" i="2"/>
  <c r="BE184" i="2"/>
  <c r="BE187" i="2" s="1"/>
  <c r="BF184" i="2"/>
  <c r="AF185" i="2"/>
  <c r="AF190" i="2" s="1"/>
  <c r="AI185" i="2"/>
  <c r="AA186" i="2"/>
  <c r="AJ186" i="2"/>
  <c r="AV189" i="2"/>
  <c r="AW189" i="2"/>
  <c r="BA189" i="2"/>
  <c r="BF189" i="2"/>
  <c r="I192" i="2"/>
  <c r="L192" i="2"/>
  <c r="Q192" i="2"/>
  <c r="U192" i="2"/>
  <c r="V192" i="2"/>
  <c r="Y192" i="2"/>
  <c r="Z192" i="2"/>
  <c r="AC192" i="2"/>
  <c r="AD192" i="2"/>
  <c r="AH192" i="2"/>
  <c r="AK192" i="2"/>
  <c r="AO192" i="2"/>
  <c r="AP192" i="2"/>
  <c r="H194" i="2"/>
  <c r="M194" i="2"/>
  <c r="R194" i="2"/>
  <c r="AH194" i="2"/>
  <c r="AI194" i="2"/>
  <c r="AJ194" i="2"/>
  <c r="AK194" i="2"/>
  <c r="AL194" i="2"/>
  <c r="AM194" i="2"/>
  <c r="AN194" i="2"/>
  <c r="AO194" i="2"/>
  <c r="AP194" i="2"/>
  <c r="AQ194" i="2"/>
  <c r="AR194" i="2"/>
  <c r="AS194" i="2"/>
  <c r="AT194" i="2"/>
  <c r="AU194" i="2"/>
  <c r="AV194" i="2"/>
  <c r="AW194" i="2"/>
  <c r="AX194" i="2"/>
  <c r="AY194" i="2"/>
  <c r="AZ194" i="2"/>
  <c r="BA194" i="2"/>
  <c r="BB194" i="2"/>
  <c r="BC194" i="2"/>
  <c r="BD194" i="2"/>
  <c r="BE194" i="2"/>
  <c r="BF194" i="2"/>
  <c r="BG194" i="2"/>
  <c r="BH194" i="2"/>
  <c r="BI194" i="2"/>
  <c r="BJ194" i="2"/>
  <c r="BK194" i="2"/>
  <c r="BL194" i="2"/>
  <c r="BM194" i="2"/>
  <c r="BN194" i="2"/>
  <c r="BO194" i="2"/>
  <c r="BP194" i="2"/>
  <c r="BQ194" i="2"/>
  <c r="BR194" i="2"/>
  <c r="BS194" i="2"/>
  <c r="BT194" i="2"/>
  <c r="BU194" i="2"/>
  <c r="BV194" i="2"/>
  <c r="BW194" i="2"/>
  <c r="BX194" i="2"/>
  <c r="BY194" i="2"/>
  <c r="BZ194" i="2"/>
  <c r="CA194" i="2"/>
  <c r="CB194" i="2"/>
  <c r="CC194" i="2"/>
  <c r="CD194" i="2"/>
  <c r="CE194" i="2"/>
  <c r="CF194" i="2"/>
  <c r="CG194" i="2"/>
  <c r="CH194" i="2"/>
  <c r="CI194" i="2"/>
  <c r="CJ194" i="2"/>
  <c r="CK194" i="2"/>
  <c r="CL194" i="2"/>
  <c r="CM194" i="2"/>
  <c r="CN194" i="2"/>
  <c r="CO194" i="2"/>
  <c r="CP194" i="2"/>
  <c r="CQ194" i="2"/>
  <c r="CR194" i="2"/>
  <c r="CS194" i="2"/>
  <c r="CT194" i="2"/>
  <c r="H195" i="2"/>
  <c r="N195" i="2"/>
  <c r="O195" i="2"/>
  <c r="AN195" i="2"/>
  <c r="AP195" i="2"/>
  <c r="AR195" i="2"/>
  <c r="AT195" i="2"/>
  <c r="AY195" i="2"/>
  <c r="N196" i="2"/>
  <c r="N197" i="2" s="1"/>
  <c r="O196" i="2"/>
  <c r="P196" i="2"/>
  <c r="Q196" i="2"/>
  <c r="T196" i="2"/>
  <c r="U196" i="2"/>
  <c r="AP196" i="2"/>
  <c r="H200" i="2"/>
  <c r="M200" i="2"/>
  <c r="R200" i="2"/>
  <c r="AH200" i="2"/>
  <c r="AI200" i="2"/>
  <c r="AJ200" i="2"/>
  <c r="AK200" i="2"/>
  <c r="AL200" i="2"/>
  <c r="AM200" i="2"/>
  <c r="AN200" i="2"/>
  <c r="AO200" i="2"/>
  <c r="AP200" i="2"/>
  <c r="AQ200" i="2"/>
  <c r="AR200" i="2"/>
  <c r="AS200" i="2"/>
  <c r="AT200" i="2"/>
  <c r="AU200" i="2"/>
  <c r="AV200" i="2"/>
  <c r="AW200" i="2"/>
  <c r="AX200" i="2"/>
  <c r="AY200" i="2"/>
  <c r="AZ200" i="2"/>
  <c r="BA200" i="2"/>
  <c r="BB200" i="2"/>
  <c r="BC200" i="2"/>
  <c r="BD200" i="2"/>
  <c r="BE200" i="2"/>
  <c r="BF200" i="2"/>
  <c r="BG200" i="2"/>
  <c r="BH200" i="2"/>
  <c r="BI200" i="2"/>
  <c r="BJ200" i="2"/>
  <c r="BK200" i="2"/>
  <c r="BL200" i="2"/>
  <c r="BM200" i="2"/>
  <c r="BN200" i="2"/>
  <c r="BO200" i="2"/>
  <c r="BP200" i="2"/>
  <c r="BQ200" i="2"/>
  <c r="BR200" i="2"/>
  <c r="BS200" i="2"/>
  <c r="BT200" i="2"/>
  <c r="BU200" i="2"/>
  <c r="BV200" i="2"/>
  <c r="BW200" i="2"/>
  <c r="BX200" i="2"/>
  <c r="BY200" i="2"/>
  <c r="BZ200" i="2"/>
  <c r="CA200" i="2"/>
  <c r="CB200" i="2"/>
  <c r="CC200" i="2"/>
  <c r="CD200" i="2"/>
  <c r="CE200" i="2"/>
  <c r="CF200" i="2"/>
  <c r="CG200" i="2"/>
  <c r="CH200" i="2"/>
  <c r="CI200" i="2"/>
  <c r="CJ200" i="2"/>
  <c r="CK200" i="2"/>
  <c r="CL200" i="2"/>
  <c r="CM200" i="2"/>
  <c r="CN200" i="2"/>
  <c r="CO200" i="2"/>
  <c r="CP200" i="2"/>
  <c r="CQ200" i="2"/>
  <c r="CR200" i="2"/>
  <c r="CS200" i="2"/>
  <c r="CT200" i="2"/>
  <c r="M201" i="2"/>
  <c r="O201" i="2"/>
  <c r="Q201" i="2"/>
  <c r="U201" i="2"/>
  <c r="W201" i="2"/>
  <c r="X201" i="2"/>
  <c r="Y201" i="2"/>
  <c r="AA201" i="2"/>
  <c r="AC201" i="2"/>
  <c r="AE201" i="2"/>
  <c r="AG201" i="2"/>
  <c r="AI201" i="2"/>
  <c r="AK201" i="2"/>
  <c r="AM201" i="2"/>
  <c r="AN201" i="2"/>
  <c r="AO201" i="2"/>
  <c r="AQ201" i="2"/>
  <c r="AS201" i="2"/>
  <c r="AU201" i="2"/>
  <c r="AW201" i="2"/>
  <c r="AZ201" i="2"/>
  <c r="BD201" i="2"/>
  <c r="BH201" i="2"/>
  <c r="M202" i="2"/>
  <c r="O202" i="2"/>
  <c r="P202" i="2"/>
  <c r="Q202" i="2"/>
  <c r="AM202" i="2"/>
  <c r="AN202" i="2"/>
  <c r="AO202" i="2"/>
  <c r="AR202" i="2"/>
  <c r="AT202" i="2"/>
  <c r="AU202" i="2"/>
  <c r="AX202" i="2"/>
  <c r="AY202" i="2"/>
  <c r="AZ202" i="2"/>
  <c r="M203" i="2"/>
  <c r="N203" i="2"/>
  <c r="O203" i="2"/>
  <c r="Q203" i="2"/>
  <c r="R203" i="2"/>
  <c r="U203" i="2"/>
  <c r="V203" i="2"/>
  <c r="W203" i="2"/>
  <c r="Y203" i="2"/>
  <c r="Z203" i="2"/>
  <c r="AA203" i="2"/>
  <c r="AC203" i="2"/>
  <c r="AD203" i="2"/>
  <c r="AE203" i="2"/>
  <c r="AG203" i="2"/>
  <c r="AH203" i="2"/>
  <c r="AI203" i="2"/>
  <c r="AK203" i="2"/>
  <c r="AM203" i="2"/>
  <c r="AN203" i="2"/>
  <c r="AP203" i="2"/>
  <c r="AQ203" i="2"/>
  <c r="AR203" i="2"/>
  <c r="AT203" i="2"/>
  <c r="AU203" i="2"/>
  <c r="AX203" i="2"/>
  <c r="AY203" i="2"/>
  <c r="AZ203" i="2"/>
  <c r="BC203" i="2"/>
  <c r="BD203" i="2"/>
  <c r="BG203" i="2"/>
  <c r="BH203" i="2"/>
  <c r="N210" i="2"/>
  <c r="O210" i="2"/>
  <c r="P210" i="2"/>
  <c r="Q210" i="2"/>
  <c r="AM210" i="2"/>
  <c r="AO210" i="2"/>
  <c r="AS210" i="2"/>
  <c r="AT210" i="2"/>
  <c r="AU210" i="2"/>
  <c r="AV210" i="2"/>
  <c r="AW210" i="2"/>
  <c r="AX210" i="2"/>
  <c r="AY210" i="2"/>
  <c r="AZ210" i="2"/>
  <c r="BA210" i="2"/>
  <c r="BB210" i="2"/>
  <c r="BC210" i="2"/>
  <c r="BD210" i="2"/>
  <c r="BE210" i="2"/>
  <c r="BF210" i="2"/>
  <c r="BG210" i="2"/>
  <c r="BH210" i="2"/>
  <c r="N211" i="2"/>
  <c r="O211" i="2"/>
  <c r="P211" i="2"/>
  <c r="Q211" i="2"/>
  <c r="R211" i="2"/>
  <c r="AM211" i="2"/>
  <c r="AN211" i="2"/>
  <c r="AO211" i="2"/>
  <c r="AP211" i="2"/>
  <c r="AR211" i="2"/>
  <c r="AS211" i="2"/>
  <c r="AT211" i="2"/>
  <c r="AU211" i="2"/>
  <c r="AV211" i="2"/>
  <c r="AW211" i="2"/>
  <c r="AX211" i="2"/>
  <c r="AY211" i="2"/>
  <c r="AZ211" i="2"/>
  <c r="BA211" i="2"/>
  <c r="BB211" i="2"/>
  <c r="BC211" i="2"/>
  <c r="BD211" i="2"/>
  <c r="BE211" i="2"/>
  <c r="BF211" i="2"/>
  <c r="BG211" i="2"/>
  <c r="BH211" i="2"/>
  <c r="BI211" i="2"/>
  <c r="N213" i="2"/>
  <c r="O213" i="2"/>
  <c r="P213" i="2"/>
  <c r="R213" i="2"/>
  <c r="S213" i="2"/>
  <c r="T213" i="2"/>
  <c r="U213" i="2"/>
  <c r="V213" i="2"/>
  <c r="W213" i="2"/>
  <c r="X213" i="2"/>
  <c r="AB213" i="2"/>
  <c r="AC213" i="2"/>
  <c r="AD213" i="2"/>
  <c r="AG213" i="2"/>
  <c r="AH213" i="2"/>
  <c r="AL213" i="2"/>
  <c r="AM213" i="2"/>
  <c r="AQ213" i="2"/>
  <c r="AR213" i="2"/>
  <c r="AS213" i="2"/>
  <c r="AV213" i="2"/>
  <c r="AW213" i="2"/>
  <c r="AX213" i="2"/>
  <c r="BA213" i="2"/>
  <c r="BB213" i="2"/>
  <c r="BC213" i="2"/>
  <c r="BF213" i="2"/>
  <c r="BG213" i="2"/>
  <c r="BL213" i="2"/>
  <c r="BM213" i="2"/>
  <c r="BN213" i="2"/>
  <c r="BO213" i="2"/>
  <c r="BQ213" i="2"/>
  <c r="BR213" i="2"/>
  <c r="BS213" i="2"/>
  <c r="BT213" i="2"/>
  <c r="BU213" i="2"/>
  <c r="BV213" i="2"/>
  <c r="BW213" i="2"/>
  <c r="BX213" i="2"/>
  <c r="BY213" i="2"/>
  <c r="BZ213" i="2"/>
  <c r="CA213" i="2"/>
  <c r="CB213" i="2"/>
  <c r="CC213" i="2"/>
  <c r="CD213" i="2"/>
  <c r="CE213" i="2"/>
  <c r="CF213" i="2"/>
  <c r="CG213" i="2"/>
  <c r="CH213" i="2"/>
  <c r="CI213" i="2"/>
  <c r="CJ213" i="2"/>
  <c r="CK213" i="2"/>
  <c r="CL213" i="2"/>
  <c r="CM213" i="2"/>
  <c r="CN213" i="2"/>
  <c r="CO213" i="2"/>
  <c r="CP213" i="2"/>
  <c r="CQ213" i="2"/>
  <c r="CR213" i="2"/>
  <c r="CS213" i="2"/>
  <c r="CT213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G214" i="2"/>
  <c r="AH214" i="2"/>
  <c r="AI214" i="2"/>
  <c r="AJ214" i="2"/>
  <c r="AK214" i="2"/>
  <c r="AL214" i="2"/>
  <c r="AM214" i="2"/>
  <c r="AN214" i="2"/>
  <c r="AO214" i="2"/>
  <c r="AP214" i="2"/>
  <c r="AR214" i="2"/>
  <c r="AS214" i="2"/>
  <c r="AT214" i="2"/>
  <c r="AU214" i="2"/>
  <c r="AW214" i="2"/>
  <c r="AX214" i="2"/>
  <c r="AY214" i="2"/>
  <c r="AZ214" i="2"/>
  <c r="BA214" i="2"/>
  <c r="BB214" i="2"/>
  <c r="BC214" i="2"/>
  <c r="BD214" i="2"/>
  <c r="BE214" i="2"/>
  <c r="BF214" i="2"/>
  <c r="BG214" i="2"/>
  <c r="BH214" i="2"/>
  <c r="BI214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G215" i="2"/>
  <c r="AH215" i="2"/>
  <c r="AI215" i="2"/>
  <c r="AJ215" i="2"/>
  <c r="AK215" i="2"/>
  <c r="AM215" i="2"/>
  <c r="AN215" i="2"/>
  <c r="AO215" i="2"/>
  <c r="AP215" i="2"/>
  <c r="AR215" i="2"/>
  <c r="AS215" i="2"/>
  <c r="AT215" i="2"/>
  <c r="AU215" i="2"/>
  <c r="AV215" i="2"/>
  <c r="AW215" i="2"/>
  <c r="AX215" i="2"/>
  <c r="AY215" i="2"/>
  <c r="AZ215" i="2"/>
  <c r="BA215" i="2"/>
  <c r="BB215" i="2"/>
  <c r="BC215" i="2"/>
  <c r="BD215" i="2"/>
  <c r="BE215" i="2"/>
  <c r="BG215" i="2"/>
  <c r="BH215" i="2"/>
  <c r="BI215" i="2"/>
  <c r="AV222" i="2"/>
  <c r="AW223" i="2"/>
  <c r="M224" i="2"/>
  <c r="R224" i="2"/>
  <c r="H226" i="2"/>
  <c r="M226" i="2"/>
  <c r="R226" i="2"/>
  <c r="H228" i="2"/>
  <c r="M228" i="2"/>
  <c r="R228" i="2"/>
  <c r="AM233" i="2"/>
  <c r="AN233" i="2"/>
  <c r="AO233" i="2"/>
  <c r="AP233" i="2"/>
  <c r="AR233" i="2"/>
  <c r="AS233" i="2"/>
  <c r="AT233" i="2"/>
  <c r="AU233" i="2"/>
  <c r="AW233" i="2"/>
  <c r="AX233" i="2"/>
  <c r="AY233" i="2"/>
  <c r="AZ233" i="2"/>
  <c r="AN234" i="2"/>
  <c r="AP234" i="2"/>
  <c r="AR234" i="2"/>
  <c r="AT234" i="2"/>
  <c r="AU234" i="2"/>
  <c r="AL238" i="2"/>
  <c r="AM238" i="2"/>
  <c r="AN238" i="2"/>
  <c r="AQ238" i="2"/>
  <c r="AR238" i="2"/>
  <c r="AS238" i="2"/>
  <c r="AV238" i="2"/>
  <c r="AW238" i="2"/>
  <c r="AX238" i="2"/>
  <c r="BA238" i="2"/>
  <c r="BB238" i="2"/>
  <c r="BF238" i="2"/>
  <c r="BG238" i="2"/>
  <c r="BH238" i="2"/>
  <c r="AL239" i="2"/>
  <c r="AM239" i="2"/>
  <c r="AN239" i="2"/>
  <c r="AQ239" i="2"/>
  <c r="AR239" i="2"/>
  <c r="AS239" i="2"/>
  <c r="AV239" i="2"/>
  <c r="AW239" i="2"/>
  <c r="AX239" i="2"/>
  <c r="BA239" i="2"/>
  <c r="BB239" i="2"/>
  <c r="BC239" i="2"/>
  <c r="BF239" i="2"/>
  <c r="BG239" i="2"/>
  <c r="BH239" i="2"/>
  <c r="AL241" i="2"/>
  <c r="AM241" i="2"/>
  <c r="AN241" i="2"/>
  <c r="AO241" i="2"/>
  <c r="AP241" i="2"/>
  <c r="AQ241" i="2"/>
  <c r="AR241" i="2"/>
  <c r="AS241" i="2"/>
  <c r="AT241" i="2"/>
  <c r="AU241" i="2"/>
  <c r="AV241" i="2"/>
  <c r="AW241" i="2"/>
  <c r="AX241" i="2"/>
  <c r="AY241" i="2"/>
  <c r="AZ241" i="2"/>
  <c r="BA241" i="2"/>
  <c r="BB241" i="2"/>
  <c r="BC241" i="2"/>
  <c r="BD241" i="2"/>
  <c r="BE241" i="2"/>
  <c r="BF241" i="2"/>
  <c r="BG241" i="2"/>
  <c r="BH241" i="2"/>
  <c r="AL242" i="2"/>
  <c r="AN242" i="2"/>
  <c r="AO242" i="2"/>
  <c r="AP242" i="2"/>
  <c r="AV242" i="2"/>
  <c r="BF242" i="2"/>
  <c r="BK242" i="2"/>
  <c r="BI7" i="2"/>
  <c r="AX188" i="3"/>
  <c r="AX193" i="3"/>
  <c r="AX142" i="3"/>
  <c r="AX184" i="3"/>
  <c r="AX189" i="3"/>
  <c r="AX192" i="3"/>
  <c r="BG5" i="2"/>
  <c r="BG22" i="2" s="1"/>
  <c r="AX185" i="3"/>
  <c r="AX187" i="3"/>
  <c r="AX194" i="3"/>
  <c r="AX186" i="3"/>
  <c r="BI174" i="2"/>
  <c r="BI203" i="2" s="1"/>
  <c r="BI167" i="2"/>
  <c r="BI201" i="2" s="1"/>
  <c r="BI18" i="2"/>
  <c r="AZ189" i="3"/>
  <c r="AZ187" i="3"/>
  <c r="AZ115" i="3"/>
  <c r="BI210" i="2"/>
  <c r="AZ102" i="3"/>
  <c r="AZ202" i="3" s="1"/>
  <c r="AZ208" i="3"/>
  <c r="AZ203" i="3"/>
  <c r="AZ206" i="3"/>
  <c r="AZ209" i="3"/>
  <c r="BO62" i="3"/>
  <c r="BO60" i="3" s="1"/>
  <c r="CJ66" i="3"/>
  <c r="CC62" i="3"/>
  <c r="CC60" i="3" s="1"/>
  <c r="CC67" i="3" s="1"/>
  <c r="BZ48" i="3"/>
  <c r="CI45" i="3"/>
  <c r="CJ45" i="3" s="1"/>
  <c r="CH35" i="3"/>
  <c r="CH40" i="3" s="1"/>
  <c r="BU35" i="3"/>
  <c r="BU45" i="3"/>
  <c r="CE37" i="3"/>
  <c r="BZ57" i="3"/>
  <c r="BN53" i="3"/>
  <c r="BN51" i="3" s="1"/>
  <c r="CJ63" i="3"/>
  <c r="CI54" i="3"/>
  <c r="CI53" i="3" s="1"/>
  <c r="CH53" i="3"/>
  <c r="CH51" i="3" s="1"/>
  <c r="CH58" i="3" s="1"/>
  <c r="BT46" i="3"/>
  <c r="BU46" i="3" s="1"/>
  <c r="BY45" i="3"/>
  <c r="BZ45" i="3" s="1"/>
  <c r="BY37" i="3"/>
  <c r="BZ37" i="3" s="1"/>
  <c r="BO35" i="3"/>
  <c r="CC35" i="3"/>
  <c r="CC40" i="3" s="1"/>
  <c r="BT35" i="3"/>
  <c r="BN35" i="3"/>
  <c r="BO258" i="2"/>
  <c r="BO257" i="2"/>
  <c r="BO256" i="2"/>
  <c r="CC56" i="2"/>
  <c r="CH56" i="2" s="1"/>
  <c r="CJ54" i="3"/>
  <c r="CJ53" i="3" s="1"/>
  <c r="BP53" i="3"/>
  <c r="BO53" i="3"/>
  <c r="BO51" i="3" s="1"/>
  <c r="BO295" i="3" s="1"/>
  <c r="BI103" i="2"/>
  <c r="BP79" i="2"/>
  <c r="BI241" i="2"/>
  <c r="BI152" i="2"/>
  <c r="BA11" i="3"/>
  <c r="AO138" i="2"/>
  <c r="BI133" i="2"/>
  <c r="BH213" i="2"/>
  <c r="AO133" i="2"/>
  <c r="AP133" i="2" s="1"/>
  <c r="AN213" i="2"/>
  <c r="AU131" i="2"/>
  <c r="Q213" i="2"/>
  <c r="AZ184" i="2"/>
  <c r="AZ72" i="2"/>
  <c r="AZ80" i="2" s="1"/>
  <c r="AZ192" i="2" s="1"/>
  <c r="AM72" i="2"/>
  <c r="AM80" i="2" s="1"/>
  <c r="AM184" i="2"/>
  <c r="AM242" i="2"/>
  <c r="I105" i="2"/>
  <c r="I107" i="2" s="1"/>
  <c r="AY107" i="2"/>
  <c r="J192" i="2"/>
  <c r="F107" i="2"/>
  <c r="BD181" i="2"/>
  <c r="BE140" i="2"/>
  <c r="BE181" i="2"/>
  <c r="BE179" i="2" s="1"/>
  <c r="AS181" i="2"/>
  <c r="AS156" i="2"/>
  <c r="AS157" i="2" s="1"/>
  <c r="AT140" i="2"/>
  <c r="AT181" i="2"/>
  <c r="AT180" i="2" s="1"/>
  <c r="BD138" i="2"/>
  <c r="AE152" i="2"/>
  <c r="BD119" i="2"/>
  <c r="BE119" i="2" s="1"/>
  <c r="CD119" i="2"/>
  <c r="CI119" i="2" s="1"/>
  <c r="CN119" i="2" s="1"/>
  <c r="CS119" i="2" s="1"/>
  <c r="BW116" i="2"/>
  <c r="X192" i="2"/>
  <c r="T192" i="2"/>
  <c r="T107" i="2"/>
  <c r="O107" i="2"/>
  <c r="O192" i="2"/>
  <c r="AU142" i="2"/>
  <c r="AT176" i="2"/>
  <c r="Z141" i="2"/>
  <c r="AA141" i="2" s="1"/>
  <c r="AP127" i="2"/>
  <c r="AO152" i="2"/>
  <c r="U115" i="2"/>
  <c r="V115" i="2" s="1"/>
  <c r="AE192" i="2"/>
  <c r="AA192" i="2"/>
  <c r="S192" i="2"/>
  <c r="AA142" i="2"/>
  <c r="Z176" i="2"/>
  <c r="AY140" i="2"/>
  <c r="AY181" i="2" s="1"/>
  <c r="AY180" i="2" s="1"/>
  <c r="AX181" i="2"/>
  <c r="AX156" i="2"/>
  <c r="AY138" i="2"/>
  <c r="P124" i="2"/>
  <c r="Q124" i="2" s="1"/>
  <c r="BG72" i="2"/>
  <c r="BG80" i="2" s="1"/>
  <c r="BG192" i="2" s="1"/>
  <c r="BG184" i="2"/>
  <c r="BG187" i="2" s="1"/>
  <c r="AN192" i="2"/>
  <c r="AI107" i="2"/>
  <c r="AI192" i="2"/>
  <c r="AH187" i="2"/>
  <c r="AD187" i="2"/>
  <c r="Z187" i="2"/>
  <c r="V187" i="2"/>
  <c r="R187" i="2"/>
  <c r="N187" i="2"/>
  <c r="AO146" i="2"/>
  <c r="AP146" i="2" s="1"/>
  <c r="AA146" i="2"/>
  <c r="BB143" i="2"/>
  <c r="AH143" i="2"/>
  <c r="AY142" i="2"/>
  <c r="AZ142" i="2" s="1"/>
  <c r="AE142" i="2"/>
  <c r="AF142" i="2" s="1"/>
  <c r="BH141" i="2"/>
  <c r="AN141" i="2"/>
  <c r="AP139" i="2"/>
  <c r="AI138" i="2"/>
  <c r="AE138" i="2"/>
  <c r="AF138" i="2" s="1"/>
  <c r="AA138" i="2"/>
  <c r="BG135" i="2"/>
  <c r="AM135" i="2"/>
  <c r="AI135" i="2"/>
  <c r="AZ134" i="2"/>
  <c r="AT134" i="2"/>
  <c r="AU134" i="2" s="1"/>
  <c r="AF134" i="2"/>
  <c r="Z134" i="2"/>
  <c r="AA134" i="2" s="1"/>
  <c r="AJ133" i="2"/>
  <c r="AJ213" i="2" s="1"/>
  <c r="BE132" i="2"/>
  <c r="AY132" i="2"/>
  <c r="AZ132" i="2" s="1"/>
  <c r="Y132" i="2"/>
  <c r="AY131" i="2"/>
  <c r="AZ131" i="2" s="1"/>
  <c r="AK131" i="2"/>
  <c r="AE131" i="2"/>
  <c r="BD130" i="2"/>
  <c r="BE130" i="2" s="1"/>
  <c r="AJ130" i="2"/>
  <c r="AT127" i="2"/>
  <c r="AF127" i="2"/>
  <c r="Z127" i="2"/>
  <c r="AY126" i="2"/>
  <c r="AZ126" i="2" s="1"/>
  <c r="AK126" i="2"/>
  <c r="AE126" i="2"/>
  <c r="AF126" i="2" s="1"/>
  <c r="Q126" i="2"/>
  <c r="AZ125" i="2"/>
  <c r="AT125" i="2"/>
  <c r="AU125" i="2" s="1"/>
  <c r="AF125" i="2"/>
  <c r="Z125" i="2"/>
  <c r="AU124" i="2"/>
  <c r="AO124" i="2"/>
  <c r="AA124" i="2"/>
  <c r="U124" i="2"/>
  <c r="BD123" i="2"/>
  <c r="AP123" i="2"/>
  <c r="AJ123" i="2"/>
  <c r="AK123" i="2" s="1"/>
  <c r="BE122" i="2"/>
  <c r="AY122" i="2"/>
  <c r="AZ122" i="2" s="1"/>
  <c r="AK122" i="2"/>
  <c r="AE122" i="2"/>
  <c r="AP119" i="2"/>
  <c r="AJ119" i="2"/>
  <c r="AK119" i="2" s="1"/>
  <c r="AJ118" i="2"/>
  <c r="AK118" i="2" s="1"/>
  <c r="BD117" i="2"/>
  <c r="AP117" i="2"/>
  <c r="AJ117" i="2"/>
  <c r="AK117" i="2" s="1"/>
  <c r="AU116" i="2"/>
  <c r="AO116" i="2"/>
  <c r="AP116" i="2" s="1"/>
  <c r="AA116" i="2"/>
  <c r="AU115" i="2"/>
  <c r="AF115" i="2"/>
  <c r="Z115" i="2"/>
  <c r="AA115" i="2" s="1"/>
  <c r="AZ114" i="2"/>
  <c r="AT114" i="2"/>
  <c r="AU114" i="2" s="1"/>
  <c r="Z114" i="2"/>
  <c r="AA114" i="2" s="1"/>
  <c r="AO113" i="2"/>
  <c r="BE93" i="2"/>
  <c r="BE105" i="2" s="1"/>
  <c r="BE107" i="2" s="1"/>
  <c r="AK93" i="2"/>
  <c r="AK105" i="2" s="1"/>
  <c r="AK107" i="2" s="1"/>
  <c r="BG83" i="2"/>
  <c r="M72" i="2"/>
  <c r="M80" i="2" s="1"/>
  <c r="BA60" i="2"/>
  <c r="AO60" i="2"/>
  <c r="H29" i="2"/>
  <c r="H30" i="2" s="1"/>
  <c r="H24" i="2"/>
  <c r="H43" i="2"/>
  <c r="H45" i="2" s="1"/>
  <c r="D43" i="2"/>
  <c r="BA143" i="2"/>
  <c r="BA147" i="2" s="1"/>
  <c r="AW143" i="2"/>
  <c r="AW147" i="2" s="1"/>
  <c r="AG143" i="2"/>
  <c r="AC143" i="2"/>
  <c r="BD142" i="2"/>
  <c r="BE142" i="2" s="1"/>
  <c r="AJ142" i="2"/>
  <c r="AI139" i="2"/>
  <c r="AJ139" i="2" s="1"/>
  <c r="AK139" i="2" s="1"/>
  <c r="AX135" i="2"/>
  <c r="AL135" i="2"/>
  <c r="AH135" i="2"/>
  <c r="AD135" i="2"/>
  <c r="AO130" i="2"/>
  <c r="AO153" i="2" s="1"/>
  <c r="AO154" i="2" s="1"/>
  <c r="AY127" i="2"/>
  <c r="O123" i="2"/>
  <c r="T116" i="2"/>
  <c r="BI113" i="2"/>
  <c r="BH28" i="2"/>
  <c r="AZ113" i="2"/>
  <c r="AT113" i="2"/>
  <c r="AF113" i="2"/>
  <c r="Z113" i="2"/>
  <c r="AN105" i="2"/>
  <c r="AN107" i="2" s="1"/>
  <c r="H97" i="2"/>
  <c r="H103" i="2" s="1"/>
  <c r="AZ93" i="2"/>
  <c r="AZ105" i="2" s="1"/>
  <c r="AF93" i="2"/>
  <c r="AF105" i="2" s="1"/>
  <c r="I5" i="3"/>
  <c r="R63" i="2"/>
  <c r="W4" i="2"/>
  <c r="BM144" i="3"/>
  <c r="AU106" i="3"/>
  <c r="AI21" i="3"/>
  <c r="BN145" i="3"/>
  <c r="AO199" i="3"/>
  <c r="AO206" i="3"/>
  <c r="AO208" i="3"/>
  <c r="AT103" i="3"/>
  <c r="AT104" i="3" s="1"/>
  <c r="AO198" i="3"/>
  <c r="AO200" i="3"/>
  <c r="AO207" i="3"/>
  <c r="AO209" i="3"/>
  <c r="BH135" i="2"/>
  <c r="X135" i="2"/>
  <c r="Q127" i="2"/>
  <c r="AG5" i="3"/>
  <c r="AH105" i="3"/>
  <c r="AU102" i="3"/>
  <c r="AU204" i="3" s="1"/>
  <c r="W78" i="3"/>
  <c r="S78" i="3"/>
  <c r="S81" i="3" s="1"/>
  <c r="M77" i="3"/>
  <c r="CH62" i="3"/>
  <c r="CH60" i="3" s="1"/>
  <c r="CH67" i="3" s="1"/>
  <c r="BR62" i="3"/>
  <c r="BR60" i="3" s="1"/>
  <c r="BR67" i="3" s="1"/>
  <c r="BB39" i="3"/>
  <c r="AW40" i="3"/>
  <c r="BS30" i="3"/>
  <c r="BX30" i="3" s="1"/>
  <c r="U29" i="3"/>
  <c r="AV16" i="3"/>
  <c r="AV19" i="3"/>
  <c r="AQ6" i="3"/>
  <c r="AQ186" i="3" s="1"/>
  <c r="AV18" i="3"/>
  <c r="AQ19" i="3"/>
  <c r="AI6" i="3"/>
  <c r="AI193" i="3" s="1"/>
  <c r="AN19" i="3"/>
  <c r="AI19" i="3"/>
  <c r="AZ159" i="3"/>
  <c r="AZ163" i="3"/>
  <c r="AZ304" i="3" s="1"/>
  <c r="CF42" i="2"/>
  <c r="CK42" i="2" s="1"/>
  <c r="CP42" i="2" s="1"/>
  <c r="K24" i="2"/>
  <c r="BE18" i="2"/>
  <c r="AZ17" i="2"/>
  <c r="AZ19" i="2" s="1"/>
  <c r="AT13" i="2"/>
  <c r="H13" i="2"/>
  <c r="D13" i="2"/>
  <c r="AA5" i="3"/>
  <c r="BN149" i="3"/>
  <c r="J139" i="3"/>
  <c r="O140" i="3" s="1"/>
  <c r="J133" i="3"/>
  <c r="O134" i="3" s="1"/>
  <c r="AZ112" i="3"/>
  <c r="AR109" i="3"/>
  <c r="AR110" i="3"/>
  <c r="AN106" i="3"/>
  <c r="AN107" i="3" s="1"/>
  <c r="AJ106" i="3"/>
  <c r="AJ107" i="3" s="1"/>
  <c r="AF106" i="3"/>
  <c r="AF107" i="3" s="1"/>
  <c r="AB106" i="3"/>
  <c r="AW105" i="3"/>
  <c r="AP102" i="3"/>
  <c r="AL102" i="3"/>
  <c r="AD102" i="3"/>
  <c r="AD198" i="3" s="1"/>
  <c r="Z102" i="3"/>
  <c r="V102" i="3"/>
  <c r="R102" i="3"/>
  <c r="N102" i="3"/>
  <c r="N198" i="3" s="1"/>
  <c r="AE98" i="3"/>
  <c r="AW95" i="3"/>
  <c r="AW98" i="3" s="1"/>
  <c r="AY86" i="3"/>
  <c r="AY89" i="3" s="1"/>
  <c r="AU86" i="3"/>
  <c r="AQ86" i="3"/>
  <c r="AQ89" i="3" s="1"/>
  <c r="AE86" i="3"/>
  <c r="AE9" i="3" s="1"/>
  <c r="AH79" i="3"/>
  <c r="L77" i="3"/>
  <c r="AH75" i="3"/>
  <c r="M75" i="3"/>
  <c r="Z71" i="3"/>
  <c r="V71" i="3"/>
  <c r="V74" i="3" s="1"/>
  <c r="R71" i="3"/>
  <c r="R74" i="3" s="1"/>
  <c r="CG62" i="3"/>
  <c r="CG60" i="3" s="1"/>
  <c r="CG67" i="3" s="1"/>
  <c r="AY62" i="3"/>
  <c r="CD55" i="3"/>
  <c r="CE55" i="3" s="1"/>
  <c r="BT54" i="3"/>
  <c r="BE53" i="3"/>
  <c r="BE56" i="3" s="1"/>
  <c r="T29" i="3"/>
  <c r="T32" i="3" s="1"/>
  <c r="P29" i="3"/>
  <c r="P32" i="3" s="1"/>
  <c r="L29" i="3"/>
  <c r="L32" i="3" s="1"/>
  <c r="N14" i="3"/>
  <c r="N17" i="3" s="1"/>
  <c r="K24" i="3"/>
  <c r="AV17" i="3"/>
  <c r="AH24" i="3"/>
  <c r="AH23" i="3"/>
  <c r="AF19" i="3"/>
  <c r="AF18" i="3"/>
  <c r="AB19" i="3"/>
  <c r="AB15" i="3" s="1"/>
  <c r="W6" i="3"/>
  <c r="W193" i="3" s="1"/>
  <c r="S19" i="3"/>
  <c r="T19" i="3"/>
  <c r="P16" i="3"/>
  <c r="K6" i="3"/>
  <c r="K195" i="3" s="1"/>
  <c r="AZ160" i="3"/>
  <c r="AZ301" i="3" s="1"/>
  <c r="AW10" i="2"/>
  <c r="AG93" i="3"/>
  <c r="Q78" i="3"/>
  <c r="Q81" i="3" s="1"/>
  <c r="BN62" i="3"/>
  <c r="BN60" i="3" s="1"/>
  <c r="AX62" i="3"/>
  <c r="AX65" i="3" s="1"/>
  <c r="N25" i="3"/>
  <c r="AW26" i="3"/>
  <c r="AR26" i="3"/>
  <c r="AE6" i="3"/>
  <c r="AE184" i="3" s="1"/>
  <c r="AJ18" i="3"/>
  <c r="AJ19" i="3"/>
  <c r="AE19" i="3"/>
  <c r="AZ161" i="3"/>
  <c r="AZ302" i="3" s="1"/>
  <c r="AN60" i="2"/>
  <c r="AN13" i="2"/>
  <c r="M7" i="2"/>
  <c r="CE159" i="3"/>
  <c r="CJ159" i="3" s="1"/>
  <c r="AW111" i="3"/>
  <c r="AT106" i="3"/>
  <c r="AT107" i="3" s="1"/>
  <c r="AE103" i="3"/>
  <c r="AE104" i="3" s="1"/>
  <c r="AH100" i="3"/>
  <c r="S73" i="3"/>
  <c r="BW62" i="3"/>
  <c r="BW60" i="3" s="1"/>
  <c r="BW67" i="3" s="1"/>
  <c r="BM62" i="3"/>
  <c r="U22" i="3"/>
  <c r="U25" i="3" s="1"/>
  <c r="M21" i="3"/>
  <c r="AX17" i="3"/>
  <c r="AF17" i="3"/>
  <c r="L16" i="3"/>
  <c r="AZ158" i="3"/>
  <c r="AZ162" i="3"/>
  <c r="AZ303" i="3" s="1"/>
  <c r="K22" i="3"/>
  <c r="K25" i="3" s="1"/>
  <c r="S28" i="3"/>
  <c r="K28" i="3"/>
  <c r="W32" i="3"/>
  <c r="AH20" i="3"/>
  <c r="AH26" i="3" s="1"/>
  <c r="AU15" i="3"/>
  <c r="BU54" i="3"/>
  <c r="N209" i="3"/>
  <c r="N103" i="3"/>
  <c r="Q152" i="2"/>
  <c r="Q153" i="2" s="1"/>
  <c r="L78" i="3"/>
  <c r="AV184" i="2"/>
  <c r="AV72" i="2"/>
  <c r="AV80" i="2" s="1"/>
  <c r="AV192" i="2" s="1"/>
  <c r="BA242" i="2"/>
  <c r="Z28" i="2"/>
  <c r="Z172" i="2"/>
  <c r="Z171" i="2"/>
  <c r="AL189" i="2"/>
  <c r="AJ176" i="2"/>
  <c r="AA113" i="2"/>
  <c r="AT152" i="2"/>
  <c r="BI141" i="2"/>
  <c r="BH143" i="2"/>
  <c r="AU176" i="2"/>
  <c r="BE117" i="2"/>
  <c r="K186" i="3"/>
  <c r="O193" i="3"/>
  <c r="O186" i="3"/>
  <c r="O184" i="3"/>
  <c r="O195" i="3"/>
  <c r="AU89" i="3"/>
  <c r="R208" i="3"/>
  <c r="AL199" i="3"/>
  <c r="AL103" i="3"/>
  <c r="AL104" i="3" s="1"/>
  <c r="N5" i="3"/>
  <c r="AB4" i="2"/>
  <c r="W159" i="2"/>
  <c r="W178" i="2" s="1"/>
  <c r="W63" i="2"/>
  <c r="W109" i="2"/>
  <c r="W194" i="2"/>
  <c r="W200" i="2"/>
  <c r="AF28" i="2"/>
  <c r="AF171" i="2"/>
  <c r="AF172" i="2"/>
  <c r="BI171" i="2"/>
  <c r="BI28" i="2"/>
  <c r="BI172" i="2"/>
  <c r="AY152" i="2"/>
  <c r="BD156" i="2"/>
  <c r="BD176" i="2"/>
  <c r="H162" i="2"/>
  <c r="BG87" i="2"/>
  <c r="BG93" i="2" s="1"/>
  <c r="BG105" i="2" s="1"/>
  <c r="BG183" i="2"/>
  <c r="BG185" i="2" s="1"/>
  <c r="BG240" i="2" s="1"/>
  <c r="AO28" i="2"/>
  <c r="AO172" i="2"/>
  <c r="AO171" i="2"/>
  <c r="BV116" i="2"/>
  <c r="AJ135" i="2"/>
  <c r="AJ169" i="2"/>
  <c r="BG189" i="2"/>
  <c r="AE176" i="2"/>
  <c r="AX180" i="2"/>
  <c r="AK130" i="2"/>
  <c r="AZ185" i="2"/>
  <c r="AZ240" i="2" s="1"/>
  <c r="AZ187" i="2"/>
  <c r="AU140" i="2"/>
  <c r="AU181" i="2" s="1"/>
  <c r="M24" i="3"/>
  <c r="Q24" i="3"/>
  <c r="V198" i="3"/>
  <c r="V209" i="3"/>
  <c r="V199" i="3"/>
  <c r="AP198" i="3"/>
  <c r="AP200" i="3"/>
  <c r="AP199" i="3"/>
  <c r="AP206" i="3"/>
  <c r="AU226" i="3"/>
  <c r="AU229" i="3" s="1"/>
  <c r="AU233" i="3" s="1"/>
  <c r="BH189" i="2"/>
  <c r="BH147" i="2"/>
  <c r="AT28" i="2"/>
  <c r="AT29" i="2" s="1"/>
  <c r="AT30" i="2" s="1"/>
  <c r="AT172" i="2"/>
  <c r="AT171" i="2"/>
  <c r="P123" i="2"/>
  <c r="Q123" i="2" s="1"/>
  <c r="AU113" i="2"/>
  <c r="AU28" i="2" s="1"/>
  <c r="AU29" i="2" s="1"/>
  <c r="AU236" i="2" s="1"/>
  <c r="Z152" i="2"/>
  <c r="AY213" i="2"/>
  <c r="AO141" i="2"/>
  <c r="AP141" i="2" s="1"/>
  <c r="AK142" i="2"/>
  <c r="AK176" i="2" s="1"/>
  <c r="AZ140" i="2"/>
  <c r="AZ181" i="2" s="1"/>
  <c r="BA181" i="2" s="1"/>
  <c r="BA180" i="2" s="1"/>
  <c r="AA176" i="2"/>
  <c r="V124" i="2"/>
  <c r="AJ138" i="2"/>
  <c r="AK138" i="2" s="1"/>
  <c r="AT156" i="2"/>
  <c r="CB116" i="2"/>
  <c r="CB115" i="2" s="1"/>
  <c r="BE123" i="2"/>
  <c r="AK133" i="2"/>
  <c r="AK213" i="2" s="1"/>
  <c r="BE138" i="2"/>
  <c r="BF181" i="2"/>
  <c r="AN187" i="2"/>
  <c r="AM185" i="2"/>
  <c r="AM240" i="2" s="1"/>
  <c r="Z132" i="2"/>
  <c r="AP138" i="2"/>
  <c r="T15" i="3"/>
  <c r="T18" i="3" s="1"/>
  <c r="BZ23" i="3"/>
  <c r="CE23" i="3" s="1"/>
  <c r="CJ23" i="3" s="1"/>
  <c r="AE89" i="3"/>
  <c r="Z206" i="3"/>
  <c r="AP113" i="2"/>
  <c r="AP171" i="2" s="1"/>
  <c r="BM179" i="2"/>
  <c r="W81" i="3"/>
  <c r="AZ28" i="2"/>
  <c r="AZ171" i="2"/>
  <c r="AZ172" i="2"/>
  <c r="U116" i="2"/>
  <c r="V116" i="2" s="1"/>
  <c r="BC238" i="2"/>
  <c r="BE126" i="2"/>
  <c r="AO169" i="2"/>
  <c r="AO170" i="2"/>
  <c r="AO239" i="2"/>
  <c r="AH189" i="2"/>
  <c r="AH147" i="2"/>
  <c r="AH149" i="2" s="1"/>
  <c r="U32" i="3"/>
  <c r="AF152" i="2"/>
  <c r="BD239" i="2"/>
  <c r="BD153" i="2"/>
  <c r="BD154" i="2" s="1"/>
  <c r="BD169" i="2"/>
  <c r="AM189" i="2"/>
  <c r="AY156" i="2"/>
  <c r="AY176" i="2"/>
  <c r="AA127" i="2"/>
  <c r="AA152" i="2" s="1"/>
  <c r="AP152" i="2"/>
  <c r="AZ138" i="2"/>
  <c r="AF122" i="2"/>
  <c r="AA125" i="2"/>
  <c r="AF131" i="2"/>
  <c r="AE213" i="2"/>
  <c r="AN143" i="2"/>
  <c r="BC11" i="3"/>
  <c r="AK169" i="2"/>
  <c r="AK170" i="2"/>
  <c r="BG186" i="2"/>
  <c r="S5" i="3"/>
  <c r="AG4" i="2"/>
  <c r="AB63" i="2"/>
  <c r="AB200" i="2"/>
  <c r="AB159" i="2"/>
  <c r="AB178" i="2" s="1"/>
  <c r="AB109" i="2"/>
  <c r="AB194" i="2"/>
  <c r="AR43" i="2"/>
  <c r="AR49" i="2" s="1"/>
  <c r="AV185" i="2"/>
  <c r="AV240" i="2" s="1"/>
  <c r="AV187" i="2"/>
  <c r="AW187" i="2"/>
  <c r="AU171" i="2"/>
  <c r="AU172" i="2"/>
  <c r="CA116" i="2"/>
  <c r="CA115" i="2" s="1"/>
  <c r="H196" i="2"/>
  <c r="H197" i="2" s="1"/>
  <c r="BD157" i="2"/>
  <c r="BK28" i="2"/>
  <c r="AU156" i="2"/>
  <c r="AO29" i="2"/>
  <c r="AO30" i="2" s="1"/>
  <c r="H111" i="2"/>
  <c r="H120" i="2" s="1"/>
  <c r="CC30" i="3"/>
  <c r="CH30" i="3" s="1"/>
  <c r="AA132" i="2"/>
  <c r="AA28" i="2"/>
  <c r="AA171" i="2"/>
  <c r="AA172" i="2"/>
  <c r="CF116" i="2"/>
  <c r="CK116" i="2" s="1"/>
  <c r="BX171" i="2"/>
  <c r="CC171" i="2" s="1"/>
  <c r="CH171" i="2" s="1"/>
  <c r="CM171" i="2" s="1"/>
  <c r="CR171" i="2" s="1"/>
  <c r="X5" i="3"/>
  <c r="AG109" i="2"/>
  <c r="AG63" i="2"/>
  <c r="AG159" i="2"/>
  <c r="AG178" i="2" s="1"/>
  <c r="BB59" i="3"/>
  <c r="BB67" i="3" s="1"/>
  <c r="BB50" i="3"/>
  <c r="BM214" i="2"/>
  <c r="BC124" i="3"/>
  <c r="BA124" i="3"/>
  <c r="BB123" i="3"/>
  <c r="BA121" i="3"/>
  <c r="BB120" i="3"/>
  <c r="BB148" i="3" s="1"/>
  <c r="BB58" i="3"/>
  <c r="BB124" i="3"/>
  <c r="BB149" i="3" l="1"/>
  <c r="AU200" i="3"/>
  <c r="AA159" i="3"/>
  <c r="AX167" i="3"/>
  <c r="AA167" i="3"/>
  <c r="N166" i="3"/>
  <c r="CJ51" i="3"/>
  <c r="CJ58" i="3" s="1"/>
  <c r="AM140" i="3"/>
  <c r="AY103" i="3"/>
  <c r="Z200" i="3"/>
  <c r="AU199" i="3"/>
  <c r="CI51" i="3"/>
  <c r="CI58" i="3" s="1"/>
  <c r="AX163" i="3"/>
  <c r="AX304" i="3" s="1"/>
  <c r="AE159" i="3"/>
  <c r="AY299" i="3"/>
  <c r="S106" i="3"/>
  <c r="AM98" i="3"/>
  <c r="AC81" i="3"/>
  <c r="Y81" i="3"/>
  <c r="AR81" i="3"/>
  <c r="AU38" i="3"/>
  <c r="Z199" i="3"/>
  <c r="Z198" i="3"/>
  <c r="AH144" i="3"/>
  <c r="AH158" i="3" s="1"/>
  <c r="AR13" i="3"/>
  <c r="AW16" i="3" s="1"/>
  <c r="Z209" i="3"/>
  <c r="AV226" i="3"/>
  <c r="AV229" i="3" s="1"/>
  <c r="AV233" i="3" s="1"/>
  <c r="N142" i="3"/>
  <c r="AH102" i="3"/>
  <c r="AH207" i="3" s="1"/>
  <c r="Z208" i="3"/>
  <c r="Z207" i="3"/>
  <c r="AY167" i="3"/>
  <c r="BX35" i="3"/>
  <c r="BX40" i="3" s="1"/>
  <c r="AA166" i="3"/>
  <c r="AR75" i="3"/>
  <c r="AY143" i="3"/>
  <c r="K7" i="2"/>
  <c r="I7" i="2"/>
  <c r="AW166" i="3"/>
  <c r="BA158" i="3"/>
  <c r="AV158" i="3"/>
  <c r="AI12" i="3"/>
  <c r="K193" i="3"/>
  <c r="S14" i="3"/>
  <c r="S31" i="3"/>
  <c r="AB8" i="3"/>
  <c r="AK211" i="2" s="1"/>
  <c r="Z74" i="3"/>
  <c r="R200" i="3"/>
  <c r="R207" i="3"/>
  <c r="AL200" i="3"/>
  <c r="AL206" i="3"/>
  <c r="AL207" i="3"/>
  <c r="AL208" i="3"/>
  <c r="AU198" i="3"/>
  <c r="AU201" i="3"/>
  <c r="AU207" i="3"/>
  <c r="AU206" i="3"/>
  <c r="AU103" i="3"/>
  <c r="AU104" i="3" s="1"/>
  <c r="AU202" i="3"/>
  <c r="AU209" i="3"/>
  <c r="AW147" i="3"/>
  <c r="AQ102" i="3"/>
  <c r="AQ143" i="3"/>
  <c r="AQ157" i="3" s="1"/>
  <c r="AL106" i="3"/>
  <c r="AL107" i="3" s="1"/>
  <c r="AM105" i="3"/>
  <c r="AL143" i="3"/>
  <c r="AB102" i="3"/>
  <c r="AB206" i="3" s="1"/>
  <c r="AC105" i="3"/>
  <c r="AH106" i="3" s="1"/>
  <c r="AH107" i="3" s="1"/>
  <c r="X102" i="3"/>
  <c r="X106" i="3"/>
  <c r="X143" i="3"/>
  <c r="T102" i="3"/>
  <c r="T208" i="3" s="1"/>
  <c r="T143" i="3"/>
  <c r="T106" i="3"/>
  <c r="AX200" i="3"/>
  <c r="AX204" i="3"/>
  <c r="AX209" i="3"/>
  <c r="AY226" i="3"/>
  <c r="AX201" i="3"/>
  <c r="AX206" i="3"/>
  <c r="AZ226" i="3"/>
  <c r="AZ229" i="3" s="1"/>
  <c r="AX199" i="3"/>
  <c r="AX203" i="3"/>
  <c r="AX208" i="3"/>
  <c r="AX226" i="3"/>
  <c r="AX229" i="3" s="1"/>
  <c r="AV62" i="3"/>
  <c r="AV65" i="3" s="1"/>
  <c r="AQ59" i="3" s="1"/>
  <c r="AU62" i="3"/>
  <c r="AU65" i="3" s="1"/>
  <c r="AP59" i="3" s="1"/>
  <c r="AT62" i="3"/>
  <c r="AT65" i="3" s="1"/>
  <c r="AO59" i="3" s="1"/>
  <c r="AW62" i="3"/>
  <c r="AW65" i="3" s="1"/>
  <c r="CI62" i="3"/>
  <c r="CB62" i="3"/>
  <c r="CB60" i="3" s="1"/>
  <c r="CB67" i="3" s="1"/>
  <c r="BT63" i="3"/>
  <c r="BT62" i="3" s="1"/>
  <c r="BT60" i="3" s="1"/>
  <c r="BT67" i="3" s="1"/>
  <c r="BS62" i="3"/>
  <c r="BS60" i="3" s="1"/>
  <c r="BS67" i="3" s="1"/>
  <c r="AR25" i="3"/>
  <c r="AM144" i="3"/>
  <c r="AV214" i="2"/>
  <c r="AF143" i="3"/>
  <c r="AF6" i="3"/>
  <c r="AF194" i="3" s="1"/>
  <c r="AA143" i="3"/>
  <c r="AA157" i="3" s="1"/>
  <c r="AA6" i="3"/>
  <c r="AA184" i="3" s="1"/>
  <c r="AA19" i="3"/>
  <c r="AA15" i="3" s="1"/>
  <c r="S172" i="3"/>
  <c r="S6" i="3"/>
  <c r="X12" i="3" s="1"/>
  <c r="O192" i="3"/>
  <c r="X5" i="2"/>
  <c r="X175" i="2" s="1"/>
  <c r="O185" i="3"/>
  <c r="O194" i="3"/>
  <c r="P14" i="3"/>
  <c r="P17" i="3" s="1"/>
  <c r="P19" i="3"/>
  <c r="J9" i="3"/>
  <c r="J189" i="3" s="1"/>
  <c r="AY194" i="3"/>
  <c r="K29" i="3"/>
  <c r="K32" i="3" s="1"/>
  <c r="K18" i="3" s="1"/>
  <c r="K31" i="3"/>
  <c r="Q23" i="2"/>
  <c r="Q195" i="2" s="1"/>
  <c r="Q13" i="2"/>
  <c r="AN158" i="3"/>
  <c r="AS158" i="3"/>
  <c r="R28" i="3"/>
  <c r="R31" i="3" s="1"/>
  <c r="J33" i="3"/>
  <c r="J13" i="3"/>
  <c r="O16" i="3" s="1"/>
  <c r="AU242" i="3"/>
  <c r="AU245" i="3" s="1"/>
  <c r="AH180" i="3"/>
  <c r="AI185" i="3"/>
  <c r="AL209" i="3"/>
  <c r="AW145" i="3"/>
  <c r="AW112" i="3"/>
  <c r="AW113" i="3" s="1"/>
  <c r="V200" i="3"/>
  <c r="V206" i="3"/>
  <c r="V207" i="3"/>
  <c r="V208" i="3"/>
  <c r="AP207" i="3"/>
  <c r="AP208" i="3"/>
  <c r="AP209" i="3"/>
  <c r="AP103" i="3"/>
  <c r="AP104" i="3" s="1"/>
  <c r="M80" i="3"/>
  <c r="M78" i="3"/>
  <c r="CJ62" i="3"/>
  <c r="CJ60" i="3" s="1"/>
  <c r="CJ67" i="3" s="1"/>
  <c r="J111" i="3"/>
  <c r="J105" i="3" s="1"/>
  <c r="P112" i="3"/>
  <c r="K105" i="3"/>
  <c r="AM100" i="3"/>
  <c r="AR96" i="3"/>
  <c r="AM154" i="3"/>
  <c r="AM168" i="3" s="1"/>
  <c r="U81" i="3"/>
  <c r="AE22" i="3"/>
  <c r="AK143" i="3"/>
  <c r="AK6" i="3"/>
  <c r="AP18" i="3"/>
  <c r="K192" i="3"/>
  <c r="T5" i="2"/>
  <c r="T9" i="2" s="1"/>
  <c r="T10" i="2" s="1"/>
  <c r="K185" i="3"/>
  <c r="K194" i="3"/>
  <c r="AW158" i="3"/>
  <c r="AU153" i="3"/>
  <c r="AU208" i="3"/>
  <c r="AR33" i="3"/>
  <c r="AW33" i="3"/>
  <c r="AZ103" i="3"/>
  <c r="AU203" i="3"/>
  <c r="AQ271" i="3"/>
  <c r="AL198" i="3"/>
  <c r="K184" i="3"/>
  <c r="AZ299" i="3"/>
  <c r="AA103" i="3"/>
  <c r="BX53" i="3"/>
  <c r="BX51" i="3" s="1"/>
  <c r="BX58" i="3" s="1"/>
  <c r="S166" i="3"/>
  <c r="AJ158" i="3"/>
  <c r="AO158" i="3"/>
  <c r="V158" i="3"/>
  <c r="AA158" i="3"/>
  <c r="R158" i="3"/>
  <c r="W158" i="3"/>
  <c r="AN157" i="3"/>
  <c r="J75" i="3"/>
  <c r="J70" i="3" s="1"/>
  <c r="O75" i="3"/>
  <c r="O71" i="3" s="1"/>
  <c r="AT16" i="3"/>
  <c r="AT17" i="3" s="1"/>
  <c r="AO143" i="3"/>
  <c r="AO157" i="3" s="1"/>
  <c r="AO168" i="3"/>
  <c r="AA165" i="3"/>
  <c r="W165" i="3"/>
  <c r="S165" i="3"/>
  <c r="AP159" i="3"/>
  <c r="Q106" i="3"/>
  <c r="AX103" i="3"/>
  <c r="AX104" i="3" s="1"/>
  <c r="V94" i="3"/>
  <c r="R94" i="3"/>
  <c r="Z81" i="3"/>
  <c r="Q71" i="3"/>
  <c r="AP19" i="3"/>
  <c r="Q29" i="2"/>
  <c r="Q30" i="2" s="1"/>
  <c r="V167" i="3"/>
  <c r="AW133" i="3"/>
  <c r="AW102" i="3" s="1"/>
  <c r="J151" i="3"/>
  <c r="W143" i="3"/>
  <c r="O143" i="3"/>
  <c r="T157" i="3" s="1"/>
  <c r="N98" i="3"/>
  <c r="AM13" i="3"/>
  <c r="L80" i="3"/>
  <c r="AZ300" i="3"/>
  <c r="P131" i="3"/>
  <c r="N94" i="3"/>
  <c r="R98" i="3"/>
  <c r="T85" i="3"/>
  <c r="P85" i="3"/>
  <c r="AW134" i="3"/>
  <c r="AW135" i="3" s="1"/>
  <c r="AW153" i="3"/>
  <c r="AW167" i="3" s="1"/>
  <c r="AH209" i="3"/>
  <c r="AM26" i="3"/>
  <c r="O19" i="3"/>
  <c r="AT229" i="3"/>
  <c r="AV107" i="3"/>
  <c r="O73" i="3"/>
  <c r="Q73" i="3"/>
  <c r="AQ214" i="2"/>
  <c r="AM25" i="3"/>
  <c r="M22" i="3"/>
  <c r="M25" i="3" s="1"/>
  <c r="AD174" i="3"/>
  <c r="N159" i="3"/>
  <c r="AX134" i="3"/>
  <c r="AX135" i="3" s="1"/>
  <c r="R86" i="3"/>
  <c r="R89" i="3" s="1"/>
  <c r="AH27" i="3"/>
  <c r="AM31" i="3" s="1"/>
  <c r="AH173" i="3"/>
  <c r="AH21" i="3"/>
  <c r="CI60" i="3"/>
  <c r="CI67" i="3" s="1"/>
  <c r="AA168" i="3"/>
  <c r="AS167" i="3"/>
  <c r="Z167" i="3"/>
  <c r="AH140" i="3"/>
  <c r="O94" i="3"/>
  <c r="AW82" i="3"/>
  <c r="AS38" i="3"/>
  <c r="AI17" i="3"/>
  <c r="AI14" i="3" s="1"/>
  <c r="AI28" i="3"/>
  <c r="U184" i="3"/>
  <c r="V25" i="3"/>
  <c r="V32" i="3"/>
  <c r="M31" i="3"/>
  <c r="M29" i="3"/>
  <c r="M32" i="3" s="1"/>
  <c r="T25" i="3"/>
  <c r="X193" i="3"/>
  <c r="X186" i="3"/>
  <c r="X184" i="3"/>
  <c r="BZ55" i="3"/>
  <c r="BZ53" i="3" s="1"/>
  <c r="BZ51" i="3" s="1"/>
  <c r="BZ58" i="3" s="1"/>
  <c r="BY53" i="3"/>
  <c r="BY51" i="3" s="1"/>
  <c r="BY58" i="3" s="1"/>
  <c r="AU107" i="3"/>
  <c r="J73" i="3"/>
  <c r="J71" i="3"/>
  <c r="CE54" i="3"/>
  <c r="CE53" i="3" s="1"/>
  <c r="CD53" i="3"/>
  <c r="Q14" i="3"/>
  <c r="Q31" i="3"/>
  <c r="Q29" i="3"/>
  <c r="Q32" i="3" s="1"/>
  <c r="AG19" i="3"/>
  <c r="AG143" i="3"/>
  <c r="AL157" i="3" s="1"/>
  <c r="AJ17" i="3"/>
  <c r="AJ21" i="3"/>
  <c r="W25" i="3"/>
  <c r="Q18" i="3"/>
  <c r="AX159" i="3"/>
  <c r="AX300" i="3" s="1"/>
  <c r="BC159" i="3"/>
  <c r="BA299" i="3"/>
  <c r="AW109" i="3"/>
  <c r="AW110" i="3" s="1"/>
  <c r="AM109" i="3"/>
  <c r="AM110" i="3" s="1"/>
  <c r="O86" i="3"/>
  <c r="O89" i="3" s="1"/>
  <c r="CC51" i="3"/>
  <c r="CC58" i="3" s="1"/>
  <c r="BE301" i="3"/>
  <c r="BJ301" i="3"/>
  <c r="AZ201" i="3"/>
  <c r="AY163" i="3"/>
  <c r="AY304" i="3" s="1"/>
  <c r="BD163" i="3"/>
  <c r="AY162" i="3"/>
  <c r="AY303" i="3" s="1"/>
  <c r="BD162" i="3"/>
  <c r="BD302" i="3"/>
  <c r="BI302" i="3"/>
  <c r="BA300" i="3"/>
  <c r="AC158" i="3"/>
  <c r="BL62" i="3"/>
  <c r="BL65" i="3" s="1"/>
  <c r="BI62" i="3"/>
  <c r="BI65" i="3" s="1"/>
  <c r="BH62" i="3"/>
  <c r="BS51" i="3"/>
  <c r="BS58" i="3" s="1"/>
  <c r="AU56" i="3"/>
  <c r="AP50" i="3" s="1"/>
  <c r="AZ295" i="3"/>
  <c r="AK17" i="3"/>
  <c r="AD22" i="3"/>
  <c r="R22" i="3"/>
  <c r="R25" i="3" s="1"/>
  <c r="BE302" i="3"/>
  <c r="BJ302" i="3"/>
  <c r="AZ204" i="3"/>
  <c r="AZ207" i="3"/>
  <c r="AZ199" i="3"/>
  <c r="BC304" i="3"/>
  <c r="BH304" i="3"/>
  <c r="BC303" i="3"/>
  <c r="BH303" i="3"/>
  <c r="AX161" i="3"/>
  <c r="AX302" i="3" s="1"/>
  <c r="BC161" i="3"/>
  <c r="BI301" i="3"/>
  <c r="BH299" i="3"/>
  <c r="AG158" i="3"/>
  <c r="Y158" i="3"/>
  <c r="U158" i="3"/>
  <c r="Q158" i="3"/>
  <c r="AS157" i="3"/>
  <c r="O158" i="3"/>
  <c r="BY62" i="3"/>
  <c r="BY60" i="3" s="1"/>
  <c r="BY67" i="3" s="1"/>
  <c r="AT38" i="3"/>
  <c r="AY293" i="3"/>
  <c r="AD29" i="3"/>
  <c r="S25" i="3"/>
  <c r="AY142" i="3"/>
  <c r="BE299" i="3"/>
  <c r="BJ299" i="3"/>
  <c r="BJ303" i="3"/>
  <c r="BE303" i="3"/>
  <c r="BB121" i="3"/>
  <c r="BN67" i="3"/>
  <c r="BN296" i="3"/>
  <c r="P18" i="3"/>
  <c r="BT40" i="3"/>
  <c r="BU40" i="3"/>
  <c r="BO67" i="3"/>
  <c r="BO296" i="3"/>
  <c r="AZ200" i="3"/>
  <c r="AY229" i="3"/>
  <c r="AD173" i="3"/>
  <c r="AW161" i="3"/>
  <c r="BH301" i="3"/>
  <c r="BI300" i="3"/>
  <c r="AO159" i="3"/>
  <c r="AK159" i="3"/>
  <c r="AG159" i="3"/>
  <c r="AC159" i="3"/>
  <c r="Y159" i="3"/>
  <c r="U159" i="3"/>
  <c r="Q159" i="3"/>
  <c r="AX158" i="3"/>
  <c r="AR140" i="3"/>
  <c r="O128" i="3"/>
  <c r="AR112" i="3"/>
  <c r="AR113" i="3" s="1"/>
  <c r="AH109" i="3"/>
  <c r="AH110" i="3" s="1"/>
  <c r="AV106" i="3"/>
  <c r="S86" i="3"/>
  <c r="S89" i="3" s="1"/>
  <c r="AS62" i="3"/>
  <c r="CD56" i="3"/>
  <c r="CE56" i="3" s="1"/>
  <c r="AV56" i="3"/>
  <c r="AQ50" i="3" s="1"/>
  <c r="AH31" i="3"/>
  <c r="AH28" i="3" s="1"/>
  <c r="V19" i="3"/>
  <c r="V15" i="3" s="1"/>
  <c r="V18" i="3" s="1"/>
  <c r="BD299" i="3"/>
  <c r="BI299" i="3"/>
  <c r="BJ300" i="3"/>
  <c r="BE300" i="3"/>
  <c r="BE304" i="3"/>
  <c r="BJ304" i="3"/>
  <c r="AZ176" i="2"/>
  <c r="AZ156" i="2"/>
  <c r="AG187" i="2"/>
  <c r="Q187" i="2"/>
  <c r="AV186" i="2"/>
  <c r="S155" i="2"/>
  <c r="AX105" i="2"/>
  <c r="J105" i="2"/>
  <c r="J107" i="2" s="1"/>
  <c r="AG200" i="2"/>
  <c r="AZ161" i="2"/>
  <c r="W185" i="2"/>
  <c r="W190" i="2" s="1"/>
  <c r="T157" i="2"/>
  <c r="AH105" i="2"/>
  <c r="N105" i="2"/>
  <c r="AG194" i="2"/>
  <c r="Z153" i="2"/>
  <c r="AN185" i="2"/>
  <c r="AN240" i="2" s="1"/>
  <c r="V185" i="2"/>
  <c r="V190" i="2" s="1"/>
  <c r="S157" i="2"/>
  <c r="Q156" i="2"/>
  <c r="V153" i="2"/>
  <c r="V154" i="2" s="1"/>
  <c r="BI176" i="2"/>
  <c r="BI156" i="2"/>
  <c r="N192" i="2"/>
  <c r="N107" i="2"/>
  <c r="AF107" i="2"/>
  <c r="AO186" i="2"/>
  <c r="AK181" i="2"/>
  <c r="V180" i="2"/>
  <c r="BB157" i="2"/>
  <c r="AC157" i="2"/>
  <c r="M157" i="2"/>
  <c r="AF133" i="2"/>
  <c r="AF213" i="2" s="1"/>
  <c r="AY116" i="2"/>
  <c r="AZ116" i="2" s="1"/>
  <c r="BD105" i="2"/>
  <c r="BD107" i="2" s="1"/>
  <c r="W72" i="2"/>
  <c r="R72" i="2"/>
  <c r="AZ186" i="2"/>
  <c r="AS105" i="2"/>
  <c r="AS107" i="2" s="1"/>
  <c r="AX157" i="2"/>
  <c r="Z185" i="2"/>
  <c r="Z190" i="2" s="1"/>
  <c r="N185" i="2"/>
  <c r="N190" i="2" s="1"/>
  <c r="BD238" i="2"/>
  <c r="BB105" i="2"/>
  <c r="BB107" i="2" s="1"/>
  <c r="E105" i="2"/>
  <c r="E107" i="2" s="1"/>
  <c r="AU186" i="2"/>
  <c r="AK186" i="2"/>
  <c r="AG185" i="2"/>
  <c r="AG190" i="2" s="1"/>
  <c r="Q186" i="2"/>
  <c r="R186" i="2"/>
  <c r="AA180" i="2"/>
  <c r="U157" i="2"/>
  <c r="R157" i="2"/>
  <c r="BG155" i="2"/>
  <c r="S147" i="2"/>
  <c r="S149" i="2" s="1"/>
  <c r="M147" i="2"/>
  <c r="AI213" i="2"/>
  <c r="AM105" i="2"/>
  <c r="G105" i="2"/>
  <c r="G107" i="2" s="1"/>
  <c r="AI148" i="2"/>
  <c r="AH150" i="2"/>
  <c r="AY141" i="2"/>
  <c r="AY143" i="2" s="1"/>
  <c r="AX143" i="2"/>
  <c r="AX147" i="2" s="1"/>
  <c r="AX189" i="2"/>
  <c r="BI143" i="2"/>
  <c r="AQ189" i="2"/>
  <c r="AQ147" i="2"/>
  <c r="AY119" i="2"/>
  <c r="AZ119" i="2" s="1"/>
  <c r="P192" i="2"/>
  <c r="P107" i="2"/>
  <c r="AY239" i="2"/>
  <c r="AY135" i="2"/>
  <c r="AY169" i="2"/>
  <c r="AY170" i="2"/>
  <c r="AU180" i="2"/>
  <c r="AV181" i="2"/>
  <c r="AJ141" i="2"/>
  <c r="AK141" i="2" s="1"/>
  <c r="Z140" i="2"/>
  <c r="Y156" i="2"/>
  <c r="Y157" i="2" s="1"/>
  <c r="K107" i="2"/>
  <c r="K192" i="2"/>
  <c r="CG116" i="2"/>
  <c r="BD186" i="2"/>
  <c r="AT185" i="2"/>
  <c r="AT240" i="2" s="1"/>
  <c r="AE187" i="2"/>
  <c r="AA187" i="2"/>
  <c r="W187" i="2"/>
  <c r="S187" i="2"/>
  <c r="O187" i="2"/>
  <c r="BF186" i="2"/>
  <c r="BB185" i="2"/>
  <c r="BB240" i="2" s="1"/>
  <c r="AX186" i="2"/>
  <c r="AP186" i="2"/>
  <c r="O186" i="2"/>
  <c r="BG157" i="2"/>
  <c r="BF157" i="2"/>
  <c r="AV157" i="2"/>
  <c r="AL157" i="2"/>
  <c r="H157" i="2"/>
  <c r="AG135" i="2"/>
  <c r="AG147" i="2" s="1"/>
  <c r="AG149" i="2" s="1"/>
  <c r="AG150" i="2" s="1"/>
  <c r="AE132" i="2"/>
  <c r="AF132" i="2" s="1"/>
  <c r="AD28" i="2"/>
  <c r="L103" i="2"/>
  <c r="W103" i="2"/>
  <c r="AQ103" i="2"/>
  <c r="AC105" i="2"/>
  <c r="AC107" i="2" s="1"/>
  <c r="U60" i="2"/>
  <c r="M60" i="2"/>
  <c r="Z18" i="2"/>
  <c r="AY153" i="2"/>
  <c r="AY154" i="2" s="1"/>
  <c r="BD155" i="2" s="1"/>
  <c r="AH186" i="2"/>
  <c r="AP185" i="2"/>
  <c r="AP240" i="2" s="1"/>
  <c r="AU187" i="2"/>
  <c r="AK187" i="2"/>
  <c r="AX155" i="2"/>
  <c r="AQ157" i="2"/>
  <c r="AK125" i="2"/>
  <c r="U105" i="2"/>
  <c r="AQ93" i="2"/>
  <c r="AG93" i="2"/>
  <c r="AB72" i="2"/>
  <c r="AB80" i="2" s="1"/>
  <c r="AB192" i="2" s="1"/>
  <c r="AL60" i="2"/>
  <c r="M185" i="2"/>
  <c r="M190" i="2" s="1"/>
  <c r="N188" i="2" s="1"/>
  <c r="N189" i="2" s="1"/>
  <c r="BB155" i="2"/>
  <c r="W155" i="2"/>
  <c r="R143" i="2"/>
  <c r="R147" i="2" s="1"/>
  <c r="R149" i="2" s="1"/>
  <c r="R150" i="2" s="1"/>
  <c r="BC105" i="2"/>
  <c r="AE105" i="2"/>
  <c r="AE107" i="2" s="1"/>
  <c r="M87" i="2"/>
  <c r="M93" i="2" s="1"/>
  <c r="W80" i="2"/>
  <c r="W192" i="2" s="1"/>
  <c r="AQ72" i="2"/>
  <c r="AQ80" i="2" s="1"/>
  <c r="AQ192" i="2" s="1"/>
  <c r="AG60" i="2"/>
  <c r="AC60" i="2"/>
  <c r="CF115" i="2"/>
  <c r="AP172" i="2"/>
  <c r="P187" i="2"/>
  <c r="W186" i="2"/>
  <c r="AJ185" i="2"/>
  <c r="AX187" i="2"/>
  <c r="Y187" i="2"/>
  <c r="U187" i="2"/>
  <c r="T185" i="2"/>
  <c r="T190" i="2" s="1"/>
  <c r="AW157" i="2"/>
  <c r="X143" i="2"/>
  <c r="X147" i="2" s="1"/>
  <c r="AR135" i="2"/>
  <c r="AR189" i="2" s="1"/>
  <c r="AE118" i="2"/>
  <c r="AF118" i="2" s="1"/>
  <c r="X105" i="2"/>
  <c r="X107" i="2" s="1"/>
  <c r="Q103" i="2"/>
  <c r="AB103" i="2"/>
  <c r="V93" i="2"/>
  <c r="V105" i="2" s="1"/>
  <c r="V107" i="2" s="1"/>
  <c r="Y105" i="2"/>
  <c r="R188" i="2"/>
  <c r="BD141" i="2"/>
  <c r="BD143" i="2" s="1"/>
  <c r="BC143" i="2"/>
  <c r="CK115" i="2"/>
  <c r="CP116" i="2"/>
  <c r="CP115" i="2" s="1"/>
  <c r="AM107" i="2"/>
  <c r="AM192" i="2"/>
  <c r="Q154" i="2"/>
  <c r="Q157" i="2"/>
  <c r="Z139" i="2"/>
  <c r="Z143" i="2" s="1"/>
  <c r="Y143" i="2"/>
  <c r="BE156" i="2"/>
  <c r="BE176" i="2"/>
  <c r="AH157" i="2"/>
  <c r="AH154" i="2"/>
  <c r="AH155" i="2" s="1"/>
  <c r="AB154" i="2"/>
  <c r="AB155" i="2" s="1"/>
  <c r="AB157" i="2"/>
  <c r="AE185" i="2"/>
  <c r="AE190" i="2" s="1"/>
  <c r="AA185" i="2"/>
  <c r="AA190" i="2" s="1"/>
  <c r="AS180" i="2"/>
  <c r="Y180" i="2"/>
  <c r="AQ105" i="2"/>
  <c r="AQ107" i="2" s="1"/>
  <c r="AP28" i="2"/>
  <c r="J7" i="2"/>
  <c r="BG12" i="2"/>
  <c r="BG13" i="2" s="1"/>
  <c r="BE185" i="2"/>
  <c r="BE186" i="2"/>
  <c r="BA185" i="2"/>
  <c r="BA240" i="2" s="1"/>
  <c r="AT186" i="2"/>
  <c r="AH185" i="2"/>
  <c r="AD185" i="2"/>
  <c r="AD190" i="2" s="1"/>
  <c r="BG179" i="2"/>
  <c r="AR180" i="2"/>
  <c r="X180" i="2"/>
  <c r="BH157" i="2"/>
  <c r="AN157" i="2"/>
  <c r="AZ139" i="2"/>
  <c r="R109" i="2"/>
  <c r="Q185" i="2"/>
  <c r="Q190" i="2" s="1"/>
  <c r="M187" i="2"/>
  <c r="AW186" i="2"/>
  <c r="AR185" i="2"/>
  <c r="AR240" i="2" s="1"/>
  <c r="AK185" i="2"/>
  <c r="Y185" i="2"/>
  <c r="Y190" i="2" s="1"/>
  <c r="U186" i="2"/>
  <c r="R185" i="2"/>
  <c r="R190" i="2" s="1"/>
  <c r="AS155" i="2"/>
  <c r="Y155" i="2"/>
  <c r="AD155" i="2"/>
  <c r="X155" i="2"/>
  <c r="BJ146" i="2"/>
  <c r="BE141" i="2"/>
  <c r="BE143" i="2" s="1"/>
  <c r="AP130" i="2"/>
  <c r="T186" i="2"/>
  <c r="BF185" i="2"/>
  <c r="AW185" i="2"/>
  <c r="AW240" i="2" s="1"/>
  <c r="AI187" i="2"/>
  <c r="AY186" i="2"/>
  <c r="AU185" i="2"/>
  <c r="AU240" i="2" s="1"/>
  <c r="AQ185" i="2"/>
  <c r="AQ240" i="2" s="1"/>
  <c r="AC186" i="2"/>
  <c r="X185" i="2"/>
  <c r="X190" i="2" s="1"/>
  <c r="U185" i="2"/>
  <c r="U190" i="2" s="1"/>
  <c r="N186" i="2"/>
  <c r="O157" i="2"/>
  <c r="AQ154" i="2"/>
  <c r="AV155" i="2" s="1"/>
  <c r="R155" i="2"/>
  <c r="AD141" i="2"/>
  <c r="AE141" i="2" s="1"/>
  <c r="BJ140" i="2"/>
  <c r="BJ181" i="2" s="1"/>
  <c r="BK181" i="2" s="1"/>
  <c r="BA157" i="2"/>
  <c r="BF143" i="2"/>
  <c r="AL143" i="2"/>
  <c r="AL147" i="2" s="1"/>
  <c r="AL149" i="2" s="1"/>
  <c r="AU132" i="2"/>
  <c r="AE130" i="2"/>
  <c r="Z126" i="2"/>
  <c r="AA126" i="2" s="1"/>
  <c r="AJ124" i="2"/>
  <c r="AK124" i="2" s="1"/>
  <c r="BI123" i="2"/>
  <c r="BJ123" i="2" s="1"/>
  <c r="BD115" i="2"/>
  <c r="BE115" i="2" s="1"/>
  <c r="BC28" i="2"/>
  <c r="AX28" i="2"/>
  <c r="R103" i="2"/>
  <c r="AV103" i="2"/>
  <c r="AP93" i="2"/>
  <c r="AP105" i="2" s="1"/>
  <c r="AP107" i="2" s="1"/>
  <c r="AL93" i="2"/>
  <c r="W93" i="2"/>
  <c r="W105" i="2" s="1"/>
  <c r="W107" i="2" s="1"/>
  <c r="AJ105" i="2"/>
  <c r="AJ107" i="2" s="1"/>
  <c r="R87" i="2"/>
  <c r="R93" i="2" s="1"/>
  <c r="U107" i="2"/>
  <c r="AX107" i="2"/>
  <c r="AX192" i="2"/>
  <c r="AG72" i="2"/>
  <c r="AG80" i="2" s="1"/>
  <c r="BF72" i="2"/>
  <c r="BF80" i="2" s="1"/>
  <c r="BF192" i="2" s="1"/>
  <c r="AQ60" i="2"/>
  <c r="AV60" i="2"/>
  <c r="AY24" i="2"/>
  <c r="AY37" i="2"/>
  <c r="AY40" i="2" s="1"/>
  <c r="Q37" i="2"/>
  <c r="Q43" i="2" s="1"/>
  <c r="P24" i="2"/>
  <c r="P26" i="2" s="1"/>
  <c r="P37" i="2"/>
  <c r="AQ160" i="2"/>
  <c r="BJ132" i="2"/>
  <c r="W135" i="2"/>
  <c r="BI114" i="2"/>
  <c r="BX114" i="2" s="1"/>
  <c r="CC114" i="2" s="1"/>
  <c r="CH114" i="2" s="1"/>
  <c r="CM114" i="2" s="1"/>
  <c r="CR114" i="2" s="1"/>
  <c r="Q105" i="2"/>
  <c r="BF93" i="2"/>
  <c r="AA105" i="2"/>
  <c r="AA107" i="2" s="1"/>
  <c r="R80" i="2"/>
  <c r="AH107" i="2"/>
  <c r="BA72" i="2"/>
  <c r="BA80" i="2" s="1"/>
  <c r="BA192" i="2" s="1"/>
  <c r="AF60" i="2"/>
  <c r="R60" i="2"/>
  <c r="AU24" i="2"/>
  <c r="AU37" i="2"/>
  <c r="AU40" i="2" s="1"/>
  <c r="O24" i="2"/>
  <c r="O37" i="2"/>
  <c r="V143" i="2"/>
  <c r="BJ134" i="2"/>
  <c r="AK132" i="2"/>
  <c r="AK135" i="2" s="1"/>
  <c r="AU126" i="2"/>
  <c r="AU238" i="2" s="1"/>
  <c r="BJ125" i="2"/>
  <c r="BE124" i="2"/>
  <c r="BJ122" i="2"/>
  <c r="BI115" i="2"/>
  <c r="BJ115" i="2" s="1"/>
  <c r="BJ113" i="2"/>
  <c r="AL103" i="2"/>
  <c r="BA93" i="2"/>
  <c r="AO105" i="2"/>
  <c r="Z105" i="2"/>
  <c r="H87" i="2"/>
  <c r="H93" i="2" s="1"/>
  <c r="H105" i="2" s="1"/>
  <c r="AL48" i="2"/>
  <c r="G29" i="2"/>
  <c r="G30" i="2" s="1"/>
  <c r="G37" i="2"/>
  <c r="AO195" i="2"/>
  <c r="AO37" i="2"/>
  <c r="AO40" i="2" s="1"/>
  <c r="BA168" i="2"/>
  <c r="M149" i="2"/>
  <c r="M150" i="2" s="1"/>
  <c r="BJ142" i="2"/>
  <c r="BJ176" i="2" s="1"/>
  <c r="BG143" i="2"/>
  <c r="BG147" i="2" s="1"/>
  <c r="BJ141" i="2"/>
  <c r="BJ139" i="2"/>
  <c r="W143" i="2"/>
  <c r="BJ138" i="2"/>
  <c r="AC135" i="2"/>
  <c r="AC147" i="2" s="1"/>
  <c r="AC149" i="2" s="1"/>
  <c r="BB135" i="2"/>
  <c r="BB189" i="2" s="1"/>
  <c r="BJ133" i="2"/>
  <c r="AT133" i="2"/>
  <c r="AT213" i="2" s="1"/>
  <c r="AB135" i="2"/>
  <c r="BI130" i="2"/>
  <c r="BI124" i="2"/>
  <c r="BJ124" i="2" s="1"/>
  <c r="BI117" i="2"/>
  <c r="BJ117" i="2" s="1"/>
  <c r="BI116" i="2"/>
  <c r="BJ116" i="2" s="1"/>
  <c r="BE113" i="2"/>
  <c r="AI28" i="2"/>
  <c r="BA103" i="2"/>
  <c r="BA105" i="2" s="1"/>
  <c r="BF103" i="2"/>
  <c r="BF105" i="2" s="1"/>
  <c r="BF107" i="2" s="1"/>
  <c r="AG103" i="2"/>
  <c r="AG105" i="2" s="1"/>
  <c r="M103" i="2"/>
  <c r="M105" i="2" s="1"/>
  <c r="AU105" i="2"/>
  <c r="AU107" i="2" s="1"/>
  <c r="AV93" i="2"/>
  <c r="AR105" i="2"/>
  <c r="AR107" i="2" s="1"/>
  <c r="L105" i="2"/>
  <c r="L107" i="2" s="1"/>
  <c r="D105" i="2"/>
  <c r="Y107" i="2"/>
  <c r="H72" i="2"/>
  <c r="H80" i="2" s="1"/>
  <c r="H192" i="2" s="1"/>
  <c r="AQ48" i="2"/>
  <c r="AK24" i="2"/>
  <c r="AK37" i="2"/>
  <c r="AK40" i="2" s="1"/>
  <c r="AS25" i="2"/>
  <c r="AS37" i="2"/>
  <c r="AS40" i="2" s="1"/>
  <c r="BM60" i="3"/>
  <c r="BM296" i="3" s="1"/>
  <c r="BM51" i="3"/>
  <c r="BM295" i="3" s="1"/>
  <c r="K12" i="3"/>
  <c r="AA18" i="3"/>
  <c r="BH5" i="2"/>
  <c r="BH164" i="2" s="1"/>
  <c r="AY195" i="3"/>
  <c r="AY192" i="3"/>
  <c r="AY189" i="3"/>
  <c r="AY184" i="3"/>
  <c r="BD11" i="3"/>
  <c r="BG163" i="2"/>
  <c r="AY188" i="3"/>
  <c r="AI195" i="3"/>
  <c r="BG160" i="2"/>
  <c r="AY193" i="3"/>
  <c r="AY190" i="3"/>
  <c r="AY187" i="3"/>
  <c r="AY185" i="3"/>
  <c r="CD62" i="3"/>
  <c r="CD60" i="3" s="1"/>
  <c r="CD67" i="3" s="1"/>
  <c r="CE63" i="3"/>
  <c r="CE62" i="3" s="1"/>
  <c r="CE60" i="3" s="1"/>
  <c r="CE67" i="3" s="1"/>
  <c r="BZ63" i="3"/>
  <c r="BZ62" i="3" s="1"/>
  <c r="BZ60" i="3" s="1"/>
  <c r="BZ67" i="3" s="1"/>
  <c r="BX62" i="3"/>
  <c r="BX60" i="3" s="1"/>
  <c r="BX67" i="3" s="1"/>
  <c r="BM67" i="3"/>
  <c r="CJ38" i="3"/>
  <c r="CJ35" i="3" s="1"/>
  <c r="CJ40" i="3" s="1"/>
  <c r="CI35" i="3"/>
  <c r="CI40" i="3" s="1"/>
  <c r="CD35" i="3"/>
  <c r="CD40" i="3" s="1"/>
  <c r="CE38" i="3"/>
  <c r="CE35" i="3" s="1"/>
  <c r="CE40" i="3" s="1"/>
  <c r="BZ38" i="3"/>
  <c r="BZ35" i="3" s="1"/>
  <c r="BZ40" i="3" s="1"/>
  <c r="BY35" i="3"/>
  <c r="BY40" i="3" s="1"/>
  <c r="BS35" i="3"/>
  <c r="BS40" i="3" s="1"/>
  <c r="BN40" i="3"/>
  <c r="BN293" i="3"/>
  <c r="BM40" i="3"/>
  <c r="BM293" i="3"/>
  <c r="AQ194" i="3"/>
  <c r="AE192" i="3"/>
  <c r="AZ188" i="3"/>
  <c r="AZ195" i="3"/>
  <c r="AZ194" i="3"/>
  <c r="AZ142" i="3"/>
  <c r="AZ185" i="3"/>
  <c r="AZ193" i="3"/>
  <c r="AZ192" i="3"/>
  <c r="AZ186" i="3"/>
  <c r="X163" i="2"/>
  <c r="AE171" i="3"/>
  <c r="AE194" i="3"/>
  <c r="BI5" i="2"/>
  <c r="BI164" i="2" s="1"/>
  <c r="AZ190" i="3"/>
  <c r="H48" i="2"/>
  <c r="H177" i="2"/>
  <c r="BU139" i="3"/>
  <c r="BZ139" i="3" s="1"/>
  <c r="BK291" i="3"/>
  <c r="BP291" i="3"/>
  <c r="BN58" i="3"/>
  <c r="BN295" i="3"/>
  <c r="BO40" i="3"/>
  <c r="BO293" i="3"/>
  <c r="BR144" i="3"/>
  <c r="BW144" i="3" s="1"/>
  <c r="CB144" i="3" s="1"/>
  <c r="CG144" i="3" s="1"/>
  <c r="AJ180" i="2"/>
  <c r="P12" i="3"/>
  <c r="AQ12" i="3"/>
  <c r="AQ185" i="3"/>
  <c r="AB5" i="2"/>
  <c r="AB253" i="2" s="1"/>
  <c r="S185" i="3"/>
  <c r="AV12" i="3"/>
  <c r="Z12" i="3"/>
  <c r="Z195" i="3"/>
  <c r="P186" i="3"/>
  <c r="T185" i="3"/>
  <c r="P184" i="3"/>
  <c r="AQ195" i="3"/>
  <c r="AI5" i="2"/>
  <c r="AI253" i="2" s="1"/>
  <c r="P195" i="3"/>
  <c r="Z194" i="3"/>
  <c r="Z193" i="3"/>
  <c r="Z192" i="3"/>
  <c r="Z142" i="3"/>
  <c r="X9" i="3"/>
  <c r="S17" i="3"/>
  <c r="AI194" i="3"/>
  <c r="AI186" i="3"/>
  <c r="Z9" i="3"/>
  <c r="AC9" i="3"/>
  <c r="AD5" i="2"/>
  <c r="AD168" i="2" s="1"/>
  <c r="X194" i="3"/>
  <c r="N193" i="3"/>
  <c r="X192" i="3"/>
  <c r="AF185" i="3"/>
  <c r="N185" i="3"/>
  <c r="AB18" i="3"/>
  <c r="AB11" i="3" s="1"/>
  <c r="AB7" i="3" s="1"/>
  <c r="AK210" i="2" s="1"/>
  <c r="AI192" i="3"/>
  <c r="AI184" i="3"/>
  <c r="U12" i="3"/>
  <c r="X195" i="3"/>
  <c r="U194" i="3"/>
  <c r="AF193" i="3"/>
  <c r="N186" i="3"/>
  <c r="N184" i="3"/>
  <c r="W5" i="2"/>
  <c r="W224" i="2" s="1"/>
  <c r="U185" i="3"/>
  <c r="AL179" i="2"/>
  <c r="AL180" i="2" s="1"/>
  <c r="BS149" i="3"/>
  <c r="BX149" i="3" s="1"/>
  <c r="CC149" i="3" s="1"/>
  <c r="CH149" i="3" s="1"/>
  <c r="BP62" i="3"/>
  <c r="BP60" i="3" s="1"/>
  <c r="BP67" i="3" s="1"/>
  <c r="BP51" i="3"/>
  <c r="BO58" i="3"/>
  <c r="BH56" i="3"/>
  <c r="BI12" i="2"/>
  <c r="BI23" i="2" s="1"/>
  <c r="BI37" i="2" s="1"/>
  <c r="BI40" i="2" s="1"/>
  <c r="W166" i="3"/>
  <c r="AR165" i="3"/>
  <c r="AN165" i="3"/>
  <c r="Z106" i="3"/>
  <c r="AK168" i="3"/>
  <c r="AB165" i="3"/>
  <c r="T165" i="3"/>
  <c r="AH175" i="3"/>
  <c r="AU143" i="3"/>
  <c r="N208" i="3"/>
  <c r="N207" i="3"/>
  <c r="AX165" i="3"/>
  <c r="AH131" i="3"/>
  <c r="AH132" i="3" s="1"/>
  <c r="AR128" i="3"/>
  <c r="AR129" i="3" s="1"/>
  <c r="AD199" i="3"/>
  <c r="N206" i="3"/>
  <c r="N200" i="3"/>
  <c r="AX168" i="3"/>
  <c r="AT166" i="3"/>
  <c r="AM137" i="3"/>
  <c r="AM138" i="3" s="1"/>
  <c r="L143" i="3"/>
  <c r="AH208" i="3"/>
  <c r="S103" i="3"/>
  <c r="AD200" i="3"/>
  <c r="N199" i="3"/>
  <c r="AV168" i="3"/>
  <c r="AI168" i="3"/>
  <c r="Z168" i="3"/>
  <c r="Z166" i="3"/>
  <c r="V166" i="3"/>
  <c r="R166" i="3"/>
  <c r="AY106" i="3"/>
  <c r="Y143" i="3"/>
  <c r="Y157" i="3" s="1"/>
  <c r="S143" i="3"/>
  <c r="W192" i="3"/>
  <c r="W184" i="3"/>
  <c r="AQ184" i="3"/>
  <c r="AQ192" i="3"/>
  <c r="AQ193" i="3"/>
  <c r="AY168" i="3"/>
  <c r="R167" i="3"/>
  <c r="W167" i="3"/>
  <c r="AW99" i="3"/>
  <c r="AR100" i="3"/>
  <c r="AE185" i="3"/>
  <c r="AW75" i="3"/>
  <c r="AW151" i="3"/>
  <c r="AW165" i="3" s="1"/>
  <c r="BF215" i="2"/>
  <c r="AW13" i="3"/>
  <c r="AC75" i="3"/>
  <c r="AC71" i="3" s="1"/>
  <c r="AC13" i="3"/>
  <c r="AC151" i="3"/>
  <c r="AC165" i="3" s="1"/>
  <c r="AC175" i="3"/>
  <c r="AL215" i="2"/>
  <c r="Q185" i="3"/>
  <c r="Z5" i="2"/>
  <c r="Z164" i="2" s="1"/>
  <c r="Q184" i="3"/>
  <c r="Q186" i="3"/>
  <c r="Q192" i="3"/>
  <c r="Q195" i="3"/>
  <c r="Q194" i="3"/>
  <c r="S186" i="3"/>
  <c r="S195" i="3"/>
  <c r="S184" i="3"/>
  <c r="X78" i="3"/>
  <c r="X81" i="3" s="1"/>
  <c r="T194" i="3"/>
  <c r="T193" i="3"/>
  <c r="T186" i="3"/>
  <c r="T192" i="3"/>
  <c r="T195" i="3"/>
  <c r="AE12" i="3"/>
  <c r="AE186" i="3"/>
  <c r="AE195" i="3"/>
  <c r="AE142" i="3"/>
  <c r="AE193" i="3"/>
  <c r="AP168" i="3"/>
  <c r="Q168" i="3"/>
  <c r="AO167" i="3"/>
  <c r="S167" i="3"/>
  <c r="O91" i="3"/>
  <c r="O85" i="3" s="1"/>
  <c r="J153" i="3"/>
  <c r="O167" i="3" s="1"/>
  <c r="L19" i="3"/>
  <c r="AG6" i="3"/>
  <c r="AU6" i="3"/>
  <c r="AV11" i="3"/>
  <c r="AG5" i="2"/>
  <c r="AG226" i="2" s="1"/>
  <c r="Y5" i="2"/>
  <c r="Y253" i="2" s="1"/>
  <c r="AF195" i="3"/>
  <c r="U193" i="3"/>
  <c r="AF192" i="3"/>
  <c r="AF186" i="3"/>
  <c r="X185" i="3"/>
  <c r="P185" i="3"/>
  <c r="AF184" i="3"/>
  <c r="T184" i="3"/>
  <c r="AH178" i="3"/>
  <c r="AC177" i="3"/>
  <c r="AT167" i="3"/>
  <c r="AQ168" i="3"/>
  <c r="R168" i="3"/>
  <c r="AD143" i="3"/>
  <c r="Q143" i="3"/>
  <c r="V157" i="3" s="1"/>
  <c r="AR154" i="3"/>
  <c r="AH151" i="3"/>
  <c r="AH96" i="3"/>
  <c r="AB143" i="3"/>
  <c r="AB157" i="3" s="1"/>
  <c r="P143" i="3"/>
  <c r="U157" i="3" s="1"/>
  <c r="AL18" i="3"/>
  <c r="K19" i="3"/>
  <c r="T12" i="3"/>
  <c r="X19" i="3"/>
  <c r="X15" i="3" s="1"/>
  <c r="X18" i="3" s="1"/>
  <c r="AU19" i="3"/>
  <c r="AL19" i="3"/>
  <c r="F92" i="3"/>
  <c r="K9" i="3" s="1"/>
  <c r="K189" i="3" s="1"/>
  <c r="AO274" i="3"/>
  <c r="U195" i="3"/>
  <c r="AK192" i="3"/>
  <c r="U192" i="3"/>
  <c r="U186" i="3"/>
  <c r="AK184" i="3"/>
  <c r="AV143" i="3"/>
  <c r="AP143" i="3"/>
  <c r="T81" i="3"/>
  <c r="T11" i="3" s="1"/>
  <c r="AH78" i="3"/>
  <c r="AW91" i="3"/>
  <c r="AV14" i="3"/>
  <c r="AN168" i="3"/>
  <c r="AJ168" i="3"/>
  <c r="AQ167" i="3"/>
  <c r="AD165" i="3"/>
  <c r="Z165" i="3"/>
  <c r="V165" i="3"/>
  <c r="R165" i="3"/>
  <c r="AL168" i="3"/>
  <c r="Y168" i="3"/>
  <c r="AM96" i="3"/>
  <c r="BG62" i="3"/>
  <c r="W11" i="3"/>
  <c r="W7" i="3" s="1"/>
  <c r="AF210" i="2" s="1"/>
  <c r="AU30" i="2"/>
  <c r="BH296" i="3"/>
  <c r="BH295" i="3"/>
  <c r="BH293" i="3"/>
  <c r="BI293" i="3"/>
  <c r="BJ292" i="3"/>
  <c r="BO21" i="3"/>
  <c r="BJ291" i="3"/>
  <c r="BI291" i="3"/>
  <c r="BH291" i="3"/>
  <c r="AZ250" i="3"/>
  <c r="AZ236" i="3"/>
  <c r="AZ239" i="3"/>
  <c r="AZ233" i="3"/>
  <c r="AR267" i="3"/>
  <c r="AO269" i="3"/>
  <c r="X206" i="3"/>
  <c r="X198" i="3"/>
  <c r="X208" i="3"/>
  <c r="X200" i="3"/>
  <c r="X103" i="3"/>
  <c r="X207" i="3"/>
  <c r="X199" i="3"/>
  <c r="X142" i="3"/>
  <c r="X209" i="3"/>
  <c r="L199" i="3"/>
  <c r="L200" i="3"/>
  <c r="L206" i="3"/>
  <c r="L207" i="3"/>
  <c r="L208" i="3"/>
  <c r="L209" i="3"/>
  <c r="L198" i="3"/>
  <c r="AH128" i="3"/>
  <c r="AH129" i="3" s="1"/>
  <c r="W168" i="3"/>
  <c r="AR137" i="3"/>
  <c r="AR138" i="3" s="1"/>
  <c r="AQ198" i="3"/>
  <c r="AQ200" i="3"/>
  <c r="AQ207" i="3"/>
  <c r="AQ209" i="3"/>
  <c r="AQ142" i="3"/>
  <c r="AQ199" i="3"/>
  <c r="AQ206" i="3"/>
  <c r="AQ208" i="3"/>
  <c r="AQ103" i="3"/>
  <c r="AQ104" i="3" s="1"/>
  <c r="AQ279" i="3"/>
  <c r="AN206" i="3"/>
  <c r="AN200" i="3"/>
  <c r="AP226" i="3"/>
  <c r="AN208" i="3"/>
  <c r="AN207" i="3"/>
  <c r="AN226" i="3"/>
  <c r="AN229" i="3" s="1"/>
  <c r="AN242" i="3" s="1"/>
  <c r="AN209" i="3"/>
  <c r="AQ226" i="3"/>
  <c r="AN199" i="3"/>
  <c r="AN198" i="3"/>
  <c r="AO226" i="3"/>
  <c r="AS103" i="3"/>
  <c r="AS104" i="3" s="1"/>
  <c r="AG103" i="3"/>
  <c r="AG104" i="3" s="1"/>
  <c r="U199" i="3"/>
  <c r="U206" i="3"/>
  <c r="U208" i="3"/>
  <c r="U103" i="3"/>
  <c r="Z103" i="3"/>
  <c r="U142" i="3"/>
  <c r="U198" i="3"/>
  <c r="U200" i="3"/>
  <c r="U207" i="3"/>
  <c r="U209" i="3"/>
  <c r="M142" i="3"/>
  <c r="M198" i="3"/>
  <c r="M200" i="3"/>
  <c r="M207" i="3"/>
  <c r="M209" i="3"/>
  <c r="M199" i="3"/>
  <c r="M206" i="3"/>
  <c r="M208" i="3"/>
  <c r="AF103" i="3"/>
  <c r="AF104" i="3" s="1"/>
  <c r="AF209" i="3"/>
  <c r="AF142" i="3"/>
  <c r="AF206" i="3"/>
  <c r="AF200" i="3"/>
  <c r="AF170" i="3"/>
  <c r="AF199" i="3"/>
  <c r="AF208" i="3"/>
  <c r="AF207" i="3"/>
  <c r="AF198" i="3"/>
  <c r="T209" i="3"/>
  <c r="T200" i="3"/>
  <c r="P208" i="3"/>
  <c r="P207" i="3"/>
  <c r="P142" i="3"/>
  <c r="P209" i="3"/>
  <c r="P199" i="3"/>
  <c r="P198" i="3"/>
  <c r="P206" i="3"/>
  <c r="P200" i="3"/>
  <c r="AJ199" i="3"/>
  <c r="AO271" i="3"/>
  <c r="AJ209" i="3"/>
  <c r="AJ206" i="3"/>
  <c r="AJ198" i="3"/>
  <c r="AO103" i="3"/>
  <c r="AO104" i="3" s="1"/>
  <c r="AJ208" i="3"/>
  <c r="AJ200" i="3"/>
  <c r="AJ103" i="3"/>
  <c r="AJ104" i="3" s="1"/>
  <c r="AJ207" i="3"/>
  <c r="AH181" i="3"/>
  <c r="R199" i="3"/>
  <c r="R198" i="3"/>
  <c r="AD208" i="3"/>
  <c r="AD209" i="3"/>
  <c r="AV165" i="3"/>
  <c r="AW128" i="3"/>
  <c r="AW129" i="3" s="1"/>
  <c r="N106" i="3"/>
  <c r="Q102" i="3"/>
  <c r="AH170" i="3"/>
  <c r="R103" i="3"/>
  <c r="R209" i="3"/>
  <c r="AD206" i="3"/>
  <c r="AD207" i="3"/>
  <c r="AM134" i="3"/>
  <c r="AM135" i="3" s="1"/>
  <c r="AR131" i="3"/>
  <c r="AR132" i="3" s="1"/>
  <c r="AD106" i="3"/>
  <c r="AD107" i="3" s="1"/>
  <c r="V106" i="3"/>
  <c r="AR105" i="3"/>
  <c r="AV103" i="3"/>
  <c r="AV104" i="3" s="1"/>
  <c r="Y102" i="3"/>
  <c r="AD103" i="3" s="1"/>
  <c r="AD104" i="3" s="1"/>
  <c r="AH198" i="3"/>
  <c r="AH206" i="3"/>
  <c r="AH200" i="3"/>
  <c r="R206" i="3"/>
  <c r="AD170" i="3"/>
  <c r="AE168" i="3"/>
  <c r="AS165" i="3"/>
  <c r="AH134" i="3"/>
  <c r="AH135" i="3" s="1"/>
  <c r="AW131" i="3"/>
  <c r="AW132" i="3" s="1"/>
  <c r="AX106" i="3"/>
  <c r="R106" i="3"/>
  <c r="X17" i="2"/>
  <c r="X161" i="2" s="1"/>
  <c r="X170" i="2"/>
  <c r="AB9" i="3"/>
  <c r="W195" i="3"/>
  <c r="W186" i="3"/>
  <c r="X164" i="2"/>
  <c r="W194" i="3"/>
  <c r="W185" i="3"/>
  <c r="X22" i="2"/>
  <c r="AF5" i="2"/>
  <c r="AF253" i="2" s="1"/>
  <c r="BI295" i="3"/>
  <c r="BP213" i="2"/>
  <c r="BO259" i="2"/>
  <c r="AN180" i="2"/>
  <c r="AG179" i="2"/>
  <c r="AQ179" i="2"/>
  <c r="AQ180" i="2" s="1"/>
  <c r="AK180" i="2"/>
  <c r="AM180" i="2"/>
  <c r="AI180" i="2"/>
  <c r="AV179" i="2"/>
  <c r="AV180" i="2" s="1"/>
  <c r="AC168" i="2"/>
  <c r="AQ168" i="2"/>
  <c r="AV165" i="2"/>
  <c r="AV202" i="2" s="1"/>
  <c r="AV160" i="2"/>
  <c r="AV224" i="2"/>
  <c r="AV233" i="2"/>
  <c r="AD160" i="2"/>
  <c r="AV170" i="2"/>
  <c r="X253" i="2"/>
  <c r="X165" i="2"/>
  <c r="X202" i="2" s="1"/>
  <c r="X204" i="2" s="1"/>
  <c r="X9" i="2"/>
  <c r="X168" i="2"/>
  <c r="X12" i="2"/>
  <c r="X23" i="2" s="1"/>
  <c r="X160" i="2"/>
  <c r="BI22" i="2"/>
  <c r="BI163" i="2"/>
  <c r="T168" i="2"/>
  <c r="T6" i="2"/>
  <c r="AV175" i="2"/>
  <c r="AQ226" i="2"/>
  <c r="AC6" i="2"/>
  <c r="AB164" i="2"/>
  <c r="AQ228" i="2"/>
  <c r="AQ165" i="2"/>
  <c r="AQ202" i="2" s="1"/>
  <c r="AC165" i="2"/>
  <c r="AC202" i="2" s="1"/>
  <c r="AC204" i="2" s="1"/>
  <c r="AQ163" i="2"/>
  <c r="AC163" i="2"/>
  <c r="AC17" i="2"/>
  <c r="AC161" i="2" s="1"/>
  <c r="AQ175" i="2"/>
  <c r="AC175" i="2"/>
  <c r="AQ170" i="2"/>
  <c r="AQ164" i="2"/>
  <c r="AC164" i="2"/>
  <c r="AC12" i="2"/>
  <c r="AC23" i="2" s="1"/>
  <c r="AC9" i="2"/>
  <c r="AQ17" i="2"/>
  <c r="AQ233" i="2"/>
  <c r="AQ224" i="2"/>
  <c r="AC170" i="2"/>
  <c r="X13" i="2"/>
  <c r="BI160" i="2"/>
  <c r="T164" i="2"/>
  <c r="BG170" i="2"/>
  <c r="BG164" i="2"/>
  <c r="BG17" i="2"/>
  <c r="BG161" i="2" s="1"/>
  <c r="Y165" i="2"/>
  <c r="Y202" i="2" s="1"/>
  <c r="Y204" i="2" s="1"/>
  <c r="Y22" i="2"/>
  <c r="Y9" i="2"/>
  <c r="T175" i="2"/>
  <c r="BA22" i="2"/>
  <c r="BG165" i="2"/>
  <c r="BG202" i="2" s="1"/>
  <c r="BG204" i="2" s="1"/>
  <c r="BG9" i="2"/>
  <c r="Y160" i="2"/>
  <c r="Y17" i="2"/>
  <c r="Y161" i="2" s="1"/>
  <c r="T160" i="2"/>
  <c r="T17" i="2"/>
  <c r="T161" i="2" s="1"/>
  <c r="BG175" i="2"/>
  <c r="BG168" i="2"/>
  <c r="Y12" i="2"/>
  <c r="BG233" i="2"/>
  <c r="BG253" i="2"/>
  <c r="BO139" i="3"/>
  <c r="BT139" i="3" s="1"/>
  <c r="BY139" i="3" s="1"/>
  <c r="CD139" i="3" s="1"/>
  <c r="CI139" i="3" s="1"/>
  <c r="AM90" i="3"/>
  <c r="AH177" i="3"/>
  <c r="AM87" i="3"/>
  <c r="AH91" i="3"/>
  <c r="AH153" i="3"/>
  <c r="AM167" i="3" s="1"/>
  <c r="AM88" i="3"/>
  <c r="AM91" i="3"/>
  <c r="AH82" i="3"/>
  <c r="AH152" i="3"/>
  <c r="AM166" i="3" s="1"/>
  <c r="AH176" i="3"/>
  <c r="AN12" i="3"/>
  <c r="AN11" i="3" s="1"/>
  <c r="AN186" i="3"/>
  <c r="AN194" i="3"/>
  <c r="AN195" i="3"/>
  <c r="AN225" i="3"/>
  <c r="AN228" i="3" s="1"/>
  <c r="AS11" i="3"/>
  <c r="AN185" i="3"/>
  <c r="AN192" i="3"/>
  <c r="AN193" i="3"/>
  <c r="AN142" i="3"/>
  <c r="AN184" i="3"/>
  <c r="V81" i="3"/>
  <c r="V11" i="3" s="1"/>
  <c r="V7" i="3" s="1"/>
  <c r="AU167" i="3"/>
  <c r="AV167" i="3"/>
  <c r="AR167" i="3"/>
  <c r="AN167" i="3"/>
  <c r="AJ167" i="3"/>
  <c r="X166" i="3"/>
  <c r="T98" i="3"/>
  <c r="P98" i="3"/>
  <c r="AY19" i="3"/>
  <c r="AD175" i="3"/>
  <c r="AR91" i="3"/>
  <c r="AA81" i="3"/>
  <c r="AM95" i="3"/>
  <c r="AI93" i="3"/>
  <c r="AA74" i="3"/>
  <c r="W74" i="3"/>
  <c r="AP89" i="3"/>
  <c r="AR89" i="3" s="1"/>
  <c r="AR86" i="3"/>
  <c r="AK70" i="3"/>
  <c r="AK16" i="3"/>
  <c r="L74" i="3"/>
  <c r="K70" i="3"/>
  <c r="AQ9" i="3"/>
  <c r="AQ10" i="3" s="1"/>
  <c r="AL186" i="3"/>
  <c r="AL193" i="3"/>
  <c r="AL185" i="3"/>
  <c r="AL184" i="3"/>
  <c r="AL194" i="3"/>
  <c r="AL12" i="3"/>
  <c r="AL142" i="3"/>
  <c r="AL195" i="3"/>
  <c r="AL192" i="3"/>
  <c r="AD195" i="3"/>
  <c r="AI11" i="3"/>
  <c r="AD194" i="3"/>
  <c r="AD184" i="3"/>
  <c r="AD186" i="3"/>
  <c r="AD192" i="3"/>
  <c r="AD142" i="3"/>
  <c r="AD193" i="3"/>
  <c r="AD185" i="3"/>
  <c r="AJ16" i="3"/>
  <c r="AJ70" i="3"/>
  <c r="AR19" i="3"/>
  <c r="AM143" i="3"/>
  <c r="AR98" i="3"/>
  <c r="AB74" i="3"/>
  <c r="X74" i="3"/>
  <c r="T74" i="3"/>
  <c r="R184" i="3"/>
  <c r="R186" i="3"/>
  <c r="W12" i="3"/>
  <c r="R142" i="3"/>
  <c r="R193" i="3"/>
  <c r="R185" i="3"/>
  <c r="R192" i="3"/>
  <c r="R195" i="3"/>
  <c r="R12" i="3"/>
  <c r="R194" i="3"/>
  <c r="AA5" i="2"/>
  <c r="AA253" i="2" s="1"/>
  <c r="AQ274" i="3"/>
  <c r="AY166" i="3"/>
  <c r="AU166" i="3"/>
  <c r="AT165" i="3"/>
  <c r="AP165" i="3"/>
  <c r="I142" i="3"/>
  <c r="N156" i="3" s="1"/>
  <c r="AR95" i="3"/>
  <c r="T86" i="3"/>
  <c r="P86" i="3"/>
  <c r="W86" i="3"/>
  <c r="N86" i="3"/>
  <c r="AG86" i="3"/>
  <c r="AR82" i="3"/>
  <c r="BD62" i="3"/>
  <c r="BD65" i="3" s="1"/>
  <c r="AZ62" i="3"/>
  <c r="AZ65" i="3" s="1"/>
  <c r="BA62" i="3"/>
  <c r="AY17" i="3"/>
  <c r="AS19" i="3"/>
  <c r="AY65" i="3"/>
  <c r="AG166" i="3"/>
  <c r="Y166" i="3"/>
  <c r="U166" i="3"/>
  <c r="Q166" i="3"/>
  <c r="AH95" i="3"/>
  <c r="U98" i="3"/>
  <c r="Q98" i="3"/>
  <c r="AW100" i="3"/>
  <c r="V86" i="3"/>
  <c r="Q86" i="3"/>
  <c r="AM82" i="3"/>
  <c r="AO6" i="3"/>
  <c r="AT11" i="3" s="1"/>
  <c r="AS166" i="3"/>
  <c r="AO166" i="3"/>
  <c r="AK166" i="3"/>
  <c r="N165" i="3"/>
  <c r="AV86" i="3"/>
  <c r="AH80" i="3"/>
  <c r="AH77" i="3" s="1"/>
  <c r="V6" i="3"/>
  <c r="AD177" i="3"/>
  <c r="AF168" i="3"/>
  <c r="AB168" i="3"/>
  <c r="X168" i="3"/>
  <c r="T168" i="3"/>
  <c r="P168" i="3"/>
  <c r="AF167" i="3"/>
  <c r="AB167" i="3"/>
  <c r="X167" i="3"/>
  <c r="T167" i="3"/>
  <c r="P167" i="3"/>
  <c r="AV166" i="3"/>
  <c r="AL165" i="3"/>
  <c r="O165" i="3"/>
  <c r="AH94" i="3"/>
  <c r="U86" i="3"/>
  <c r="N12" i="3"/>
  <c r="Z18" i="3"/>
  <c r="Z8" i="3"/>
  <c r="AC22" i="2"/>
  <c r="AC253" i="2"/>
  <c r="AE11" i="3"/>
  <c r="AD253" i="2"/>
  <c r="L9" i="3"/>
  <c r="L189" i="3" s="1"/>
  <c r="BV79" i="2"/>
  <c r="BX79" i="2" s="1"/>
  <c r="BU79" i="2"/>
  <c r="BW79" i="2" s="1"/>
  <c r="BY79" i="2" s="1"/>
  <c r="BD109" i="3"/>
  <c r="AT236" i="2"/>
  <c r="F63" i="2"/>
  <c r="F109" i="2"/>
  <c r="G4" i="2"/>
  <c r="N19" i="2"/>
  <c r="J19" i="2"/>
  <c r="AP13" i="2"/>
  <c r="AU14" i="2" s="1"/>
  <c r="M25" i="2"/>
  <c r="O14" i="2"/>
  <c r="AR51" i="2"/>
  <c r="AR50" i="2"/>
  <c r="AK196" i="2"/>
  <c r="AK162" i="2"/>
  <c r="AO236" i="2"/>
  <c r="AR111" i="2"/>
  <c r="AR120" i="2" s="1"/>
  <c r="AK43" i="2"/>
  <c r="AK49" i="2" s="1"/>
  <c r="P13" i="2"/>
  <c r="P14" i="2" s="1"/>
  <c r="AY236" i="2"/>
  <c r="AS234" i="2"/>
  <c r="AV228" i="2"/>
  <c r="AR204" i="2"/>
  <c r="AS195" i="2"/>
  <c r="AV163" i="2"/>
  <c r="O43" i="2"/>
  <c r="O177" i="2" s="1"/>
  <c r="J23" i="2"/>
  <c r="AV17" i="2"/>
  <c r="AV19" i="2" s="1"/>
  <c r="AO13" i="2"/>
  <c r="AT14" i="2" s="1"/>
  <c r="AR177" i="2"/>
  <c r="AY25" i="2"/>
  <c r="AK13" i="2"/>
  <c r="AQ22" i="2"/>
  <c r="BF18" i="2"/>
  <c r="AY234" i="2"/>
  <c r="AK195" i="2"/>
  <c r="AV168" i="2"/>
  <c r="AV164" i="2"/>
  <c r="AR161" i="2"/>
  <c r="O29" i="2"/>
  <c r="O30" i="2" s="1"/>
  <c r="AV22" i="2"/>
  <c r="O19" i="2"/>
  <c r="M13" i="2"/>
  <c r="R10" i="2"/>
  <c r="N10" i="2"/>
  <c r="AR45" i="2"/>
  <c r="AV6" i="2"/>
  <c r="AQ18" i="2"/>
  <c r="AO234" i="2"/>
  <c r="AV226" i="2"/>
  <c r="S174" i="2"/>
  <c r="S203" i="2" s="1"/>
  <c r="S173" i="2"/>
  <c r="S167" i="2"/>
  <c r="S201" i="2" s="1"/>
  <c r="N161" i="2"/>
  <c r="AX23" i="2"/>
  <c r="AX37" i="2" s="1"/>
  <c r="AX40" i="2" s="1"/>
  <c r="AM204" i="2"/>
  <c r="M204" i="2"/>
  <c r="O197" i="2"/>
  <c r="O10" i="2"/>
  <c r="K10" i="2"/>
  <c r="AT204" i="2"/>
  <c r="R204" i="2"/>
  <c r="N204" i="2"/>
  <c r="P19" i="2"/>
  <c r="L7" i="2"/>
  <c r="L19" i="2"/>
  <c r="AX19" i="2"/>
  <c r="AX161" i="2"/>
  <c r="BA253" i="2"/>
  <c r="BA228" i="2"/>
  <c r="BA170" i="2"/>
  <c r="BA175" i="2"/>
  <c r="BA233" i="2"/>
  <c r="BA163" i="2"/>
  <c r="BA164" i="2"/>
  <c r="BA224" i="2"/>
  <c r="BA226" i="2"/>
  <c r="BA17" i="2"/>
  <c r="BA6" i="2"/>
  <c r="AR162" i="2"/>
  <c r="BA18" i="2"/>
  <c r="BZ21" i="2"/>
  <c r="CE21" i="2" s="1"/>
  <c r="AZ204" i="2"/>
  <c r="BA165" i="2"/>
  <c r="BA202" i="2" s="1"/>
  <c r="AU25" i="2"/>
  <c r="AU195" i="2"/>
  <c r="P25" i="2"/>
  <c r="P29" i="2"/>
  <c r="P30" i="2" s="1"/>
  <c r="P195" i="2"/>
  <c r="P197" i="2" s="1"/>
  <c r="P43" i="2"/>
  <c r="P111" i="2" s="1"/>
  <c r="AL174" i="2"/>
  <c r="AL203" i="2" s="1"/>
  <c r="AL166" i="2"/>
  <c r="AL173" i="2"/>
  <c r="CH42" i="2"/>
  <c r="CM42" i="2" s="1"/>
  <c r="CR42" i="2" s="1"/>
  <c r="BP42" i="2"/>
  <c r="AS19" i="2"/>
  <c r="AS161" i="2"/>
  <c r="M19" i="2"/>
  <c r="H161" i="2"/>
  <c r="F23" i="2"/>
  <c r="F37" i="2" s="1"/>
  <c r="F13" i="2"/>
  <c r="K14" i="2" s="1"/>
  <c r="AM23" i="2"/>
  <c r="AM37" i="2" s="1"/>
  <c r="AM40" i="2" s="1"/>
  <c r="AM13" i="2"/>
  <c r="AR14" i="2" s="1"/>
  <c r="L13" i="2"/>
  <c r="L23" i="2"/>
  <c r="L37" i="2" s="1"/>
  <c r="I13" i="2"/>
  <c r="I23" i="2"/>
  <c r="I37" i="2" s="1"/>
  <c r="AR196" i="2"/>
  <c r="AR197" i="2" s="1"/>
  <c r="BA187" i="2"/>
  <c r="M29" i="2"/>
  <c r="M195" i="2"/>
  <c r="M24" i="2"/>
  <c r="M26" i="2" s="1"/>
  <c r="Q19" i="2"/>
  <c r="Q161" i="2"/>
  <c r="N14" i="2"/>
  <c r="D24" i="2"/>
  <c r="D29" i="2"/>
  <c r="D30" i="2" s="1"/>
  <c r="I14" i="2"/>
  <c r="P204" i="2"/>
  <c r="AP197" i="2"/>
  <c r="R19" i="2"/>
  <c r="I19" i="2"/>
  <c r="P10" i="2"/>
  <c r="AP14" i="2"/>
  <c r="AQ204" i="2"/>
  <c r="J10" i="2"/>
  <c r="AV253" i="2"/>
  <c r="AP204" i="2"/>
  <c r="AN204" i="2"/>
  <c r="Q204" i="2"/>
  <c r="AW204" i="2"/>
  <c r="AO204" i="2"/>
  <c r="AK204" i="2"/>
  <c r="O204" i="2"/>
  <c r="Q197" i="2"/>
  <c r="M186" i="2"/>
  <c r="AP19" i="2"/>
  <c r="M10" i="2"/>
  <c r="I12" i="3"/>
  <c r="I7" i="3" s="1"/>
  <c r="AQ9" i="2"/>
  <c r="AQ253" i="2"/>
  <c r="AZ20" i="2"/>
  <c r="AY19" i="2"/>
  <c r="AT19" i="2"/>
  <c r="AW19" i="2"/>
  <c r="AU204" i="2"/>
  <c r="AT10" i="2"/>
  <c r="AS10" i="2"/>
  <c r="AS204" i="2"/>
  <c r="AV23" i="2"/>
  <c r="AX10" i="2"/>
  <c r="AV204" i="2"/>
  <c r="AR24" i="2"/>
  <c r="AV9" i="2"/>
  <c r="AV247" i="2"/>
  <c r="AV248" i="2" s="1"/>
  <c r="AZ23" i="2"/>
  <c r="AZ37" i="2" s="1"/>
  <c r="AZ40" i="2" s="1"/>
  <c r="AY204" i="2"/>
  <c r="BA174" i="2"/>
  <c r="BA203" i="2" s="1"/>
  <c r="BA167" i="2"/>
  <c r="BA201" i="2" s="1"/>
  <c r="BA173" i="2"/>
  <c r="BA166" i="2"/>
  <c r="BA160" i="2"/>
  <c r="AY14" i="2"/>
  <c r="AZ14" i="2"/>
  <c r="BA12" i="2"/>
  <c r="BA13" i="2" s="1"/>
  <c r="AX195" i="2"/>
  <c r="AX29" i="2"/>
  <c r="AX204" i="2"/>
  <c r="BA9" i="2"/>
  <c r="BO146" i="3"/>
  <c r="BT146" i="3" s="1"/>
  <c r="BY146" i="3" s="1"/>
  <c r="CD146" i="3" s="1"/>
  <c r="CI146" i="3" s="1"/>
  <c r="BN146" i="3"/>
  <c r="BS146" i="3" s="1"/>
  <c r="BX146" i="3" s="1"/>
  <c r="CC146" i="3" s="1"/>
  <c r="CH146" i="3" s="1"/>
  <c r="BM146" i="3"/>
  <c r="BM139" i="3"/>
  <c r="BN147" i="3"/>
  <c r="BS147" i="3" s="1"/>
  <c r="BX147" i="3" s="1"/>
  <c r="CC147" i="3" s="1"/>
  <c r="CH147" i="3" s="1"/>
  <c r="BO149" i="3"/>
  <c r="BT149" i="3" s="1"/>
  <c r="BY149" i="3" s="1"/>
  <c r="BM149" i="3"/>
  <c r="BN148" i="3"/>
  <c r="BS148" i="3" s="1"/>
  <c r="BM148" i="3"/>
  <c r="CB173" i="2"/>
  <c r="CG173" i="2" s="1"/>
  <c r="CL173" i="2" s="1"/>
  <c r="CQ173" i="2" s="1"/>
  <c r="CB166" i="2"/>
  <c r="CG166" i="2" s="1"/>
  <c r="CL166" i="2" s="1"/>
  <c r="CQ166" i="2" s="1"/>
  <c r="BP68" i="2"/>
  <c r="CA173" i="2"/>
  <c r="CF173" i="2" s="1"/>
  <c r="CK173" i="2" s="1"/>
  <c r="CP173" i="2" s="1"/>
  <c r="D45" i="2"/>
  <c r="D111" i="2"/>
  <c r="BM145" i="3"/>
  <c r="BV181" i="2"/>
  <c r="CJ181" i="2"/>
  <c r="CA181" i="2"/>
  <c r="BO144" i="3"/>
  <c r="BT144" i="3" s="1"/>
  <c r="BY144" i="3" s="1"/>
  <c r="CD144" i="3" s="1"/>
  <c r="CI144" i="3" s="1"/>
  <c r="BN144" i="3"/>
  <c r="BS144" i="3" s="1"/>
  <c r="BX144" i="3" s="1"/>
  <c r="CC144" i="3" s="1"/>
  <c r="CH144" i="3" s="1"/>
  <c r="BS145" i="3"/>
  <c r="BX145" i="3" s="1"/>
  <c r="CC145" i="3" s="1"/>
  <c r="CH145" i="3" s="1"/>
  <c r="BJ62" i="3"/>
  <c r="BK62" i="3"/>
  <c r="BP293" i="3"/>
  <c r="BO28" i="3"/>
  <c r="BO145" i="3"/>
  <c r="BT145" i="3" s="1"/>
  <c r="BY145" i="3" s="1"/>
  <c r="BO148" i="3"/>
  <c r="BT148" i="3" s="1"/>
  <c r="BY148" i="3" s="1"/>
  <c r="CD148" i="3" s="1"/>
  <c r="CI148" i="3" s="1"/>
  <c r="BO147" i="3"/>
  <c r="BT147" i="3" s="1"/>
  <c r="BY147" i="3" s="1"/>
  <c r="CD147" i="3" s="1"/>
  <c r="CI147" i="3" s="1"/>
  <c r="BF62" i="3"/>
  <c r="BF65" i="3" s="1"/>
  <c r="BE62" i="3"/>
  <c r="BE65" i="3" s="1"/>
  <c r="BF53" i="3"/>
  <c r="BF56" i="3" s="1"/>
  <c r="BX31" i="3"/>
  <c r="BS28" i="3"/>
  <c r="BS33" i="3" s="1"/>
  <c r="BN28" i="3"/>
  <c r="BP28" i="3"/>
  <c r="BP33" i="3" s="1"/>
  <c r="BU30" i="3"/>
  <c r="BT30" i="3"/>
  <c r="BM28" i="3"/>
  <c r="BZ79" i="2"/>
  <c r="CB79" i="2" s="1"/>
  <c r="CD79" i="2" s="1"/>
  <c r="CE79" i="2" s="1"/>
  <c r="CA79" i="2"/>
  <c r="CC79" i="2" s="1"/>
  <c r="BP67" i="2"/>
  <c r="BK92" i="2"/>
  <c r="AQ55" i="2"/>
  <c r="AM55" i="2"/>
  <c r="AM58" i="2" s="1"/>
  <c r="AN55" i="2" s="1"/>
  <c r="AN58" i="2" s="1"/>
  <c r="AO55" i="2" s="1"/>
  <c r="AO58" i="2" s="1"/>
  <c r="AP55" i="2" s="1"/>
  <c r="AP58" i="2" s="1"/>
  <c r="AQ58" i="2" s="1"/>
  <c r="AR55" i="2" s="1"/>
  <c r="AR58" i="2" s="1"/>
  <c r="AS55" i="2" s="1"/>
  <c r="AS58" i="2" s="1"/>
  <c r="AT55" i="2" s="1"/>
  <c r="AT58" i="2" s="1"/>
  <c r="AU55" i="2" s="1"/>
  <c r="AU58" i="2" s="1"/>
  <c r="AV58" i="2" s="1"/>
  <c r="AB179" i="2"/>
  <c r="AB180" i="2" s="1"/>
  <c r="W179" i="2"/>
  <c r="W180" i="2" s="1"/>
  <c r="BJ211" i="2"/>
  <c r="BL215" i="2"/>
  <c r="BL211" i="2"/>
  <c r="AP120" i="2"/>
  <c r="BP76" i="2"/>
  <c r="BP97" i="2"/>
  <c r="AL188" i="2"/>
  <c r="AL190" i="2" s="1"/>
  <c r="AH188" i="2"/>
  <c r="AH190" i="2" s="1"/>
  <c r="Y188" i="2"/>
  <c r="V188" i="2"/>
  <c r="V189" i="2" s="1"/>
  <c r="X29" i="2"/>
  <c r="X24" i="2"/>
  <c r="AF7" i="2"/>
  <c r="AP29" i="2"/>
  <c r="AP43" i="2"/>
  <c r="P15" i="3"/>
  <c r="AC150" i="2"/>
  <c r="AD148" i="2"/>
  <c r="P45" i="2"/>
  <c r="BE169" i="2"/>
  <c r="BE239" i="2"/>
  <c r="AZ107" i="2"/>
  <c r="CF79" i="2"/>
  <c r="BP96" i="2"/>
  <c r="P198" i="2"/>
  <c r="O198" i="2"/>
  <c r="N198" i="2"/>
  <c r="Q198" i="2"/>
  <c r="U188" i="2"/>
  <c r="U189" i="2" s="1"/>
  <c r="BF240" i="2"/>
  <c r="AD188" i="2"/>
  <c r="AF188" i="2"/>
  <c r="AF189" i="2" s="1"/>
  <c r="AQ155" i="2"/>
  <c r="AL155" i="2"/>
  <c r="T148" i="2"/>
  <c r="S150" i="2"/>
  <c r="AP140" i="2"/>
  <c r="AO181" i="2"/>
  <c r="AO180" i="2" s="1"/>
  <c r="Z154" i="2"/>
  <c r="Z155" i="2" s="1"/>
  <c r="M107" i="2"/>
  <c r="M192" i="2"/>
  <c r="BG107" i="2"/>
  <c r="CM56" i="2"/>
  <c r="BP75" i="2"/>
  <c r="BP77" i="2"/>
  <c r="BP99" i="2"/>
  <c r="AA188" i="2"/>
  <c r="AA189" i="2" s="1"/>
  <c r="T188" i="2"/>
  <c r="T189" i="2" s="1"/>
  <c r="O188" i="2"/>
  <c r="BE240" i="2"/>
  <c r="AE188" i="2"/>
  <c r="AE189" i="2" s="1"/>
  <c r="AD189" i="2"/>
  <c r="AZ213" i="2"/>
  <c r="BY114" i="2"/>
  <c r="CD114" i="2" s="1"/>
  <c r="CI114" i="2" s="1"/>
  <c r="CN114" i="2" s="1"/>
  <c r="CS114" i="2" s="1"/>
  <c r="AF176" i="2"/>
  <c r="BP98" i="2"/>
  <c r="AB188" i="2"/>
  <c r="X188" i="2"/>
  <c r="X189" i="2" s="1"/>
  <c r="Q189" i="2"/>
  <c r="Y189" i="2"/>
  <c r="Z188" i="2"/>
  <c r="Z189" i="2" s="1"/>
  <c r="R189" i="2"/>
  <c r="W188" i="2"/>
  <c r="W189" i="2" s="1"/>
  <c r="S188" i="2"/>
  <c r="S189" i="2" s="1"/>
  <c r="BA155" i="2"/>
  <c r="BF155" i="2"/>
  <c r="AR154" i="2"/>
  <c r="AR157" i="2"/>
  <c r="BD213" i="2"/>
  <c r="BE133" i="2"/>
  <c r="BE213" i="2" s="1"/>
  <c r="S29" i="3"/>
  <c r="S32" i="3" s="1"/>
  <c r="AT238" i="2"/>
  <c r="AP124" i="2"/>
  <c r="Z180" i="2"/>
  <c r="BP78" i="2"/>
  <c r="AF187" i="2"/>
  <c r="T187" i="2"/>
  <c r="BC186" i="2"/>
  <c r="AR186" i="2"/>
  <c r="AI186" i="2"/>
  <c r="AD186" i="2"/>
  <c r="X186" i="2"/>
  <c r="S186" i="2"/>
  <c r="O185" i="2"/>
  <c r="O190" i="2" s="1"/>
  <c r="H185" i="2"/>
  <c r="H190" i="2" s="1"/>
  <c r="AC187" i="2"/>
  <c r="AS186" i="2"/>
  <c r="Y186" i="2"/>
  <c r="R180" i="2"/>
  <c r="AG157" i="2"/>
  <c r="X157" i="2"/>
  <c r="P157" i="2"/>
  <c r="M155" i="2"/>
  <c r="AM157" i="2"/>
  <c r="AM154" i="2"/>
  <c r="AM155" i="2" s="1"/>
  <c r="AR143" i="2"/>
  <c r="AR147" i="2" s="1"/>
  <c r="AS141" i="2"/>
  <c r="AI140" i="2"/>
  <c r="AU139" i="2"/>
  <c r="Q139" i="2"/>
  <c r="Q143" i="2" s="1"/>
  <c r="AM143" i="2"/>
  <c r="AM147" i="2" s="1"/>
  <c r="AV147" i="2"/>
  <c r="H147" i="2"/>
  <c r="H149" i="2" s="1"/>
  <c r="H150" i="2" s="1"/>
  <c r="BC134" i="2"/>
  <c r="AS135" i="2"/>
  <c r="AT130" i="2"/>
  <c r="AU130" i="2" s="1"/>
  <c r="U125" i="2"/>
  <c r="V125" i="2" s="1"/>
  <c r="Z123" i="2"/>
  <c r="AA123" i="2" s="1"/>
  <c r="BI119" i="2"/>
  <c r="BJ119" i="2" s="1"/>
  <c r="Z117" i="2"/>
  <c r="AA117" i="2" s="1"/>
  <c r="AZ115" i="2"/>
  <c r="AJ115" i="2"/>
  <c r="S105" i="2"/>
  <c r="S107" i="2" s="1"/>
  <c r="D107" i="2"/>
  <c r="AN24" i="2"/>
  <c r="AN29" i="2"/>
  <c r="O137" i="3"/>
  <c r="J154" i="3"/>
  <c r="O168" i="3" s="1"/>
  <c r="S198" i="3"/>
  <c r="S200" i="3"/>
  <c r="S207" i="3"/>
  <c r="S209" i="3"/>
  <c r="S199" i="3"/>
  <c r="S206" i="3"/>
  <c r="S208" i="3"/>
  <c r="AV184" i="3"/>
  <c r="AV189" i="3"/>
  <c r="AV190" i="3"/>
  <c r="AV193" i="3"/>
  <c r="AV142" i="3"/>
  <c r="AV185" i="3"/>
  <c r="AV188" i="3"/>
  <c r="AV194" i="3"/>
  <c r="AV186" i="3"/>
  <c r="AV187" i="3"/>
  <c r="AV192" i="3"/>
  <c r="AV195" i="3"/>
  <c r="BE5" i="2"/>
  <c r="BE253" i="2" s="1"/>
  <c r="AO142" i="2"/>
  <c r="AP142" i="2" s="1"/>
  <c r="AD139" i="2"/>
  <c r="AE139" i="2" s="1"/>
  <c r="AB143" i="2"/>
  <c r="BF147" i="2"/>
  <c r="O135" i="2"/>
  <c r="O147" i="2" s="1"/>
  <c r="O149" i="2" s="1"/>
  <c r="P134" i="2"/>
  <c r="AN135" i="2"/>
  <c r="AO131" i="2"/>
  <c r="AP131" i="2" s="1"/>
  <c r="AP135" i="2" s="1"/>
  <c r="O125" i="2"/>
  <c r="AY123" i="2"/>
  <c r="AZ123" i="2" s="1"/>
  <c r="AE119" i="2"/>
  <c r="AY117" i="2"/>
  <c r="AZ117" i="2" s="1"/>
  <c r="AT107" i="2"/>
  <c r="Z107" i="2"/>
  <c r="AO107" i="2"/>
  <c r="BA107" i="2"/>
  <c r="AT24" i="2"/>
  <c r="AT25" i="2"/>
  <c r="AM29" i="2"/>
  <c r="AM24" i="2"/>
  <c r="AQ23" i="2"/>
  <c r="AQ37" i="2" s="1"/>
  <c r="AQ40" i="2" s="1"/>
  <c r="J145" i="3"/>
  <c r="O159" i="3" s="1"/>
  <c r="AE170" i="3"/>
  <c r="AE198" i="3"/>
  <c r="AE200" i="3"/>
  <c r="AE207" i="3"/>
  <c r="AE209" i="3"/>
  <c r="AE199" i="3"/>
  <c r="AE206" i="3"/>
  <c r="AE208" i="3"/>
  <c r="AA198" i="3"/>
  <c r="AA200" i="3"/>
  <c r="AA207" i="3"/>
  <c r="AA209" i="3"/>
  <c r="AA199" i="3"/>
  <c r="AA206" i="3"/>
  <c r="AA208" i="3"/>
  <c r="BP89" i="2"/>
  <c r="BF187" i="2"/>
  <c r="AY187" i="2"/>
  <c r="X187" i="2"/>
  <c r="AF186" i="2"/>
  <c r="AX185" i="2"/>
  <c r="AX240" i="2" s="1"/>
  <c r="AS185" i="2"/>
  <c r="AS240" i="2" s="1"/>
  <c r="BA186" i="2"/>
  <c r="AG186" i="2"/>
  <c r="BE146" i="2"/>
  <c r="AD156" i="2"/>
  <c r="AD157" i="2" s="1"/>
  <c r="AE140" i="2"/>
  <c r="AE156" i="2" s="1"/>
  <c r="Y133" i="2"/>
  <c r="AO126" i="2"/>
  <c r="AO238" i="2" s="1"/>
  <c r="V126" i="2"/>
  <c r="AY124" i="2"/>
  <c r="AZ124" i="2" s="1"/>
  <c r="AF124" i="2"/>
  <c r="Z122" i="2"/>
  <c r="AP114" i="2"/>
  <c r="AX25" i="2"/>
  <c r="AS24" i="2"/>
  <c r="AS29" i="2"/>
  <c r="AP25" i="2"/>
  <c r="AP24" i="2"/>
  <c r="AU26" i="2" s="1"/>
  <c r="N24" i="2"/>
  <c r="N29" i="2"/>
  <c r="N43" i="2"/>
  <c r="K25" i="2"/>
  <c r="K29" i="2"/>
  <c r="K30" i="2" s="1"/>
  <c r="K43" i="2"/>
  <c r="BR148" i="3"/>
  <c r="O131" i="3"/>
  <c r="AK103" i="3"/>
  <c r="AK104" i="3" s="1"/>
  <c r="AK198" i="3"/>
  <c r="AK200" i="3"/>
  <c r="AK207" i="3"/>
  <c r="AK209" i="3"/>
  <c r="AK199" i="3"/>
  <c r="AK206" i="3"/>
  <c r="AK208" i="3"/>
  <c r="AG199" i="3"/>
  <c r="AG206" i="3"/>
  <c r="AG208" i="3"/>
  <c r="AG170" i="3"/>
  <c r="AG198" i="3"/>
  <c r="AG200" i="3"/>
  <c r="AG207" i="3"/>
  <c r="AG209" i="3"/>
  <c r="M12" i="3"/>
  <c r="M186" i="3"/>
  <c r="M192" i="3"/>
  <c r="V5" i="2"/>
  <c r="V253" i="2" s="1"/>
  <c r="M195" i="3"/>
  <c r="M184" i="3"/>
  <c r="M193" i="3"/>
  <c r="M185" i="3"/>
  <c r="M194" i="3"/>
  <c r="AH199" i="3"/>
  <c r="AE186" i="2"/>
  <c r="Z186" i="2"/>
  <c r="AB185" i="2"/>
  <c r="AB190" i="2" s="1"/>
  <c r="AC155" i="2"/>
  <c r="BC155" i="2"/>
  <c r="AY146" i="2"/>
  <c r="AY189" i="2" s="1"/>
  <c r="AF146" i="2"/>
  <c r="BC157" i="2"/>
  <c r="U134" i="2"/>
  <c r="U135" i="2" s="1"/>
  <c r="U147" i="2" s="1"/>
  <c r="T135" i="2"/>
  <c r="T147" i="2" s="1"/>
  <c r="AB147" i="2"/>
  <c r="AB149" i="2" s="1"/>
  <c r="AB150" i="2" s="1"/>
  <c r="BI131" i="2"/>
  <c r="BJ131" i="2" s="1"/>
  <c r="AZ130" i="2"/>
  <c r="AA130" i="2"/>
  <c r="AI152" i="2"/>
  <c r="AI153" i="2" s="1"/>
  <c r="AI154" i="2" s="1"/>
  <c r="AJ127" i="2"/>
  <c r="BE125" i="2"/>
  <c r="AF123" i="2"/>
  <c r="AA118" i="2"/>
  <c r="AF117" i="2"/>
  <c r="AJ116" i="2"/>
  <c r="AK116" i="2" s="1"/>
  <c r="AJ114" i="2"/>
  <c r="AK114" i="2" s="1"/>
  <c r="Q107" i="2"/>
  <c r="AW107" i="2"/>
  <c r="AD107" i="2"/>
  <c r="BF60" i="2"/>
  <c r="AO24" i="2"/>
  <c r="J14" i="2"/>
  <c r="CD149" i="3"/>
  <c r="AW137" i="3"/>
  <c r="AW138" i="3" s="1"/>
  <c r="AW154" i="3"/>
  <c r="AC168" i="3"/>
  <c r="AH168" i="3"/>
  <c r="S157" i="3"/>
  <c r="N157" i="3"/>
  <c r="AK113" i="2"/>
  <c r="BC66" i="2"/>
  <c r="AB87" i="2"/>
  <c r="AB93" i="2" s="1"/>
  <c r="AB105" i="2" s="1"/>
  <c r="AB107" i="2" s="1"/>
  <c r="G43" i="2"/>
  <c r="AR29" i="2"/>
  <c r="J24" i="2"/>
  <c r="AR25" i="2"/>
  <c r="Q24" i="2"/>
  <c r="G24" i="2"/>
  <c r="E23" i="2"/>
  <c r="E37" i="2" s="1"/>
  <c r="AV18" i="2"/>
  <c r="W18" i="2"/>
  <c r="S18" i="2"/>
  <c r="AS13" i="2"/>
  <c r="AS14" i="2" s="1"/>
  <c r="AV12" i="2"/>
  <c r="AV13" i="2" s="1"/>
  <c r="AQ12" i="2"/>
  <c r="AP10" i="2"/>
  <c r="AQ277" i="3"/>
  <c r="AP271" i="3"/>
  <c r="AC178" i="3"/>
  <c r="AD178" i="3" s="1"/>
  <c r="AC176" i="3"/>
  <c r="AD176" i="3" s="1"/>
  <c r="AR166" i="3"/>
  <c r="AN166" i="3"/>
  <c r="AJ166" i="3"/>
  <c r="AF166" i="3"/>
  <c r="AB166" i="3"/>
  <c r="T166" i="3"/>
  <c r="P166" i="3"/>
  <c r="AO165" i="3"/>
  <c r="AK165" i="3"/>
  <c r="AG165" i="3"/>
  <c r="Y165" i="3"/>
  <c r="U165" i="3"/>
  <c r="Q165" i="3"/>
  <c r="AX160" i="3"/>
  <c r="AX301" i="3" s="1"/>
  <c r="AU154" i="3"/>
  <c r="AU168" i="3" s="1"/>
  <c r="AC152" i="3"/>
  <c r="AW149" i="3"/>
  <c r="AW163" i="3" s="1"/>
  <c r="AW148" i="3"/>
  <c r="AW162" i="3" s="1"/>
  <c r="K145" i="3"/>
  <c r="P159" i="3" s="1"/>
  <c r="AE143" i="3"/>
  <c r="Z143" i="3"/>
  <c r="Z157" i="3" s="1"/>
  <c r="R143" i="3"/>
  <c r="R157" i="3" s="1"/>
  <c r="AU137" i="3"/>
  <c r="AU138" i="3" s="1"/>
  <c r="AH137" i="3"/>
  <c r="AH138" i="3" s="1"/>
  <c r="AR134" i="3"/>
  <c r="AR135" i="3" s="1"/>
  <c r="AQ106" i="3"/>
  <c r="AQ107" i="3" s="1"/>
  <c r="AK106" i="3"/>
  <c r="AK107" i="3" s="1"/>
  <c r="AG106" i="3"/>
  <c r="AG107" i="3" s="1"/>
  <c r="Y106" i="3"/>
  <c r="AT98" i="3"/>
  <c r="U85" i="3"/>
  <c r="AD86" i="3"/>
  <c r="AS86" i="3"/>
  <c r="AX86" i="3"/>
  <c r="AX89" i="3" s="1"/>
  <c r="AT86" i="3"/>
  <c r="AF86" i="3"/>
  <c r="BT55" i="3"/>
  <c r="O33" i="3"/>
  <c r="AR32" i="3"/>
  <c r="AR18" i="3" s="1"/>
  <c r="BN21" i="3"/>
  <c r="U19" i="3"/>
  <c r="AX16" i="3"/>
  <c r="AS6" i="3"/>
  <c r="AX11" i="3" s="1"/>
  <c r="AX15" i="3"/>
  <c r="AX19" i="3"/>
  <c r="AJ6" i="3"/>
  <c r="AO19" i="3"/>
  <c r="M8" i="3"/>
  <c r="V211" i="2" s="1"/>
  <c r="H92" i="3"/>
  <c r="AI102" i="3"/>
  <c r="AH72" i="3"/>
  <c r="AH73" i="3"/>
  <c r="AW49" i="3"/>
  <c r="C45" i="3"/>
  <c r="N29" i="3"/>
  <c r="N32" i="3" s="1"/>
  <c r="N18" i="3" s="1"/>
  <c r="AG17" i="3"/>
  <c r="AG14" i="3" s="1"/>
  <c r="AG28" i="3"/>
  <c r="BW30" i="3"/>
  <c r="BR28" i="3"/>
  <c r="BR33" i="3" s="1"/>
  <c r="L24" i="3"/>
  <c r="L22" i="3"/>
  <c r="L25" i="3" s="1"/>
  <c r="O22" i="3"/>
  <c r="O25" i="3" s="1"/>
  <c r="M19" i="3"/>
  <c r="R16" i="3"/>
  <c r="R19" i="3"/>
  <c r="AW23" i="2"/>
  <c r="AW37" i="2" s="1"/>
  <c r="AW40" i="2" s="1"/>
  <c r="O25" i="2"/>
  <c r="AW13" i="2"/>
  <c r="AW14" i="2" s="1"/>
  <c r="AW229" i="3"/>
  <c r="O109" i="3"/>
  <c r="AS106" i="3"/>
  <c r="AS107" i="3" s="1"/>
  <c r="AE106" i="3"/>
  <c r="AE107" i="3" s="1"/>
  <c r="W102" i="3"/>
  <c r="O102" i="3"/>
  <c r="U94" i="3"/>
  <c r="Q94" i="3"/>
  <c r="AR87" i="3"/>
  <c r="AR90" i="3"/>
  <c r="AR31" i="3"/>
  <c r="J26" i="3"/>
  <c r="BX23" i="3"/>
  <c r="BS21" i="3"/>
  <c r="BS26" i="3" s="1"/>
  <c r="AP6" i="3"/>
  <c r="AU16" i="3"/>
  <c r="AU18" i="3"/>
  <c r="Y6" i="3"/>
  <c r="Y19" i="3"/>
  <c r="L6" i="3"/>
  <c r="Q19" i="3"/>
  <c r="Q16" i="3"/>
  <c r="N150" i="2"/>
  <c r="R23" i="2"/>
  <c r="R37" i="2" s="1"/>
  <c r="R40" i="2" s="1"/>
  <c r="AP269" i="3"/>
  <c r="AS242" i="3"/>
  <c r="AS233" i="3"/>
  <c r="AY160" i="3"/>
  <c r="AY301" i="3" s="1"/>
  <c r="AY159" i="3"/>
  <c r="AY300" i="3" s="1"/>
  <c r="AC153" i="3"/>
  <c r="AR145" i="3"/>
  <c r="AM131" i="3"/>
  <c r="AM132" i="3" s="1"/>
  <c r="AM112" i="3"/>
  <c r="AM113" i="3" s="1"/>
  <c r="AH88" i="3"/>
  <c r="Q89" i="3"/>
  <c r="J76" i="3"/>
  <c r="K82" i="3"/>
  <c r="P82" i="3"/>
  <c r="Y71" i="3"/>
  <c r="Y74" i="3" s="1"/>
  <c r="AS65" i="3"/>
  <c r="AN59" i="3" s="1"/>
  <c r="BM21" i="3"/>
  <c r="AD19" i="3"/>
  <c r="AD15" i="3" s="1"/>
  <c r="AT6" i="3"/>
  <c r="AT19" i="3"/>
  <c r="AY16" i="3"/>
  <c r="AY18" i="3"/>
  <c r="AB6" i="3"/>
  <c r="AG18" i="3"/>
  <c r="AZ225" i="3"/>
  <c r="AY225" i="3"/>
  <c r="AX225" i="3"/>
  <c r="AX228" i="3" s="1"/>
  <c r="U74" i="3"/>
  <c r="BJ214" i="2"/>
  <c r="BB20" i="3"/>
  <c r="BN214" i="2"/>
  <c r="AK157" i="3" l="1"/>
  <c r="BU63" i="3"/>
  <c r="BU62" i="3" s="1"/>
  <c r="BU60" i="3" s="1"/>
  <c r="BU67" i="3" s="1"/>
  <c r="AM158" i="3"/>
  <c r="BP292" i="3"/>
  <c r="O112" i="3"/>
  <c r="BI9" i="2"/>
  <c r="BI233" i="2"/>
  <c r="AF171" i="3"/>
  <c r="AW15" i="3"/>
  <c r="AK142" i="3"/>
  <c r="AK156" i="3" s="1"/>
  <c r="S18" i="3"/>
  <c r="AK7" i="2"/>
  <c r="AH81" i="3"/>
  <c r="W8" i="3"/>
  <c r="AF211" i="2" s="1"/>
  <c r="AJ14" i="3"/>
  <c r="AC19" i="2"/>
  <c r="Y168" i="2"/>
  <c r="T170" i="2"/>
  <c r="Y170" i="2"/>
  <c r="T165" i="2"/>
  <c r="T202" i="2" s="1"/>
  <c r="T204" i="2" s="1"/>
  <c r="Y163" i="2"/>
  <c r="T12" i="2"/>
  <c r="T13" i="2" s="1"/>
  <c r="T14" i="2" s="1"/>
  <c r="AB168" i="2"/>
  <c r="AB12" i="2"/>
  <c r="AB23" i="2" s="1"/>
  <c r="T253" i="2"/>
  <c r="BI17" i="2"/>
  <c r="T198" i="3"/>
  <c r="T207" i="3"/>
  <c r="AP157" i="3"/>
  <c r="AK186" i="3"/>
  <c r="AK195" i="3"/>
  <c r="S142" i="3"/>
  <c r="S156" i="3" s="1"/>
  <c r="S12" i="3"/>
  <c r="S9" i="3"/>
  <c r="S194" i="3"/>
  <c r="AX299" i="3"/>
  <c r="R29" i="3"/>
  <c r="R32" i="3" s="1"/>
  <c r="T206" i="3"/>
  <c r="T142" i="3"/>
  <c r="AC102" i="3"/>
  <c r="AC103" i="3" s="1"/>
  <c r="Q15" i="3"/>
  <c r="AM33" i="3"/>
  <c r="L18" i="3"/>
  <c r="AW168" i="3"/>
  <c r="Z11" i="3"/>
  <c r="Z7" i="3" s="1"/>
  <c r="AW18" i="3"/>
  <c r="BI253" i="2"/>
  <c r="Y175" i="2"/>
  <c r="T163" i="2"/>
  <c r="T22" i="2"/>
  <c r="Y164" i="2"/>
  <c r="Y6" i="2"/>
  <c r="AB224" i="2"/>
  <c r="AB160" i="2"/>
  <c r="Z17" i="2"/>
  <c r="Z161" i="2" s="1"/>
  <c r="AB165" i="2"/>
  <c r="AB202" i="2" s="1"/>
  <c r="AB204" i="2" s="1"/>
  <c r="AB226" i="2"/>
  <c r="AI170" i="2"/>
  <c r="T199" i="3"/>
  <c r="AB209" i="3"/>
  <c r="J19" i="3"/>
  <c r="AH165" i="3"/>
  <c r="AK193" i="3"/>
  <c r="AK194" i="3"/>
  <c r="AF12" i="3"/>
  <c r="BH165" i="2"/>
  <c r="BH202" i="2" s="1"/>
  <c r="BH204" i="2" s="1"/>
  <c r="AP11" i="3"/>
  <c r="AW17" i="3"/>
  <c r="AW14" i="3" s="1"/>
  <c r="BH12" i="2"/>
  <c r="BH168" i="2"/>
  <c r="BH17" i="2"/>
  <c r="BH161" i="2" s="1"/>
  <c r="AB208" i="3"/>
  <c r="AB200" i="3"/>
  <c r="AV157" i="3"/>
  <c r="X157" i="3"/>
  <c r="BH160" i="2"/>
  <c r="BH233" i="2"/>
  <c r="AK12" i="3"/>
  <c r="AK9" i="3" s="1"/>
  <c r="AK185" i="3"/>
  <c r="BH9" i="2"/>
  <c r="AB207" i="3"/>
  <c r="AB199" i="3"/>
  <c r="AR168" i="3"/>
  <c r="AF157" i="3"/>
  <c r="BH163" i="2"/>
  <c r="BH22" i="2"/>
  <c r="AR158" i="3"/>
  <c r="J28" i="3"/>
  <c r="J31" i="3" s="1"/>
  <c r="AX233" i="3"/>
  <c r="AX239" i="3"/>
  <c r="AX236" i="3"/>
  <c r="AM106" i="3"/>
  <c r="AM107" i="3" s="1"/>
  <c r="AM102" i="3"/>
  <c r="AT157" i="3"/>
  <c r="AH103" i="3"/>
  <c r="AH104" i="3" s="1"/>
  <c r="AB198" i="3"/>
  <c r="K143" i="3"/>
  <c r="K102" i="3"/>
  <c r="P106" i="3"/>
  <c r="S193" i="3"/>
  <c r="S192" i="3"/>
  <c r="AA193" i="3"/>
  <c r="AA194" i="3"/>
  <c r="AA142" i="3"/>
  <c r="AF156" i="3" s="1"/>
  <c r="AJ5" i="2"/>
  <c r="AA195" i="3"/>
  <c r="AA186" i="3"/>
  <c r="AF90" i="3"/>
  <c r="AA192" i="3"/>
  <c r="AA185" i="3"/>
  <c r="AF84" i="3"/>
  <c r="AF89" i="3" s="1"/>
  <c r="AF10" i="3" s="1"/>
  <c r="AF9" i="3" s="1"/>
  <c r="AC106" i="3"/>
  <c r="AC180" i="3"/>
  <c r="BC299" i="3"/>
  <c r="AH13" i="3"/>
  <c r="X11" i="3"/>
  <c r="X7" i="3" s="1"/>
  <c r="X8" i="3" s="1"/>
  <c r="AW198" i="3"/>
  <c r="AW201" i="3"/>
  <c r="AW207" i="3"/>
  <c r="AW200" i="3"/>
  <c r="AW202" i="3"/>
  <c r="AW209" i="3"/>
  <c r="AW199" i="3"/>
  <c r="AW203" i="3"/>
  <c r="AW226" i="3"/>
  <c r="AW206" i="3"/>
  <c r="AW204" i="3"/>
  <c r="AT242" i="3"/>
  <c r="AT245" i="3" s="1"/>
  <c r="AT233" i="3"/>
  <c r="AM29" i="3"/>
  <c r="AH145" i="3"/>
  <c r="AM30" i="3"/>
  <c r="AM28" i="3" s="1"/>
  <c r="AM32" i="3"/>
  <c r="AH174" i="3"/>
  <c r="AQ215" i="2"/>
  <c r="AH33" i="3"/>
  <c r="AW208" i="3"/>
  <c r="AY233" i="3"/>
  <c r="AY239" i="3"/>
  <c r="AH29" i="3"/>
  <c r="BH65" i="3"/>
  <c r="BC300" i="3"/>
  <c r="BH300" i="3"/>
  <c r="BO33" i="3"/>
  <c r="BO292" i="3"/>
  <c r="BR149" i="3"/>
  <c r="BW149" i="3" s="1"/>
  <c r="AD6" i="2"/>
  <c r="AM165" i="3"/>
  <c r="BR146" i="3"/>
  <c r="BW146" i="3" s="1"/>
  <c r="CB146" i="3" s="1"/>
  <c r="CG146" i="3" s="1"/>
  <c r="AE10" i="3"/>
  <c r="AE7" i="3" s="1"/>
  <c r="AN7" i="2" s="1"/>
  <c r="BG23" i="2"/>
  <c r="AF9" i="2"/>
  <c r="AK10" i="2" s="1"/>
  <c r="AD165" i="2"/>
  <c r="AD202" i="2" s="1"/>
  <c r="AD204" i="2" s="1"/>
  <c r="AD175" i="2"/>
  <c r="AI175" i="2"/>
  <c r="AG157" i="3"/>
  <c r="BC301" i="3"/>
  <c r="BD304" i="3"/>
  <c r="BI304" i="3"/>
  <c r="CD51" i="3"/>
  <c r="CD58" i="3" s="1"/>
  <c r="AH17" i="3"/>
  <c r="BR145" i="3"/>
  <c r="BW145" i="3" s="1"/>
  <c r="AK14" i="3"/>
  <c r="AF165" i="2"/>
  <c r="AF202" i="2" s="1"/>
  <c r="AF204" i="2" s="1"/>
  <c r="AI12" i="2"/>
  <c r="AI23" i="2" s="1"/>
  <c r="AI37" i="2" s="1"/>
  <c r="AI40" i="2" s="1"/>
  <c r="AI39" i="2" s="1"/>
  <c r="AD164" i="2"/>
  <c r="AD17" i="2"/>
  <c r="AD161" i="2" s="1"/>
  <c r="AI17" i="2"/>
  <c r="AI22" i="2"/>
  <c r="BD301" i="3"/>
  <c r="CE51" i="3"/>
  <c r="CE58" i="3" s="1"/>
  <c r="BR139" i="3"/>
  <c r="BW139" i="3" s="1"/>
  <c r="CB139" i="3" s="1"/>
  <c r="CG139" i="3" s="1"/>
  <c r="BN33" i="3"/>
  <c r="BN292" i="3"/>
  <c r="AI6" i="2"/>
  <c r="AA11" i="3"/>
  <c r="AA7" i="3" s="1"/>
  <c r="AJ7" i="2" s="1"/>
  <c r="AD170" i="2"/>
  <c r="AI163" i="2"/>
  <c r="AI168" i="2"/>
  <c r="AY236" i="3"/>
  <c r="BD300" i="3"/>
  <c r="BC302" i="3"/>
  <c r="BH302" i="3"/>
  <c r="AH22" i="3"/>
  <c r="BD303" i="3"/>
  <c r="BI303" i="3"/>
  <c r="V157" i="2"/>
  <c r="Q177" i="2"/>
  <c r="Q45" i="2"/>
  <c r="Q111" i="2"/>
  <c r="AY157" i="2"/>
  <c r="AZ141" i="2"/>
  <c r="AZ143" i="2" s="1"/>
  <c r="H107" i="2"/>
  <c r="AA139" i="2"/>
  <c r="CG115" i="2"/>
  <c r="CL116" i="2"/>
  <c r="AA140" i="2"/>
  <c r="AA156" i="2" s="1"/>
  <c r="Z156" i="2"/>
  <c r="Z157" i="2" s="1"/>
  <c r="BJ114" i="2"/>
  <c r="V134" i="2"/>
  <c r="V135" i="2" s="1"/>
  <c r="V147" i="2" s="1"/>
  <c r="AZ146" i="2"/>
  <c r="J29" i="2"/>
  <c r="J30" i="2" s="1"/>
  <c r="J37" i="2"/>
  <c r="J43" i="2" s="1"/>
  <c r="J111" i="2" s="1"/>
  <c r="BE28" i="2"/>
  <c r="BE171" i="2"/>
  <c r="BE172" i="2"/>
  <c r="BJ143" i="2"/>
  <c r="R105" i="2"/>
  <c r="BA248" i="2"/>
  <c r="BJ213" i="2"/>
  <c r="AL83" i="2"/>
  <c r="AL183" i="2" s="1"/>
  <c r="AL66" i="2"/>
  <c r="AL150" i="2" s="1"/>
  <c r="AL105" i="2"/>
  <c r="W147" i="2"/>
  <c r="W149" i="2" s="1"/>
  <c r="BI238" i="2"/>
  <c r="AE135" i="2"/>
  <c r="AE153" i="2"/>
  <c r="AE154" i="2" s="1"/>
  <c r="AE155" i="2" s="1"/>
  <c r="AE169" i="2"/>
  <c r="AU133" i="2"/>
  <c r="AU213" i="2" s="1"/>
  <c r="AP239" i="2"/>
  <c r="AP153" i="2"/>
  <c r="AP154" i="2" s="1"/>
  <c r="AP169" i="2"/>
  <c r="AP170" i="2"/>
  <c r="Q155" i="2"/>
  <c r="V155" i="2"/>
  <c r="AG155" i="2"/>
  <c r="BI239" i="2"/>
  <c r="BI169" i="2"/>
  <c r="BJ171" i="2"/>
  <c r="BJ28" i="2"/>
  <c r="R107" i="2"/>
  <c r="R192" i="2"/>
  <c r="AG107" i="2"/>
  <c r="AG192" i="2"/>
  <c r="BJ130" i="2"/>
  <c r="BJ135" i="2" s="1"/>
  <c r="AM148" i="2"/>
  <c r="AM149" i="2" s="1"/>
  <c r="AN148" i="2" s="1"/>
  <c r="AQ148" i="2"/>
  <c r="AQ149" i="2" s="1"/>
  <c r="AF141" i="2"/>
  <c r="BI153" i="2"/>
  <c r="AF140" i="2"/>
  <c r="AF156" i="2" s="1"/>
  <c r="AY147" i="2"/>
  <c r="AV29" i="2"/>
  <c r="AV30" i="2" s="1"/>
  <c r="AV195" i="2"/>
  <c r="AV37" i="2"/>
  <c r="AV40" i="2" s="1"/>
  <c r="AV105" i="2"/>
  <c r="AV107" i="2" s="1"/>
  <c r="BB147" i="2"/>
  <c r="AF130" i="2"/>
  <c r="AF170" i="2" s="1"/>
  <c r="BM58" i="3"/>
  <c r="BM50" i="3" s="1"/>
  <c r="BR50" i="3" s="1"/>
  <c r="BW50" i="3" s="1"/>
  <c r="CB50" i="3" s="1"/>
  <c r="CG50" i="3" s="1"/>
  <c r="BM33" i="3"/>
  <c r="BM292" i="3"/>
  <c r="Z156" i="3"/>
  <c r="BM59" i="3"/>
  <c r="W17" i="2"/>
  <c r="W161" i="2" s="1"/>
  <c r="W226" i="2"/>
  <c r="AI164" i="2"/>
  <c r="BH253" i="2"/>
  <c r="BH170" i="2"/>
  <c r="BM26" i="3"/>
  <c r="BM291" i="3"/>
  <c r="BN26" i="3"/>
  <c r="BN20" i="3" s="1"/>
  <c r="BN291" i="3"/>
  <c r="BO26" i="3"/>
  <c r="BO20" i="3" s="1"/>
  <c r="BO291" i="3"/>
  <c r="BP296" i="3"/>
  <c r="BK65" i="3"/>
  <c r="AV55" i="2"/>
  <c r="W6" i="2"/>
  <c r="W22" i="2"/>
  <c r="W12" i="2"/>
  <c r="W23" i="2" s="1"/>
  <c r="W37" i="2" s="1"/>
  <c r="W40" i="2" s="1"/>
  <c r="W39" i="2" s="1"/>
  <c r="AB6" i="2"/>
  <c r="W160" i="2"/>
  <c r="W168" i="2"/>
  <c r="W163" i="2"/>
  <c r="BI165" i="2"/>
  <c r="BI202" i="2" s="1"/>
  <c r="BI204" i="2" s="1"/>
  <c r="BI168" i="2"/>
  <c r="BI170" i="2"/>
  <c r="W9" i="2"/>
  <c r="W170" i="2"/>
  <c r="W175" i="2"/>
  <c r="W165" i="2"/>
  <c r="W202" i="2" s="1"/>
  <c r="W204" i="2" s="1"/>
  <c r="W253" i="2"/>
  <c r="W228" i="2"/>
  <c r="W164" i="2"/>
  <c r="O111" i="2"/>
  <c r="BP58" i="3"/>
  <c r="BJ65" i="3"/>
  <c r="AF160" i="2"/>
  <c r="AG170" i="2"/>
  <c r="AB228" i="2"/>
  <c r="AB163" i="2"/>
  <c r="AB22" i="2"/>
  <c r="AB10" i="3"/>
  <c r="AB24" i="2"/>
  <c r="AG164" i="2"/>
  <c r="AB13" i="2"/>
  <c r="AB9" i="2"/>
  <c r="AB170" i="2"/>
  <c r="AE156" i="3"/>
  <c r="AD9" i="2"/>
  <c r="AD12" i="2"/>
  <c r="AD23" i="2" s="1"/>
  <c r="AD37" i="2" s="1"/>
  <c r="AD40" i="2" s="1"/>
  <c r="AD39" i="2" s="1"/>
  <c r="AB195" i="2"/>
  <c r="AD22" i="2"/>
  <c r="K11" i="3"/>
  <c r="AG22" i="2"/>
  <c r="AB17" i="2"/>
  <c r="AB161" i="2" s="1"/>
  <c r="AB175" i="2"/>
  <c r="AN6" i="2"/>
  <c r="AD163" i="2"/>
  <c r="AI165" i="2"/>
  <c r="AI202" i="2" s="1"/>
  <c r="AI204" i="2" s="1"/>
  <c r="AI160" i="2"/>
  <c r="AI9" i="2"/>
  <c r="AC10" i="2"/>
  <c r="CB56" i="2"/>
  <c r="CG56" i="2" s="1"/>
  <c r="CL56" i="2" s="1"/>
  <c r="CQ56" i="2" s="1"/>
  <c r="AI161" i="2"/>
  <c r="BI13" i="2"/>
  <c r="AG9" i="2"/>
  <c r="BG29" i="2"/>
  <c r="BG37" i="2"/>
  <c r="BG40" i="2" s="1"/>
  <c r="AF164" i="2"/>
  <c r="Z22" i="2"/>
  <c r="BG234" i="2"/>
  <c r="Z9" i="2"/>
  <c r="AG228" i="2"/>
  <c r="AG160" i="2"/>
  <c r="AG163" i="2"/>
  <c r="AG165" i="2"/>
  <c r="AG202" i="2" s="1"/>
  <c r="AG204" i="2" s="1"/>
  <c r="AG6" i="2"/>
  <c r="AF175" i="2"/>
  <c r="AF17" i="2"/>
  <c r="AK6" i="2"/>
  <c r="AF12" i="2"/>
  <c r="AF168" i="2"/>
  <c r="Z165" i="2"/>
  <c r="Z202" i="2" s="1"/>
  <c r="Z204" i="2" s="1"/>
  <c r="AG175" i="2"/>
  <c r="AF22" i="2"/>
  <c r="Z160" i="2"/>
  <c r="BI195" i="2"/>
  <c r="Z163" i="2"/>
  <c r="AN19" i="2"/>
  <c r="AG168" i="2"/>
  <c r="AG17" i="2"/>
  <c r="AG161" i="2" s="1"/>
  <c r="AG12" i="2"/>
  <c r="AG13" i="2" s="1"/>
  <c r="AG224" i="2"/>
  <c r="AF163" i="2"/>
  <c r="AC29" i="2"/>
  <c r="AC30" i="2" s="1"/>
  <c r="AC37" i="2"/>
  <c r="AC40" i="2" s="1"/>
  <c r="AC39" i="2" s="1"/>
  <c r="Z170" i="2"/>
  <c r="X195" i="2"/>
  <c r="X37" i="2"/>
  <c r="X40" i="2" s="1"/>
  <c r="X39" i="2" s="1"/>
  <c r="Z12" i="2"/>
  <c r="BI24" i="2"/>
  <c r="BI234" i="2"/>
  <c r="BI29" i="2"/>
  <c r="CA56" i="2"/>
  <c r="CF56" i="2" s="1"/>
  <c r="CK56" i="2" s="1"/>
  <c r="CP56" i="2" s="1"/>
  <c r="AW107" i="3"/>
  <c r="R156" i="3"/>
  <c r="Q157" i="3"/>
  <c r="AC198" i="3"/>
  <c r="AC206" i="3"/>
  <c r="AC209" i="3"/>
  <c r="AC208" i="3"/>
  <c r="AC181" i="3"/>
  <c r="AC200" i="3"/>
  <c r="AC199" i="3"/>
  <c r="AC207" i="3"/>
  <c r="AV156" i="3"/>
  <c r="AZ11" i="3"/>
  <c r="AU195" i="3"/>
  <c r="BD5" i="2"/>
  <c r="AU192" i="3"/>
  <c r="AU190" i="3"/>
  <c r="AU194" i="3"/>
  <c r="AU189" i="3"/>
  <c r="AU185" i="3"/>
  <c r="AU193" i="3"/>
  <c r="AU184" i="3"/>
  <c r="AU186" i="3"/>
  <c r="AZ12" i="3"/>
  <c r="AU187" i="3"/>
  <c r="AU188" i="3"/>
  <c r="AU142" i="3"/>
  <c r="AZ156" i="3" s="1"/>
  <c r="AH18" i="3"/>
  <c r="AC143" i="3"/>
  <c r="AH172" i="3"/>
  <c r="AH19" i="3"/>
  <c r="AC19" i="3"/>
  <c r="AC15" i="3" s="1"/>
  <c r="AC18" i="3" s="1"/>
  <c r="AC11" i="3" s="1"/>
  <c r="AC7" i="3" s="1"/>
  <c r="AC172" i="3"/>
  <c r="AD172" i="3" s="1"/>
  <c r="AG192" i="3"/>
  <c r="AG142" i="3"/>
  <c r="AL156" i="3" s="1"/>
  <c r="AG195" i="3"/>
  <c r="AG193" i="3"/>
  <c r="AG194" i="3"/>
  <c r="AH6" i="3"/>
  <c r="AM9" i="3" s="1"/>
  <c r="AG186" i="3"/>
  <c r="AG185" i="3"/>
  <c r="AC74" i="3"/>
  <c r="T23" i="2"/>
  <c r="T29" i="2" s="1"/>
  <c r="T30" i="2" s="1"/>
  <c r="AG184" i="3"/>
  <c r="AD157" i="3"/>
  <c r="AI157" i="3"/>
  <c r="AG253" i="2"/>
  <c r="P157" i="3"/>
  <c r="AW143" i="3"/>
  <c r="AW19" i="3"/>
  <c r="AA8" i="3"/>
  <c r="Z253" i="2"/>
  <c r="Z175" i="2"/>
  <c r="Z168" i="2"/>
  <c r="AU157" i="3"/>
  <c r="T7" i="3"/>
  <c r="T8" i="3" s="1"/>
  <c r="BA65" i="3"/>
  <c r="BJ296" i="3"/>
  <c r="BK296" i="3"/>
  <c r="BI296" i="3"/>
  <c r="BK293" i="3"/>
  <c r="BJ293" i="3"/>
  <c r="BI292" i="3"/>
  <c r="BK292" i="3"/>
  <c r="BH292" i="3"/>
  <c r="AS236" i="3"/>
  <c r="AO229" i="3"/>
  <c r="AT239" i="3" s="1"/>
  <c r="AN233" i="3"/>
  <c r="AS239" i="3"/>
  <c r="AZ251" i="3"/>
  <c r="AR106" i="3"/>
  <c r="AR107" i="3" s="1"/>
  <c r="AQ280" i="3"/>
  <c r="Y199" i="3"/>
  <c r="Y206" i="3"/>
  <c r="Y208" i="3"/>
  <c r="Y103" i="3"/>
  <c r="Y198" i="3"/>
  <c r="Y200" i="3"/>
  <c r="Y207" i="3"/>
  <c r="Y209" i="3"/>
  <c r="AR102" i="3"/>
  <c r="AR198" i="3" s="1"/>
  <c r="AW106" i="3"/>
  <c r="AR143" i="3"/>
  <c r="AQ229" i="3"/>
  <c r="V103" i="3"/>
  <c r="Q142" i="3"/>
  <c r="Q198" i="3"/>
  <c r="Q200" i="3"/>
  <c r="Q207" i="3"/>
  <c r="Q209" i="3"/>
  <c r="Q103" i="3"/>
  <c r="Q199" i="3"/>
  <c r="Q206" i="3"/>
  <c r="Q208" i="3"/>
  <c r="U156" i="3"/>
  <c r="AP229" i="3"/>
  <c r="AC195" i="2"/>
  <c r="BK53" i="3"/>
  <c r="BJ53" i="3"/>
  <c r="BN211" i="2"/>
  <c r="BG34" i="3"/>
  <c r="BI161" i="2"/>
  <c r="AN25" i="2"/>
  <c r="AV161" i="2"/>
  <c r="AC24" i="2"/>
  <c r="AC26" i="2" s="1"/>
  <c r="T19" i="2"/>
  <c r="AC13" i="2"/>
  <c r="AC14" i="2" s="1"/>
  <c r="AC25" i="2"/>
  <c r="AQ161" i="2"/>
  <c r="BG195" i="2"/>
  <c r="BG24" i="2"/>
  <c r="AA17" i="2"/>
  <c r="AD19" i="2"/>
  <c r="Y19" i="2"/>
  <c r="Y10" i="2"/>
  <c r="Y23" i="2"/>
  <c r="Y37" i="2" s="1"/>
  <c r="Y40" i="2" s="1"/>
  <c r="Y39" i="2" s="1"/>
  <c r="Y13" i="2"/>
  <c r="Y14" i="2" s="1"/>
  <c r="BH23" i="2"/>
  <c r="BH37" i="2" s="1"/>
  <c r="BH40" i="2" s="1"/>
  <c r="BH13" i="2"/>
  <c r="BY21" i="2"/>
  <c r="N89" i="3"/>
  <c r="N9" i="3"/>
  <c r="AQ156" i="3"/>
  <c r="W89" i="3"/>
  <c r="W9" i="3"/>
  <c r="W10" i="3" s="1"/>
  <c r="AA9" i="2"/>
  <c r="AF10" i="2" s="1"/>
  <c r="AA168" i="2"/>
  <c r="AA175" i="2"/>
  <c r="AA22" i="2"/>
  <c r="AA160" i="2"/>
  <c r="AA163" i="2"/>
  <c r="AA165" i="2"/>
  <c r="AA202" i="2" s="1"/>
  <c r="AA204" i="2" s="1"/>
  <c r="AA12" i="2"/>
  <c r="AA164" i="2"/>
  <c r="AF6" i="2"/>
  <c r="AI9" i="3"/>
  <c r="AI7" i="3"/>
  <c r="AJ211" i="2"/>
  <c r="AV89" i="3"/>
  <c r="AV9" i="3"/>
  <c r="AV10" i="3" s="1"/>
  <c r="V89" i="3"/>
  <c r="V9" i="3"/>
  <c r="P9" i="3"/>
  <c r="P89" i="3"/>
  <c r="K73" i="3"/>
  <c r="K71" i="3"/>
  <c r="K14" i="3"/>
  <c r="U9" i="3"/>
  <c r="U89" i="3"/>
  <c r="AA9" i="3"/>
  <c r="V193" i="3"/>
  <c r="V142" i="3"/>
  <c r="V185" i="3"/>
  <c r="V192" i="3"/>
  <c r="V195" i="3"/>
  <c r="V12" i="3"/>
  <c r="V8" i="3" s="1"/>
  <c r="V194" i="3"/>
  <c r="AE5" i="2"/>
  <c r="AA12" i="3"/>
  <c r="V184" i="3"/>
  <c r="V186" i="3"/>
  <c r="AO194" i="3"/>
  <c r="AO142" i="3"/>
  <c r="AO279" i="3"/>
  <c r="AO184" i="3"/>
  <c r="AO195" i="3"/>
  <c r="AO193" i="3"/>
  <c r="AO225" i="3"/>
  <c r="AO228" i="3" s="1"/>
  <c r="AO241" i="3" s="1"/>
  <c r="AO244" i="3" s="1"/>
  <c r="AO185" i="3"/>
  <c r="AO186" i="3"/>
  <c r="AO192" i="3"/>
  <c r="T9" i="3"/>
  <c r="T89" i="3"/>
  <c r="AR157" i="3"/>
  <c r="M74" i="3"/>
  <c r="L70" i="3"/>
  <c r="W157" i="3"/>
  <c r="AI211" i="2"/>
  <c r="Z10" i="3"/>
  <c r="AI7" i="2"/>
  <c r="AI210" i="2"/>
  <c r="BM211" i="2"/>
  <c r="I4" i="2"/>
  <c r="G63" i="2"/>
  <c r="G109" i="2"/>
  <c r="P177" i="2"/>
  <c r="AK45" i="2"/>
  <c r="AX234" i="2"/>
  <c r="AX24" i="2"/>
  <c r="AX26" i="2" s="1"/>
  <c r="AR216" i="2"/>
  <c r="AR237" i="2"/>
  <c r="AK197" i="2"/>
  <c r="AK51" i="2"/>
  <c r="AK50" i="2"/>
  <c r="AK111" i="2"/>
  <c r="O45" i="2"/>
  <c r="AK177" i="2"/>
  <c r="R14" i="2"/>
  <c r="M14" i="2"/>
  <c r="AV10" i="2"/>
  <c r="M30" i="2"/>
  <c r="M191" i="2"/>
  <c r="BZ42" i="2"/>
  <c r="L14" i="2"/>
  <c r="Q14" i="2"/>
  <c r="I24" i="2"/>
  <c r="N26" i="2" s="1"/>
  <c r="I29" i="2"/>
  <c r="I30" i="2" s="1"/>
  <c r="I43" i="2"/>
  <c r="I25" i="2"/>
  <c r="M9" i="3"/>
  <c r="M189" i="3" s="1"/>
  <c r="BU42" i="2"/>
  <c r="M43" i="2"/>
  <c r="AM195" i="2"/>
  <c r="AM234" i="2"/>
  <c r="N25" i="2"/>
  <c r="R210" i="2"/>
  <c r="I10" i="3"/>
  <c r="R7" i="2"/>
  <c r="L25" i="2"/>
  <c r="L29" i="2"/>
  <c r="L30" i="2" s="1"/>
  <c r="Q25" i="2"/>
  <c r="L43" i="2"/>
  <c r="L24" i="2"/>
  <c r="Q26" i="2" s="1"/>
  <c r="F29" i="2"/>
  <c r="F30" i="2" s="1"/>
  <c r="F24" i="2"/>
  <c r="K26" i="2" s="1"/>
  <c r="F43" i="2"/>
  <c r="BA161" i="2"/>
  <c r="BA19" i="2"/>
  <c r="BR214" i="2"/>
  <c r="AV24" i="2"/>
  <c r="AS43" i="2"/>
  <c r="AV234" i="2"/>
  <c r="BA10" i="2"/>
  <c r="AZ25" i="2"/>
  <c r="AZ234" i="2"/>
  <c r="AZ195" i="2"/>
  <c r="AZ24" i="2"/>
  <c r="AZ29" i="2"/>
  <c r="BA204" i="2"/>
  <c r="AX30" i="2"/>
  <c r="AX236" i="2"/>
  <c r="BM123" i="3"/>
  <c r="BC121" i="3"/>
  <c r="BC112" i="3"/>
  <c r="BC109" i="3"/>
  <c r="BQ214" i="2"/>
  <c r="BL214" i="2"/>
  <c r="BW181" i="2"/>
  <c r="BV140" i="2"/>
  <c r="CB181" i="2"/>
  <c r="CA140" i="2"/>
  <c r="CF181" i="2"/>
  <c r="CO181" i="2"/>
  <c r="CC31" i="3"/>
  <c r="BX28" i="3"/>
  <c r="BX33" i="3" s="1"/>
  <c r="BU28" i="3"/>
  <c r="BU33" i="3" s="1"/>
  <c r="BZ30" i="3"/>
  <c r="BT28" i="3"/>
  <c r="BT33" i="3" s="1"/>
  <c r="BY30" i="3"/>
  <c r="BU67" i="2"/>
  <c r="BW67" i="2" s="1"/>
  <c r="BY67" i="2" s="1"/>
  <c r="BV67" i="2"/>
  <c r="BX67" i="2" s="1"/>
  <c r="BP56" i="2"/>
  <c r="BB34" i="3"/>
  <c r="BB27" i="3"/>
  <c r="P148" i="2"/>
  <c r="O150" i="2"/>
  <c r="AB195" i="3"/>
  <c r="AB184" i="3"/>
  <c r="AB193" i="3"/>
  <c r="AB185" i="3"/>
  <c r="AB194" i="3"/>
  <c r="AG90" i="3"/>
  <c r="AG84" i="3" s="1"/>
  <c r="AG89" i="3" s="1"/>
  <c r="AB186" i="3"/>
  <c r="AB192" i="3"/>
  <c r="AG171" i="3"/>
  <c r="AB142" i="3"/>
  <c r="AB12" i="3"/>
  <c r="AG12" i="3"/>
  <c r="AT195" i="3"/>
  <c r="AT186" i="3"/>
  <c r="AT190" i="3"/>
  <c r="AT188" i="3"/>
  <c r="AT189" i="3"/>
  <c r="AT185" i="3"/>
  <c r="AT193" i="3"/>
  <c r="AT192" i="3"/>
  <c r="AT187" i="3"/>
  <c r="AT142" i="3"/>
  <c r="BC5" i="2"/>
  <c r="BC253" i="2" s="1"/>
  <c r="AT194" i="3"/>
  <c r="AY12" i="3"/>
  <c r="AT184" i="3"/>
  <c r="AT12" i="3"/>
  <c r="BW23" i="3"/>
  <c r="BR21" i="3"/>
  <c r="BR26" i="3" s="1"/>
  <c r="P78" i="3"/>
  <c r="P81" i="3" s="1"/>
  <c r="P11" i="3" s="1"/>
  <c r="AC167" i="3"/>
  <c r="AH167" i="3"/>
  <c r="AS245" i="3"/>
  <c r="AX250" i="3"/>
  <c r="AX251" i="3" s="1"/>
  <c r="AU11" i="3"/>
  <c r="BX21" i="3"/>
  <c r="BX26" i="3" s="1"/>
  <c r="CC23" i="3"/>
  <c r="W199" i="3"/>
  <c r="W206" i="3"/>
  <c r="W208" i="3"/>
  <c r="W198" i="3"/>
  <c r="W200" i="3"/>
  <c r="W207" i="3"/>
  <c r="W209" i="3"/>
  <c r="AB103" i="3"/>
  <c r="W103" i="3"/>
  <c r="W142" i="3"/>
  <c r="W156" i="3" s="1"/>
  <c r="C46" i="3"/>
  <c r="BS44" i="3" s="1"/>
  <c r="BS42" i="3" s="1"/>
  <c r="BS49" i="3" s="1"/>
  <c r="U15" i="3"/>
  <c r="U18" i="3" s="1"/>
  <c r="U11" i="3" s="1"/>
  <c r="BU55" i="3"/>
  <c r="BU53" i="3" s="1"/>
  <c r="BU51" i="3" s="1"/>
  <c r="BU58" i="3" s="1"/>
  <c r="BT53" i="3"/>
  <c r="BT51" i="3" s="1"/>
  <c r="BT58" i="3" s="1"/>
  <c r="AQ13" i="2"/>
  <c r="AV14" i="2" s="1"/>
  <c r="O26" i="2"/>
  <c r="CD145" i="3"/>
  <c r="AO43" i="2"/>
  <c r="BE238" i="2"/>
  <c r="AZ239" i="2"/>
  <c r="AZ135" i="2"/>
  <c r="AZ170" i="2"/>
  <c r="AZ169" i="2"/>
  <c r="AS30" i="2"/>
  <c r="AS236" i="2"/>
  <c r="Y213" i="2"/>
  <c r="Y135" i="2"/>
  <c r="Y147" i="2" s="1"/>
  <c r="AM30" i="2"/>
  <c r="AM236" i="2"/>
  <c r="P125" i="2"/>
  <c r="P120" i="2" s="1"/>
  <c r="O120" i="2"/>
  <c r="O216" i="2" s="1"/>
  <c r="AP189" i="2"/>
  <c r="AP176" i="2"/>
  <c r="AP177" i="2"/>
  <c r="AP156" i="2"/>
  <c r="AP157" i="2" s="1"/>
  <c r="AU169" i="2"/>
  <c r="AU170" i="2"/>
  <c r="AU239" i="2"/>
  <c r="BJ179" i="2"/>
  <c r="BK179" i="2" s="1"/>
  <c r="BK180" i="2" s="1"/>
  <c r="BK102" i="2"/>
  <c r="BP102" i="2" s="1"/>
  <c r="M188" i="2"/>
  <c r="M189" i="2" s="1"/>
  <c r="H191" i="2"/>
  <c r="AR155" i="2"/>
  <c r="BV98" i="2"/>
  <c r="BW98" i="2" s="1"/>
  <c r="BX98" i="2" s="1"/>
  <c r="BY98" i="2" s="1"/>
  <c r="BU98" i="2"/>
  <c r="AM150" i="2"/>
  <c r="AP111" i="2"/>
  <c r="AP45" i="2"/>
  <c r="AP49" i="2"/>
  <c r="AP30" i="2"/>
  <c r="AP236" i="2"/>
  <c r="AY11" i="3"/>
  <c r="AG9" i="3"/>
  <c r="K77" i="3"/>
  <c r="K80" i="3" s="1"/>
  <c r="L12" i="3"/>
  <c r="L195" i="3"/>
  <c r="Q12" i="3"/>
  <c r="L184" i="3"/>
  <c r="L193" i="3"/>
  <c r="L185" i="3"/>
  <c r="L194" i="3"/>
  <c r="L186" i="3"/>
  <c r="L192" i="3"/>
  <c r="U5" i="2"/>
  <c r="U253" i="2" s="1"/>
  <c r="L142" i="3"/>
  <c r="AU14" i="3"/>
  <c r="AU9" i="3"/>
  <c r="J21" i="3"/>
  <c r="J22" i="3" s="1"/>
  <c r="J25" i="3" s="1"/>
  <c r="AN241" i="3"/>
  <c r="AN232" i="3"/>
  <c r="R15" i="3"/>
  <c r="R18" i="3" s="1"/>
  <c r="R11" i="3" s="1"/>
  <c r="CB30" i="3"/>
  <c r="BW28" i="3"/>
  <c r="BW33" i="3" s="1"/>
  <c r="AH70" i="3"/>
  <c r="AH16" i="3"/>
  <c r="AH14" i="3" s="1"/>
  <c r="AU225" i="3"/>
  <c r="AT225" i="3"/>
  <c r="AV225" i="3"/>
  <c r="AS142" i="3"/>
  <c r="AS185" i="3"/>
  <c r="AS186" i="3"/>
  <c r="AS188" i="3"/>
  <c r="AS194" i="3"/>
  <c r="AS187" i="3"/>
  <c r="AS192" i="3"/>
  <c r="AS195" i="3"/>
  <c r="AS12" i="3"/>
  <c r="AS190" i="3"/>
  <c r="AS225" i="3"/>
  <c r="AS228" i="3" s="1"/>
  <c r="AX235" i="3" s="1"/>
  <c r="BB5" i="2"/>
  <c r="BB253" i="2" s="1"/>
  <c r="AS184" i="3"/>
  <c r="AS189" i="3"/>
  <c r="AS193" i="3"/>
  <c r="AX12" i="3"/>
  <c r="AW6" i="3"/>
  <c r="BB11" i="3" s="1"/>
  <c r="BY23" i="3"/>
  <c r="BT21" i="3"/>
  <c r="BT26" i="3" s="1"/>
  <c r="O28" i="3"/>
  <c r="O29" i="3" s="1"/>
  <c r="AS89" i="3"/>
  <c r="AW86" i="3"/>
  <c r="AS9" i="3"/>
  <c r="AS10" i="3" s="1"/>
  <c r="O106" i="3"/>
  <c r="J102" i="3"/>
  <c r="O103" i="3" s="1"/>
  <c r="J143" i="3"/>
  <c r="O157" i="3" s="1"/>
  <c r="AR30" i="2"/>
  <c r="AR236" i="2"/>
  <c r="BA14" i="2"/>
  <c r="AK127" i="2"/>
  <c r="AJ152" i="2"/>
  <c r="AJ153" i="2" s="1"/>
  <c r="AJ154" i="2" s="1"/>
  <c r="BW148" i="3"/>
  <c r="AS26" i="2"/>
  <c r="AA122" i="2"/>
  <c r="Z133" i="2"/>
  <c r="CB149" i="3"/>
  <c r="AQ195" i="2"/>
  <c r="AQ24" i="2"/>
  <c r="AQ234" i="2"/>
  <c r="AQ29" i="2"/>
  <c r="AV25" i="2"/>
  <c r="AF119" i="2"/>
  <c r="P135" i="2"/>
  <c r="P147" i="2" s="1"/>
  <c r="Q134" i="2"/>
  <c r="Q135" i="2" s="1"/>
  <c r="Q147" i="2" s="1"/>
  <c r="AF139" i="2"/>
  <c r="AF143" i="2" s="1"/>
  <c r="BD134" i="2"/>
  <c r="BD135" i="2" s="1"/>
  <c r="BC135" i="2"/>
  <c r="AD143" i="2"/>
  <c r="AD147" i="2" s="1"/>
  <c r="AD149" i="2" s="1"/>
  <c r="AI156" i="2"/>
  <c r="AI157" i="2" s="1"/>
  <c r="AI189" i="2"/>
  <c r="AJ140" i="2"/>
  <c r="AK140" i="2" s="1"/>
  <c r="AI143" i="2"/>
  <c r="AI147" i="2" s="1"/>
  <c r="AI149" i="2" s="1"/>
  <c r="P188" i="2"/>
  <c r="P189" i="2" s="1"/>
  <c r="O189" i="2"/>
  <c r="CD21" i="2"/>
  <c r="CJ21" i="2"/>
  <c r="AS250" i="3"/>
  <c r="AS251" i="3" s="1"/>
  <c r="AN245" i="3"/>
  <c r="AT43" i="2"/>
  <c r="BK90" i="2"/>
  <c r="BV99" i="2"/>
  <c r="BW99" i="2" s="1"/>
  <c r="BX99" i="2" s="1"/>
  <c r="BY99" i="2" s="1"/>
  <c r="BU99" i="2"/>
  <c r="BV75" i="2"/>
  <c r="BW75" i="2" s="1"/>
  <c r="BX75" i="2" s="1"/>
  <c r="BY75" i="2" s="1"/>
  <c r="BU75" i="2"/>
  <c r="CE139" i="3"/>
  <c r="AP181" i="2"/>
  <c r="AP180" i="2" s="1"/>
  <c r="AP143" i="2"/>
  <c r="AP147" i="2" s="1"/>
  <c r="BA55" i="2"/>
  <c r="AW55" i="2"/>
  <c r="BB163" i="3"/>
  <c r="BU76" i="2"/>
  <c r="BV76" i="2"/>
  <c r="BW76" i="2" s="1"/>
  <c r="BX76" i="2" s="1"/>
  <c r="BY76" i="2" s="1"/>
  <c r="AP213" i="2"/>
  <c r="AX232" i="3"/>
  <c r="AY228" i="3"/>
  <c r="AZ228" i="3"/>
  <c r="BA228" i="3"/>
  <c r="BA230" i="3" s="1"/>
  <c r="AY9" i="3"/>
  <c r="AY14" i="3"/>
  <c r="BZ24" i="3"/>
  <c r="BU21" i="3"/>
  <c r="BU26" i="3" s="1"/>
  <c r="O82" i="3"/>
  <c r="J82" i="3"/>
  <c r="J6" i="3"/>
  <c r="J193" i="3" s="1"/>
  <c r="Y15" i="3"/>
  <c r="Y8" i="3" s="1"/>
  <c r="AP195" i="3"/>
  <c r="AP225" i="3"/>
  <c r="AP186" i="3"/>
  <c r="AP12" i="3"/>
  <c r="AP142" i="3"/>
  <c r="AP193" i="3"/>
  <c r="AP185" i="3"/>
  <c r="AP279" i="3"/>
  <c r="AP184" i="3"/>
  <c r="AP194" i="3"/>
  <c r="AU12" i="3"/>
  <c r="AQ225" i="3"/>
  <c r="AP192" i="3"/>
  <c r="AR6" i="3"/>
  <c r="AW233" i="3"/>
  <c r="R17" i="3"/>
  <c r="R9" i="3"/>
  <c r="L11" i="3"/>
  <c r="N11" i="3"/>
  <c r="N15" i="3"/>
  <c r="AI199" i="3"/>
  <c r="AI206" i="3"/>
  <c r="AI208" i="3"/>
  <c r="AI198" i="3"/>
  <c r="AI200" i="3"/>
  <c r="AI207" i="3"/>
  <c r="AI209" i="3"/>
  <c r="AN103" i="3"/>
  <c r="AN104" i="3" s="1"/>
  <c r="AI103" i="3"/>
  <c r="AI104" i="3" s="1"/>
  <c r="AI142" i="3"/>
  <c r="AJ185" i="3"/>
  <c r="AJ194" i="3"/>
  <c r="AJ192" i="3"/>
  <c r="AJ186" i="3"/>
  <c r="AJ184" i="3"/>
  <c r="AJ193" i="3"/>
  <c r="AJ195" i="3"/>
  <c r="AJ142" i="3"/>
  <c r="AO12" i="3"/>
  <c r="AO11" i="3" s="1"/>
  <c r="AJ12" i="3"/>
  <c r="AM6" i="3"/>
  <c r="AX9" i="3"/>
  <c r="AX10" i="3" s="1"/>
  <c r="AX14" i="3"/>
  <c r="AT89" i="3"/>
  <c r="AT9" i="3"/>
  <c r="AT10" i="3" s="1"/>
  <c r="AD89" i="3"/>
  <c r="AH86" i="3"/>
  <c r="AC166" i="3"/>
  <c r="AH166" i="3"/>
  <c r="G111" i="2"/>
  <c r="G45" i="2"/>
  <c r="BC72" i="2"/>
  <c r="BC80" i="2" s="1"/>
  <c r="BC192" i="2" s="1"/>
  <c r="BC184" i="2"/>
  <c r="BX148" i="3"/>
  <c r="AI155" i="2"/>
  <c r="AN155" i="2"/>
  <c r="BI135" i="2"/>
  <c r="BI213" i="2"/>
  <c r="S11" i="3"/>
  <c r="S15" i="3"/>
  <c r="N45" i="2"/>
  <c r="N111" i="2"/>
  <c r="N120" i="2" s="1"/>
  <c r="N216" i="2" s="1"/>
  <c r="N177" i="2"/>
  <c r="AP26" i="2"/>
  <c r="AW155" i="2"/>
  <c r="W24" i="2"/>
  <c r="AB25" i="2"/>
  <c r="AM43" i="2"/>
  <c r="AY26" i="2"/>
  <c r="AT26" i="2"/>
  <c r="AY238" i="2"/>
  <c r="AO135" i="2"/>
  <c r="AO213" i="2"/>
  <c r="AE143" i="2"/>
  <c r="AE147" i="2" s="1"/>
  <c r="BE12" i="2"/>
  <c r="BE6" i="2"/>
  <c r="BE17" i="2"/>
  <c r="BE22" i="2"/>
  <c r="BE9" i="2"/>
  <c r="BE10" i="2" s="1"/>
  <c r="BE160" i="2"/>
  <c r="BE163" i="2"/>
  <c r="BE164" i="2"/>
  <c r="BE168" i="2"/>
  <c r="BE233" i="2"/>
  <c r="BE165" i="2"/>
  <c r="BE202" i="2" s="1"/>
  <c r="BE204" i="2" s="1"/>
  <c r="BE175" i="2"/>
  <c r="AN30" i="2"/>
  <c r="AN236" i="2"/>
  <c r="AT170" i="2"/>
  <c r="AT169" i="2"/>
  <c r="AT135" i="2"/>
  <c r="AT153" i="2"/>
  <c r="AT239" i="2"/>
  <c r="AT141" i="2"/>
  <c r="AT143" i="2" s="1"/>
  <c r="AS143" i="2"/>
  <c r="CI42" i="2"/>
  <c r="CE42" i="2"/>
  <c r="AU43" i="2"/>
  <c r="V10" i="3"/>
  <c r="AE7" i="2"/>
  <c r="AE210" i="2"/>
  <c r="BU96" i="2"/>
  <c r="BV96" i="2"/>
  <c r="BW96" i="2" s="1"/>
  <c r="BX96" i="2" s="1"/>
  <c r="BY96" i="2" s="1"/>
  <c r="CG79" i="2"/>
  <c r="BE170" i="2"/>
  <c r="AN210" i="2"/>
  <c r="Q11" i="3"/>
  <c r="Q7" i="3" s="1"/>
  <c r="X30" i="2"/>
  <c r="AM188" i="2"/>
  <c r="AM190" i="2" s="1"/>
  <c r="AQ188" i="2"/>
  <c r="AQ190" i="2" s="1"/>
  <c r="BU97" i="2"/>
  <c r="BV97" i="2"/>
  <c r="BW97" i="2" s="1"/>
  <c r="BX97" i="2" s="1"/>
  <c r="BY97" i="2" s="1"/>
  <c r="BU68" i="2"/>
  <c r="AG211" i="2"/>
  <c r="BB162" i="3"/>
  <c r="BM215" i="2"/>
  <c r="AR159" i="3"/>
  <c r="AW159" i="3"/>
  <c r="R29" i="2"/>
  <c r="R25" i="2"/>
  <c r="R24" i="2"/>
  <c r="R26" i="2" s="1"/>
  <c r="R195" i="2"/>
  <c r="Q9" i="3"/>
  <c r="Q17" i="3"/>
  <c r="Y185" i="3"/>
  <c r="Y194" i="3"/>
  <c r="AH5" i="2"/>
  <c r="AH253" i="2" s="1"/>
  <c r="Y186" i="3"/>
  <c r="Y192" i="3"/>
  <c r="Y142" i="3"/>
  <c r="Y195" i="3"/>
  <c r="Y184" i="3"/>
  <c r="Y193" i="3"/>
  <c r="AD12" i="3"/>
  <c r="AD11" i="3" s="1"/>
  <c r="AC6" i="3"/>
  <c r="AD171" i="3"/>
  <c r="Y12" i="3"/>
  <c r="O199" i="3"/>
  <c r="O206" i="3"/>
  <c r="O208" i="3"/>
  <c r="O198" i="3"/>
  <c r="O200" i="3"/>
  <c r="O207" i="3"/>
  <c r="O209" i="3"/>
  <c r="O142" i="3"/>
  <c r="T103" i="3"/>
  <c r="AW24" i="2"/>
  <c r="AW29" i="2"/>
  <c r="BA23" i="2"/>
  <c r="BA37" i="2" s="1"/>
  <c r="BA40" i="2" s="1"/>
  <c r="AW195" i="2"/>
  <c r="AW234" i="2"/>
  <c r="AW25" i="2"/>
  <c r="BM27" i="3"/>
  <c r="BQ215" i="2"/>
  <c r="AE157" i="3"/>
  <c r="AJ157" i="3"/>
  <c r="AD10" i="2"/>
  <c r="AD13" i="2"/>
  <c r="E24" i="2"/>
  <c r="J26" i="2" s="1"/>
  <c r="E29" i="2"/>
  <c r="E30" i="2" s="1"/>
  <c r="E43" i="2"/>
  <c r="AK28" i="2"/>
  <c r="AK171" i="2"/>
  <c r="AK172" i="2"/>
  <c r="CI149" i="3"/>
  <c r="J25" i="2"/>
  <c r="AV236" i="2"/>
  <c r="AA169" i="2"/>
  <c r="AA170" i="2"/>
  <c r="BK213" i="2"/>
  <c r="AG188" i="2"/>
  <c r="AG189" i="2" s="1"/>
  <c r="AB189" i="2"/>
  <c r="AC188" i="2"/>
  <c r="AC189" i="2" s="1"/>
  <c r="V160" i="2"/>
  <c r="V9" i="2"/>
  <c r="V6" i="2"/>
  <c r="V17" i="2"/>
  <c r="V22" i="2"/>
  <c r="V163" i="2"/>
  <c r="V165" i="2"/>
  <c r="V202" i="2" s="1"/>
  <c r="V204" i="2" s="1"/>
  <c r="V12" i="2"/>
  <c r="V164" i="2"/>
  <c r="V168" i="2"/>
  <c r="AA6" i="2"/>
  <c r="V170" i="2"/>
  <c r="V175" i="2"/>
  <c r="J152" i="3"/>
  <c r="O166" i="3" s="1"/>
  <c r="K45" i="2"/>
  <c r="K111" i="2"/>
  <c r="N30" i="2"/>
  <c r="AP237" i="2"/>
  <c r="AP126" i="2"/>
  <c r="AP238" i="2" s="1"/>
  <c r="AR26" i="2"/>
  <c r="AX14" i="2"/>
  <c r="AN189" i="2"/>
  <c r="AN147" i="2"/>
  <c r="AO156" i="2"/>
  <c r="AO157" i="2" s="1"/>
  <c r="AO176" i="2"/>
  <c r="AO177" i="2"/>
  <c r="AO143" i="2"/>
  <c r="AN43" i="2"/>
  <c r="AK115" i="2"/>
  <c r="CC119" i="2"/>
  <c r="CH119" i="2" s="1"/>
  <c r="CM119" i="2" s="1"/>
  <c r="CR119" i="2" s="1"/>
  <c r="AS189" i="2"/>
  <c r="AS147" i="2"/>
  <c r="AP216" i="2"/>
  <c r="M188" i="3"/>
  <c r="AA153" i="2"/>
  <c r="AA154" i="2" s="1"/>
  <c r="BU77" i="2"/>
  <c r="BV77" i="2"/>
  <c r="BW77" i="2" s="1"/>
  <c r="BX77" i="2" s="1"/>
  <c r="BY77" i="2" s="1"/>
  <c r="CR56" i="2"/>
  <c r="AZ238" i="2"/>
  <c r="T149" i="2"/>
  <c r="CH79" i="2"/>
  <c r="AI188" i="2"/>
  <c r="AI190" i="2" s="1"/>
  <c r="AG210" i="2"/>
  <c r="X10" i="3"/>
  <c r="AG7" i="2"/>
  <c r="BS214" i="2"/>
  <c r="BO214" i="2"/>
  <c r="BG20" i="3"/>
  <c r="BK214" i="2"/>
  <c r="BB26" i="3"/>
  <c r="BE109" i="3"/>
  <c r="BA109" i="3"/>
  <c r="BB108" i="3"/>
  <c r="X156" i="3" l="1"/>
  <c r="AI19" i="2"/>
  <c r="AY250" i="3"/>
  <c r="J29" i="3"/>
  <c r="J32" i="3" s="1"/>
  <c r="J18" i="3" s="1"/>
  <c r="J11" i="3" s="1"/>
  <c r="AB37" i="2"/>
  <c r="AB29" i="2"/>
  <c r="AH89" i="3"/>
  <c r="AH84" i="3" s="1"/>
  <c r="AI195" i="2"/>
  <c r="AA10" i="3"/>
  <c r="AJ210" i="2"/>
  <c r="AI24" i="2"/>
  <c r="W19" i="2"/>
  <c r="AI29" i="2"/>
  <c r="AI13" i="2"/>
  <c r="K198" i="3"/>
  <c r="K209" i="3"/>
  <c r="K208" i="3"/>
  <c r="K142" i="3"/>
  <c r="P156" i="3" s="1"/>
  <c r="K199" i="3"/>
  <c r="K207" i="3"/>
  <c r="K200" i="3"/>
  <c r="K206" i="3"/>
  <c r="P103" i="3"/>
  <c r="AG11" i="3"/>
  <c r="AP228" i="3"/>
  <c r="AJ163" i="2"/>
  <c r="AO6" i="2"/>
  <c r="AJ175" i="2"/>
  <c r="AJ17" i="2"/>
  <c r="AJ12" i="2"/>
  <c r="AJ160" i="2"/>
  <c r="AJ164" i="2"/>
  <c r="AJ168" i="2"/>
  <c r="AJ165" i="2"/>
  <c r="AJ202" i="2" s="1"/>
  <c r="AJ204" i="2" s="1"/>
  <c r="AJ253" i="2"/>
  <c r="AJ22" i="2"/>
  <c r="AJ9" i="2"/>
  <c r="AJ170" i="2"/>
  <c r="AM207" i="3"/>
  <c r="AM200" i="3"/>
  <c r="AM206" i="3"/>
  <c r="AM209" i="3"/>
  <c r="AM103" i="3"/>
  <c r="AM104" i="3" s="1"/>
  <c r="AM208" i="3"/>
  <c r="AM199" i="3"/>
  <c r="AM198" i="3"/>
  <c r="AR271" i="3"/>
  <c r="AH159" i="3"/>
  <c r="AM159" i="3"/>
  <c r="AM18" i="3"/>
  <c r="AM19" i="3"/>
  <c r="AH143" i="3"/>
  <c r="AM157" i="3" s="1"/>
  <c r="AO233" i="3"/>
  <c r="AY251" i="3"/>
  <c r="AW44" i="3"/>
  <c r="AW47" i="3" s="1"/>
  <c r="O32" i="3"/>
  <c r="O18" i="3" s="1"/>
  <c r="BL44" i="3"/>
  <c r="BL47" i="3" s="1"/>
  <c r="BM44" i="3"/>
  <c r="AT236" i="3"/>
  <c r="BI44" i="3"/>
  <c r="BI47" i="3" s="1"/>
  <c r="AV26" i="2"/>
  <c r="Q125" i="2"/>
  <c r="AU135" i="2"/>
  <c r="AG10" i="2"/>
  <c r="AI10" i="2"/>
  <c r="CQ116" i="2"/>
  <c r="CQ115" i="2" s="1"/>
  <c r="CL115" i="2"/>
  <c r="AE157" i="2"/>
  <c r="AA143" i="2"/>
  <c r="AU141" i="2"/>
  <c r="AU143" i="2" s="1"/>
  <c r="AA157" i="2"/>
  <c r="AF169" i="2"/>
  <c r="AF135" i="2"/>
  <c r="AF153" i="2"/>
  <c r="AF154" i="2" s="1"/>
  <c r="BI157" i="2"/>
  <c r="BI154" i="2"/>
  <c r="BI155" i="2" s="1"/>
  <c r="AQ186" i="2"/>
  <c r="AM186" i="2"/>
  <c r="AL186" i="2"/>
  <c r="AF147" i="2"/>
  <c r="X148" i="2"/>
  <c r="X149" i="2" s="1"/>
  <c r="W150" i="2"/>
  <c r="AV148" i="2"/>
  <c r="AV149" i="2" s="1"/>
  <c r="AQ150" i="2"/>
  <c r="AR148" i="2"/>
  <c r="AR149" i="2" s="1"/>
  <c r="AQ242" i="2"/>
  <c r="AL184" i="2"/>
  <c r="AL72" i="2"/>
  <c r="AL80" i="2" s="1"/>
  <c r="BM120" i="3"/>
  <c r="AB10" i="2"/>
  <c r="BR59" i="3"/>
  <c r="AF19" i="2"/>
  <c r="AG14" i="2"/>
  <c r="BP295" i="3"/>
  <c r="BK56" i="3"/>
  <c r="W25" i="2"/>
  <c r="W10" i="2"/>
  <c r="T10" i="3"/>
  <c r="AG19" i="2"/>
  <c r="W29" i="2"/>
  <c r="W191" i="2" s="1"/>
  <c r="V191" i="2" s="1"/>
  <c r="AB19" i="2"/>
  <c r="AN26" i="2"/>
  <c r="W195" i="2"/>
  <c r="AN14" i="2"/>
  <c r="AG23" i="2"/>
  <c r="AG37" i="2" s="1"/>
  <c r="AG40" i="2" s="1"/>
  <c r="AG39" i="2" s="1"/>
  <c r="W13" i="2"/>
  <c r="W14" i="2" s="1"/>
  <c r="AP46" i="2"/>
  <c r="J45" i="2"/>
  <c r="BJ56" i="3"/>
  <c r="BZ141" i="2"/>
  <c r="T25" i="2"/>
  <c r="AN10" i="2"/>
  <c r="X196" i="2"/>
  <c r="X197" i="2" s="1"/>
  <c r="X162" i="2"/>
  <c r="X43" i="2"/>
  <c r="X49" i="2" s="1"/>
  <c r="BG236" i="2"/>
  <c r="BG30" i="2"/>
  <c r="AF13" i="2"/>
  <c r="AK14" i="2" s="1"/>
  <c r="AF23" i="2"/>
  <c r="Z23" i="2"/>
  <c r="Z13" i="2"/>
  <c r="AK19" i="2"/>
  <c r="AF161" i="2"/>
  <c r="T195" i="2"/>
  <c r="T197" i="2" s="1"/>
  <c r="T37" i="2"/>
  <c r="AC43" i="2"/>
  <c r="AC49" i="2" s="1"/>
  <c r="AC50" i="2" s="1"/>
  <c r="AC196" i="2"/>
  <c r="AC197" i="2" s="1"/>
  <c r="T24" i="2"/>
  <c r="T26" i="2" s="1"/>
  <c r="BS20" i="3"/>
  <c r="BH124" i="3"/>
  <c r="BH121" i="3"/>
  <c r="BI236" i="2"/>
  <c r="BI30" i="2"/>
  <c r="Q156" i="3"/>
  <c r="AW157" i="3"/>
  <c r="CI44" i="3"/>
  <c r="CI42" i="3" s="1"/>
  <c r="CI49" i="3" s="1"/>
  <c r="AH186" i="3"/>
  <c r="AH192" i="3"/>
  <c r="AH185" i="3"/>
  <c r="AH195" i="3"/>
  <c r="AH184" i="3"/>
  <c r="AH194" i="3"/>
  <c r="AM10" i="3"/>
  <c r="AH142" i="3"/>
  <c r="AH193" i="3"/>
  <c r="AC157" i="3"/>
  <c r="AL210" i="2"/>
  <c r="AC10" i="3"/>
  <c r="AL7" i="2"/>
  <c r="BD165" i="2"/>
  <c r="BD202" i="2" s="1"/>
  <c r="BD204" i="2" s="1"/>
  <c r="BD6" i="2"/>
  <c r="BD164" i="2"/>
  <c r="BD9" i="2"/>
  <c r="BD253" i="2"/>
  <c r="BD160" i="2"/>
  <c r="BD22" i="2"/>
  <c r="BD163" i="2"/>
  <c r="BI6" i="2"/>
  <c r="BD175" i="2"/>
  <c r="BD168" i="2"/>
  <c r="BD170" i="2"/>
  <c r="BD12" i="2"/>
  <c r="BD17" i="2"/>
  <c r="BD233" i="2"/>
  <c r="AC211" i="2"/>
  <c r="BU44" i="3"/>
  <c r="BU42" i="3" s="1"/>
  <c r="BU49" i="3" s="1"/>
  <c r="AS44" i="3"/>
  <c r="AS47" i="3" s="1"/>
  <c r="AN41" i="3" s="1"/>
  <c r="BP44" i="3"/>
  <c r="BP42" i="3" s="1"/>
  <c r="BP49" i="3" s="1"/>
  <c r="BG44" i="3"/>
  <c r="AC7" i="2"/>
  <c r="AC210" i="2"/>
  <c r="BK295" i="3"/>
  <c r="BJ295" i="3"/>
  <c r="AO242" i="3"/>
  <c r="AO245" i="3" s="1"/>
  <c r="AO232" i="3"/>
  <c r="BF115" i="3"/>
  <c r="AQ242" i="3"/>
  <c r="AV239" i="3"/>
  <c r="AQ233" i="3"/>
  <c r="AV236" i="3"/>
  <c r="AP233" i="3"/>
  <c r="AP242" i="3"/>
  <c r="AU239" i="3"/>
  <c r="AU236" i="3"/>
  <c r="AR229" i="3"/>
  <c r="AR206" i="3"/>
  <c r="AR200" i="3"/>
  <c r="AR204" i="3"/>
  <c r="AW103" i="3"/>
  <c r="AW104" i="3" s="1"/>
  <c r="AR208" i="3"/>
  <c r="AR201" i="3"/>
  <c r="AR207" i="3"/>
  <c r="AR226" i="3"/>
  <c r="AR202" i="3"/>
  <c r="AR209" i="3"/>
  <c r="AR103" i="3"/>
  <c r="AR104" i="3" s="1"/>
  <c r="AR199" i="3"/>
  <c r="AR203" i="3"/>
  <c r="AX238" i="3"/>
  <c r="BN108" i="3"/>
  <c r="BN109" i="3" s="1"/>
  <c r="BW214" i="2"/>
  <c r="BE121" i="3"/>
  <c r="BG114" i="3"/>
  <c r="BN215" i="2"/>
  <c r="AA161" i="2"/>
  <c r="AC162" i="2"/>
  <c r="Y195" i="2"/>
  <c r="Y24" i="2"/>
  <c r="Y25" i="2"/>
  <c r="Y29" i="2"/>
  <c r="Y30" i="2" s="1"/>
  <c r="AG195" i="2"/>
  <c r="BH24" i="2"/>
  <c r="BH195" i="2"/>
  <c r="BH234" i="2"/>
  <c r="BH29" i="2"/>
  <c r="BG27" i="3"/>
  <c r="AO280" i="3"/>
  <c r="AV228" i="3"/>
  <c r="K78" i="3"/>
  <c r="AU44" i="3"/>
  <c r="AY44" i="3"/>
  <c r="BN44" i="3"/>
  <c r="BN42" i="3" s="1"/>
  <c r="CJ44" i="3"/>
  <c r="CJ42" i="3" s="1"/>
  <c r="CJ49" i="3" s="1"/>
  <c r="CC44" i="3"/>
  <c r="CC42" i="3" s="1"/>
  <c r="CC49" i="3" s="1"/>
  <c r="L71" i="3"/>
  <c r="L14" i="3"/>
  <c r="L73" i="3"/>
  <c r="BD44" i="3"/>
  <c r="CE44" i="3"/>
  <c r="CE42" i="3" s="1"/>
  <c r="CE49" i="3" s="1"/>
  <c r="BR44" i="3"/>
  <c r="BR42" i="3" s="1"/>
  <c r="BR49" i="3" s="1"/>
  <c r="CH44" i="3"/>
  <c r="CH42" i="3" s="1"/>
  <c r="CH49" i="3" s="1"/>
  <c r="CD44" i="3"/>
  <c r="CD42" i="3" s="1"/>
  <c r="CD49" i="3" s="1"/>
  <c r="AX44" i="3"/>
  <c r="BE44" i="3"/>
  <c r="M70" i="3"/>
  <c r="M18" i="3"/>
  <c r="M11" i="3" s="1"/>
  <c r="M7" i="3" s="1"/>
  <c r="V7" i="2" s="1"/>
  <c r="AE160" i="2"/>
  <c r="AE163" i="2"/>
  <c r="AE165" i="2"/>
  <c r="AE202" i="2" s="1"/>
  <c r="AE204" i="2" s="1"/>
  <c r="AE12" i="2"/>
  <c r="AE22" i="2"/>
  <c r="AE164" i="2"/>
  <c r="AE170" i="2"/>
  <c r="AE168" i="2"/>
  <c r="AE175" i="2"/>
  <c r="AJ6" i="2"/>
  <c r="AE9" i="2"/>
  <c r="AE6" i="2"/>
  <c r="AE253" i="2"/>
  <c r="AE17" i="2"/>
  <c r="K17" i="3"/>
  <c r="K15" i="3"/>
  <c r="BX44" i="3"/>
  <c r="BX42" i="3" s="1"/>
  <c r="BX49" i="3" s="1"/>
  <c r="BA44" i="3"/>
  <c r="BK44" i="3"/>
  <c r="BT44" i="3"/>
  <c r="BT42" i="3" s="1"/>
  <c r="BT49" i="3" s="1"/>
  <c r="BH44" i="3"/>
  <c r="BJ44" i="3"/>
  <c r="BZ44" i="3"/>
  <c r="BZ42" i="3" s="1"/>
  <c r="BZ49" i="3" s="1"/>
  <c r="V156" i="3"/>
  <c r="AA156" i="3"/>
  <c r="AZ44" i="3"/>
  <c r="AR7" i="2"/>
  <c r="AR210" i="2"/>
  <c r="AA23" i="2"/>
  <c r="AA37" i="2" s="1"/>
  <c r="AA40" i="2" s="1"/>
  <c r="AA39" i="2" s="1"/>
  <c r="AA13" i="2"/>
  <c r="AY10" i="3"/>
  <c r="Y18" i="3"/>
  <c r="Y11" i="3" s="1"/>
  <c r="Y7" i="3" s="1"/>
  <c r="AH7" i="2" s="1"/>
  <c r="I63" i="2"/>
  <c r="J4" i="2"/>
  <c r="I109" i="2"/>
  <c r="L26" i="2"/>
  <c r="I26" i="2"/>
  <c r="I45" i="2"/>
  <c r="I46" i="2" s="1"/>
  <c r="I111" i="2"/>
  <c r="O191" i="2"/>
  <c r="P191" i="2"/>
  <c r="AI30" i="2"/>
  <c r="F111" i="2"/>
  <c r="F45" i="2"/>
  <c r="K46" i="2" s="1"/>
  <c r="L111" i="2"/>
  <c r="L45" i="2"/>
  <c r="Q46" i="2" s="1"/>
  <c r="AY43" i="2"/>
  <c r="N191" i="2"/>
  <c r="M45" i="2"/>
  <c r="M46" i="2" s="1"/>
  <c r="M48" i="2"/>
  <c r="M111" i="2"/>
  <c r="M120" i="2" s="1"/>
  <c r="M177" i="2"/>
  <c r="BD118" i="2"/>
  <c r="BE118" i="2" s="1"/>
  <c r="AX43" i="2"/>
  <c r="M162" i="2"/>
  <c r="M196" i="2"/>
  <c r="M197" i="2" s="1"/>
  <c r="M198" i="2" s="1"/>
  <c r="AV43" i="2"/>
  <c r="AS49" i="2"/>
  <c r="AS177" i="2"/>
  <c r="AS111" i="2"/>
  <c r="AS120" i="2" s="1"/>
  <c r="AS45" i="2"/>
  <c r="AS162" i="2"/>
  <c r="AS196" i="2"/>
  <c r="AS197" i="2" s="1"/>
  <c r="AZ26" i="2"/>
  <c r="AZ43" i="2"/>
  <c r="AZ30" i="2"/>
  <c r="AZ236" i="2"/>
  <c r="BM20" i="3"/>
  <c r="BR120" i="3"/>
  <c r="BR121" i="3" s="1"/>
  <c r="BM124" i="3"/>
  <c r="BM121" i="3"/>
  <c r="BW140" i="2"/>
  <c r="BX181" i="2"/>
  <c r="CK181" i="2"/>
  <c r="CT181" i="2"/>
  <c r="CF140" i="2"/>
  <c r="CG181" i="2"/>
  <c r="CC181" i="2"/>
  <c r="CC140" i="2" s="1"/>
  <c r="CB140" i="2"/>
  <c r="BR179" i="2"/>
  <c r="BP179" i="2"/>
  <c r="BP180" i="2" s="1"/>
  <c r="CH31" i="3"/>
  <c r="CH28" i="3" s="1"/>
  <c r="CH33" i="3" s="1"/>
  <c r="CC28" i="3"/>
  <c r="CC33" i="3" s="1"/>
  <c r="BZ28" i="3"/>
  <c r="BZ33" i="3" s="1"/>
  <c r="CE30" i="3"/>
  <c r="BY28" i="3"/>
  <c r="BY33" i="3" s="1"/>
  <c r="CD30" i="3"/>
  <c r="CA67" i="2"/>
  <c r="CC67" i="2" s="1"/>
  <c r="BZ67" i="2"/>
  <c r="CB67" i="2" s="1"/>
  <c r="CD67" i="2" s="1"/>
  <c r="BU56" i="2"/>
  <c r="BB114" i="3"/>
  <c r="BA115" i="3"/>
  <c r="BB40" i="3"/>
  <c r="BJ215" i="2"/>
  <c r="BT215" i="2"/>
  <c r="BP27" i="3"/>
  <c r="BU27" i="3" s="1"/>
  <c r="BK215" i="2"/>
  <c r="BB33" i="3"/>
  <c r="BA112" i="3"/>
  <c r="BB111" i="3"/>
  <c r="BO215" i="2"/>
  <c r="AK156" i="2"/>
  <c r="AK143" i="2"/>
  <c r="R7" i="3"/>
  <c r="R8" i="3" s="1"/>
  <c r="AA211" i="2" s="1"/>
  <c r="T150" i="2"/>
  <c r="U148" i="2"/>
  <c r="U149" i="2" s="1"/>
  <c r="R43" i="2"/>
  <c r="AN188" i="2"/>
  <c r="AN190" i="2" s="1"/>
  <c r="CI79" i="2"/>
  <c r="AM111" i="2"/>
  <c r="AM120" i="2" s="1"/>
  <c r="AM45" i="2"/>
  <c r="AM177" i="2"/>
  <c r="AM49" i="2"/>
  <c r="BP34" i="3"/>
  <c r="AM142" i="3"/>
  <c r="AR9" i="3"/>
  <c r="AM192" i="3"/>
  <c r="AM185" i="3"/>
  <c r="AM186" i="3"/>
  <c r="AM194" i="3"/>
  <c r="AM12" i="3"/>
  <c r="AM195" i="3"/>
  <c r="AM184" i="3"/>
  <c r="AM193" i="3"/>
  <c r="AR10" i="3"/>
  <c r="AI156" i="3"/>
  <c r="AN156" i="3"/>
  <c r="AQ228" i="3"/>
  <c r="AR228" i="3" s="1"/>
  <c r="O78" i="3"/>
  <c r="O81" i="3" s="1"/>
  <c r="O11" i="3" s="1"/>
  <c r="O7" i="3" s="1"/>
  <c r="AY232" i="3"/>
  <c r="X45" i="2"/>
  <c r="X111" i="2"/>
  <c r="CA75" i="2"/>
  <c r="CB75" i="2" s="1"/>
  <c r="CC75" i="2" s="1"/>
  <c r="CD75" i="2" s="1"/>
  <c r="BZ75" i="2"/>
  <c r="AT162" i="2"/>
  <c r="AT196" i="2"/>
  <c r="AT197" i="2" s="1"/>
  <c r="BE134" i="2"/>
  <c r="BE135" i="2" s="1"/>
  <c r="AQ43" i="2"/>
  <c r="Z213" i="2"/>
  <c r="Z135" i="2"/>
  <c r="Z147" i="2" s="1"/>
  <c r="CD23" i="3"/>
  <c r="BY21" i="3"/>
  <c r="BY26" i="3" s="1"/>
  <c r="AW142" i="3"/>
  <c r="AW190" i="3"/>
  <c r="AW193" i="3"/>
  <c r="AW194" i="3"/>
  <c r="AW189" i="3"/>
  <c r="AW225" i="3"/>
  <c r="AW186" i="3"/>
  <c r="AW184" i="3"/>
  <c r="AW195" i="3"/>
  <c r="AW185" i="3"/>
  <c r="AW12" i="3"/>
  <c r="AW192" i="3"/>
  <c r="AW188" i="3"/>
  <c r="AW187" i="3"/>
  <c r="AU228" i="3"/>
  <c r="AZ235" i="3" s="1"/>
  <c r="CG30" i="3"/>
  <c r="CG28" i="3" s="1"/>
  <c r="CG33" i="3" s="1"/>
  <c r="CB28" i="3"/>
  <c r="CB33" i="3" s="1"/>
  <c r="BC115" i="3"/>
  <c r="BG40" i="3"/>
  <c r="CA98" i="2"/>
  <c r="CB98" i="2" s="1"/>
  <c r="CC98" i="2" s="1"/>
  <c r="CD98" i="2" s="1"/>
  <c r="BZ98" i="2"/>
  <c r="BU102" i="2"/>
  <c r="AO49" i="2"/>
  <c r="AO111" i="2"/>
  <c r="AO120" i="2" s="1"/>
  <c r="AO45" i="2"/>
  <c r="CG44" i="3"/>
  <c r="CG42" i="3" s="1"/>
  <c r="CG49" i="3" s="1"/>
  <c r="BO44" i="3"/>
  <c r="AT44" i="3"/>
  <c r="AT47" i="3" s="1"/>
  <c r="AO41" i="3" s="1"/>
  <c r="BW44" i="3"/>
  <c r="BW42" i="3" s="1"/>
  <c r="BW49" i="3" s="1"/>
  <c r="BF44" i="3"/>
  <c r="AV44" i="3"/>
  <c r="AV47" i="3" s="1"/>
  <c r="AQ41" i="3" s="1"/>
  <c r="BY44" i="3"/>
  <c r="BY42" i="3" s="1"/>
  <c r="BY49" i="3" s="1"/>
  <c r="P149" i="2"/>
  <c r="BR27" i="3"/>
  <c r="BM111" i="3"/>
  <c r="BV215" i="2"/>
  <c r="AW30" i="2"/>
  <c r="AW236" i="2"/>
  <c r="AJ188" i="2"/>
  <c r="AE211" i="2"/>
  <c r="BZ77" i="2"/>
  <c r="CA77" i="2"/>
  <c r="CB77" i="2" s="1"/>
  <c r="CC77" i="2" s="1"/>
  <c r="CD77" i="2" s="1"/>
  <c r="AN45" i="2"/>
  <c r="AN111" i="2"/>
  <c r="AN120" i="2" s="1"/>
  <c r="AN177" i="2"/>
  <c r="AN49" i="2"/>
  <c r="V10" i="2"/>
  <c r="AA10" i="2"/>
  <c r="AW26" i="2"/>
  <c r="BZ97" i="2"/>
  <c r="CA97" i="2"/>
  <c r="CB97" i="2" s="1"/>
  <c r="CC97" i="2" s="1"/>
  <c r="CD97" i="2" s="1"/>
  <c r="AE148" i="2"/>
  <c r="AE149" i="2" s="1"/>
  <c r="AD150" i="2"/>
  <c r="CN42" i="2"/>
  <c r="CJ42" i="2"/>
  <c r="BE161" i="2"/>
  <c r="BE19" i="2"/>
  <c r="AM162" i="2"/>
  <c r="AM196" i="2"/>
  <c r="AM197" i="2" s="1"/>
  <c r="M187" i="3"/>
  <c r="M10" i="3"/>
  <c r="V210" i="2"/>
  <c r="CC148" i="3"/>
  <c r="AU156" i="3"/>
  <c r="AP280" i="3"/>
  <c r="AP156" i="3"/>
  <c r="Y10" i="3"/>
  <c r="AQ162" i="2"/>
  <c r="AQ196" i="2"/>
  <c r="CJ139" i="3"/>
  <c r="AT177" i="2"/>
  <c r="AT45" i="2"/>
  <c r="AT49" i="2"/>
  <c r="AT111" i="2"/>
  <c r="AT120" i="2" s="1"/>
  <c r="BD189" i="2"/>
  <c r="BD147" i="2"/>
  <c r="CB148" i="3"/>
  <c r="BW120" i="3"/>
  <c r="AJ155" i="2"/>
  <c r="AO155" i="2"/>
  <c r="O31" i="3"/>
  <c r="O14" i="3"/>
  <c r="AS156" i="3"/>
  <c r="AX156" i="3"/>
  <c r="J14" i="3"/>
  <c r="J24" i="3"/>
  <c r="Q8" i="3"/>
  <c r="Z211" i="2" s="1"/>
  <c r="BK57" i="2"/>
  <c r="P216" i="2"/>
  <c r="AA133" i="2"/>
  <c r="AO162" i="2"/>
  <c r="AO196" i="2"/>
  <c r="AO197" i="2" s="1"/>
  <c r="CB44" i="3"/>
  <c r="CB42" i="3" s="1"/>
  <c r="CB49" i="3" s="1"/>
  <c r="CC21" i="3"/>
  <c r="CC26" i="3" s="1"/>
  <c r="CH23" i="3"/>
  <c r="CH21" i="3" s="1"/>
  <c r="CH26" i="3" s="1"/>
  <c r="CB23" i="3"/>
  <c r="BW21" i="3"/>
  <c r="BW26" i="3" s="1"/>
  <c r="BC164" i="2"/>
  <c r="BC17" i="2"/>
  <c r="BC22" i="2"/>
  <c r="BC170" i="2"/>
  <c r="BC163" i="2"/>
  <c r="BC12" i="2"/>
  <c r="BC160" i="2"/>
  <c r="BC233" i="2"/>
  <c r="BC9" i="2"/>
  <c r="BC175" i="2"/>
  <c r="BC165" i="2"/>
  <c r="BC202" i="2" s="1"/>
  <c r="BC204" i="2" s="1"/>
  <c r="BH6" i="2"/>
  <c r="BC6" i="2"/>
  <c r="BC168" i="2"/>
  <c r="AG10" i="3"/>
  <c r="AG7" i="3"/>
  <c r="P46" i="2"/>
  <c r="BY116" i="2"/>
  <c r="AN196" i="2"/>
  <c r="AN197" i="2" s="1"/>
  <c r="AN162" i="2"/>
  <c r="AK29" i="2"/>
  <c r="AI14" i="2"/>
  <c r="AD14" i="2"/>
  <c r="BH112" i="3"/>
  <c r="BA25" i="2"/>
  <c r="BA195" i="2"/>
  <c r="BA234" i="2"/>
  <c r="BA24" i="2"/>
  <c r="BA29" i="2"/>
  <c r="T156" i="3"/>
  <c r="AC195" i="3"/>
  <c r="AC192" i="3"/>
  <c r="AH12" i="3"/>
  <c r="AC185" i="3"/>
  <c r="AC194" i="3"/>
  <c r="AC12" i="3"/>
  <c r="AC193" i="3"/>
  <c r="AC184" i="3"/>
  <c r="AC186" i="3"/>
  <c r="AH9" i="3"/>
  <c r="AC171" i="3"/>
  <c r="AC142" i="3"/>
  <c r="AH171" i="3"/>
  <c r="AH6" i="2"/>
  <c r="AM6" i="2"/>
  <c r="AH9" i="2"/>
  <c r="AH17" i="2"/>
  <c r="AH22" i="2"/>
  <c r="AH160" i="2"/>
  <c r="AH165" i="2"/>
  <c r="AH202" i="2" s="1"/>
  <c r="AH204" i="2" s="1"/>
  <c r="AH163" i="2"/>
  <c r="AH164" i="2"/>
  <c r="AH168" i="2"/>
  <c r="AH170" i="2"/>
  <c r="AH175" i="2"/>
  <c r="AH12" i="2"/>
  <c r="AL5" i="2"/>
  <c r="AL253" i="2" s="1"/>
  <c r="R30" i="2"/>
  <c r="R191" i="2"/>
  <c r="Q191" i="2" s="1"/>
  <c r="BD112" i="3"/>
  <c r="AV188" i="2"/>
  <c r="AV190" i="2" s="1"/>
  <c r="AR188" i="2"/>
  <c r="AR190" i="2" s="1"/>
  <c r="AQ191" i="2"/>
  <c r="AP191" i="2" s="1"/>
  <c r="Q10" i="3"/>
  <c r="Z7" i="2"/>
  <c r="Z210" i="2"/>
  <c r="AU162" i="2"/>
  <c r="AU196" i="2"/>
  <c r="AU197" i="2" s="1"/>
  <c r="AT154" i="2"/>
  <c r="AY151" i="2"/>
  <c r="AX151" i="2"/>
  <c r="AT157" i="2"/>
  <c r="AO189" i="2"/>
  <c r="AO147" i="2"/>
  <c r="W26" i="2"/>
  <c r="AB26" i="2"/>
  <c r="BP91" i="2"/>
  <c r="BD187" i="2"/>
  <c r="BC185" i="2"/>
  <c r="BC240" i="2" s="1"/>
  <c r="BC187" i="2"/>
  <c r="AD90" i="3"/>
  <c r="AH90" i="3" s="1"/>
  <c r="AH11" i="3" s="1"/>
  <c r="AH211" i="2"/>
  <c r="J184" i="3"/>
  <c r="J186" i="3"/>
  <c r="J195" i="3"/>
  <c r="O12" i="3"/>
  <c r="J194" i="3"/>
  <c r="J185" i="3"/>
  <c r="J12" i="3"/>
  <c r="J192" i="3"/>
  <c r="S5" i="2"/>
  <c r="S253" i="2" s="1"/>
  <c r="O9" i="3"/>
  <c r="CE24" i="3"/>
  <c r="BZ21" i="3"/>
  <c r="BZ26" i="3" s="1"/>
  <c r="AZ232" i="3"/>
  <c r="CA99" i="2"/>
  <c r="CB99" i="2" s="1"/>
  <c r="CC99" i="2" s="1"/>
  <c r="CD99" i="2" s="1"/>
  <c r="BZ99" i="2"/>
  <c r="BP90" i="2"/>
  <c r="CO21" i="2"/>
  <c r="CI21" i="2"/>
  <c r="AI150" i="2"/>
  <c r="AJ148" i="2"/>
  <c r="CB145" i="3"/>
  <c r="AQ30" i="2"/>
  <c r="AQ236" i="2"/>
  <c r="AK152" i="2"/>
  <c r="AK153" i="2" s="1"/>
  <c r="AK154" i="2" s="1"/>
  <c r="AK120" i="2"/>
  <c r="AK216" i="2" s="1"/>
  <c r="AK147" i="2"/>
  <c r="AK189" i="2"/>
  <c r="J208" i="3"/>
  <c r="J207" i="3"/>
  <c r="J209" i="3"/>
  <c r="J142" i="3"/>
  <c r="O156" i="3" s="1"/>
  <c r="J199" i="3"/>
  <c r="J200" i="3"/>
  <c r="J206" i="3"/>
  <c r="AW9" i="3"/>
  <c r="BB17" i="2"/>
  <c r="BB164" i="2"/>
  <c r="BB165" i="2"/>
  <c r="BB202" i="2" s="1"/>
  <c r="BB204" i="2" s="1"/>
  <c r="BB168" i="2"/>
  <c r="BB170" i="2"/>
  <c r="BB233" i="2"/>
  <c r="BB6" i="2"/>
  <c r="BB175" i="2"/>
  <c r="BB12" i="2"/>
  <c r="BG6" i="2"/>
  <c r="BB160" i="2"/>
  <c r="BB163" i="2"/>
  <c r="BB9" i="2"/>
  <c r="BB22" i="2"/>
  <c r="BF5" i="2"/>
  <c r="AV238" i="3"/>
  <c r="AN244" i="3"/>
  <c r="AU10" i="3"/>
  <c r="U6" i="2"/>
  <c r="U9" i="2"/>
  <c r="U22" i="2"/>
  <c r="Z6" i="2"/>
  <c r="U12" i="2"/>
  <c r="U160" i="2"/>
  <c r="U164" i="2"/>
  <c r="U168" i="2"/>
  <c r="U170" i="2"/>
  <c r="U175" i="2"/>
  <c r="U163" i="2"/>
  <c r="U165" i="2"/>
  <c r="U202" i="2" s="1"/>
  <c r="U204" i="2" s="1"/>
  <c r="U17" i="2"/>
  <c r="BW114" i="2"/>
  <c r="BM34" i="3"/>
  <c r="BV141" i="2"/>
  <c r="BW141" i="2" s="1"/>
  <c r="BX141" i="2" s="1"/>
  <c r="BY141" i="2" s="1"/>
  <c r="CE141" i="2"/>
  <c r="AP51" i="2"/>
  <c r="AP50" i="2"/>
  <c r="BX116" i="2"/>
  <c r="AR11" i="3"/>
  <c r="AX47" i="3"/>
  <c r="O46" i="2"/>
  <c r="P7" i="3"/>
  <c r="P8" i="3" s="1"/>
  <c r="Y211" i="2" s="1"/>
  <c r="AY156" i="3"/>
  <c r="AT156" i="3"/>
  <c r="AF155" i="2"/>
  <c r="AA155" i="2"/>
  <c r="V13" i="2"/>
  <c r="V23" i="2"/>
  <c r="V37" i="2" s="1"/>
  <c r="V40" i="2" s="1"/>
  <c r="V39" i="2" s="1"/>
  <c r="V161" i="2"/>
  <c r="V19" i="2"/>
  <c r="AA19" i="2"/>
  <c r="E45" i="2"/>
  <c r="J46" i="2" s="1"/>
  <c r="E111" i="2"/>
  <c r="AD24" i="2"/>
  <c r="AD195" i="2"/>
  <c r="AI25" i="2"/>
  <c r="AD25" i="2"/>
  <c r="AD29" i="2"/>
  <c r="BM147" i="3"/>
  <c r="AW43" i="2"/>
  <c r="Y156" i="3"/>
  <c r="AD156" i="3"/>
  <c r="BN27" i="3"/>
  <c r="BR215" i="2"/>
  <c r="BV68" i="2"/>
  <c r="BV132" i="2" s="1"/>
  <c r="BZ96" i="2"/>
  <c r="CA96" i="2"/>
  <c r="CB96" i="2" s="1"/>
  <c r="CC96" i="2" s="1"/>
  <c r="CD96" i="2" s="1"/>
  <c r="AU111" i="2"/>
  <c r="AU45" i="2"/>
  <c r="AU177" i="2"/>
  <c r="AU49" i="2"/>
  <c r="AT147" i="2"/>
  <c r="AT189" i="2"/>
  <c r="BE23" i="2"/>
  <c r="BE37" i="2" s="1"/>
  <c r="BE40" i="2" s="1"/>
  <c r="BE13" i="2"/>
  <c r="BE14" i="2" s="1"/>
  <c r="AI162" i="2"/>
  <c r="AI196" i="2"/>
  <c r="AI197" i="2" s="1"/>
  <c r="S7" i="3"/>
  <c r="S8" i="3" s="1"/>
  <c r="AB211" i="2" s="1"/>
  <c r="BI189" i="2"/>
  <c r="BI147" i="2"/>
  <c r="BC107" i="2"/>
  <c r="AO156" i="3"/>
  <c r="AJ156" i="3"/>
  <c r="N7" i="3"/>
  <c r="N8" i="3" s="1"/>
  <c r="AR185" i="3"/>
  <c r="AR187" i="3"/>
  <c r="AR12" i="3"/>
  <c r="AW11" i="3"/>
  <c r="AR184" i="3"/>
  <c r="AR194" i="3"/>
  <c r="AR190" i="3"/>
  <c r="AR192" i="3"/>
  <c r="AR195" i="3"/>
  <c r="AR188" i="3"/>
  <c r="AR186" i="3"/>
  <c r="AR189" i="3"/>
  <c r="AR193" i="3"/>
  <c r="AR225" i="3"/>
  <c r="AR142" i="3"/>
  <c r="AR156" i="3" s="1"/>
  <c r="AP241" i="3"/>
  <c r="AP244" i="3" s="1"/>
  <c r="AP232" i="3"/>
  <c r="J77" i="3"/>
  <c r="J80" i="3" s="1"/>
  <c r="CA76" i="2"/>
  <c r="CB76" i="2" s="1"/>
  <c r="CC76" i="2" s="1"/>
  <c r="CD76" i="2" s="1"/>
  <c r="BZ76" i="2"/>
  <c r="AJ143" i="2"/>
  <c r="AJ147" i="2" s="1"/>
  <c r="AJ156" i="2"/>
  <c r="AJ157" i="2" s="1"/>
  <c r="BC147" i="2"/>
  <c r="BC189" i="2"/>
  <c r="AQ197" i="2"/>
  <c r="CG149" i="3"/>
  <c r="AJ189" i="2"/>
  <c r="Q120" i="2"/>
  <c r="Q216" i="2" s="1"/>
  <c r="J198" i="3"/>
  <c r="AW89" i="3"/>
  <c r="AW10" i="3" s="1"/>
  <c r="AS238" i="3"/>
  <c r="AS241" i="3"/>
  <c r="AS235" i="3"/>
  <c r="AS247" i="3"/>
  <c r="AS254" i="3" s="1"/>
  <c r="AS253" i="3" s="1"/>
  <c r="AS232" i="3"/>
  <c r="AT228" i="3"/>
  <c r="AY238" i="3" s="1"/>
  <c r="AN149" i="2"/>
  <c r="CI145" i="3"/>
  <c r="U7" i="3"/>
  <c r="U8" i="3" s="1"/>
  <c r="AU47" i="3"/>
  <c r="BA9" i="3"/>
  <c r="BC9" i="3"/>
  <c r="AG156" i="3"/>
  <c r="AB156" i="3"/>
  <c r="BB109" i="3"/>
  <c r="BB144" i="3"/>
  <c r="BB158" i="3" s="1"/>
  <c r="BJ109" i="3"/>
  <c r="BG108" i="3"/>
  <c r="BF109" i="3"/>
  <c r="BL20" i="3"/>
  <c r="BQ25" i="3" s="1"/>
  <c r="BT214" i="2"/>
  <c r="BP20" i="3"/>
  <c r="BG26" i="3"/>
  <c r="BP214" i="2"/>
  <c r="BO108" i="3"/>
  <c r="BT20" i="3"/>
  <c r="BX214" i="2"/>
  <c r="AB30" i="2" l="1"/>
  <c r="AB191" i="2"/>
  <c r="AA191" i="2" s="1"/>
  <c r="AB40" i="2"/>
  <c r="AB14" i="2"/>
  <c r="AO10" i="2"/>
  <c r="AJ161" i="2"/>
  <c r="AO19" i="2"/>
  <c r="AJ23" i="2"/>
  <c r="AJ13" i="2"/>
  <c r="AH157" i="3"/>
  <c r="BG115" i="3"/>
  <c r="AT250" i="3"/>
  <c r="AT251" i="3" s="1"/>
  <c r="AQ187" i="2"/>
  <c r="AM187" i="2"/>
  <c r="AL187" i="2"/>
  <c r="BA148" i="2"/>
  <c r="BA149" i="2" s="1"/>
  <c r="AV150" i="2"/>
  <c r="AW148" i="2"/>
  <c r="AW149" i="2" s="1"/>
  <c r="Y148" i="2"/>
  <c r="Y149" i="2" s="1"/>
  <c r="X150" i="2"/>
  <c r="AL185" i="2"/>
  <c r="AL240" i="2" s="1"/>
  <c r="AR150" i="2"/>
  <c r="AS148" i="2"/>
  <c r="AS149" i="2" s="1"/>
  <c r="AS150" i="2" s="1"/>
  <c r="AF157" i="2"/>
  <c r="AL107" i="2"/>
  <c r="AL192" i="2"/>
  <c r="AQ198" i="2" s="1"/>
  <c r="AV235" i="3"/>
  <c r="BR123" i="3"/>
  <c r="BR124" i="3" s="1"/>
  <c r="BW59" i="3"/>
  <c r="AC45" i="2"/>
  <c r="AV232" i="3"/>
  <c r="AZ238" i="3"/>
  <c r="AG24" i="2"/>
  <c r="AG26" i="2" s="1"/>
  <c r="AG29" i="2"/>
  <c r="AG30" i="2" s="1"/>
  <c r="AH210" i="2"/>
  <c r="W30" i="2"/>
  <c r="AG25" i="2"/>
  <c r="BX20" i="3"/>
  <c r="CG214" i="2" s="1"/>
  <c r="BP294" i="3"/>
  <c r="BK47" i="3"/>
  <c r="X177" i="2"/>
  <c r="AC177" i="2"/>
  <c r="BN49" i="3"/>
  <c r="BN294" i="3"/>
  <c r="AC111" i="2"/>
  <c r="AC120" i="2" s="1"/>
  <c r="AC216" i="2" s="1"/>
  <c r="BO50" i="3"/>
  <c r="BO120" i="3" s="1"/>
  <c r="BJ47" i="3"/>
  <c r="BL27" i="3"/>
  <c r="BQ29" i="3" s="1"/>
  <c r="AC51" i="2"/>
  <c r="BI112" i="3"/>
  <c r="BI109" i="3"/>
  <c r="Z24" i="2"/>
  <c r="Z37" i="2"/>
  <c r="Z195" i="2"/>
  <c r="Z29" i="2"/>
  <c r="Z30" i="2" s="1"/>
  <c r="T39" i="2"/>
  <c r="T43" i="2" s="1"/>
  <c r="AF14" i="2"/>
  <c r="Y26" i="2"/>
  <c r="AF37" i="2"/>
  <c r="AF40" i="2" s="1"/>
  <c r="AF39" i="2" s="1"/>
  <c r="AK25" i="2"/>
  <c r="AF195" i="2"/>
  <c r="AF29" i="2"/>
  <c r="AF30" i="2" s="1"/>
  <c r="AF24" i="2"/>
  <c r="AK26" i="2" s="1"/>
  <c r="CB214" i="2"/>
  <c r="BS108" i="3"/>
  <c r="BS109" i="3" s="1"/>
  <c r="L46" i="2"/>
  <c r="BH47" i="3"/>
  <c r="BH109" i="3"/>
  <c r="AM156" i="3"/>
  <c r="BI19" i="2"/>
  <c r="BD161" i="2"/>
  <c r="BD19" i="2"/>
  <c r="BI10" i="2"/>
  <c r="BD10" i="2"/>
  <c r="BD23" i="2"/>
  <c r="BD37" i="2" s="1"/>
  <c r="BD40" i="2" s="1"/>
  <c r="BD13" i="2"/>
  <c r="BE9" i="3"/>
  <c r="BE47" i="3"/>
  <c r="BF47" i="3"/>
  <c r="BA47" i="3"/>
  <c r="BD9" i="3"/>
  <c r="BD10" i="3" s="1"/>
  <c r="BD47" i="3"/>
  <c r="BH294" i="3"/>
  <c r="BJ294" i="3"/>
  <c r="BK294" i="3"/>
  <c r="BI294" i="3"/>
  <c r="BQ24" i="3"/>
  <c r="BF112" i="3"/>
  <c r="AR233" i="3"/>
  <c r="AW239" i="3"/>
  <c r="AW236" i="3"/>
  <c r="AQ245" i="3"/>
  <c r="AV250" i="3"/>
  <c r="AV251" i="3" s="1"/>
  <c r="AP245" i="3"/>
  <c r="AU250" i="3"/>
  <c r="AU251" i="3" s="1"/>
  <c r="AR242" i="3"/>
  <c r="BP215" i="2"/>
  <c r="BG33" i="3"/>
  <c r="BL34" i="3"/>
  <c r="BQ38" i="3" s="1"/>
  <c r="BQ20" i="3"/>
  <c r="BP57" i="2"/>
  <c r="BU90" i="2"/>
  <c r="BV90" i="2" s="1"/>
  <c r="BW90" i="2" s="1"/>
  <c r="BX90" i="2" s="1"/>
  <c r="BG111" i="3"/>
  <c r="BG112" i="3" s="1"/>
  <c r="BY215" i="2"/>
  <c r="BO34" i="3"/>
  <c r="BE115" i="3"/>
  <c r="BE112" i="3"/>
  <c r="BS215" i="2"/>
  <c r="BO27" i="3"/>
  <c r="BQ27" i="3" s="1"/>
  <c r="BV32" i="3" s="1"/>
  <c r="Y196" i="2"/>
  <c r="Y197" i="2" s="1"/>
  <c r="Y43" i="2"/>
  <c r="Y162" i="2"/>
  <c r="AG191" i="2"/>
  <c r="AF191" i="2" s="1"/>
  <c r="AG162" i="2"/>
  <c r="AG196" i="2"/>
  <c r="AG197" i="2" s="1"/>
  <c r="AG198" i="2" s="1"/>
  <c r="AG43" i="2"/>
  <c r="BH30" i="2"/>
  <c r="BH236" i="2"/>
  <c r="AE19" i="2"/>
  <c r="AE161" i="2"/>
  <c r="AJ19" i="2"/>
  <c r="AY47" i="3"/>
  <c r="J78" i="3"/>
  <c r="AA24" i="2"/>
  <c r="AA195" i="2"/>
  <c r="AA29" i="2"/>
  <c r="AF25" i="2"/>
  <c r="AZ47" i="3"/>
  <c r="AZ9" i="3"/>
  <c r="AZ10" i="3" s="1"/>
  <c r="AE13" i="2"/>
  <c r="AE23" i="2"/>
  <c r="AE37" i="2" s="1"/>
  <c r="AE40" i="2" s="1"/>
  <c r="AE39" i="2" s="1"/>
  <c r="L17" i="3"/>
  <c r="L15" i="3"/>
  <c r="AE10" i="2"/>
  <c r="AJ10" i="2"/>
  <c r="M71" i="3"/>
  <c r="M73" i="3"/>
  <c r="M14" i="3"/>
  <c r="AW228" i="3"/>
  <c r="AW232" i="3" s="1"/>
  <c r="BG50" i="3"/>
  <c r="BN34" i="3"/>
  <c r="BD115" i="3"/>
  <c r="AR198" i="2"/>
  <c r="J109" i="2"/>
  <c r="J63" i="2"/>
  <c r="K4" i="2"/>
  <c r="AS198" i="2"/>
  <c r="BY118" i="2"/>
  <c r="N46" i="2"/>
  <c r="AX45" i="2"/>
  <c r="AX48" i="2"/>
  <c r="AX49" i="2" s="1"/>
  <c r="AX177" i="2"/>
  <c r="AX111" i="2"/>
  <c r="AX120" i="2" s="1"/>
  <c r="BG43" i="2"/>
  <c r="AY177" i="2"/>
  <c r="AY45" i="2"/>
  <c r="AY46" i="2" s="1"/>
  <c r="AY48" i="2"/>
  <c r="AY111" i="2"/>
  <c r="AY120" i="2" s="1"/>
  <c r="AY49" i="2"/>
  <c r="BI118" i="2"/>
  <c r="BF253" i="2"/>
  <c r="BF228" i="2"/>
  <c r="AX196" i="2"/>
  <c r="AX197" i="2" s="1"/>
  <c r="AX162" i="2"/>
  <c r="BL118" i="2"/>
  <c r="BO118" i="2" s="1"/>
  <c r="AP287" i="3"/>
  <c r="AY162" i="2"/>
  <c r="AY196" i="2"/>
  <c r="AY197" i="2" s="1"/>
  <c r="AS50" i="2"/>
  <c r="AS51" i="2"/>
  <c r="AV162" i="2"/>
  <c r="AV196" i="2"/>
  <c r="AV197" i="2" s="1"/>
  <c r="AV198" i="2" s="1"/>
  <c r="AS216" i="2"/>
  <c r="AS237" i="2"/>
  <c r="AV49" i="2"/>
  <c r="AV111" i="2"/>
  <c r="AV120" i="2" s="1"/>
  <c r="AU120" i="2" s="1"/>
  <c r="AU127" i="2" s="1"/>
  <c r="AV45" i="2"/>
  <c r="AV177" i="2"/>
  <c r="AZ177" i="2"/>
  <c r="AZ45" i="2"/>
  <c r="AZ46" i="2" s="1"/>
  <c r="AZ49" i="2"/>
  <c r="AZ111" i="2"/>
  <c r="AZ162" i="2"/>
  <c r="AZ196" i="2"/>
  <c r="AZ197" i="2" s="1"/>
  <c r="AQ287" i="3"/>
  <c r="BM108" i="3"/>
  <c r="BV214" i="2"/>
  <c r="BR20" i="3"/>
  <c r="BC10" i="3"/>
  <c r="BG146" i="3"/>
  <c r="BY181" i="2"/>
  <c r="BY140" i="2" s="1"/>
  <c r="BX140" i="2"/>
  <c r="CD181" i="2"/>
  <c r="CD140" i="2" s="1"/>
  <c r="CE140" i="2" s="1"/>
  <c r="CP181" i="2"/>
  <c r="CG140" i="2"/>
  <c r="CH181" i="2"/>
  <c r="CH140" i="2" s="1"/>
  <c r="CK140" i="2"/>
  <c r="CL181" i="2"/>
  <c r="BP59" i="3"/>
  <c r="BS179" i="2"/>
  <c r="BO59" i="3"/>
  <c r="BE124" i="3"/>
  <c r="CJ30" i="3"/>
  <c r="CJ28" i="3" s="1"/>
  <c r="CJ33" i="3" s="1"/>
  <c r="CE28" i="3"/>
  <c r="CE33" i="3" s="1"/>
  <c r="CI30" i="3"/>
  <c r="CI28" i="3" s="1"/>
  <c r="CI33" i="3" s="1"/>
  <c r="CD28" i="3"/>
  <c r="CD33" i="3" s="1"/>
  <c r="BQ30" i="3"/>
  <c r="BQ32" i="3"/>
  <c r="BV196" i="2"/>
  <c r="BV162" i="2"/>
  <c r="CF67" i="2"/>
  <c r="CH67" i="2" s="1"/>
  <c r="CE67" i="2"/>
  <c r="CG67" i="2" s="1"/>
  <c r="CI67" i="2" s="1"/>
  <c r="BA10" i="3"/>
  <c r="CD56" i="2"/>
  <c r="BZ56" i="2"/>
  <c r="BB146" i="3"/>
  <c r="BB160" i="3" s="1"/>
  <c r="BB115" i="3"/>
  <c r="BQ31" i="3"/>
  <c r="BU215" i="2"/>
  <c r="BL33" i="3"/>
  <c r="BB145" i="3"/>
  <c r="BB159" i="3" s="1"/>
  <c r="BB112" i="3"/>
  <c r="J8" i="3"/>
  <c r="J7" i="3" s="1"/>
  <c r="W211" i="2"/>
  <c r="AO227" i="3"/>
  <c r="AR232" i="3"/>
  <c r="AN227" i="3"/>
  <c r="AP227" i="3"/>
  <c r="X210" i="2"/>
  <c r="O10" i="3"/>
  <c r="X7" i="2"/>
  <c r="BB41" i="3"/>
  <c r="BA6" i="3"/>
  <c r="BF11" i="3" s="1"/>
  <c r="AD211" i="2"/>
  <c r="AS244" i="3"/>
  <c r="AX247" i="3"/>
  <c r="CE76" i="2"/>
  <c r="CF76" i="2"/>
  <c r="CG76" i="2" s="1"/>
  <c r="CH76" i="2" s="1"/>
  <c r="CI76" i="2" s="1"/>
  <c r="AU46" i="2"/>
  <c r="BN111" i="3"/>
  <c r="BN112" i="3" s="1"/>
  <c r="BS27" i="3"/>
  <c r="BW215" i="2"/>
  <c r="AW162" i="2"/>
  <c r="AW196" i="2"/>
  <c r="AW197" i="2" s="1"/>
  <c r="AW198" i="2" s="1"/>
  <c r="CA141" i="2"/>
  <c r="CB141" i="2" s="1"/>
  <c r="CC141" i="2" s="1"/>
  <c r="CD141" i="2" s="1"/>
  <c r="CJ141" i="2"/>
  <c r="BR34" i="3"/>
  <c r="BM114" i="3"/>
  <c r="CB114" i="2"/>
  <c r="BZ114" i="2"/>
  <c r="U10" i="2"/>
  <c r="Z10" i="2"/>
  <c r="BF9" i="2"/>
  <c r="BF175" i="2"/>
  <c r="BF168" i="2"/>
  <c r="BF170" i="2"/>
  <c r="BF17" i="2"/>
  <c r="BF224" i="2"/>
  <c r="BF233" i="2"/>
  <c r="BF226" i="2"/>
  <c r="BF164" i="2"/>
  <c r="BF165" i="2"/>
  <c r="BF202" i="2" s="1"/>
  <c r="BF163" i="2"/>
  <c r="BF22" i="2"/>
  <c r="BF160" i="2"/>
  <c r="BF6" i="2"/>
  <c r="AK155" i="2"/>
  <c r="AP155" i="2"/>
  <c r="CE99" i="2"/>
  <c r="CF99" i="2"/>
  <c r="CG99" i="2" s="1"/>
  <c r="CH99" i="2" s="1"/>
  <c r="CI99" i="2" s="1"/>
  <c r="CJ24" i="3"/>
  <c r="CJ21" i="3" s="1"/>
  <c r="CJ26" i="3" s="1"/>
  <c r="CE21" i="3"/>
  <c r="CE26" i="3" s="1"/>
  <c r="AR191" i="2"/>
  <c r="AS188" i="2"/>
  <c r="AS190" i="2" s="1"/>
  <c r="AH19" i="2"/>
  <c r="AM19" i="2"/>
  <c r="AH161" i="2"/>
  <c r="AK30" i="2"/>
  <c r="BC10" i="2"/>
  <c r="BH10" i="2"/>
  <c r="BC23" i="2"/>
  <c r="BC37" i="2" s="1"/>
  <c r="BC40" i="2" s="1"/>
  <c r="BC13" i="2"/>
  <c r="BC161" i="2"/>
  <c r="BH19" i="2"/>
  <c r="BC19" i="2"/>
  <c r="O15" i="3"/>
  <c r="O17" i="3"/>
  <c r="BW121" i="3"/>
  <c r="AT237" i="2"/>
  <c r="AT216" i="2"/>
  <c r="BZ27" i="3"/>
  <c r="CD215" i="2"/>
  <c r="CH148" i="3"/>
  <c r="AF148" i="2"/>
  <c r="AF149" i="2" s="1"/>
  <c r="AF150" i="2" s="1"/>
  <c r="AE150" i="2"/>
  <c r="CF97" i="2"/>
  <c r="CG97" i="2" s="1"/>
  <c r="CH97" i="2" s="1"/>
  <c r="CI97" i="2" s="1"/>
  <c r="CE97" i="2"/>
  <c r="AS46" i="2"/>
  <c r="AU247" i="3"/>
  <c r="AU254" i="3" s="1"/>
  <c r="AU253" i="3" s="1"/>
  <c r="AU232" i="3"/>
  <c r="AU241" i="3"/>
  <c r="AU238" i="3"/>
  <c r="AU235" i="3"/>
  <c r="CI23" i="3"/>
  <c r="CI21" i="3" s="1"/>
  <c r="CI26" i="3" s="1"/>
  <c r="CD21" i="3"/>
  <c r="CD26" i="3" s="1"/>
  <c r="X50" i="2"/>
  <c r="X51" i="2"/>
  <c r="CC20" i="3"/>
  <c r="BX108" i="3"/>
  <c r="AM237" i="2"/>
  <c r="AM216" i="2"/>
  <c r="CK79" i="2"/>
  <c r="CJ79" i="2"/>
  <c r="R45" i="2"/>
  <c r="R46" i="2" s="1"/>
  <c r="R111" i="2"/>
  <c r="R177" i="2"/>
  <c r="R48" i="2"/>
  <c r="U150" i="2"/>
  <c r="V148" i="2"/>
  <c r="V149" i="2" s="1"/>
  <c r="V150" i="2" s="1"/>
  <c r="BC6" i="3"/>
  <c r="BH11" i="3" s="1"/>
  <c r="AP41" i="3"/>
  <c r="AS248" i="3"/>
  <c r="W7" i="2"/>
  <c r="N10" i="3"/>
  <c r="W210" i="2"/>
  <c r="BR147" i="3"/>
  <c r="BV89" i="2"/>
  <c r="BU89" i="2"/>
  <c r="CB119" i="2"/>
  <c r="BZ119" i="2"/>
  <c r="U19" i="2"/>
  <c r="Z19" i="2"/>
  <c r="U161" i="2"/>
  <c r="U23" i="2"/>
  <c r="U37" i="2" s="1"/>
  <c r="U39" i="2" s="1"/>
  <c r="U13" i="2"/>
  <c r="CN21" i="2"/>
  <c r="CT21" i="2"/>
  <c r="CS21" i="2" s="1"/>
  <c r="AT155" i="2"/>
  <c r="AY155" i="2"/>
  <c r="BA188" i="2"/>
  <c r="BA190" i="2" s="1"/>
  <c r="AW188" i="2"/>
  <c r="AW190" i="2" s="1"/>
  <c r="AV191" i="2"/>
  <c r="AU191" i="2" s="1"/>
  <c r="AL160" i="2"/>
  <c r="AL170" i="2"/>
  <c r="AL165" i="2"/>
  <c r="AL202" i="2" s="1"/>
  <c r="AL204" i="2" s="1"/>
  <c r="AL228" i="2"/>
  <c r="AL22" i="2"/>
  <c r="AL163" i="2"/>
  <c r="AL17" i="2"/>
  <c r="AQ6" i="2"/>
  <c r="AL224" i="2"/>
  <c r="AL233" i="2"/>
  <c r="AL164" i="2"/>
  <c r="AL9" i="2"/>
  <c r="AL226" i="2"/>
  <c r="AL175" i="2"/>
  <c r="AL168" i="2"/>
  <c r="AL6" i="2"/>
  <c r="AM10" i="2"/>
  <c r="AH10" i="2"/>
  <c r="AC156" i="3"/>
  <c r="AH156" i="3"/>
  <c r="AC8" i="3"/>
  <c r="BA30" i="2"/>
  <c r="BA236" i="2"/>
  <c r="AP7" i="2"/>
  <c r="AP210" i="2"/>
  <c r="CG23" i="3"/>
  <c r="CB21" i="3"/>
  <c r="CB26" i="3" s="1"/>
  <c r="CG148" i="3"/>
  <c r="CG120" i="3" s="1"/>
  <c r="CB120" i="3"/>
  <c r="AT50" i="2"/>
  <c r="AT51" i="2"/>
  <c r="AN51" i="2"/>
  <c r="AN50" i="2"/>
  <c r="CF77" i="2"/>
  <c r="CG77" i="2" s="1"/>
  <c r="CH77" i="2" s="1"/>
  <c r="CI77" i="2" s="1"/>
  <c r="CE77" i="2"/>
  <c r="AJ190" i="2"/>
  <c r="AO237" i="2"/>
  <c r="AO216" i="2"/>
  <c r="AM51" i="2"/>
  <c r="AM50" i="2"/>
  <c r="AO188" i="2"/>
  <c r="AO190" i="2" s="1"/>
  <c r="W196" i="2"/>
  <c r="W197" i="2" s="1"/>
  <c r="W198" i="2" s="1"/>
  <c r="W162" i="2"/>
  <c r="AI43" i="2"/>
  <c r="BE195" i="2"/>
  <c r="BE24" i="2"/>
  <c r="BE25" i="2"/>
  <c r="BE29" i="2"/>
  <c r="BE234" i="2"/>
  <c r="AU51" i="2"/>
  <c r="AU50" i="2"/>
  <c r="CF96" i="2"/>
  <c r="CG96" i="2" s="1"/>
  <c r="CH96" i="2" s="1"/>
  <c r="CI96" i="2" s="1"/>
  <c r="CE96" i="2"/>
  <c r="AD30" i="2"/>
  <c r="V25" i="2"/>
  <c r="V29" i="2"/>
  <c r="AA25" i="2"/>
  <c r="V195" i="2"/>
  <c r="V24" i="2"/>
  <c r="BK211" i="2"/>
  <c r="P10" i="3"/>
  <c r="Y7" i="2"/>
  <c r="Y210" i="2"/>
  <c r="CC116" i="2"/>
  <c r="BZ116" i="2"/>
  <c r="BH115" i="3"/>
  <c r="BB10" i="2"/>
  <c r="BG10" i="2"/>
  <c r="CG145" i="3"/>
  <c r="AJ149" i="2"/>
  <c r="BP92" i="2"/>
  <c r="S12" i="2"/>
  <c r="S163" i="2"/>
  <c r="S170" i="2"/>
  <c r="S160" i="2"/>
  <c r="S165" i="2"/>
  <c r="S202" i="2" s="1"/>
  <c r="S204" i="2" s="1"/>
  <c r="S175" i="2"/>
  <c r="S9" i="2"/>
  <c r="S168" i="2"/>
  <c r="S22" i="2"/>
  <c r="S6" i="2"/>
  <c r="S164" i="2"/>
  <c r="S17" i="2"/>
  <c r="X6" i="2"/>
  <c r="AH13" i="2"/>
  <c r="AH23" i="2"/>
  <c r="AH37" i="2" s="1"/>
  <c r="AH40" i="2" s="1"/>
  <c r="AH39" i="2" s="1"/>
  <c r="AL12" i="2"/>
  <c r="BA43" i="2"/>
  <c r="BA26" i="2"/>
  <c r="CD116" i="2"/>
  <c r="AA213" i="2"/>
  <c r="AA135" i="2"/>
  <c r="AA147" i="2" s="1"/>
  <c r="AT148" i="2"/>
  <c r="AT149" i="2" s="1"/>
  <c r="J17" i="3"/>
  <c r="J15" i="3"/>
  <c r="AT46" i="2"/>
  <c r="AP198" i="2"/>
  <c r="AO198" i="2"/>
  <c r="CA215" i="2"/>
  <c r="BW27" i="3"/>
  <c r="BR111" i="3"/>
  <c r="P150" i="2"/>
  <c r="Q148" i="2"/>
  <c r="Q149" i="2" s="1"/>
  <c r="Q150" i="2" s="1"/>
  <c r="BM42" i="3"/>
  <c r="AO50" i="2"/>
  <c r="AO51" i="2"/>
  <c r="AW156" i="3"/>
  <c r="AQ45" i="2"/>
  <c r="AQ49" i="2"/>
  <c r="AQ177" i="2"/>
  <c r="AQ111" i="2"/>
  <c r="AQ120" i="2" s="1"/>
  <c r="CE75" i="2"/>
  <c r="CF75" i="2"/>
  <c r="CG75" i="2" s="1"/>
  <c r="CH75" i="2" s="1"/>
  <c r="CI75" i="2" s="1"/>
  <c r="AQ241" i="3"/>
  <c r="AQ232" i="3"/>
  <c r="AQ227" i="3"/>
  <c r="BU34" i="3"/>
  <c r="AD210" i="2"/>
  <c r="U10" i="3"/>
  <c r="AD7" i="2"/>
  <c r="AN150" i="2"/>
  <c r="AO148" i="2"/>
  <c r="AO149" i="2" s="1"/>
  <c r="AT235" i="3"/>
  <c r="AT247" i="3"/>
  <c r="AT254" i="3" s="1"/>
  <c r="AT253" i="3" s="1"/>
  <c r="AT232" i="3"/>
  <c r="AT241" i="3"/>
  <c r="AT238" i="3"/>
  <c r="AF196" i="2"/>
  <c r="AB210" i="2"/>
  <c r="S10" i="3"/>
  <c r="AB7" i="2"/>
  <c r="BW68" i="2"/>
  <c r="BW132" i="2" s="1"/>
  <c r="AW45" i="2"/>
  <c r="AW111" i="2"/>
  <c r="AW120" i="2" s="1"/>
  <c r="AW177" i="2"/>
  <c r="AW48" i="2"/>
  <c r="AD26" i="2"/>
  <c r="AI26" i="2"/>
  <c r="V14" i="2"/>
  <c r="AA14" i="2"/>
  <c r="BB13" i="2"/>
  <c r="BB23" i="2"/>
  <c r="BB37" i="2" s="1"/>
  <c r="BB40" i="2" s="1"/>
  <c r="BF12" i="2"/>
  <c r="BF13" i="2" s="1"/>
  <c r="BF14" i="2" s="1"/>
  <c r="BG19" i="2"/>
  <c r="BB161" i="2"/>
  <c r="BB19" i="2"/>
  <c r="O8" i="3"/>
  <c r="X211" i="2" s="1"/>
  <c r="CS42" i="2"/>
  <c r="CT42" i="2" s="1"/>
  <c r="CO42" i="2"/>
  <c r="AN216" i="2"/>
  <c r="AN237" i="2"/>
  <c r="BM112" i="3"/>
  <c r="BO42" i="3"/>
  <c r="BV102" i="2"/>
  <c r="BW102" i="2" s="1"/>
  <c r="BX102" i="2" s="1"/>
  <c r="BY102" i="2" s="1"/>
  <c r="BZ102" i="2" s="1"/>
  <c r="CE98" i="2"/>
  <c r="CF98" i="2"/>
  <c r="CG98" i="2" s="1"/>
  <c r="CH98" i="2" s="1"/>
  <c r="CI98" i="2" s="1"/>
  <c r="AT198" i="2"/>
  <c r="AU198" i="2"/>
  <c r="X120" i="2"/>
  <c r="X216" i="2" s="1"/>
  <c r="AY235" i="3"/>
  <c r="AR46" i="2"/>
  <c r="R196" i="2"/>
  <c r="R197" i="2" s="1"/>
  <c r="R198" i="2" s="1"/>
  <c r="R162" i="2"/>
  <c r="AA210" i="2"/>
  <c r="R10" i="3"/>
  <c r="AA7" i="2"/>
  <c r="AK157" i="2"/>
  <c r="BL26" i="3"/>
  <c r="BU214" i="2"/>
  <c r="BQ22" i="3"/>
  <c r="BQ23" i="3"/>
  <c r="BT108" i="3"/>
  <c r="CC214" i="2"/>
  <c r="BY20" i="3"/>
  <c r="BY214" i="2"/>
  <c r="BU20" i="3"/>
  <c r="BG144" i="3"/>
  <c r="BG158" i="3" s="1"/>
  <c r="BG109" i="3"/>
  <c r="BO109" i="3"/>
  <c r="AB39" i="2" l="1"/>
  <c r="AB43" i="2" s="1"/>
  <c r="AB196" i="2"/>
  <c r="AB197" i="2" s="1"/>
  <c r="AB198" i="2" s="1"/>
  <c r="AB162" i="2"/>
  <c r="AJ37" i="2"/>
  <c r="AJ195" i="2"/>
  <c r="AO25" i="2"/>
  <c r="AJ29" i="2"/>
  <c r="AJ24" i="2"/>
  <c r="AO14" i="2"/>
  <c r="BO49" i="3"/>
  <c r="BO294" i="3"/>
  <c r="AC46" i="2"/>
  <c r="Z148" i="2"/>
  <c r="Z149" i="2" s="1"/>
  <c r="AA148" i="2" s="1"/>
  <c r="AA149" i="2" s="1"/>
  <c r="AA150" i="2" s="1"/>
  <c r="Y150" i="2"/>
  <c r="AX148" i="2"/>
  <c r="AX149" i="2" s="1"/>
  <c r="AW150" i="2"/>
  <c r="BF148" i="2"/>
  <c r="BF149" i="2" s="1"/>
  <c r="BB148" i="2"/>
  <c r="BB149" i="2" s="1"/>
  <c r="BA150" i="2"/>
  <c r="CB59" i="3"/>
  <c r="BW123" i="3"/>
  <c r="BW124" i="3" s="1"/>
  <c r="BM109" i="3"/>
  <c r="S39" i="2"/>
  <c r="BM49" i="3"/>
  <c r="BM294" i="3"/>
  <c r="BW20" i="3"/>
  <c r="BW108" i="3" s="1"/>
  <c r="CI181" i="2"/>
  <c r="CI140" i="2" s="1"/>
  <c r="BE10" i="3"/>
  <c r="BT50" i="3"/>
  <c r="BT120" i="3" s="1"/>
  <c r="BT121" i="3" s="1"/>
  <c r="BJ121" i="3"/>
  <c r="BJ115" i="3"/>
  <c r="BJ112" i="3"/>
  <c r="BX109" i="3"/>
  <c r="AF197" i="2"/>
  <c r="AF162" i="2"/>
  <c r="BI115" i="3"/>
  <c r="BO121" i="3"/>
  <c r="BF9" i="3"/>
  <c r="Z40" i="2"/>
  <c r="AD191" i="2"/>
  <c r="T177" i="2"/>
  <c r="T111" i="2"/>
  <c r="T49" i="2"/>
  <c r="T45" i="2"/>
  <c r="T46" i="2" s="1"/>
  <c r="AF43" i="2"/>
  <c r="AF111" i="2" s="1"/>
  <c r="AF120" i="2" s="1"/>
  <c r="AF216" i="2" s="1"/>
  <c r="AF26" i="2"/>
  <c r="BV25" i="3"/>
  <c r="BD14" i="2"/>
  <c r="BI14" i="2"/>
  <c r="BD24" i="2"/>
  <c r="BD234" i="2"/>
  <c r="BI25" i="2"/>
  <c r="BD195" i="2"/>
  <c r="BD29" i="2"/>
  <c r="BD25" i="2"/>
  <c r="BF10" i="3"/>
  <c r="BV24" i="3"/>
  <c r="BV22" i="3"/>
  <c r="BZ214" i="2"/>
  <c r="BQ37" i="3"/>
  <c r="BQ35" i="3" s="1"/>
  <c r="BQ36" i="3"/>
  <c r="CJ140" i="2"/>
  <c r="BG145" i="3"/>
  <c r="BG159" i="3" s="1"/>
  <c r="AR245" i="3"/>
  <c r="AW250" i="3"/>
  <c r="AW251" i="3" s="1"/>
  <c r="BL50" i="3"/>
  <c r="BF124" i="3"/>
  <c r="BQ39" i="3"/>
  <c r="BL40" i="3"/>
  <c r="BV23" i="3"/>
  <c r="BQ26" i="3"/>
  <c r="BV20" i="3"/>
  <c r="BE6" i="3"/>
  <c r="BT34" i="3"/>
  <c r="BO114" i="3"/>
  <c r="BO115" i="3" s="1"/>
  <c r="BX215" i="2"/>
  <c r="BT27" i="3"/>
  <c r="BO111" i="3"/>
  <c r="Y45" i="2"/>
  <c r="Y46" i="2" s="1"/>
  <c r="Y49" i="2"/>
  <c r="Y177" i="2"/>
  <c r="Y111" i="2"/>
  <c r="AG177" i="2"/>
  <c r="AG111" i="2"/>
  <c r="AG120" i="2" s="1"/>
  <c r="AG49" i="2"/>
  <c r="AG45" i="2"/>
  <c r="AW238" i="3"/>
  <c r="AW235" i="3"/>
  <c r="AE14" i="2"/>
  <c r="AJ14" i="2"/>
  <c r="AA196" i="2"/>
  <c r="AA197" i="2" s="1"/>
  <c r="AA162" i="2"/>
  <c r="AA43" i="2"/>
  <c r="M17" i="3"/>
  <c r="M15" i="3"/>
  <c r="AA30" i="2"/>
  <c r="AC191" i="2"/>
  <c r="AE29" i="2"/>
  <c r="AE25" i="2"/>
  <c r="AE195" i="2"/>
  <c r="AE24" i="2"/>
  <c r="AJ25" i="2"/>
  <c r="AU248" i="3"/>
  <c r="AT248" i="3"/>
  <c r="BG59" i="3"/>
  <c r="BN50" i="3"/>
  <c r="BG58" i="3"/>
  <c r="BD121" i="3"/>
  <c r="BG120" i="3"/>
  <c r="BS34" i="3"/>
  <c r="BN114" i="3"/>
  <c r="BN115" i="3" s="1"/>
  <c r="BQ34" i="3"/>
  <c r="BV36" i="3" s="1"/>
  <c r="K63" i="2"/>
  <c r="K109" i="2"/>
  <c r="L4" i="2"/>
  <c r="AR287" i="3"/>
  <c r="AR288" i="3" s="1"/>
  <c r="AZ198" i="2"/>
  <c r="CD118" i="2"/>
  <c r="BI43" i="2"/>
  <c r="AY50" i="2"/>
  <c r="AY51" i="2"/>
  <c r="AX50" i="2"/>
  <c r="AX51" i="2"/>
  <c r="BF204" i="2"/>
  <c r="BF248" i="2"/>
  <c r="AY237" i="2"/>
  <c r="AY216" i="2"/>
  <c r="AX198" i="2"/>
  <c r="AX46" i="2"/>
  <c r="BG111" i="2"/>
  <c r="BG120" i="2" s="1"/>
  <c r="BG45" i="2"/>
  <c r="BG177" i="2"/>
  <c r="BG49" i="2"/>
  <c r="AX216" i="2"/>
  <c r="AX237" i="2"/>
  <c r="BH43" i="2"/>
  <c r="BJ118" i="2"/>
  <c r="BG162" i="2"/>
  <c r="BG196" i="2"/>
  <c r="BG197" i="2" s="1"/>
  <c r="AV50" i="2"/>
  <c r="AV51" i="2"/>
  <c r="AV237" i="2"/>
  <c r="AV216" i="2"/>
  <c r="AY198" i="2"/>
  <c r="AZ51" i="2"/>
  <c r="AZ50" i="2"/>
  <c r="BR108" i="3"/>
  <c r="BR109" i="3" s="1"/>
  <c r="CA214" i="2"/>
  <c r="BZ140" i="2"/>
  <c r="CM181" i="2"/>
  <c r="CM140" i="2" s="1"/>
  <c r="CL140" i="2"/>
  <c r="CQ181" i="2"/>
  <c r="CP140" i="2"/>
  <c r="BU59" i="3"/>
  <c r="BT179" i="2"/>
  <c r="BJ124" i="3"/>
  <c r="BT59" i="3"/>
  <c r="BO123" i="3"/>
  <c r="BQ28" i="3"/>
  <c r="BW196" i="2"/>
  <c r="BW162" i="2"/>
  <c r="CA102" i="2"/>
  <c r="CB102" i="2" s="1"/>
  <c r="CC102" i="2" s="1"/>
  <c r="CD102" i="2" s="1"/>
  <c r="CE102" i="2" s="1"/>
  <c r="CJ67" i="2"/>
  <c r="CL67" i="2" s="1"/>
  <c r="CN67" i="2" s="1"/>
  <c r="CK67" i="2"/>
  <c r="CM67" i="2" s="1"/>
  <c r="CI56" i="2"/>
  <c r="CE56" i="2"/>
  <c r="BG160" i="3"/>
  <c r="BA188" i="3"/>
  <c r="CK98" i="2"/>
  <c r="CL98" i="2" s="1"/>
  <c r="CM98" i="2" s="1"/>
  <c r="CN98" i="2" s="1"/>
  <c r="CJ98" i="2"/>
  <c r="BB25" i="2"/>
  <c r="BB29" i="2"/>
  <c r="BB24" i="2"/>
  <c r="BB195" i="2"/>
  <c r="BG25" i="2"/>
  <c r="BB234" i="2"/>
  <c r="BF23" i="2"/>
  <c r="BF37" i="2" s="1"/>
  <c r="BF40" i="2" s="1"/>
  <c r="AW49" i="2"/>
  <c r="BA48" i="2"/>
  <c r="BA49" i="2" s="1"/>
  <c r="CK75" i="2"/>
  <c r="CL75" i="2" s="1"/>
  <c r="CM75" i="2" s="1"/>
  <c r="CN75" i="2" s="1"/>
  <c r="CJ75" i="2"/>
  <c r="AH195" i="2"/>
  <c r="AH29" i="2"/>
  <c r="AH24" i="2"/>
  <c r="AH25" i="2"/>
  <c r="AM25" i="2"/>
  <c r="AK148" i="2"/>
  <c r="AK149" i="2" s="1"/>
  <c r="AK150" i="2" s="1"/>
  <c r="AJ150" i="2"/>
  <c r="BZ115" i="2"/>
  <c r="V30" i="2"/>
  <c r="Z191" i="2"/>
  <c r="AD43" i="2"/>
  <c r="AD196" i="2"/>
  <c r="AD197" i="2" s="1"/>
  <c r="AD162" i="2"/>
  <c r="BO41" i="3"/>
  <c r="BJ6" i="3"/>
  <c r="AJ191" i="2"/>
  <c r="AK188" i="2"/>
  <c r="AK190" i="2" s="1"/>
  <c r="CG21" i="3"/>
  <c r="CG26" i="3" s="1"/>
  <c r="U29" i="2"/>
  <c r="Y191" i="2" s="1"/>
  <c r="U195" i="2"/>
  <c r="U197" i="2" s="1"/>
  <c r="U24" i="2"/>
  <c r="U25" i="2"/>
  <c r="Z25" i="2"/>
  <c r="CG119" i="2"/>
  <c r="CE119" i="2"/>
  <c r="BQ211" i="2"/>
  <c r="BH9" i="3"/>
  <c r="CM79" i="2"/>
  <c r="BV31" i="3"/>
  <c r="BV29" i="3"/>
  <c r="BZ215" i="2"/>
  <c r="BQ33" i="3"/>
  <c r="BV30" i="3"/>
  <c r="AU237" i="2"/>
  <c r="AU216" i="2"/>
  <c r="BM115" i="3"/>
  <c r="BX27" i="3"/>
  <c r="BS111" i="3"/>
  <c r="BS112" i="3" s="1"/>
  <c r="CB215" i="2"/>
  <c r="BB117" i="3"/>
  <c r="BA118" i="3"/>
  <c r="BA102" i="3"/>
  <c r="K8" i="3"/>
  <c r="S211" i="2"/>
  <c r="J188" i="3"/>
  <c r="BG14" i="2"/>
  <c r="BB14" i="2"/>
  <c r="AQ244" i="3"/>
  <c r="AV247" i="3"/>
  <c r="AQ51" i="2"/>
  <c r="AQ50" i="2"/>
  <c r="CF215" i="2"/>
  <c r="CB27" i="3"/>
  <c r="BW111" i="3"/>
  <c r="BA45" i="2"/>
  <c r="BA177" i="2"/>
  <c r="BA111" i="2"/>
  <c r="BA120" i="2" s="1"/>
  <c r="S23" i="2"/>
  <c r="S37" i="2" s="1"/>
  <c r="S40" i="2" s="1"/>
  <c r="S13" i="2"/>
  <c r="BY90" i="2"/>
  <c r="BZ90" i="2" s="1"/>
  <c r="CA90" i="2" s="1"/>
  <c r="CB90" i="2" s="1"/>
  <c r="CH116" i="2"/>
  <c r="CC115" i="2"/>
  <c r="CE116" i="2"/>
  <c r="AA26" i="2"/>
  <c r="V26" i="2"/>
  <c r="BE236" i="2"/>
  <c r="BE30" i="2"/>
  <c r="AI49" i="2"/>
  <c r="AI45" i="2"/>
  <c r="AI111" i="2"/>
  <c r="AI120" i="2" s="1"/>
  <c r="AI216" i="2" s="1"/>
  <c r="AI177" i="2"/>
  <c r="W43" i="2"/>
  <c r="AL10" i="2"/>
  <c r="AQ10" i="2"/>
  <c r="AW191" i="2"/>
  <c r="AX188" i="2"/>
  <c r="AX190" i="2" s="1"/>
  <c r="BW89" i="2"/>
  <c r="BV138" i="2"/>
  <c r="AU152" i="2"/>
  <c r="AU153" i="2" s="1"/>
  <c r="AU189" i="2"/>
  <c r="AU147" i="2"/>
  <c r="BC118" i="3"/>
  <c r="BC102" i="3"/>
  <c r="BH6" i="3"/>
  <c r="R120" i="2"/>
  <c r="R216" i="2" s="1"/>
  <c r="CL214" i="2"/>
  <c r="CH20" i="3"/>
  <c r="CC108" i="3"/>
  <c r="CC109" i="3" s="1"/>
  <c r="BD6" i="3"/>
  <c r="BI11" i="3" s="1"/>
  <c r="CJ97" i="2"/>
  <c r="CK97" i="2"/>
  <c r="CL97" i="2" s="1"/>
  <c r="CM97" i="2" s="1"/>
  <c r="CN97" i="2" s="1"/>
  <c r="BC14" i="2"/>
  <c r="BH14" i="2"/>
  <c r="J10" i="3"/>
  <c r="J187" i="3"/>
  <c r="S7" i="2"/>
  <c r="S210" i="2"/>
  <c r="AX254" i="3"/>
  <c r="AX253" i="3" s="1"/>
  <c r="AX248" i="3"/>
  <c r="BA186" i="3"/>
  <c r="BA194" i="3"/>
  <c r="BB6" i="3"/>
  <c r="BA189" i="3"/>
  <c r="BA12" i="3"/>
  <c r="BJ5" i="2"/>
  <c r="BA187" i="3"/>
  <c r="BA195" i="3"/>
  <c r="BA190" i="3"/>
  <c r="BA192" i="3"/>
  <c r="BA185" i="3"/>
  <c r="BA193" i="3"/>
  <c r="AW216" i="2"/>
  <c r="AW237" i="2"/>
  <c r="AT244" i="3"/>
  <c r="AY247" i="3"/>
  <c r="Z150" i="2"/>
  <c r="AQ216" i="2"/>
  <c r="AQ237" i="2"/>
  <c r="AV46" i="2"/>
  <c r="AT150" i="2"/>
  <c r="AU148" i="2"/>
  <c r="CI116" i="2"/>
  <c r="CD115" i="2"/>
  <c r="BA162" i="2"/>
  <c r="BA196" i="2"/>
  <c r="BA197" i="2" s="1"/>
  <c r="BA198" i="2" s="1"/>
  <c r="AH14" i="2"/>
  <c r="AM14" i="2"/>
  <c r="X19" i="2"/>
  <c r="S19" i="2"/>
  <c r="S161" i="2"/>
  <c r="CK96" i="2"/>
  <c r="CL96" i="2" s="1"/>
  <c r="CM96" i="2" s="1"/>
  <c r="CN96" i="2" s="1"/>
  <c r="CJ96" i="2"/>
  <c r="CJ77" i="2"/>
  <c r="CK77" i="2"/>
  <c r="CL77" i="2" s="1"/>
  <c r="CM77" i="2" s="1"/>
  <c r="CN77" i="2" s="1"/>
  <c r="CB121" i="3"/>
  <c r="AL211" i="2"/>
  <c r="BB188" i="2"/>
  <c r="BB190" i="2" s="1"/>
  <c r="BA191" i="2"/>
  <c r="AZ191" i="2" s="1"/>
  <c r="BF188" i="2"/>
  <c r="BF190" i="2" s="1"/>
  <c r="AR241" i="3"/>
  <c r="BW147" i="3"/>
  <c r="AU244" i="3"/>
  <c r="AZ247" i="3"/>
  <c r="CI215" i="2"/>
  <c r="CE27" i="3"/>
  <c r="BC195" i="2"/>
  <c r="BC24" i="2"/>
  <c r="BC234" i="2"/>
  <c r="BC25" i="2"/>
  <c r="BH25" i="2"/>
  <c r="BC29" i="2"/>
  <c r="BF19" i="2"/>
  <c r="BF161" i="2"/>
  <c r="BF10" i="2"/>
  <c r="BW34" i="3"/>
  <c r="BR114" i="3"/>
  <c r="BU78" i="2"/>
  <c r="AW46" i="2"/>
  <c r="BX68" i="2"/>
  <c r="BX132" i="2" s="1"/>
  <c r="AO150" i="2"/>
  <c r="AP148" i="2"/>
  <c r="AP149" i="2" s="1"/>
  <c r="AP150" i="2" s="1"/>
  <c r="BZ34" i="3"/>
  <c r="BR112" i="3"/>
  <c r="AL23" i="2"/>
  <c r="AL37" i="2" s="1"/>
  <c r="AL13" i="2"/>
  <c r="X10" i="2"/>
  <c r="S10" i="2"/>
  <c r="BE43" i="2"/>
  <c r="BE26" i="2"/>
  <c r="BE118" i="3"/>
  <c r="AO191" i="2"/>
  <c r="AP188" i="2"/>
  <c r="AP190" i="2" s="1"/>
  <c r="CG121" i="3"/>
  <c r="AQ19" i="2"/>
  <c r="AL19" i="2"/>
  <c r="AL161" i="2"/>
  <c r="Z14" i="2"/>
  <c r="U14" i="2"/>
  <c r="BL5" i="2"/>
  <c r="BC189" i="3"/>
  <c r="BC193" i="3"/>
  <c r="BC195" i="3"/>
  <c r="BC194" i="3"/>
  <c r="BC190" i="3"/>
  <c r="BC185" i="3"/>
  <c r="BC186" i="3"/>
  <c r="BC192" i="3"/>
  <c r="BC12" i="3"/>
  <c r="BC187" i="3"/>
  <c r="BC188" i="3"/>
  <c r="CL79" i="2"/>
  <c r="AT188" i="2"/>
  <c r="AT190" i="2" s="1"/>
  <c r="AS191" i="2"/>
  <c r="CJ99" i="2"/>
  <c r="CK99" i="2"/>
  <c r="CL99" i="2" s="1"/>
  <c r="CM99" i="2" s="1"/>
  <c r="CN99" i="2" s="1"/>
  <c r="CG114" i="2"/>
  <c r="CE114" i="2"/>
  <c r="CF141" i="2"/>
  <c r="CG141" i="2" s="1"/>
  <c r="CH141" i="2" s="1"/>
  <c r="CI141" i="2" s="1"/>
  <c r="CO141" i="2"/>
  <c r="CJ76" i="2"/>
  <c r="CK76" i="2"/>
  <c r="CL76" i="2" s="1"/>
  <c r="CM76" i="2" s="1"/>
  <c r="CN76" i="2" s="1"/>
  <c r="BB49" i="3"/>
  <c r="CD20" i="3"/>
  <c r="BY108" i="3"/>
  <c r="CH214" i="2"/>
  <c r="BQ21" i="3"/>
  <c r="BZ20" i="3"/>
  <c r="CD214" i="2"/>
  <c r="BT109" i="3"/>
  <c r="AB45" i="2" l="1"/>
  <c r="AB177" i="2"/>
  <c r="AB111" i="2"/>
  <c r="AB120" i="2" s="1"/>
  <c r="AB48" i="2"/>
  <c r="AB49" i="2" s="1"/>
  <c r="AJ30" i="2"/>
  <c r="AM191" i="2"/>
  <c r="AN191" i="2"/>
  <c r="AO26" i="2"/>
  <c r="AJ40" i="2"/>
  <c r="BH12" i="3"/>
  <c r="AX150" i="2"/>
  <c r="AY148" i="2"/>
  <c r="AY149" i="2" s="1"/>
  <c r="BH10" i="3"/>
  <c r="BC148" i="2"/>
  <c r="BC149" i="2" s="1"/>
  <c r="BB150" i="2"/>
  <c r="BF150" i="2"/>
  <c r="BK148" i="2"/>
  <c r="BG148" i="2"/>
  <c r="BG149" i="2" s="1"/>
  <c r="CG59" i="3"/>
  <c r="CG123" i="3" s="1"/>
  <c r="CB123" i="3"/>
  <c r="CB124" i="3" s="1"/>
  <c r="BM41" i="3"/>
  <c r="BR41" i="3" s="1"/>
  <c r="CF214" i="2"/>
  <c r="CB20" i="3"/>
  <c r="CK214" i="2" s="1"/>
  <c r="CA24" i="3"/>
  <c r="BE142" i="3"/>
  <c r="AF177" i="2"/>
  <c r="BY50" i="3"/>
  <c r="BY120" i="3" s="1"/>
  <c r="BY121" i="3" s="1"/>
  <c r="AF45" i="2"/>
  <c r="AF49" i="2"/>
  <c r="AF50" i="2" s="1"/>
  <c r="BJ188" i="3"/>
  <c r="BB188" i="3"/>
  <c r="BG9" i="3"/>
  <c r="Z39" i="2"/>
  <c r="Z43" i="2" s="1"/>
  <c r="Z196" i="2"/>
  <c r="Z197" i="2" s="1"/>
  <c r="AC198" i="2" s="1"/>
  <c r="Z162" i="2"/>
  <c r="T51" i="2"/>
  <c r="T50" i="2"/>
  <c r="T120" i="2"/>
  <c r="T216" i="2" s="1"/>
  <c r="AU149" i="2"/>
  <c r="AU150" i="2" s="1"/>
  <c r="BD43" i="2"/>
  <c r="BD30" i="2"/>
  <c r="BD236" i="2"/>
  <c r="BD26" i="2"/>
  <c r="BI26" i="2"/>
  <c r="BW109" i="3"/>
  <c r="BV21" i="3"/>
  <c r="CA22" i="3"/>
  <c r="CE214" i="2"/>
  <c r="BO211" i="2"/>
  <c r="BF121" i="3"/>
  <c r="BP50" i="3"/>
  <c r="BQ50" i="3" s="1"/>
  <c r="CA25" i="3"/>
  <c r="BV26" i="3"/>
  <c r="CA23" i="3"/>
  <c r="BE187" i="3"/>
  <c r="BE186" i="3"/>
  <c r="BE194" i="3"/>
  <c r="BE185" i="3"/>
  <c r="BE188" i="3"/>
  <c r="BE12" i="3"/>
  <c r="BE190" i="3"/>
  <c r="BE192" i="3"/>
  <c r="BN5" i="2"/>
  <c r="BE193" i="3"/>
  <c r="BJ9" i="3"/>
  <c r="BS211" i="2"/>
  <c r="BE189" i="3"/>
  <c r="BE195" i="3"/>
  <c r="BJ11" i="3"/>
  <c r="BY34" i="3"/>
  <c r="BT114" i="3"/>
  <c r="BT115" i="3" s="1"/>
  <c r="CC215" i="2"/>
  <c r="BT111" i="3"/>
  <c r="BT112" i="3" s="1"/>
  <c r="BY27" i="3"/>
  <c r="BO112" i="3"/>
  <c r="BV27" i="3"/>
  <c r="AG50" i="2"/>
  <c r="AG51" i="2"/>
  <c r="AG216" i="2"/>
  <c r="Y51" i="2"/>
  <c r="Y50" i="2"/>
  <c r="AG46" i="2"/>
  <c r="Y120" i="2"/>
  <c r="Y216" i="2" s="1"/>
  <c r="BJ253" i="2"/>
  <c r="BJ164" i="2"/>
  <c r="BJ168" i="2"/>
  <c r="BJ170" i="2"/>
  <c r="BK5" i="2"/>
  <c r="BL164" i="2"/>
  <c r="BL170" i="2"/>
  <c r="BL168" i="2"/>
  <c r="AE162" i="2"/>
  <c r="AE43" i="2"/>
  <c r="AE196" i="2"/>
  <c r="AE197" i="2" s="1"/>
  <c r="AF198" i="2" s="1"/>
  <c r="AA198" i="2"/>
  <c r="AJ26" i="2"/>
  <c r="AE26" i="2"/>
  <c r="AE30" i="2"/>
  <c r="AE191" i="2"/>
  <c r="AA177" i="2"/>
  <c r="AA45" i="2"/>
  <c r="AF46" i="2" s="1"/>
  <c r="AA111" i="2"/>
  <c r="AA49" i="2"/>
  <c r="BV28" i="3"/>
  <c r="BV34" i="3"/>
  <c r="CA39" i="3" s="1"/>
  <c r="BV38" i="3"/>
  <c r="BN59" i="3"/>
  <c r="BL59" i="3"/>
  <c r="BG67" i="3"/>
  <c r="BD124" i="3"/>
  <c r="BG123" i="3"/>
  <c r="BG121" i="3"/>
  <c r="BG148" i="3"/>
  <c r="BG162" i="3" s="1"/>
  <c r="BL58" i="3"/>
  <c r="BQ52" i="3"/>
  <c r="BQ55" i="3"/>
  <c r="BQ56" i="3"/>
  <c r="BQ54" i="3"/>
  <c r="BQ53" i="3"/>
  <c r="BQ57" i="3"/>
  <c r="BI121" i="3"/>
  <c r="BN120" i="3"/>
  <c r="BS50" i="3"/>
  <c r="BV39" i="3"/>
  <c r="BQ40" i="3"/>
  <c r="BV37" i="3"/>
  <c r="BS114" i="3"/>
  <c r="BS115" i="3" s="1"/>
  <c r="BX34" i="3"/>
  <c r="BI9" i="3"/>
  <c r="L63" i="2"/>
  <c r="N4" i="2"/>
  <c r="L109" i="2"/>
  <c r="CI118" i="2"/>
  <c r="BH196" i="2"/>
  <c r="BH197" i="2" s="1"/>
  <c r="BH162" i="2"/>
  <c r="BV118" i="2"/>
  <c r="BI45" i="2"/>
  <c r="BI49" i="2"/>
  <c r="BI177" i="2"/>
  <c r="BI111" i="2"/>
  <c r="BI120" i="2" s="1"/>
  <c r="BH111" i="2"/>
  <c r="BH120" i="2" s="1"/>
  <c r="BH45" i="2"/>
  <c r="BH49" i="2"/>
  <c r="BH177" i="2"/>
  <c r="BG51" i="2"/>
  <c r="BG50" i="2"/>
  <c r="BG237" i="2"/>
  <c r="BG216" i="2"/>
  <c r="BI196" i="2"/>
  <c r="BI197" i="2" s="1"/>
  <c r="BI162" i="2"/>
  <c r="BL9" i="2"/>
  <c r="BC202" i="3"/>
  <c r="CN181" i="2"/>
  <c r="CN140" i="2" s="1"/>
  <c r="CO140" i="2" s="1"/>
  <c r="CR181" i="2"/>
  <c r="CR140" i="2" s="1"/>
  <c r="CQ140" i="2"/>
  <c r="BZ59" i="3"/>
  <c r="BW180" i="2"/>
  <c r="BV179" i="2"/>
  <c r="BU179" i="2"/>
  <c r="BU180" i="2" s="1"/>
  <c r="BO124" i="3"/>
  <c r="BY59" i="3"/>
  <c r="BT123" i="3"/>
  <c r="BX196" i="2"/>
  <c r="BX162" i="2"/>
  <c r="CO67" i="2"/>
  <c r="CQ67" i="2" s="1"/>
  <c r="CS67" i="2" s="1"/>
  <c r="CT67" i="2" s="1"/>
  <c r="CP67" i="2"/>
  <c r="CR67" i="2" s="1"/>
  <c r="CN56" i="2"/>
  <c r="CJ56" i="2"/>
  <c r="BA202" i="3"/>
  <c r="BM11" i="3"/>
  <c r="BR211" i="2"/>
  <c r="BG10" i="3"/>
  <c r="BG11" i="3"/>
  <c r="BM10" i="3"/>
  <c r="BH188" i="3"/>
  <c r="BV78" i="2"/>
  <c r="BV134" i="2" s="1"/>
  <c r="BG188" i="2"/>
  <c r="BG190" i="2" s="1"/>
  <c r="BK188" i="2"/>
  <c r="CO96" i="2"/>
  <c r="CP96" i="2"/>
  <c r="CQ96" i="2" s="1"/>
  <c r="CR96" i="2" s="1"/>
  <c r="CS96" i="2" s="1"/>
  <c r="CT96" i="2" s="1"/>
  <c r="BJ7" i="2"/>
  <c r="BJ210" i="2"/>
  <c r="CO97" i="2"/>
  <c r="CP97" i="2"/>
  <c r="CQ97" i="2" s="1"/>
  <c r="CR97" i="2" s="1"/>
  <c r="CS97" i="2" s="1"/>
  <c r="CT97" i="2" s="1"/>
  <c r="BD118" i="3"/>
  <c r="BM8" i="3"/>
  <c r="BM117" i="3"/>
  <c r="CC90" i="2"/>
  <c r="CD90" i="2" s="1"/>
  <c r="CE90" i="2" s="1"/>
  <c r="CF90" i="2" s="1"/>
  <c r="CG90" i="2" s="1"/>
  <c r="U30" i="2"/>
  <c r="BO117" i="3"/>
  <c r="BT41" i="3"/>
  <c r="BO6" i="3"/>
  <c r="X191" i="2"/>
  <c r="BB30" i="2"/>
  <c r="BB236" i="2"/>
  <c r="BP211" i="2"/>
  <c r="CL114" i="2"/>
  <c r="CJ114" i="2"/>
  <c r="AU188" i="2"/>
  <c r="AU190" i="2" s="1"/>
  <c r="AT191" i="2"/>
  <c r="AL14" i="2"/>
  <c r="AQ14" i="2"/>
  <c r="BY68" i="2"/>
  <c r="BZ68" i="2" s="1"/>
  <c r="BR115" i="3"/>
  <c r="AZ254" i="3"/>
  <c r="AZ253" i="3" s="1"/>
  <c r="AZ248" i="3"/>
  <c r="CB147" i="3"/>
  <c r="CO77" i="2"/>
  <c r="CP77" i="2"/>
  <c r="CQ77" i="2" s="1"/>
  <c r="CR77" i="2" s="1"/>
  <c r="CS77" i="2" s="1"/>
  <c r="CT77" i="2" s="1"/>
  <c r="AY254" i="3"/>
  <c r="AY253" i="3" s="1"/>
  <c r="AY248" i="3"/>
  <c r="CQ214" i="2"/>
  <c r="CH108" i="3"/>
  <c r="CH109" i="3" s="1"/>
  <c r="BW138" i="2"/>
  <c r="BX89" i="2"/>
  <c r="AY188" i="2"/>
  <c r="AY190" i="2" s="1"/>
  <c r="AX191" i="2"/>
  <c r="S14" i="2"/>
  <c r="X14" i="2"/>
  <c r="BA46" i="2"/>
  <c r="BW112" i="3"/>
  <c r="AV254" i="3"/>
  <c r="AV253" i="3" s="1"/>
  <c r="AV248" i="3"/>
  <c r="AF51" i="2"/>
  <c r="L8" i="3"/>
  <c r="T211" i="2"/>
  <c r="K188" i="3"/>
  <c r="K7" i="3"/>
  <c r="BB118" i="3"/>
  <c r="BB147" i="3"/>
  <c r="BB161" i="3" s="1"/>
  <c r="BB102" i="3"/>
  <c r="BB202" i="3" s="1"/>
  <c r="U43" i="2"/>
  <c r="BJ185" i="3"/>
  <c r="BJ190" i="3"/>
  <c r="BJ194" i="3"/>
  <c r="BJ193" i="3"/>
  <c r="BS5" i="2"/>
  <c r="BJ189" i="3"/>
  <c r="BJ12" i="3"/>
  <c r="BJ187" i="3"/>
  <c r="BJ186" i="3"/>
  <c r="BJ192" i="3"/>
  <c r="BJ195" i="3"/>
  <c r="BO9" i="3"/>
  <c r="BJ118" i="3"/>
  <c r="BJ102" i="3"/>
  <c r="BJ142" i="3" s="1"/>
  <c r="CO75" i="2"/>
  <c r="CP75" i="2"/>
  <c r="CQ75" i="2" s="1"/>
  <c r="CR75" i="2" s="1"/>
  <c r="CS75" i="2" s="1"/>
  <c r="CT75" i="2" s="1"/>
  <c r="CO98" i="2"/>
  <c r="CP98" i="2"/>
  <c r="CQ98" i="2" s="1"/>
  <c r="CR98" i="2" s="1"/>
  <c r="CS98" i="2" s="1"/>
  <c r="CT98" i="2" s="1"/>
  <c r="CK141" i="2"/>
  <c r="CL141" i="2" s="1"/>
  <c r="CM141" i="2" s="1"/>
  <c r="CN141" i="2" s="1"/>
  <c r="CT141" i="2"/>
  <c r="CP141" i="2" s="1"/>
  <c r="CQ141" i="2" s="1"/>
  <c r="CR141" i="2" s="1"/>
  <c r="CS141" i="2" s="1"/>
  <c r="BL163" i="2"/>
  <c r="BL22" i="2"/>
  <c r="BL233" i="2"/>
  <c r="BL6" i="2"/>
  <c r="CE34" i="3"/>
  <c r="CO99" i="2"/>
  <c r="CP99" i="2"/>
  <c r="CQ99" i="2" s="1"/>
  <c r="CR99" i="2" s="1"/>
  <c r="CS99" i="2" s="1"/>
  <c r="CT99" i="2" s="1"/>
  <c r="BL7" i="2"/>
  <c r="BL210" i="2"/>
  <c r="BE111" i="2"/>
  <c r="BE49" i="2"/>
  <c r="BE177" i="2"/>
  <c r="BE45" i="2"/>
  <c r="BE46" i="2" s="1"/>
  <c r="BC43" i="2"/>
  <c r="AR244" i="3"/>
  <c r="AW247" i="3"/>
  <c r="BB191" i="2"/>
  <c r="BC188" i="2"/>
  <c r="BC190" i="2" s="1"/>
  <c r="BN210" i="2"/>
  <c r="BN7" i="2"/>
  <c r="CI115" i="2"/>
  <c r="CN116" i="2"/>
  <c r="CF102" i="2"/>
  <c r="CG102" i="2" s="1"/>
  <c r="CH102" i="2" s="1"/>
  <c r="CI102" i="2" s="1"/>
  <c r="CJ102" i="2" s="1"/>
  <c r="BN41" i="3"/>
  <c r="BI6" i="3"/>
  <c r="BC199" i="3"/>
  <c r="BC200" i="3"/>
  <c r="BC103" i="3"/>
  <c r="BC203" i="3"/>
  <c r="BC206" i="3"/>
  <c r="BC207" i="3"/>
  <c r="BC209" i="3"/>
  <c r="BC208" i="3"/>
  <c r="BC142" i="3"/>
  <c r="BC204" i="3"/>
  <c r="BC201" i="3"/>
  <c r="W48" i="2"/>
  <c r="W45" i="2"/>
  <c r="W111" i="2"/>
  <c r="W177" i="2"/>
  <c r="AN46" i="2"/>
  <c r="V162" i="2"/>
  <c r="V196" i="2"/>
  <c r="V197" i="2" s="1"/>
  <c r="Z198" i="2" s="1"/>
  <c r="CE115" i="2"/>
  <c r="S25" i="2"/>
  <c r="S29" i="2"/>
  <c r="S195" i="2"/>
  <c r="S24" i="2"/>
  <c r="X25" i="2"/>
  <c r="BX111" i="3"/>
  <c r="BX112" i="3" s="1"/>
  <c r="CG215" i="2"/>
  <c r="CC27" i="3"/>
  <c r="Z26" i="2"/>
  <c r="U26" i="2"/>
  <c r="BO11" i="3"/>
  <c r="AD49" i="2"/>
  <c r="AD111" i="2"/>
  <c r="AD120" i="2" s="1"/>
  <c r="AD216" i="2" s="1"/>
  <c r="AD177" i="2"/>
  <c r="AD45" i="2"/>
  <c r="AI46" i="2" s="1"/>
  <c r="AH26" i="2"/>
  <c r="AM26" i="2"/>
  <c r="BA51" i="2"/>
  <c r="BA50" i="2"/>
  <c r="BF234" i="2"/>
  <c r="BF25" i="2"/>
  <c r="BF24" i="2"/>
  <c r="BF29" i="2"/>
  <c r="BF195" i="2"/>
  <c r="BB43" i="2"/>
  <c r="CO76" i="2"/>
  <c r="CP76" i="2"/>
  <c r="CQ76" i="2" s="1"/>
  <c r="CR76" i="2" s="1"/>
  <c r="CS76" i="2" s="1"/>
  <c r="CT76" i="2" s="1"/>
  <c r="CN79" i="2"/>
  <c r="BE162" i="2"/>
  <c r="BE196" i="2"/>
  <c r="BE197" i="2" s="1"/>
  <c r="AL29" i="2"/>
  <c r="AL25" i="2"/>
  <c r="AL234" i="2"/>
  <c r="AL195" i="2"/>
  <c r="AL24" i="2"/>
  <c r="AQ25" i="2"/>
  <c r="BW114" i="3"/>
  <c r="CB34" i="3"/>
  <c r="BC236" i="2"/>
  <c r="BC30" i="2"/>
  <c r="BC26" i="2"/>
  <c r="BH26" i="2"/>
  <c r="CJ27" i="3"/>
  <c r="CN215" i="2"/>
  <c r="BN6" i="2"/>
  <c r="BN163" i="2"/>
  <c r="BN233" i="2"/>
  <c r="BN22" i="2"/>
  <c r="BJ163" i="2"/>
  <c r="BJ6" i="2"/>
  <c r="BJ233" i="2"/>
  <c r="BJ22" i="2"/>
  <c r="BB190" i="3"/>
  <c r="BB192" i="3"/>
  <c r="BB194" i="3"/>
  <c r="BB12" i="3"/>
  <c r="BB195" i="3"/>
  <c r="BB186" i="3"/>
  <c r="BB193" i="3"/>
  <c r="BB187" i="3"/>
  <c r="BB189" i="3"/>
  <c r="BB185" i="3"/>
  <c r="BD185" i="3"/>
  <c r="BD189" i="3"/>
  <c r="BD190" i="3"/>
  <c r="BM5" i="2"/>
  <c r="BD195" i="3"/>
  <c r="BD193" i="3"/>
  <c r="BD187" i="3"/>
  <c r="BD192" i="3"/>
  <c r="BD12" i="3"/>
  <c r="BD194" i="3"/>
  <c r="BD186" i="3"/>
  <c r="BD188" i="3"/>
  <c r="BH118" i="3"/>
  <c r="BH192" i="3"/>
  <c r="BQ5" i="2"/>
  <c r="BH190" i="3"/>
  <c r="BH189" i="3"/>
  <c r="BH193" i="3"/>
  <c r="BH194" i="3"/>
  <c r="BH195" i="3"/>
  <c r="BH185" i="3"/>
  <c r="BH186" i="3"/>
  <c r="BH187" i="3"/>
  <c r="BM9" i="3"/>
  <c r="AU157" i="2"/>
  <c r="AU154" i="2"/>
  <c r="AU155" i="2" s="1"/>
  <c r="AI51" i="2"/>
  <c r="AI50" i="2"/>
  <c r="CH115" i="2"/>
  <c r="CJ115" i="2" s="1"/>
  <c r="CM116" i="2"/>
  <c r="CJ116" i="2"/>
  <c r="BA216" i="2"/>
  <c r="BA237" i="2"/>
  <c r="AZ120" i="2"/>
  <c r="CG27" i="3"/>
  <c r="CK215" i="2"/>
  <c r="CB111" i="3"/>
  <c r="AK46" i="2"/>
  <c r="BA209" i="3"/>
  <c r="BA142" i="3"/>
  <c r="BA206" i="3"/>
  <c r="BA207" i="3"/>
  <c r="BA200" i="3"/>
  <c r="BA199" i="3"/>
  <c r="BA208" i="3"/>
  <c r="BA201" i="3"/>
  <c r="BA203" i="3"/>
  <c r="BA204" i="3"/>
  <c r="BA103" i="3"/>
  <c r="CL119" i="2"/>
  <c r="CJ119" i="2"/>
  <c r="BO10" i="3"/>
  <c r="BO8" i="3"/>
  <c r="BX211" i="2" s="1"/>
  <c r="AH30" i="2"/>
  <c r="AH191" i="2"/>
  <c r="AI191" i="2"/>
  <c r="AW50" i="2"/>
  <c r="AW51" i="2"/>
  <c r="BB26" i="2"/>
  <c r="BG26" i="2"/>
  <c r="CI214" i="2"/>
  <c r="CE20" i="3"/>
  <c r="CA20" i="3"/>
  <c r="BY109" i="3"/>
  <c r="CM214" i="2"/>
  <c r="CI20" i="3"/>
  <c r="CD108" i="3"/>
  <c r="CG20" i="3" l="1"/>
  <c r="CG108" i="3" s="1"/>
  <c r="AB51" i="2"/>
  <c r="AB50" i="2"/>
  <c r="AB216" i="2"/>
  <c r="BM6" i="3"/>
  <c r="AJ39" i="2"/>
  <c r="AJ196" i="2"/>
  <c r="AJ197" i="2" s="1"/>
  <c r="AJ162" i="2"/>
  <c r="AZ148" i="2"/>
  <c r="AY150" i="2"/>
  <c r="BG150" i="2"/>
  <c r="BH148" i="2"/>
  <c r="BH149" i="2" s="1"/>
  <c r="BI148" i="2" s="1"/>
  <c r="BI149" i="2" s="1"/>
  <c r="BC150" i="2"/>
  <c r="BD148" i="2"/>
  <c r="BD149" i="2" s="1"/>
  <c r="CG124" i="3"/>
  <c r="BV211" i="2"/>
  <c r="BJ156" i="3"/>
  <c r="CB108" i="3"/>
  <c r="CB109" i="3" s="1"/>
  <c r="BU57" i="2"/>
  <c r="CA21" i="3"/>
  <c r="BS175" i="2"/>
  <c r="BS163" i="2"/>
  <c r="BS17" i="2"/>
  <c r="BS170" i="2"/>
  <c r="BX170" i="2" s="1"/>
  <c r="BS9" i="2"/>
  <c r="BS165" i="2"/>
  <c r="BS160" i="2"/>
  <c r="BS168" i="2"/>
  <c r="BS164" i="2"/>
  <c r="BE156" i="3"/>
  <c r="BJ10" i="3"/>
  <c r="CD50" i="3"/>
  <c r="CI50" i="3" s="1"/>
  <c r="CI120" i="3" s="1"/>
  <c r="BJ202" i="3"/>
  <c r="AD198" i="2"/>
  <c r="BI12" i="3"/>
  <c r="BI10" i="3"/>
  <c r="BI102" i="3"/>
  <c r="BI142" i="3" s="1"/>
  <c r="BN10" i="3"/>
  <c r="Z177" i="2"/>
  <c r="Z111" i="2"/>
  <c r="Z45" i="2"/>
  <c r="Z49" i="2"/>
  <c r="BQ160" i="2"/>
  <c r="BQ168" i="2"/>
  <c r="BV168" i="2" s="1"/>
  <c r="CA168" i="2" s="1"/>
  <c r="CF168" i="2" s="1"/>
  <c r="CK168" i="2" s="1"/>
  <c r="CP168" i="2" s="1"/>
  <c r="BQ164" i="2"/>
  <c r="BQ170" i="2"/>
  <c r="BV170" i="2" s="1"/>
  <c r="BQ175" i="2"/>
  <c r="BQ163" i="2"/>
  <c r="BQ165" i="2"/>
  <c r="BQ9" i="2"/>
  <c r="CF170" i="2"/>
  <c r="CK170" i="2" s="1"/>
  <c r="CP170" i="2" s="1"/>
  <c r="BT11" i="3"/>
  <c r="BR10" i="3"/>
  <c r="BH202" i="3"/>
  <c r="BV164" i="2"/>
  <c r="CA164" i="2" s="1"/>
  <c r="CF164" i="2" s="1"/>
  <c r="CK164" i="2" s="1"/>
  <c r="CP164" i="2" s="1"/>
  <c r="BN165" i="2"/>
  <c r="BN170" i="2"/>
  <c r="CH170" i="2" s="1"/>
  <c r="CM170" i="2" s="1"/>
  <c r="CR170" i="2" s="1"/>
  <c r="BN164" i="2"/>
  <c r="BN168" i="2"/>
  <c r="BN9" i="2"/>
  <c r="BD177" i="2"/>
  <c r="BD49" i="2"/>
  <c r="BD45" i="2"/>
  <c r="BD46" i="2" s="1"/>
  <c r="BD111" i="2"/>
  <c r="BD120" i="2" s="1"/>
  <c r="BD196" i="2"/>
  <c r="BD197" i="2" s="1"/>
  <c r="BD162" i="2"/>
  <c r="CP214" i="2"/>
  <c r="BU50" i="3"/>
  <c r="BV50" i="3" s="1"/>
  <c r="BG41" i="3"/>
  <c r="BF6" i="3"/>
  <c r="CA34" i="3"/>
  <c r="CF38" i="3" s="1"/>
  <c r="BE203" i="3"/>
  <c r="BE201" i="3"/>
  <c r="BE200" i="3"/>
  <c r="BE103" i="3"/>
  <c r="BE206" i="3"/>
  <c r="BE202" i="3"/>
  <c r="BE207" i="3"/>
  <c r="BE204" i="3"/>
  <c r="BE208" i="3"/>
  <c r="BE209" i="3"/>
  <c r="BE199" i="3"/>
  <c r="BY114" i="3"/>
  <c r="BY115" i="3" s="1"/>
  <c r="CD34" i="3"/>
  <c r="CA32" i="3"/>
  <c r="BV33" i="3"/>
  <c r="CA30" i="3"/>
  <c r="CA31" i="3"/>
  <c r="CA29" i="3"/>
  <c r="CE215" i="2"/>
  <c r="BY111" i="3"/>
  <c r="BY112" i="3" s="1"/>
  <c r="CH215" i="2"/>
  <c r="CD27" i="3"/>
  <c r="CF27" i="3" s="1"/>
  <c r="CA27" i="3"/>
  <c r="AE198" i="2"/>
  <c r="BK253" i="2"/>
  <c r="BK9" i="2"/>
  <c r="BK170" i="2"/>
  <c r="BK160" i="2"/>
  <c r="BK224" i="2"/>
  <c r="BK163" i="2"/>
  <c r="BK17" i="2"/>
  <c r="BK22" i="2"/>
  <c r="BK226" i="2"/>
  <c r="BK6" i="2"/>
  <c r="BM170" i="2"/>
  <c r="BM165" i="2"/>
  <c r="BM163" i="2"/>
  <c r="BM168" i="2"/>
  <c r="BM164" i="2"/>
  <c r="BM160" i="2"/>
  <c r="BM175" i="2"/>
  <c r="BN12" i="2"/>
  <c r="AA120" i="2"/>
  <c r="AA216" i="2" s="1"/>
  <c r="AE111" i="2"/>
  <c r="AE120" i="2" s="1"/>
  <c r="AE216" i="2" s="1"/>
  <c r="AE177" i="2"/>
  <c r="AE45" i="2"/>
  <c r="AE49" i="2"/>
  <c r="AA50" i="2"/>
  <c r="AA51" i="2"/>
  <c r="BV35" i="3"/>
  <c r="CA36" i="3"/>
  <c r="CA38" i="3"/>
  <c r="CA37" i="3"/>
  <c r="BV40" i="3"/>
  <c r="BM9" i="2"/>
  <c r="BQ51" i="3"/>
  <c r="BQ63" i="3"/>
  <c r="BQ66" i="3"/>
  <c r="BQ61" i="3"/>
  <c r="BL67" i="3"/>
  <c r="BQ65" i="3"/>
  <c r="BQ62" i="3"/>
  <c r="BQ64" i="3"/>
  <c r="BI124" i="3"/>
  <c r="BG149" i="3"/>
  <c r="BG163" i="3" s="1"/>
  <c r="BG124" i="3"/>
  <c r="BN123" i="3"/>
  <c r="BS59" i="3"/>
  <c r="BQ59" i="3"/>
  <c r="BV55" i="3"/>
  <c r="BV52" i="3"/>
  <c r="BV57" i="3"/>
  <c r="BV56" i="3"/>
  <c r="BV54" i="3"/>
  <c r="BV53" i="3"/>
  <c r="BQ58" i="3"/>
  <c r="BX50" i="3"/>
  <c r="BS120" i="3"/>
  <c r="BN121" i="3"/>
  <c r="BX114" i="3"/>
  <c r="BX115" i="3" s="1"/>
  <c r="CC34" i="3"/>
  <c r="O4" i="2"/>
  <c r="N63" i="2"/>
  <c r="N194" i="2"/>
  <c r="E5" i="3"/>
  <c r="N159" i="2"/>
  <c r="N178" i="2" s="1"/>
  <c r="N109" i="2"/>
  <c r="N200" i="2"/>
  <c r="X198" i="2"/>
  <c r="CN118" i="2"/>
  <c r="CS118" i="2"/>
  <c r="Y198" i="2"/>
  <c r="BH237" i="2"/>
  <c r="BH216" i="2"/>
  <c r="BW118" i="2"/>
  <c r="BI216" i="2"/>
  <c r="BI237" i="2"/>
  <c r="BH51" i="2"/>
  <c r="BH50" i="2"/>
  <c r="BI51" i="2"/>
  <c r="BI50" i="2"/>
  <c r="CA118" i="2"/>
  <c r="BX118" i="2"/>
  <c r="BL10" i="2"/>
  <c r="BC156" i="3"/>
  <c r="CS181" i="2"/>
  <c r="CS140" i="2" s="1"/>
  <c r="CT140" i="2" s="1"/>
  <c r="CE59" i="3"/>
  <c r="BV57" i="2"/>
  <c r="BW179" i="2"/>
  <c r="BW57" i="2" s="1"/>
  <c r="BX180" i="2"/>
  <c r="BT124" i="3"/>
  <c r="BY123" i="3"/>
  <c r="CD59" i="3"/>
  <c r="CF23" i="3"/>
  <c r="CF25" i="3"/>
  <c r="BY196" i="2"/>
  <c r="BY162" i="2"/>
  <c r="BY132" i="2"/>
  <c r="BZ132" i="2" s="1"/>
  <c r="CS56" i="2"/>
  <c r="CT56" i="2" s="1"/>
  <c r="CO56" i="2"/>
  <c r="BA156" i="3"/>
  <c r="BT8" i="3"/>
  <c r="CC211" i="2" s="1"/>
  <c r="BT10" i="3"/>
  <c r="BO188" i="3"/>
  <c r="CF22" i="3"/>
  <c r="CF20" i="3"/>
  <c r="CF24" i="3"/>
  <c r="BN9" i="3"/>
  <c r="BR11" i="3"/>
  <c r="BR8" i="3"/>
  <c r="CA211" i="2" s="1"/>
  <c r="BM188" i="3"/>
  <c r="U45" i="2"/>
  <c r="U49" i="2"/>
  <c r="U111" i="2"/>
  <c r="U177" i="2"/>
  <c r="CP215" i="2"/>
  <c r="CG111" i="3"/>
  <c r="BM210" i="2"/>
  <c r="BM7" i="2"/>
  <c r="BK233" i="2"/>
  <c r="BN202" i="2"/>
  <c r="CG34" i="3"/>
  <c r="CB114" i="3"/>
  <c r="BB196" i="2"/>
  <c r="BB197" i="2" s="1"/>
  <c r="BB47" i="2"/>
  <c r="BB162" i="2"/>
  <c r="BF43" i="2"/>
  <c r="W46" i="2"/>
  <c r="AB46" i="2"/>
  <c r="BN8" i="3"/>
  <c r="BW211" i="2" s="1"/>
  <c r="BS41" i="3"/>
  <c r="BN117" i="3"/>
  <c r="BN6" i="3"/>
  <c r="CK102" i="2"/>
  <c r="CL102" i="2" s="1"/>
  <c r="CM102" i="2" s="1"/>
  <c r="CN102" i="2" s="1"/>
  <c r="CO102" i="2" s="1"/>
  <c r="CP102" i="2" s="1"/>
  <c r="CQ102" i="2" s="1"/>
  <c r="CR102" i="2" s="1"/>
  <c r="CS102" i="2" s="1"/>
  <c r="CT102" i="2" s="1"/>
  <c r="BC111" i="2"/>
  <c r="BC120" i="2" s="1"/>
  <c r="BC177" i="2"/>
  <c r="BC49" i="2"/>
  <c r="BC45" i="2"/>
  <c r="BL169" i="2"/>
  <c r="BL135" i="2"/>
  <c r="BL239" i="2"/>
  <c r="BL12" i="2"/>
  <c r="BL160" i="2"/>
  <c r="CA68" i="2"/>
  <c r="CA132" i="2" s="1"/>
  <c r="CQ114" i="2"/>
  <c r="CT114" i="2" s="1"/>
  <c r="CO114" i="2"/>
  <c r="BM185" i="3"/>
  <c r="BM12" i="3"/>
  <c r="BM192" i="3"/>
  <c r="BM195" i="3"/>
  <c r="BM190" i="3"/>
  <c r="BM193" i="3"/>
  <c r="BM189" i="3"/>
  <c r="BM194" i="3"/>
  <c r="BV5" i="2"/>
  <c r="BM186" i="3"/>
  <c r="BM187" i="3"/>
  <c r="BR9" i="3"/>
  <c r="AZ237" i="2"/>
  <c r="AZ216" i="2"/>
  <c r="AZ127" i="2"/>
  <c r="BQ6" i="2"/>
  <c r="BQ22" i="2"/>
  <c r="BQ233" i="2"/>
  <c r="BM233" i="2"/>
  <c r="BM6" i="2"/>
  <c r="BM22" i="2"/>
  <c r="BK210" i="2"/>
  <c r="BK71" i="2"/>
  <c r="BK168" i="2" s="1"/>
  <c r="CS215" i="2"/>
  <c r="BW115" i="3"/>
  <c r="CO79" i="2"/>
  <c r="CP79" i="2"/>
  <c r="BF26" i="2"/>
  <c r="CC111" i="3"/>
  <c r="CC112" i="3" s="1"/>
  <c r="CH27" i="3"/>
  <c r="CL215" i="2"/>
  <c r="S30" i="2"/>
  <c r="S191" i="2"/>
  <c r="T191" i="2"/>
  <c r="W49" i="2"/>
  <c r="S48" i="2"/>
  <c r="BI188" i="3"/>
  <c r="BC191" i="2"/>
  <c r="BD188" i="2"/>
  <c r="BD190" i="2" s="1"/>
  <c r="BC162" i="2"/>
  <c r="BC196" i="2"/>
  <c r="BC197" i="2" s="1"/>
  <c r="BE51" i="2"/>
  <c r="BE50" i="2"/>
  <c r="AH196" i="2"/>
  <c r="AH197" i="2" s="1"/>
  <c r="AH162" i="2"/>
  <c r="U211" i="2"/>
  <c r="L188" i="3"/>
  <c r="L7" i="3"/>
  <c r="BT9" i="3"/>
  <c r="BO185" i="3"/>
  <c r="BO189" i="3"/>
  <c r="BO193" i="3"/>
  <c r="BO192" i="3"/>
  <c r="BX5" i="2"/>
  <c r="BO187" i="3"/>
  <c r="BO195" i="3"/>
  <c r="BO194" i="3"/>
  <c r="BO190" i="3"/>
  <c r="BO186" i="3"/>
  <c r="BO12" i="3"/>
  <c r="BO7" i="3" s="1"/>
  <c r="U191" i="2"/>
  <c r="BM118" i="3"/>
  <c r="BM102" i="3"/>
  <c r="BH188" i="2"/>
  <c r="BH190" i="2" s="1"/>
  <c r="BG191" i="2"/>
  <c r="CB112" i="3"/>
  <c r="CR116" i="2"/>
  <c r="CM115" i="2"/>
  <c r="CO116" i="2"/>
  <c r="BK69" i="2"/>
  <c r="BK164" i="2" s="1"/>
  <c r="BJ165" i="2"/>
  <c r="BJ202" i="2" s="1"/>
  <c r="BN160" i="2"/>
  <c r="AL30" i="2"/>
  <c r="AL236" i="2"/>
  <c r="AL191" i="2"/>
  <c r="AK191" i="2" s="1"/>
  <c r="BF236" i="2"/>
  <c r="BF30" i="2"/>
  <c r="AD50" i="2"/>
  <c r="AD51" i="2"/>
  <c r="BI195" i="3"/>
  <c r="BI193" i="3"/>
  <c r="BR5" i="2"/>
  <c r="BI190" i="3"/>
  <c r="BI185" i="3"/>
  <c r="BI186" i="3"/>
  <c r="BI192" i="3"/>
  <c r="BI194" i="3"/>
  <c r="BI189" i="3"/>
  <c r="BI187" i="3"/>
  <c r="CN115" i="2"/>
  <c r="CS116" i="2"/>
  <c r="CS115" i="2" s="1"/>
  <c r="T210" i="2"/>
  <c r="K187" i="3"/>
  <c r="T7" i="2"/>
  <c r="K10" i="3"/>
  <c r="AZ188" i="2"/>
  <c r="AY191" i="2"/>
  <c r="CG147" i="3"/>
  <c r="BT117" i="3"/>
  <c r="BY41" i="3"/>
  <c r="BT6" i="3"/>
  <c r="BW41" i="3"/>
  <c r="BR6" i="3"/>
  <c r="BR117" i="3"/>
  <c r="BV91" i="2"/>
  <c r="BU91" i="2"/>
  <c r="BW78" i="2"/>
  <c r="BW134" i="2" s="1"/>
  <c r="CQ119" i="2"/>
  <c r="CT119" i="2" s="1"/>
  <c r="CO119" i="2"/>
  <c r="BH199" i="3"/>
  <c r="BH209" i="3"/>
  <c r="BH206" i="3"/>
  <c r="BH103" i="3"/>
  <c r="BH207" i="3"/>
  <c r="BH142" i="3"/>
  <c r="BH208" i="3"/>
  <c r="BH204" i="3"/>
  <c r="BH203" i="3"/>
  <c r="BH200" i="3"/>
  <c r="BH201" i="3"/>
  <c r="BJ169" i="2"/>
  <c r="BJ239" i="2"/>
  <c r="BN239" i="2"/>
  <c r="AL26" i="2"/>
  <c r="AQ26" i="2"/>
  <c r="BB111" i="2"/>
  <c r="BB120" i="2" s="1"/>
  <c r="BB45" i="2"/>
  <c r="BB177" i="2"/>
  <c r="BB49" i="2"/>
  <c r="AD46" i="2"/>
  <c r="S26" i="2"/>
  <c r="X26" i="2"/>
  <c r="V43" i="2"/>
  <c r="W120" i="2"/>
  <c r="W216" i="2" s="1"/>
  <c r="BJ148" i="2"/>
  <c r="BN11" i="3"/>
  <c r="BI118" i="3"/>
  <c r="AW254" i="3"/>
  <c r="AW253" i="3" s="1"/>
  <c r="AW248" i="3"/>
  <c r="CJ34" i="3"/>
  <c r="BL165" i="2"/>
  <c r="BL202" i="2" s="1"/>
  <c r="BJ201" i="3"/>
  <c r="BJ103" i="3"/>
  <c r="BJ208" i="3"/>
  <c r="BJ209" i="3"/>
  <c r="BJ207" i="3"/>
  <c r="BJ200" i="3"/>
  <c r="BJ199" i="3"/>
  <c r="BJ204" i="3"/>
  <c r="BJ206" i="3"/>
  <c r="BJ203" i="3"/>
  <c r="BS233" i="2"/>
  <c r="BS22" i="2"/>
  <c r="BS6" i="2"/>
  <c r="BB203" i="3"/>
  <c r="BB201" i="3"/>
  <c r="BB206" i="3"/>
  <c r="BB207" i="3"/>
  <c r="BB199" i="3"/>
  <c r="BB209" i="3"/>
  <c r="BB103" i="3"/>
  <c r="BB208" i="3"/>
  <c r="BB200" i="3"/>
  <c r="BB142" i="3"/>
  <c r="BB204" i="3"/>
  <c r="BY89" i="2"/>
  <c r="BX138" i="2"/>
  <c r="BO118" i="3"/>
  <c r="BO102" i="3"/>
  <c r="BO202" i="3" s="1"/>
  <c r="CH90" i="2"/>
  <c r="CI90" i="2" s="1"/>
  <c r="CJ90" i="2" s="1"/>
  <c r="CK90" i="2" s="1"/>
  <c r="CL90" i="2" s="1"/>
  <c r="CM90" i="2" s="1"/>
  <c r="CN90" i="2" s="1"/>
  <c r="CO90" i="2" s="1"/>
  <c r="CP90" i="2" s="1"/>
  <c r="CQ90" i="2" s="1"/>
  <c r="BF191" i="2"/>
  <c r="CD109" i="3"/>
  <c r="CI108" i="3"/>
  <c r="CR214" i="2"/>
  <c r="CA26" i="3"/>
  <c r="CJ214" i="2"/>
  <c r="CJ20" i="3"/>
  <c r="CK20" i="3" s="1"/>
  <c r="CN214" i="2"/>
  <c r="AN198" i="2" l="1"/>
  <c r="AM198" i="2"/>
  <c r="AL39" i="2"/>
  <c r="AL40" i="2" s="1"/>
  <c r="AJ43" i="2"/>
  <c r="BE148" i="2"/>
  <c r="BD150" i="2"/>
  <c r="BH156" i="3"/>
  <c r="BK165" i="2"/>
  <c r="BQ10" i="2"/>
  <c r="BM202" i="3"/>
  <c r="BM7" i="3"/>
  <c r="CG109" i="3"/>
  <c r="CD120" i="3"/>
  <c r="CD121" i="3" s="1"/>
  <c r="BW8" i="3"/>
  <c r="CF211" i="2" s="1"/>
  <c r="BY9" i="3"/>
  <c r="BN23" i="2"/>
  <c r="BN25" i="2" s="1"/>
  <c r="BS161" i="2"/>
  <c r="BS10" i="2"/>
  <c r="BR160" i="2"/>
  <c r="BR165" i="2"/>
  <c r="BR170" i="2"/>
  <c r="BR163" i="2"/>
  <c r="BR164" i="2"/>
  <c r="BW164" i="2" s="1"/>
  <c r="CB164" i="2" s="1"/>
  <c r="CG164" i="2" s="1"/>
  <c r="CL164" i="2" s="1"/>
  <c r="CQ164" i="2" s="1"/>
  <c r="BR168" i="2"/>
  <c r="BW168" i="2" s="1"/>
  <c r="CB168" i="2" s="1"/>
  <c r="CG168" i="2" s="1"/>
  <c r="CL168" i="2" s="1"/>
  <c r="CQ168" i="2" s="1"/>
  <c r="BI46" i="2"/>
  <c r="BR9" i="2"/>
  <c r="BW9" i="2" s="1"/>
  <c r="CB9" i="2" s="1"/>
  <c r="CG9" i="2" s="1"/>
  <c r="CL9" i="2" s="1"/>
  <c r="CQ9" i="2" s="1"/>
  <c r="Z50" i="2"/>
  <c r="Z51" i="2"/>
  <c r="Z120" i="2"/>
  <c r="Z216" i="2" s="1"/>
  <c r="BX164" i="2"/>
  <c r="CC164" i="2" s="1"/>
  <c r="CH164" i="2" s="1"/>
  <c r="CM164" i="2" s="1"/>
  <c r="CR164" i="2" s="1"/>
  <c r="BG198" i="2"/>
  <c r="BS210" i="2"/>
  <c r="BS7" i="2"/>
  <c r="BS11" i="3"/>
  <c r="BQ7" i="2"/>
  <c r="BQ210" i="2"/>
  <c r="BV9" i="2"/>
  <c r="BN10" i="2"/>
  <c r="BL23" i="2"/>
  <c r="BL37" i="2" s="1"/>
  <c r="BD237" i="2"/>
  <c r="BD216" i="2"/>
  <c r="BD51" i="2"/>
  <c r="BD50" i="2"/>
  <c r="CI121" i="3"/>
  <c r="CF36" i="3"/>
  <c r="CF39" i="3"/>
  <c r="CF37" i="3"/>
  <c r="CF35" i="3" s="1"/>
  <c r="BZ50" i="3"/>
  <c r="CA50" i="3" s="1"/>
  <c r="BG49" i="3"/>
  <c r="BL41" i="3"/>
  <c r="BP41" i="3"/>
  <c r="BK6" i="3"/>
  <c r="BG117" i="3"/>
  <c r="BF102" i="3"/>
  <c r="BF142" i="3" s="1"/>
  <c r="BF156" i="3" s="1"/>
  <c r="BF118" i="3"/>
  <c r="BK11" i="3"/>
  <c r="BF189" i="3"/>
  <c r="BF193" i="3"/>
  <c r="BG6" i="3"/>
  <c r="BF185" i="3"/>
  <c r="BT211" i="2"/>
  <c r="BF188" i="3"/>
  <c r="BF190" i="3"/>
  <c r="BF186" i="3"/>
  <c r="BO5" i="2"/>
  <c r="BK9" i="3"/>
  <c r="BK10" i="3" s="1"/>
  <c r="BF194" i="3"/>
  <c r="BF192" i="3"/>
  <c r="BF187" i="3"/>
  <c r="BF195" i="3"/>
  <c r="BF12" i="3"/>
  <c r="CA40" i="3"/>
  <c r="CF34" i="3"/>
  <c r="CK38" i="3" s="1"/>
  <c r="CD114" i="3"/>
  <c r="CD115" i="3" s="1"/>
  <c r="CI34" i="3"/>
  <c r="CI114" i="3" s="1"/>
  <c r="CK32" i="3"/>
  <c r="CK29" i="3"/>
  <c r="CO215" i="2"/>
  <c r="CK30" i="3"/>
  <c r="CK31" i="3"/>
  <c r="CA28" i="3"/>
  <c r="CF33" i="3"/>
  <c r="CF32" i="3"/>
  <c r="CA33" i="3"/>
  <c r="CJ215" i="2"/>
  <c r="CF31" i="3"/>
  <c r="CF30" i="3"/>
  <c r="CF29" i="3"/>
  <c r="CI27" i="3"/>
  <c r="CD111" i="3"/>
  <c r="CD112" i="3" s="1"/>
  <c r="CM215" i="2"/>
  <c r="BK10" i="2"/>
  <c r="BK161" i="2"/>
  <c r="BK19" i="2"/>
  <c r="BN201" i="2"/>
  <c r="BN13" i="2"/>
  <c r="AE50" i="2"/>
  <c r="AE51" i="2"/>
  <c r="AE46" i="2"/>
  <c r="CA35" i="3"/>
  <c r="BM10" i="2"/>
  <c r="BV51" i="3"/>
  <c r="BQ60" i="3"/>
  <c r="BV64" i="3"/>
  <c r="BQ67" i="3"/>
  <c r="BV66" i="3"/>
  <c r="BV65" i="3"/>
  <c r="BV61" i="3"/>
  <c r="BV62" i="3"/>
  <c r="BV63" i="3"/>
  <c r="BN124" i="3"/>
  <c r="BX59" i="3"/>
  <c r="BS123" i="3"/>
  <c r="BV59" i="3"/>
  <c r="CA55" i="3"/>
  <c r="CA56" i="3"/>
  <c r="CA52" i="3"/>
  <c r="CA54" i="3"/>
  <c r="BV58" i="3"/>
  <c r="CA57" i="3"/>
  <c r="CA53" i="3"/>
  <c r="BS121" i="3"/>
  <c r="CC50" i="3"/>
  <c r="BX120" i="3"/>
  <c r="CH34" i="3"/>
  <c r="CH114" i="3" s="1"/>
  <c r="CC114" i="3"/>
  <c r="CC115" i="3" s="1"/>
  <c r="O200" i="2"/>
  <c r="O109" i="2"/>
  <c r="F5" i="3"/>
  <c r="O159" i="2"/>
  <c r="O178" i="2" s="1"/>
  <c r="O63" i="2"/>
  <c r="O194" i="2"/>
  <c r="P4" i="2"/>
  <c r="CF118" i="2"/>
  <c r="BZ118" i="2"/>
  <c r="CC118" i="2"/>
  <c r="CB118" i="2"/>
  <c r="BL203" i="2"/>
  <c r="BL13" i="2"/>
  <c r="CF21" i="3"/>
  <c r="CJ59" i="3"/>
  <c r="BY180" i="2"/>
  <c r="BX179" i="2"/>
  <c r="BX57" i="2" s="1"/>
  <c r="BY124" i="3"/>
  <c r="CI59" i="3"/>
  <c r="CD123" i="3"/>
  <c r="CK24" i="3"/>
  <c r="CK25" i="3"/>
  <c r="CA196" i="2"/>
  <c r="CA162" i="2"/>
  <c r="CO214" i="2"/>
  <c r="CK22" i="3"/>
  <c r="CK23" i="3"/>
  <c r="CF26" i="3"/>
  <c r="BW11" i="3"/>
  <c r="BW9" i="3"/>
  <c r="BR188" i="3"/>
  <c r="BS9" i="3"/>
  <c r="BS8" i="3"/>
  <c r="CB211" i="2" s="1"/>
  <c r="BB216" i="2"/>
  <c r="BB237" i="2"/>
  <c r="BW10" i="3"/>
  <c r="CA5" i="2"/>
  <c r="BR193" i="3"/>
  <c r="BR192" i="3"/>
  <c r="BR195" i="3"/>
  <c r="BR194" i="3"/>
  <c r="BR190" i="3"/>
  <c r="BR12" i="3"/>
  <c r="BR7" i="3" s="1"/>
  <c r="BR189" i="3"/>
  <c r="BR185" i="3"/>
  <c r="BR186" i="3"/>
  <c r="BR187" i="3"/>
  <c r="BT118" i="3"/>
  <c r="BT102" i="3"/>
  <c r="BT202" i="3" s="1"/>
  <c r="CR115" i="2"/>
  <c r="CT115" i="2" s="1"/>
  <c r="CT116" i="2"/>
  <c r="BM207" i="3"/>
  <c r="BM208" i="3"/>
  <c r="BM103" i="3"/>
  <c r="BM204" i="3"/>
  <c r="BV23" i="2"/>
  <c r="BM203" i="3"/>
  <c r="BM142" i="3"/>
  <c r="BM209" i="3"/>
  <c r="BM206" i="3"/>
  <c r="BM199" i="3"/>
  <c r="BM200" i="3"/>
  <c r="BM201" i="3"/>
  <c r="BX210" i="2"/>
  <c r="BX7" i="2"/>
  <c r="U7" i="2"/>
  <c r="L10" i="3"/>
  <c r="L187" i="3"/>
  <c r="U210" i="2"/>
  <c r="AK198" i="2"/>
  <c r="AJ198" i="2"/>
  <c r="AI198" i="2"/>
  <c r="AH198" i="2"/>
  <c r="W50" i="2"/>
  <c r="W51" i="2"/>
  <c r="CQ215" i="2"/>
  <c r="CH111" i="3"/>
  <c r="CH112" i="3" s="1"/>
  <c r="CR79" i="2"/>
  <c r="BV130" i="2"/>
  <c r="BV69" i="2"/>
  <c r="BV22" i="2"/>
  <c r="BV71" i="2"/>
  <c r="BV233" i="2"/>
  <c r="BV163" i="2"/>
  <c r="BV6" i="2"/>
  <c r="BU92" i="2"/>
  <c r="BV92" i="2" s="1"/>
  <c r="CB68" i="2"/>
  <c r="CB132" i="2" s="1"/>
  <c r="BC237" i="2"/>
  <c r="BC216" i="2"/>
  <c r="BN188" i="3"/>
  <c r="CB115" i="3"/>
  <c r="BK202" i="2"/>
  <c r="CG112" i="3"/>
  <c r="V177" i="2"/>
  <c r="V45" i="2"/>
  <c r="V49" i="2"/>
  <c r="V111" i="2"/>
  <c r="BB51" i="2"/>
  <c r="BB50" i="2"/>
  <c r="BJ172" i="2"/>
  <c r="BK74" i="2"/>
  <c r="BY10" i="3"/>
  <c r="BT186" i="3"/>
  <c r="BT195" i="3"/>
  <c r="BT193" i="3"/>
  <c r="BT189" i="3"/>
  <c r="CC5" i="2"/>
  <c r="BT187" i="3"/>
  <c r="BT190" i="3"/>
  <c r="BT194" i="3"/>
  <c r="BT12" i="3"/>
  <c r="BT7" i="3" s="1"/>
  <c r="BT185" i="3"/>
  <c r="BT192" i="3"/>
  <c r="BR6" i="2"/>
  <c r="BR233" i="2"/>
  <c r="BR22" i="2"/>
  <c r="CQ79" i="2"/>
  <c r="BM202" i="2"/>
  <c r="BM12" i="2"/>
  <c r="BM23" i="2" s="1"/>
  <c r="BM37" i="2" s="1"/>
  <c r="BM40" i="2" s="1"/>
  <c r="BQ239" i="2"/>
  <c r="BQ135" i="2"/>
  <c r="AZ152" i="2"/>
  <c r="AZ153" i="2" s="1"/>
  <c r="AZ189" i="2"/>
  <c r="AZ190" i="2" s="1"/>
  <c r="AZ147" i="2"/>
  <c r="AZ149" i="2" s="1"/>
  <c r="AZ150" i="2" s="1"/>
  <c r="BC46" i="2"/>
  <c r="BH46" i="2"/>
  <c r="CG114" i="3"/>
  <c r="U120" i="2"/>
  <c r="U216" i="2" s="1"/>
  <c r="BO199" i="3"/>
  <c r="BO206" i="3"/>
  <c r="BO207" i="3"/>
  <c r="BX23" i="2"/>
  <c r="BO208" i="3"/>
  <c r="BO204" i="3"/>
  <c r="BO201" i="3"/>
  <c r="BO203" i="3"/>
  <c r="BO142" i="3"/>
  <c r="BO156" i="3" s="1"/>
  <c r="BO200" i="3"/>
  <c r="BO209" i="3"/>
  <c r="BO103" i="3"/>
  <c r="BB156" i="3"/>
  <c r="S162" i="2"/>
  <c r="S196" i="2"/>
  <c r="S197" i="2" s="1"/>
  <c r="BK239" i="2"/>
  <c r="BV117" i="2"/>
  <c r="BW91" i="2"/>
  <c r="CB41" i="3"/>
  <c r="BW117" i="3"/>
  <c r="BW6" i="3"/>
  <c r="CB8" i="3" s="1"/>
  <c r="CK211" i="2" s="1"/>
  <c r="BY11" i="3"/>
  <c r="BY8" i="3"/>
  <c r="CH211" i="2" s="1"/>
  <c r="S43" i="2"/>
  <c r="S49" i="2" s="1"/>
  <c r="BX6" i="2"/>
  <c r="BX130" i="2"/>
  <c r="BX233" i="2"/>
  <c r="BX163" i="2"/>
  <c r="BX22" i="2"/>
  <c r="AH43" i="2"/>
  <c r="BL167" i="2"/>
  <c r="BL201" i="2" s="1"/>
  <c r="BL204" i="2" s="1"/>
  <c r="BC51" i="2"/>
  <c r="BC50" i="2"/>
  <c r="BN190" i="3"/>
  <c r="BN193" i="3"/>
  <c r="BN189" i="3"/>
  <c r="BN187" i="3"/>
  <c r="BN185" i="3"/>
  <c r="BN194" i="3"/>
  <c r="BN192" i="3"/>
  <c r="BN12" i="3"/>
  <c r="BN7" i="3" s="1"/>
  <c r="BW5" i="2"/>
  <c r="BN195" i="3"/>
  <c r="BN186" i="3"/>
  <c r="BN118" i="3"/>
  <c r="BF162" i="2"/>
  <c r="BF196" i="2"/>
  <c r="BF197" i="2" s="1"/>
  <c r="BF198" i="2" s="1"/>
  <c r="BE198" i="2"/>
  <c r="BC198" i="2"/>
  <c r="BD198" i="2"/>
  <c r="BB198" i="2"/>
  <c r="U50" i="2"/>
  <c r="U51" i="2"/>
  <c r="BY138" i="2"/>
  <c r="BZ138" i="2" s="1"/>
  <c r="BZ89" i="2"/>
  <c r="CA89" i="2"/>
  <c r="BS239" i="2"/>
  <c r="BS135" i="2"/>
  <c r="BB46" i="2"/>
  <c r="BB48" i="2"/>
  <c r="BG46" i="2"/>
  <c r="BX78" i="2"/>
  <c r="BX134" i="2" s="1"/>
  <c r="BR118" i="3"/>
  <c r="BR102" i="3"/>
  <c r="BR202" i="3" s="1"/>
  <c r="BT188" i="3"/>
  <c r="BY117" i="3"/>
  <c r="CD41" i="3"/>
  <c r="BY6" i="3"/>
  <c r="CD9" i="3" s="1"/>
  <c r="BN17" i="2"/>
  <c r="BN18" i="2"/>
  <c r="BR210" i="2"/>
  <c r="BR7" i="2"/>
  <c r="BN203" i="2"/>
  <c r="CO115" i="2"/>
  <c r="BI188" i="2"/>
  <c r="BI190" i="2" s="1"/>
  <c r="BH191" i="2"/>
  <c r="BE188" i="2"/>
  <c r="BD191" i="2"/>
  <c r="BM239" i="2"/>
  <c r="BQ202" i="2"/>
  <c r="BV210" i="2"/>
  <c r="BV7" i="2"/>
  <c r="BS10" i="3"/>
  <c r="BS117" i="3"/>
  <c r="BX41" i="3"/>
  <c r="BS6" i="3"/>
  <c r="BF177" i="2"/>
  <c r="BF111" i="2"/>
  <c r="BF120" i="2" s="1"/>
  <c r="BF49" i="2"/>
  <c r="BF45" i="2"/>
  <c r="U46" i="2"/>
  <c r="Z46" i="2"/>
  <c r="CT214" i="2"/>
  <c r="CK26" i="3"/>
  <c r="CS214" i="2"/>
  <c r="CI109" i="3"/>
  <c r="AJ111" i="2" l="1"/>
  <c r="AJ120" i="2" s="1"/>
  <c r="AJ216" i="2" s="1"/>
  <c r="AJ177" i="2"/>
  <c r="AJ49" i="2"/>
  <c r="AJ45" i="2"/>
  <c r="BL234" i="2"/>
  <c r="BL195" i="2"/>
  <c r="BL25" i="2"/>
  <c r="BL171" i="2"/>
  <c r="BK172" i="2"/>
  <c r="CA9" i="2"/>
  <c r="CF9" i="2" s="1"/>
  <c r="CK9" i="2" s="1"/>
  <c r="CP9" i="2" s="1"/>
  <c r="BM156" i="3"/>
  <c r="BN195" i="2"/>
  <c r="BN234" i="2"/>
  <c r="CG170" i="2"/>
  <c r="CL170" i="2" s="1"/>
  <c r="CQ170" i="2" s="1"/>
  <c r="BW170" i="2"/>
  <c r="BT5" i="2"/>
  <c r="BL24" i="2"/>
  <c r="BS188" i="3"/>
  <c r="BS19" i="2"/>
  <c r="BV8" i="2"/>
  <c r="BV70" i="2" s="1"/>
  <c r="BN37" i="2"/>
  <c r="BN24" i="2"/>
  <c r="BX69" i="2"/>
  <c r="BS202" i="2"/>
  <c r="BR10" i="2"/>
  <c r="BL40" i="2"/>
  <c r="BX168" i="2"/>
  <c r="BX9" i="2"/>
  <c r="BO165" i="2"/>
  <c r="BO168" i="2"/>
  <c r="BO164" i="2"/>
  <c r="BO160" i="2"/>
  <c r="BO175" i="2"/>
  <c r="BO163" i="2"/>
  <c r="BO170" i="2"/>
  <c r="BQ203" i="2"/>
  <c r="CF40" i="3"/>
  <c r="BL10" i="3"/>
  <c r="CE50" i="3"/>
  <c r="CF50" i="3" s="1"/>
  <c r="BO22" i="2"/>
  <c r="BO233" i="2"/>
  <c r="BO6" i="2"/>
  <c r="BP5" i="2"/>
  <c r="BG194" i="3"/>
  <c r="BG186" i="3"/>
  <c r="BG190" i="3"/>
  <c r="BG185" i="3"/>
  <c r="BG188" i="3"/>
  <c r="BG189" i="3"/>
  <c r="BG193" i="3"/>
  <c r="BG187" i="3"/>
  <c r="BG12" i="3"/>
  <c r="BG192" i="3"/>
  <c r="BG195" i="3"/>
  <c r="BG147" i="3"/>
  <c r="BG161" i="3" s="1"/>
  <c r="BG118" i="3"/>
  <c r="BU41" i="3"/>
  <c r="BP6" i="3"/>
  <c r="BQ41" i="3"/>
  <c r="BU211" i="2"/>
  <c r="BQ43" i="3"/>
  <c r="BQ45" i="3"/>
  <c r="BQ44" i="3"/>
  <c r="BQ48" i="3"/>
  <c r="BL49" i="3"/>
  <c r="BQ46" i="3"/>
  <c r="BQ47" i="3"/>
  <c r="BL9" i="3"/>
  <c r="BF206" i="3"/>
  <c r="BF199" i="3"/>
  <c r="BF204" i="3"/>
  <c r="BF208" i="3"/>
  <c r="BF201" i="3"/>
  <c r="BF203" i="3"/>
  <c r="BF103" i="3"/>
  <c r="BF202" i="3"/>
  <c r="BF207" i="3"/>
  <c r="BF200" i="3"/>
  <c r="BF209" i="3"/>
  <c r="BP11" i="3"/>
  <c r="BP10" i="3"/>
  <c r="BK188" i="3"/>
  <c r="BK192" i="3"/>
  <c r="BL6" i="3"/>
  <c r="BK185" i="3"/>
  <c r="BK194" i="3"/>
  <c r="BK195" i="3"/>
  <c r="BK193" i="3"/>
  <c r="BP8" i="3"/>
  <c r="BY211" i="2" s="1"/>
  <c r="BP9" i="3"/>
  <c r="BK190" i="3"/>
  <c r="BK187" i="3"/>
  <c r="BK186" i="3"/>
  <c r="BK189" i="3"/>
  <c r="BK12" i="3"/>
  <c r="CR90" i="2"/>
  <c r="CS90" i="2" s="1"/>
  <c r="CT90" i="2" s="1"/>
  <c r="CK36" i="3"/>
  <c r="CK39" i="3"/>
  <c r="CK37" i="3"/>
  <c r="CK35" i="3" s="1"/>
  <c r="CI115" i="3"/>
  <c r="CF28" i="3"/>
  <c r="CK28" i="3"/>
  <c r="CI111" i="3"/>
  <c r="CI112" i="3" s="1"/>
  <c r="CR215" i="2"/>
  <c r="CK27" i="3"/>
  <c r="CK33" i="3" s="1"/>
  <c r="CK21" i="3"/>
  <c r="BN204" i="2"/>
  <c r="BN14" i="2"/>
  <c r="CK34" i="3"/>
  <c r="CK40" i="3" s="1"/>
  <c r="CA66" i="3"/>
  <c r="CA61" i="3"/>
  <c r="CA62" i="3"/>
  <c r="CA65" i="3"/>
  <c r="CA64" i="3"/>
  <c r="CA63" i="3"/>
  <c r="BV67" i="3"/>
  <c r="BV60" i="3"/>
  <c r="CC59" i="3"/>
  <c r="BX123" i="3"/>
  <c r="CA59" i="3"/>
  <c r="BS124" i="3"/>
  <c r="CA58" i="3"/>
  <c r="CF54" i="3"/>
  <c r="CF52" i="3"/>
  <c r="CF55" i="3"/>
  <c r="CF57" i="3"/>
  <c r="CF53" i="3"/>
  <c r="CF56" i="3"/>
  <c r="BX121" i="3"/>
  <c r="CC120" i="3"/>
  <c r="CH50" i="3"/>
  <c r="CA51" i="3"/>
  <c r="CH115" i="3"/>
  <c r="BM13" i="2"/>
  <c r="G5" i="3"/>
  <c r="P109" i="2"/>
  <c r="P159" i="2"/>
  <c r="P178" i="2" s="1"/>
  <c r="P200" i="2"/>
  <c r="Q4" i="2"/>
  <c r="P194" i="2"/>
  <c r="P63" i="2"/>
  <c r="BQ201" i="2"/>
  <c r="BQ204" i="2" s="1"/>
  <c r="BQ12" i="2"/>
  <c r="CE118" i="2"/>
  <c r="CG118" i="2"/>
  <c r="CH118" i="2"/>
  <c r="CK118" i="2"/>
  <c r="BL26" i="2"/>
  <c r="BL14" i="2"/>
  <c r="BL18" i="2"/>
  <c r="BL17" i="2"/>
  <c r="CA180" i="2"/>
  <c r="BY179" i="2"/>
  <c r="CD124" i="3"/>
  <c r="CI123" i="3"/>
  <c r="CB196" i="2"/>
  <c r="CB162" i="2"/>
  <c r="BX11" i="3"/>
  <c r="BY188" i="3"/>
  <c r="BX8" i="3"/>
  <c r="CG211" i="2" s="1"/>
  <c r="BX10" i="3"/>
  <c r="CD11" i="3"/>
  <c r="BX9" i="3"/>
  <c r="CD10" i="3"/>
  <c r="BW188" i="3"/>
  <c r="CB9" i="3"/>
  <c r="BS190" i="3"/>
  <c r="BS185" i="3"/>
  <c r="CB5" i="2"/>
  <c r="BS187" i="3"/>
  <c r="BS194" i="3"/>
  <c r="BS186" i="3"/>
  <c r="BS193" i="3"/>
  <c r="BS189" i="3"/>
  <c r="BS195" i="3"/>
  <c r="BS192" i="3"/>
  <c r="BS12" i="3"/>
  <c r="BS7" i="3" s="1"/>
  <c r="BN161" i="2"/>
  <c r="BN19" i="2"/>
  <c r="BY118" i="3"/>
  <c r="BY102" i="3"/>
  <c r="BY202" i="3" s="1"/>
  <c r="BY78" i="2"/>
  <c r="BZ78" i="2" s="1"/>
  <c r="CB89" i="2"/>
  <c r="CA138" i="2"/>
  <c r="CG41" i="3"/>
  <c r="CB117" i="3"/>
  <c r="CB6" i="3"/>
  <c r="CG9" i="3" s="1"/>
  <c r="BX195" i="2"/>
  <c r="BX197" i="2" s="1"/>
  <c r="BX234" i="2"/>
  <c r="BX24" i="2"/>
  <c r="BM201" i="2"/>
  <c r="CS79" i="2"/>
  <c r="CT79" i="2" s="1"/>
  <c r="BR239" i="2"/>
  <c r="BR202" i="2"/>
  <c r="CA233" i="2"/>
  <c r="CA8" i="2"/>
  <c r="CA71" i="2"/>
  <c r="CA6" i="2"/>
  <c r="CA69" i="2"/>
  <c r="CA22" i="2"/>
  <c r="CA130" i="2"/>
  <c r="CA163" i="2"/>
  <c r="BF46" i="2"/>
  <c r="S51" i="2"/>
  <c r="S50" i="2"/>
  <c r="BJ188" i="2"/>
  <c r="BI191" i="2"/>
  <c r="BJ160" i="2"/>
  <c r="BJ9" i="2"/>
  <c r="BJ12" i="2"/>
  <c r="BK12" i="2" s="1"/>
  <c r="BK13" i="2" s="1"/>
  <c r="BK14" i="2" s="1"/>
  <c r="AH111" i="2"/>
  <c r="AH120" i="2" s="1"/>
  <c r="AH216" i="2" s="1"/>
  <c r="AH177" i="2"/>
  <c r="AH49" i="2"/>
  <c r="AH45" i="2"/>
  <c r="BX165" i="2"/>
  <c r="BX202" i="2" s="1"/>
  <c r="CB10" i="3"/>
  <c r="CF5" i="2"/>
  <c r="BW194" i="3"/>
  <c r="BW190" i="3"/>
  <c r="BW193" i="3"/>
  <c r="BW195" i="3"/>
  <c r="BW12" i="3"/>
  <c r="BW7" i="3" s="1"/>
  <c r="BW192" i="3"/>
  <c r="BW189" i="3"/>
  <c r="BW185" i="3"/>
  <c r="BW186" i="3"/>
  <c r="BW187" i="3"/>
  <c r="CB11" i="3"/>
  <c r="BM203" i="2"/>
  <c r="V120" i="2"/>
  <c r="V216" i="2" s="1"/>
  <c r="BV120" i="2"/>
  <c r="BW92" i="2"/>
  <c r="BF51" i="2"/>
  <c r="BF50" i="2"/>
  <c r="BX117" i="3"/>
  <c r="CC41" i="3"/>
  <c r="BX6" i="3"/>
  <c r="BX188" i="3" s="1"/>
  <c r="CD8" i="3"/>
  <c r="CM211" i="2" s="1"/>
  <c r="BY187" i="3"/>
  <c r="BY185" i="3"/>
  <c r="BY190" i="3"/>
  <c r="BY192" i="3"/>
  <c r="BY189" i="3"/>
  <c r="BY194" i="3"/>
  <c r="BY193" i="3"/>
  <c r="BY12" i="3"/>
  <c r="BY7" i="3" s="1"/>
  <c r="BY186" i="3"/>
  <c r="CH5" i="2"/>
  <c r="BY195" i="3"/>
  <c r="BR199" i="3"/>
  <c r="CA23" i="2"/>
  <c r="BR206" i="3"/>
  <c r="BR142" i="3"/>
  <c r="BR156" i="3" s="1"/>
  <c r="BR208" i="3"/>
  <c r="BR204" i="3"/>
  <c r="BR207" i="3"/>
  <c r="BR103" i="3"/>
  <c r="BR209" i="3"/>
  <c r="BR203" i="3"/>
  <c r="BR200" i="3"/>
  <c r="BR201" i="3"/>
  <c r="BW233" i="2"/>
  <c r="BW6" i="2"/>
  <c r="BW8" i="2"/>
  <c r="BW12" i="2" s="1"/>
  <c r="BW13" i="2" s="1"/>
  <c r="BW22" i="2"/>
  <c r="BW71" i="2"/>
  <c r="BW130" i="2"/>
  <c r="BW69" i="2"/>
  <c r="BW163" i="2"/>
  <c r="BX135" i="2"/>
  <c r="BX169" i="2"/>
  <c r="BX239" i="2"/>
  <c r="S111" i="2"/>
  <c r="S45" i="2"/>
  <c r="S177" i="2"/>
  <c r="V198" i="2"/>
  <c r="U198" i="2"/>
  <c r="S198" i="2"/>
  <c r="T198" i="2"/>
  <c r="CG115" i="3"/>
  <c r="AZ154" i="2"/>
  <c r="AZ155" i="2" s="1"/>
  <c r="AZ157" i="2"/>
  <c r="CC210" i="2"/>
  <c r="CC7" i="2"/>
  <c r="CC69" i="2"/>
  <c r="CC22" i="2"/>
  <c r="CC130" i="2"/>
  <c r="CC163" i="2"/>
  <c r="CC233" i="2"/>
  <c r="CC6" i="2"/>
  <c r="V50" i="2"/>
  <c r="V51" i="2"/>
  <c r="BV165" i="2"/>
  <c r="BV202" i="2" s="1"/>
  <c r="CA210" i="2"/>
  <c r="CA7" i="2"/>
  <c r="BE120" i="2"/>
  <c r="BF237" i="2"/>
  <c r="BF216" i="2"/>
  <c r="BS118" i="3"/>
  <c r="CD117" i="3"/>
  <c r="CI41" i="3"/>
  <c r="CD6" i="3"/>
  <c r="CI9" i="3" s="1"/>
  <c r="BW7" i="2"/>
  <c r="BW210" i="2"/>
  <c r="AL43" i="2"/>
  <c r="BW118" i="3"/>
  <c r="BW102" i="3"/>
  <c r="BW202" i="3" s="1"/>
  <c r="BW117" i="2"/>
  <c r="BX91" i="2"/>
  <c r="V46" i="2"/>
  <c r="AA46" i="2"/>
  <c r="CC68" i="2"/>
  <c r="CC132" i="2" s="1"/>
  <c r="BV169" i="2"/>
  <c r="BV239" i="2"/>
  <c r="BV135" i="2"/>
  <c r="BV195" i="2"/>
  <c r="BV197" i="2" s="1"/>
  <c r="BV234" i="2"/>
  <c r="BV24" i="2"/>
  <c r="BT201" i="3"/>
  <c r="CC23" i="2"/>
  <c r="BT208" i="3"/>
  <c r="BT209" i="3"/>
  <c r="BT199" i="3"/>
  <c r="BT206" i="3"/>
  <c r="BT103" i="3"/>
  <c r="BT204" i="3"/>
  <c r="BT207" i="3"/>
  <c r="BT200" i="3"/>
  <c r="BT203" i="3"/>
  <c r="BT142" i="3"/>
  <c r="BT156" i="3" s="1"/>
  <c r="AJ46" i="2" l="1"/>
  <c r="AO46" i="2"/>
  <c r="AJ50" i="2"/>
  <c r="AJ51" i="2"/>
  <c r="BQ23" i="2"/>
  <c r="BQ24" i="2" s="1"/>
  <c r="BV26" i="2" s="1"/>
  <c r="BV12" i="2"/>
  <c r="BV16" i="2" s="1"/>
  <c r="BT175" i="2"/>
  <c r="BT168" i="2"/>
  <c r="BY168" i="2" s="1"/>
  <c r="CD168" i="2" s="1"/>
  <c r="CI168" i="2" s="1"/>
  <c r="CN168" i="2" s="1"/>
  <c r="CS168" i="2" s="1"/>
  <c r="BT164" i="2"/>
  <c r="BY164" i="2" s="1"/>
  <c r="BT170" i="2"/>
  <c r="BY170" i="2" s="1"/>
  <c r="BV160" i="2"/>
  <c r="BV85" i="2"/>
  <c r="BV174" i="2" s="1"/>
  <c r="BV203" i="2" s="1"/>
  <c r="BN40" i="2"/>
  <c r="BQ25" i="2"/>
  <c r="BQ37" i="2"/>
  <c r="CI170" i="2"/>
  <c r="CN170" i="2" s="1"/>
  <c r="CS170" i="2" s="1"/>
  <c r="BN26" i="2"/>
  <c r="BR12" i="2"/>
  <c r="BR23" i="2" s="1"/>
  <c r="BQ195" i="2"/>
  <c r="BQ234" i="2"/>
  <c r="CC168" i="2"/>
  <c r="BX71" i="2"/>
  <c r="BX124" i="2" s="1"/>
  <c r="BV25" i="2"/>
  <c r="BL161" i="2"/>
  <c r="BS201" i="2"/>
  <c r="BS12" i="2"/>
  <c r="BP253" i="2"/>
  <c r="BP224" i="2"/>
  <c r="BP226" i="2"/>
  <c r="BP22" i="2"/>
  <c r="BP9" i="2"/>
  <c r="BP17" i="2"/>
  <c r="BP19" i="2" s="1"/>
  <c r="CC9" i="2"/>
  <c r="BX8" i="2"/>
  <c r="BQ13" i="2"/>
  <c r="BQ8" i="3"/>
  <c r="BZ211" i="2" s="1"/>
  <c r="CJ50" i="3"/>
  <c r="BL187" i="3"/>
  <c r="BL188" i="3"/>
  <c r="BL195" i="3"/>
  <c r="BL190" i="3"/>
  <c r="BL193" i="3"/>
  <c r="BL194" i="3"/>
  <c r="BL12" i="3"/>
  <c r="BL186" i="3"/>
  <c r="BL192" i="3"/>
  <c r="BL189" i="3"/>
  <c r="BL185" i="3"/>
  <c r="BQ11" i="3"/>
  <c r="BP210" i="2"/>
  <c r="BP7" i="2"/>
  <c r="BP71" i="2"/>
  <c r="BQ10" i="3"/>
  <c r="BQ42" i="3"/>
  <c r="BQ9" i="3"/>
  <c r="BZ41" i="3"/>
  <c r="BU6" i="3"/>
  <c r="BV41" i="3"/>
  <c r="BP233" i="2"/>
  <c r="BP163" i="2"/>
  <c r="BP6" i="2"/>
  <c r="BO239" i="2"/>
  <c r="BV43" i="3"/>
  <c r="BV45" i="3"/>
  <c r="BQ49" i="3"/>
  <c r="BV44" i="3"/>
  <c r="BV47" i="3"/>
  <c r="BV48" i="3"/>
  <c r="BV46" i="3"/>
  <c r="BO210" i="2"/>
  <c r="BO7" i="2"/>
  <c r="BT210" i="2"/>
  <c r="BT7" i="2"/>
  <c r="BT6" i="2"/>
  <c r="BU5" i="2"/>
  <c r="BT233" i="2"/>
  <c r="BT163" i="2"/>
  <c r="BT22" i="2"/>
  <c r="BU8" i="3"/>
  <c r="CD211" i="2" s="1"/>
  <c r="BP195" i="3"/>
  <c r="BP189" i="3"/>
  <c r="BP192" i="3"/>
  <c r="BQ6" i="3"/>
  <c r="BP188" i="3"/>
  <c r="BP186" i="3"/>
  <c r="BP193" i="3"/>
  <c r="BP12" i="3"/>
  <c r="BP7" i="3" s="1"/>
  <c r="BU10" i="3"/>
  <c r="BY5" i="2"/>
  <c r="BP194" i="3"/>
  <c r="BU9" i="3"/>
  <c r="BP187" i="3"/>
  <c r="BP185" i="3"/>
  <c r="BP190" i="3"/>
  <c r="BU11" i="3"/>
  <c r="BO202" i="2"/>
  <c r="BP69" i="2"/>
  <c r="CT215" i="2"/>
  <c r="BP160" i="2"/>
  <c r="CA60" i="3"/>
  <c r="CF63" i="3"/>
  <c r="CF62" i="3"/>
  <c r="CF65" i="3"/>
  <c r="CF64" i="3"/>
  <c r="CA67" i="3"/>
  <c r="CF61" i="3"/>
  <c r="CF66" i="3"/>
  <c r="BX124" i="3"/>
  <c r="CC123" i="3"/>
  <c r="CH59" i="3"/>
  <c r="CF59" i="3"/>
  <c r="CK57" i="3"/>
  <c r="CF58" i="3"/>
  <c r="CK52" i="3"/>
  <c r="CK55" i="3"/>
  <c r="CK54" i="3"/>
  <c r="CK53" i="3"/>
  <c r="CK56" i="3"/>
  <c r="CH120" i="3"/>
  <c r="CF51" i="3"/>
  <c r="CC121" i="3"/>
  <c r="BM14" i="2"/>
  <c r="S4" i="2"/>
  <c r="Q194" i="2"/>
  <c r="Q63" i="2"/>
  <c r="H5" i="3"/>
  <c r="Q109" i="2"/>
  <c r="Q200" i="2"/>
  <c r="Q159" i="2"/>
  <c r="Q178" i="2" s="1"/>
  <c r="CJ118" i="2"/>
  <c r="CM118" i="2"/>
  <c r="CR118" i="2"/>
  <c r="CP118" i="2"/>
  <c r="CL118" i="2"/>
  <c r="CQ118" i="2"/>
  <c r="BL19" i="2"/>
  <c r="BY57" i="2"/>
  <c r="BZ57" i="2" s="1"/>
  <c r="BZ179" i="2"/>
  <c r="BZ180" i="2" s="1"/>
  <c r="CB180" i="2"/>
  <c r="CA179" i="2"/>
  <c r="CA57" i="2" s="1"/>
  <c r="CI124" i="3"/>
  <c r="CC196" i="2"/>
  <c r="CC162" i="2"/>
  <c r="BJ23" i="2"/>
  <c r="BJ10" i="2"/>
  <c r="CC8" i="3"/>
  <c r="CL211" i="2" s="1"/>
  <c r="BM204" i="2"/>
  <c r="CC10" i="3"/>
  <c r="CI8" i="3"/>
  <c r="CR211" i="2" s="1"/>
  <c r="CI11" i="3"/>
  <c r="BE237" i="2"/>
  <c r="BE216" i="2"/>
  <c r="BE127" i="2"/>
  <c r="CC239" i="2"/>
  <c r="CC169" i="2"/>
  <c r="BW122" i="2"/>
  <c r="BW165" i="2"/>
  <c r="BW202" i="2" s="1"/>
  <c r="BW70" i="2"/>
  <c r="BW123" i="2" s="1"/>
  <c r="BW160" i="2"/>
  <c r="BW85" i="2"/>
  <c r="CC11" i="3"/>
  <c r="CC9" i="3"/>
  <c r="CF210" i="2"/>
  <c r="CF7" i="2"/>
  <c r="BX122" i="2"/>
  <c r="AH46" i="2"/>
  <c r="AM46" i="2"/>
  <c r="CA239" i="2"/>
  <c r="CA169" i="2"/>
  <c r="BV167" i="2"/>
  <c r="BV201" i="2" s="1"/>
  <c r="BV204" i="2" s="1"/>
  <c r="CG6" i="3"/>
  <c r="CG117" i="3"/>
  <c r="CC24" i="2"/>
  <c r="CC26" i="2" s="1"/>
  <c r="CC234" i="2"/>
  <c r="CC25" i="2"/>
  <c r="CC195" i="2"/>
  <c r="BX117" i="2"/>
  <c r="BY91" i="2"/>
  <c r="AL162" i="2"/>
  <c r="AL196" i="2"/>
  <c r="AL197" i="2" s="1"/>
  <c r="AL198" i="2" s="1"/>
  <c r="CD190" i="3"/>
  <c r="CD195" i="3"/>
  <c r="CD193" i="3"/>
  <c r="CD194" i="3"/>
  <c r="CM5" i="2"/>
  <c r="CD186" i="3"/>
  <c r="CD187" i="3"/>
  <c r="CD192" i="3"/>
  <c r="CD189" i="3"/>
  <c r="CD12" i="3"/>
  <c r="CD7" i="3" s="1"/>
  <c r="CD185" i="3"/>
  <c r="BL28" i="2"/>
  <c r="BL172" i="2"/>
  <c r="S46" i="2"/>
  <c r="X46" i="2"/>
  <c r="BW169" i="2"/>
  <c r="BW135" i="2"/>
  <c r="BW239" i="2"/>
  <c r="CH6" i="2"/>
  <c r="CH69" i="2"/>
  <c r="CH22" i="2"/>
  <c r="CH233" i="2"/>
  <c r="CH163" i="2"/>
  <c r="CH130" i="2"/>
  <c r="CC117" i="3"/>
  <c r="CH41" i="3"/>
  <c r="CC6" i="3"/>
  <c r="CH11" i="3" s="1"/>
  <c r="CF8" i="2"/>
  <c r="CF12" i="2" s="1"/>
  <c r="CF13" i="2" s="1"/>
  <c r="CF22" i="2"/>
  <c r="CF130" i="2"/>
  <c r="CF71" i="2"/>
  <c r="CF69" i="2"/>
  <c r="CF233" i="2"/>
  <c r="CF6" i="2"/>
  <c r="CF163" i="2"/>
  <c r="AH50" i="2"/>
  <c r="AH51" i="2"/>
  <c r="AL49" i="2"/>
  <c r="BJ167" i="2"/>
  <c r="BJ201" i="2" s="1"/>
  <c r="BK70" i="2"/>
  <c r="BW124" i="2"/>
  <c r="CB118" i="3"/>
  <c r="CB102" i="3"/>
  <c r="CB202" i="3" s="1"/>
  <c r="CC89" i="2"/>
  <c r="CB138" i="2"/>
  <c r="CB210" i="2"/>
  <c r="CB7" i="2"/>
  <c r="CB69" i="2"/>
  <c r="CC122" i="2" s="1"/>
  <c r="CB163" i="2"/>
  <c r="CB22" i="2"/>
  <c r="CB6" i="2"/>
  <c r="CB71" i="2"/>
  <c r="CB8" i="2"/>
  <c r="CB12" i="2" s="1"/>
  <c r="CB233" i="2"/>
  <c r="CB130" i="2"/>
  <c r="CI10" i="3"/>
  <c r="CI117" i="3"/>
  <c r="CI6" i="3"/>
  <c r="CI188" i="3" s="1"/>
  <c r="CC165" i="2"/>
  <c r="CC202" i="2" s="1"/>
  <c r="S120" i="2"/>
  <c r="S216" i="2" s="1"/>
  <c r="CA24" i="2"/>
  <c r="CA26" i="2" s="1"/>
  <c r="CA234" i="2"/>
  <c r="CA195" i="2"/>
  <c r="CA197" i="2" s="1"/>
  <c r="CA25" i="2"/>
  <c r="BX118" i="3"/>
  <c r="BJ13" i="2"/>
  <c r="CA160" i="2"/>
  <c r="CA70" i="2"/>
  <c r="CA85" i="2"/>
  <c r="CA174" i="2" s="1"/>
  <c r="CA203" i="2" s="1"/>
  <c r="CB12" i="3"/>
  <c r="CB7" i="3" s="1"/>
  <c r="CB192" i="3"/>
  <c r="CB195" i="3"/>
  <c r="CK5" i="2"/>
  <c r="CB194" i="3"/>
  <c r="CB193" i="3"/>
  <c r="CB190" i="3"/>
  <c r="CB189" i="3"/>
  <c r="CB185" i="3"/>
  <c r="CB186" i="3"/>
  <c r="CB187" i="3"/>
  <c r="CG8" i="3"/>
  <c r="CP211" i="2" s="1"/>
  <c r="CA78" i="2"/>
  <c r="CA134" i="2" s="1"/>
  <c r="CA135" i="2" s="1"/>
  <c r="BY201" i="3"/>
  <c r="BY199" i="3"/>
  <c r="CH23" i="2"/>
  <c r="BY103" i="3"/>
  <c r="BY142" i="3"/>
  <c r="BY156" i="3" s="1"/>
  <c r="BY207" i="3"/>
  <c r="BY209" i="3"/>
  <c r="BY208" i="3"/>
  <c r="BY206" i="3"/>
  <c r="BY203" i="3"/>
  <c r="BY204" i="3"/>
  <c r="BY200" i="3"/>
  <c r="CD68" i="2"/>
  <c r="CE68" i="2" s="1"/>
  <c r="BW207" i="3"/>
  <c r="BW209" i="3"/>
  <c r="CF23" i="2"/>
  <c r="BW103" i="3"/>
  <c r="BW206" i="3"/>
  <c r="BW142" i="3"/>
  <c r="BW156" i="3" s="1"/>
  <c r="BW208" i="3"/>
  <c r="BW204" i="3"/>
  <c r="BW203" i="3"/>
  <c r="BW199" i="3"/>
  <c r="BW200" i="3"/>
  <c r="BW201" i="3"/>
  <c r="AL111" i="2"/>
  <c r="AL120" i="2" s="1"/>
  <c r="AL177" i="2"/>
  <c r="AL45" i="2"/>
  <c r="CD188" i="3"/>
  <c r="CD118" i="3"/>
  <c r="CD102" i="3"/>
  <c r="CD202" i="3" s="1"/>
  <c r="CH7" i="2"/>
  <c r="CH210" i="2"/>
  <c r="BX190" i="3"/>
  <c r="BX193" i="3"/>
  <c r="BX12" i="3"/>
  <c r="BX7" i="3" s="1"/>
  <c r="BX186" i="3"/>
  <c r="BX187" i="3"/>
  <c r="BX192" i="3"/>
  <c r="BX195" i="3"/>
  <c r="BX189" i="3"/>
  <c r="CG5" i="2"/>
  <c r="BX185" i="3"/>
  <c r="BX194" i="3"/>
  <c r="BX92" i="2"/>
  <c r="BW120" i="2"/>
  <c r="BK85" i="2"/>
  <c r="BJ174" i="2"/>
  <c r="BJ203" i="2" s="1"/>
  <c r="CA12" i="2"/>
  <c r="CA13" i="2" s="1"/>
  <c r="CA165" i="2"/>
  <c r="CA202" i="2" s="1"/>
  <c r="CG11" i="3"/>
  <c r="CG10" i="3"/>
  <c r="CB188" i="3"/>
  <c r="BY134" i="2"/>
  <c r="BZ134" i="2" s="1"/>
  <c r="BQ26" i="2" l="1"/>
  <c r="BK166" i="2"/>
  <c r="BK167" i="2"/>
  <c r="BU253" i="2"/>
  <c r="BU224" i="2"/>
  <c r="BU226" i="2"/>
  <c r="BK174" i="2"/>
  <c r="BK173" i="2"/>
  <c r="BQ43" i="2"/>
  <c r="BV17" i="2"/>
  <c r="BV13" i="2"/>
  <c r="BU22" i="2"/>
  <c r="BU17" i="2"/>
  <c r="BU19" i="2" s="1"/>
  <c r="BU9" i="2"/>
  <c r="BU10" i="2" s="1"/>
  <c r="BS23" i="2"/>
  <c r="BS203" i="2"/>
  <c r="BS204" i="2" s="1"/>
  <c r="BR24" i="2"/>
  <c r="BR25" i="2"/>
  <c r="BR13" i="2"/>
  <c r="BK23" i="2"/>
  <c r="BK37" i="2" s="1"/>
  <c r="BK40" i="2" s="1"/>
  <c r="BJ37" i="2"/>
  <c r="BJ40" i="2" s="1"/>
  <c r="CD164" i="2"/>
  <c r="CI164" i="2" s="1"/>
  <c r="CN164" i="2" s="1"/>
  <c r="CS164" i="2" s="1"/>
  <c r="CH168" i="2"/>
  <c r="CC71" i="2"/>
  <c r="CC124" i="2" s="1"/>
  <c r="BQ40" i="2"/>
  <c r="BS13" i="2"/>
  <c r="BP10" i="2"/>
  <c r="BZ9" i="2"/>
  <c r="CE9" i="2" s="1"/>
  <c r="CJ9" i="2" s="1"/>
  <c r="CO9" i="2" s="1"/>
  <c r="BX12" i="2"/>
  <c r="BX85" i="2"/>
  <c r="BX174" i="2" s="1"/>
  <c r="BX203" i="2" s="1"/>
  <c r="BX70" i="2"/>
  <c r="BX167" i="2" s="1"/>
  <c r="BX201" i="2" s="1"/>
  <c r="BX160" i="2"/>
  <c r="CH9" i="2"/>
  <c r="CC8" i="2"/>
  <c r="BV18" i="2"/>
  <c r="BQ14" i="2"/>
  <c r="BV11" i="3"/>
  <c r="CK50" i="3"/>
  <c r="CK58" i="3" s="1"/>
  <c r="BV10" i="3"/>
  <c r="BY6" i="2"/>
  <c r="BY130" i="2"/>
  <c r="BY135" i="2" s="1"/>
  <c r="BY69" i="2"/>
  <c r="BY233" i="2"/>
  <c r="BY71" i="2"/>
  <c r="BY22" i="2"/>
  <c r="BY163" i="2"/>
  <c r="BZ5" i="2"/>
  <c r="BU71" i="2"/>
  <c r="BV8" i="3"/>
  <c r="CE211" i="2" s="1"/>
  <c r="BP239" i="2"/>
  <c r="BP169" i="2"/>
  <c r="BP170" i="2"/>
  <c r="BZ9" i="3"/>
  <c r="BU185" i="3"/>
  <c r="CD5" i="2"/>
  <c r="BU192" i="3"/>
  <c r="BU195" i="3"/>
  <c r="BZ8" i="3"/>
  <c r="CI211" i="2" s="1"/>
  <c r="BU188" i="3"/>
  <c r="BU190" i="3"/>
  <c r="BU189" i="3"/>
  <c r="BU194" i="3"/>
  <c r="BV6" i="3"/>
  <c r="BZ10" i="3"/>
  <c r="BZ11" i="3"/>
  <c r="BU186" i="3"/>
  <c r="BU187" i="3"/>
  <c r="BU12" i="3"/>
  <c r="BU7" i="3" s="1"/>
  <c r="BU193" i="3"/>
  <c r="BV42" i="3"/>
  <c r="BV9" i="3"/>
  <c r="BP168" i="2"/>
  <c r="BY210" i="2"/>
  <c r="BY7" i="2"/>
  <c r="BQ188" i="3"/>
  <c r="BQ187" i="3"/>
  <c r="BQ189" i="3"/>
  <c r="BQ195" i="3"/>
  <c r="BQ186" i="3"/>
  <c r="BQ12" i="3"/>
  <c r="BQ7" i="3" s="1"/>
  <c r="BQ194" i="3"/>
  <c r="BQ190" i="3"/>
  <c r="BQ192" i="3"/>
  <c r="BQ193" i="3"/>
  <c r="BQ185" i="3"/>
  <c r="BU163" i="2"/>
  <c r="BU233" i="2"/>
  <c r="BU6" i="2"/>
  <c r="BZ6" i="3"/>
  <c r="CA41" i="3"/>
  <c r="CE41" i="3"/>
  <c r="BP165" i="2"/>
  <c r="BP202" i="2" s="1"/>
  <c r="BP164" i="2"/>
  <c r="BU69" i="2"/>
  <c r="BT165" i="2"/>
  <c r="BT202" i="2" s="1"/>
  <c r="BT239" i="2"/>
  <c r="BT169" i="2"/>
  <c r="CA48" i="3"/>
  <c r="CA47" i="3"/>
  <c r="CA44" i="3"/>
  <c r="CA46" i="3"/>
  <c r="CA45" i="3"/>
  <c r="BV49" i="3"/>
  <c r="CA43" i="3"/>
  <c r="BU210" i="2"/>
  <c r="BU7" i="2"/>
  <c r="CO118" i="2"/>
  <c r="BQ18" i="2"/>
  <c r="BQ17" i="2"/>
  <c r="BO9" i="2"/>
  <c r="BO12" i="2"/>
  <c r="BR201" i="2"/>
  <c r="BR203" i="2"/>
  <c r="CK51" i="3"/>
  <c r="CK65" i="3"/>
  <c r="CF67" i="3"/>
  <c r="CK66" i="3"/>
  <c r="CK63" i="3"/>
  <c r="CK61" i="3"/>
  <c r="CK62" i="3"/>
  <c r="CK64" i="3"/>
  <c r="CH123" i="3"/>
  <c r="CK59" i="3"/>
  <c r="CK67" i="3" s="1"/>
  <c r="CF60" i="3"/>
  <c r="CC124" i="3"/>
  <c r="CH121" i="3"/>
  <c r="S194" i="2"/>
  <c r="T4" i="2"/>
  <c r="S159" i="2"/>
  <c r="S178" i="2" s="1"/>
  <c r="S109" i="2"/>
  <c r="S200" i="2"/>
  <c r="S63" i="2"/>
  <c r="J5" i="3"/>
  <c r="CT118" i="2"/>
  <c r="BK43" i="2"/>
  <c r="BL29" i="2"/>
  <c r="CB179" i="2"/>
  <c r="CC180" i="2"/>
  <c r="CC197" i="2"/>
  <c r="CD162" i="2"/>
  <c r="CD196" i="2"/>
  <c r="BJ29" i="2"/>
  <c r="BJ24" i="2"/>
  <c r="BJ195" i="2"/>
  <c r="BJ234" i="2"/>
  <c r="BJ25" i="2"/>
  <c r="BJ14" i="2"/>
  <c r="CH9" i="3"/>
  <c r="CH8" i="3"/>
  <c r="CQ211" i="2" s="1"/>
  <c r="CC188" i="3"/>
  <c r="CF14" i="2"/>
  <c r="CB13" i="2"/>
  <c r="CB14" i="2" s="1"/>
  <c r="BK203" i="2"/>
  <c r="BY92" i="2"/>
  <c r="BX120" i="2"/>
  <c r="CD200" i="3"/>
  <c r="CD206" i="3"/>
  <c r="CD207" i="3"/>
  <c r="CD201" i="3"/>
  <c r="CD199" i="3"/>
  <c r="CD204" i="3"/>
  <c r="CD208" i="3"/>
  <c r="CD142" i="3"/>
  <c r="CD156" i="3" s="1"/>
  <c r="CD103" i="3"/>
  <c r="CD209" i="3"/>
  <c r="CD203" i="3"/>
  <c r="CM23" i="2"/>
  <c r="CF24" i="2"/>
  <c r="CF26" i="2" s="1"/>
  <c r="CF234" i="2"/>
  <c r="CF25" i="2"/>
  <c r="CF195" i="2"/>
  <c r="CF16" i="2"/>
  <c r="CD132" i="2"/>
  <c r="CE132" i="2" s="1"/>
  <c r="CH25" i="2"/>
  <c r="CH195" i="2"/>
  <c r="CH24" i="2"/>
  <c r="CH26" i="2" s="1"/>
  <c r="CH234" i="2"/>
  <c r="CB78" i="2"/>
  <c r="CB122" i="2"/>
  <c r="CB165" i="2"/>
  <c r="CB202" i="2" s="1"/>
  <c r="CB124" i="2"/>
  <c r="AL51" i="2"/>
  <c r="AL50" i="2"/>
  <c r="CH10" i="3"/>
  <c r="CC192" i="3"/>
  <c r="CL5" i="2"/>
  <c r="CC193" i="3"/>
  <c r="CC194" i="3"/>
  <c r="CC189" i="3"/>
  <c r="CC190" i="3"/>
  <c r="CC12" i="3"/>
  <c r="CC7" i="3" s="1"/>
  <c r="CC195" i="3"/>
  <c r="CC187" i="3"/>
  <c r="CC186" i="3"/>
  <c r="CC185" i="3"/>
  <c r="CH165" i="2"/>
  <c r="CH202" i="2" s="1"/>
  <c r="CG118" i="3"/>
  <c r="CG102" i="3"/>
  <c r="BW167" i="2"/>
  <c r="BW201" i="2" s="1"/>
  <c r="BE147" i="2"/>
  <c r="BE149" i="2" s="1"/>
  <c r="BE150" i="2" s="1"/>
  <c r="BE189" i="2"/>
  <c r="BE190" i="2" s="1"/>
  <c r="BE191" i="2" s="1"/>
  <c r="BE152" i="2"/>
  <c r="BE153" i="2" s="1"/>
  <c r="CG210" i="2"/>
  <c r="CG7" i="2"/>
  <c r="AK62" i="2"/>
  <c r="AQ47" i="2"/>
  <c r="AL46" i="2"/>
  <c r="AJ62" i="2"/>
  <c r="AQ46" i="2"/>
  <c r="AI62" i="2"/>
  <c r="CF68" i="2"/>
  <c r="CF132" i="2" s="1"/>
  <c r="CK210" i="2"/>
  <c r="CK7" i="2"/>
  <c r="CA16" i="2"/>
  <c r="CI195" i="3"/>
  <c r="CI193" i="3"/>
  <c r="CI186" i="3"/>
  <c r="CI187" i="3"/>
  <c r="CR5" i="2"/>
  <c r="CI185" i="3"/>
  <c r="CI12" i="3"/>
  <c r="CI7" i="3" s="1"/>
  <c r="CI189" i="3"/>
  <c r="CI192" i="3"/>
  <c r="CI190" i="3"/>
  <c r="CI194" i="3"/>
  <c r="CB169" i="2"/>
  <c r="CB239" i="2"/>
  <c r="BK201" i="2"/>
  <c r="CF239" i="2"/>
  <c r="CF169" i="2"/>
  <c r="CH117" i="3"/>
  <c r="CH6" i="3"/>
  <c r="CH188" i="3" s="1"/>
  <c r="CG185" i="3"/>
  <c r="CG195" i="3"/>
  <c r="CG194" i="3"/>
  <c r="CG193" i="3"/>
  <c r="CP5" i="2"/>
  <c r="CG12" i="3"/>
  <c r="CG7" i="3" s="1"/>
  <c r="CG192" i="3"/>
  <c r="CG189" i="3"/>
  <c r="CG190" i="3"/>
  <c r="CG186" i="3"/>
  <c r="CG187" i="3"/>
  <c r="AH62" i="2"/>
  <c r="CK6" i="2"/>
  <c r="CK22" i="2"/>
  <c r="CK130" i="2"/>
  <c r="CK69" i="2"/>
  <c r="CK233" i="2"/>
  <c r="CK8" i="2"/>
  <c r="CK12" i="2" s="1"/>
  <c r="CK13" i="2" s="1"/>
  <c r="CK14" i="2" s="1"/>
  <c r="CK71" i="2"/>
  <c r="CK163" i="2"/>
  <c r="CA167" i="2"/>
  <c r="CA201" i="2" s="1"/>
  <c r="CA204" i="2" s="1"/>
  <c r="BJ18" i="2"/>
  <c r="BJ17" i="2"/>
  <c r="CI118" i="3"/>
  <c r="CI102" i="3"/>
  <c r="CI202" i="3" s="1"/>
  <c r="CD89" i="2"/>
  <c r="CC138" i="2"/>
  <c r="CB199" i="3"/>
  <c r="CB142" i="3"/>
  <c r="CB156" i="3" s="1"/>
  <c r="CB209" i="3"/>
  <c r="CK23" i="2"/>
  <c r="CB103" i="3"/>
  <c r="CB208" i="3"/>
  <c r="CB207" i="3"/>
  <c r="CB206" i="3"/>
  <c r="CB204" i="3"/>
  <c r="CB203" i="3"/>
  <c r="CB200" i="3"/>
  <c r="CB201" i="3"/>
  <c r="CC118" i="3"/>
  <c r="CH239" i="2"/>
  <c r="CH169" i="2"/>
  <c r="CM7" i="2"/>
  <c r="CM210" i="2"/>
  <c r="CA91" i="2"/>
  <c r="BY117" i="2"/>
  <c r="BZ117" i="2" s="1"/>
  <c r="BZ91" i="2"/>
  <c r="BW174" i="2"/>
  <c r="BW203" i="2" s="1"/>
  <c r="BW125" i="2"/>
  <c r="CG22" i="2"/>
  <c r="CG71" i="2"/>
  <c r="CG130" i="2"/>
  <c r="CG8" i="2"/>
  <c r="CG12" i="2" s="1"/>
  <c r="CG13" i="2" s="1"/>
  <c r="CG69" i="2"/>
  <c r="CG233" i="2"/>
  <c r="CG6" i="2"/>
  <c r="CG163" i="2"/>
  <c r="AL216" i="2"/>
  <c r="AL237" i="2"/>
  <c r="CB70" i="2"/>
  <c r="CB123" i="2" s="1"/>
  <c r="CB85" i="2"/>
  <c r="CB160" i="2"/>
  <c r="BJ204" i="2"/>
  <c r="CF165" i="2"/>
  <c r="CF202" i="2" s="1"/>
  <c r="CF160" i="2"/>
  <c r="CF85" i="2"/>
  <c r="CF174" i="2" s="1"/>
  <c r="CF203" i="2" s="1"/>
  <c r="CF70" i="2"/>
  <c r="CM22" i="2"/>
  <c r="CM6" i="2"/>
  <c r="CM163" i="2"/>
  <c r="CM233" i="2"/>
  <c r="CM69" i="2"/>
  <c r="CM130" i="2"/>
  <c r="CG188" i="3"/>
  <c r="BV161" i="2"/>
  <c r="BM28" i="2"/>
  <c r="BQ45" i="2" l="1"/>
  <c r="BQ161" i="2"/>
  <c r="BV14" i="2"/>
  <c r="CA14" i="2"/>
  <c r="BK29" i="2"/>
  <c r="BK30" i="2" s="1"/>
  <c r="BK195" i="2"/>
  <c r="BK24" i="2"/>
  <c r="BK234" i="2"/>
  <c r="BK25" i="2"/>
  <c r="BS195" i="2"/>
  <c r="BS25" i="2"/>
  <c r="BS24" i="2"/>
  <c r="BS234" i="2"/>
  <c r="BX25" i="2"/>
  <c r="BS14" i="2"/>
  <c r="BR14" i="2"/>
  <c r="BW14" i="2"/>
  <c r="CM168" i="2"/>
  <c r="CH71" i="2"/>
  <c r="CH124" i="2" s="1"/>
  <c r="BX123" i="2"/>
  <c r="BX204" i="2"/>
  <c r="BO23" i="2"/>
  <c r="CC12" i="2"/>
  <c r="CC70" i="2"/>
  <c r="CC167" i="2" s="1"/>
  <c r="CC201" i="2" s="1"/>
  <c r="CC85" i="2"/>
  <c r="CC174" i="2" s="1"/>
  <c r="CC203" i="2" s="1"/>
  <c r="CC160" i="2"/>
  <c r="BX13" i="2"/>
  <c r="BX14" i="2" s="1"/>
  <c r="BX16" i="2"/>
  <c r="CM9" i="2"/>
  <c r="CH8" i="2"/>
  <c r="BX125" i="2"/>
  <c r="BL236" i="2"/>
  <c r="CA11" i="3"/>
  <c r="CA8" i="3"/>
  <c r="CJ211" i="2" s="1"/>
  <c r="CA10" i="3"/>
  <c r="BU169" i="2"/>
  <c r="BU170" i="2"/>
  <c r="BU135" i="2"/>
  <c r="BU239" i="2"/>
  <c r="CJ41" i="3"/>
  <c r="CF41" i="3"/>
  <c r="CE6" i="3"/>
  <c r="BZ69" i="2"/>
  <c r="BY122" i="2"/>
  <c r="BY165" i="2"/>
  <c r="BY202" i="2" s="1"/>
  <c r="BU165" i="2"/>
  <c r="BU202" i="2" s="1"/>
  <c r="BV122" i="2"/>
  <c r="BU164" i="2"/>
  <c r="BU160" i="2"/>
  <c r="CD210" i="2"/>
  <c r="CD7" i="2"/>
  <c r="BV124" i="2"/>
  <c r="BU168" i="2"/>
  <c r="BY239" i="2"/>
  <c r="BY169" i="2"/>
  <c r="BZ130" i="2"/>
  <c r="CF45" i="3"/>
  <c r="CF48" i="3"/>
  <c r="CF44" i="3"/>
  <c r="CF47" i="3"/>
  <c r="CF43" i="3"/>
  <c r="CA49" i="3"/>
  <c r="CF46" i="3"/>
  <c r="BZ7" i="2"/>
  <c r="BZ210" i="2"/>
  <c r="BV188" i="3"/>
  <c r="BV192" i="3"/>
  <c r="BV189" i="3"/>
  <c r="BV195" i="3"/>
  <c r="BV12" i="3"/>
  <c r="BV7" i="3" s="1"/>
  <c r="BV193" i="3"/>
  <c r="BV185" i="3"/>
  <c r="BV187" i="3"/>
  <c r="BV190" i="3"/>
  <c r="BV194" i="3"/>
  <c r="BV186" i="3"/>
  <c r="CE5" i="2"/>
  <c r="CD6" i="2"/>
  <c r="CD71" i="2"/>
  <c r="CD69" i="2"/>
  <c r="CD233" i="2"/>
  <c r="CD163" i="2"/>
  <c r="CD130" i="2"/>
  <c r="CD22" i="2"/>
  <c r="BZ71" i="2"/>
  <c r="BY124" i="2"/>
  <c r="CA42" i="3"/>
  <c r="CA9" i="3"/>
  <c r="CE10" i="3"/>
  <c r="CA6" i="3"/>
  <c r="BZ195" i="3"/>
  <c r="BZ194" i="3"/>
  <c r="CE11" i="3"/>
  <c r="CI5" i="2"/>
  <c r="BZ12" i="3"/>
  <c r="BZ7" i="3" s="1"/>
  <c r="BZ190" i="3"/>
  <c r="BZ187" i="3"/>
  <c r="BZ188" i="3"/>
  <c r="BZ185" i="3"/>
  <c r="BZ186" i="3"/>
  <c r="BZ193" i="3"/>
  <c r="BZ189" i="3"/>
  <c r="CE8" i="3"/>
  <c r="CN211" i="2" s="1"/>
  <c r="CE9" i="3"/>
  <c r="BZ192" i="3"/>
  <c r="BZ8" i="2"/>
  <c r="BZ163" i="2"/>
  <c r="BZ233" i="2"/>
  <c r="BZ6" i="2"/>
  <c r="BZ22" i="2"/>
  <c r="BO10" i="2"/>
  <c r="BQ19" i="2"/>
  <c r="BV19" i="2"/>
  <c r="BR204" i="2"/>
  <c r="BO203" i="2"/>
  <c r="BP85" i="2"/>
  <c r="BO13" i="2"/>
  <c r="BP12" i="2"/>
  <c r="BP13" i="2" s="1"/>
  <c r="BP14" i="2" s="1"/>
  <c r="BP70" i="2"/>
  <c r="BO201" i="2"/>
  <c r="CK60" i="3"/>
  <c r="BN28" i="2"/>
  <c r="BN29" i="2" s="1"/>
  <c r="CH124" i="3"/>
  <c r="T109" i="2"/>
  <c r="T159" i="2"/>
  <c r="T178" i="2" s="1"/>
  <c r="T200" i="2"/>
  <c r="U4" i="2"/>
  <c r="T63" i="2"/>
  <c r="K5" i="3"/>
  <c r="T194" i="2"/>
  <c r="BL30" i="2"/>
  <c r="BK26" i="2"/>
  <c r="BK236" i="2"/>
  <c r="BK177" i="2"/>
  <c r="BK204" i="2"/>
  <c r="BK248" i="2"/>
  <c r="CD180" i="2"/>
  <c r="CC179" i="2"/>
  <c r="CC57" i="2" s="1"/>
  <c r="CB57" i="2"/>
  <c r="CF196" i="2"/>
  <c r="CF197" i="2" s="1"/>
  <c r="CF162" i="2"/>
  <c r="CG14" i="2"/>
  <c r="BJ26" i="2"/>
  <c r="BJ30" i="2"/>
  <c r="BJ236" i="2"/>
  <c r="CM239" i="2"/>
  <c r="CM169" i="2"/>
  <c r="CF167" i="2"/>
  <c r="CF201" i="2" s="1"/>
  <c r="CF204" i="2" s="1"/>
  <c r="CG169" i="2"/>
  <c r="CG239" i="2"/>
  <c r="CF89" i="2"/>
  <c r="CE89" i="2"/>
  <c r="CD138" i="2"/>
  <c r="CE138" i="2" s="1"/>
  <c r="CP7" i="2"/>
  <c r="CP210" i="2"/>
  <c r="CH118" i="3"/>
  <c r="BW204" i="2"/>
  <c r="CL8" i="2"/>
  <c r="CL130" i="2"/>
  <c r="CL22" i="2"/>
  <c r="CL163" i="2"/>
  <c r="CL233" i="2"/>
  <c r="CL6" i="2"/>
  <c r="CL69" i="2"/>
  <c r="CL71" i="2"/>
  <c r="CM165" i="2"/>
  <c r="CM202" i="2" s="1"/>
  <c r="CA117" i="2"/>
  <c r="CB91" i="2"/>
  <c r="BJ19" i="2"/>
  <c r="BJ161" i="2"/>
  <c r="CK165" i="2"/>
  <c r="CK202" i="2" s="1"/>
  <c r="CP130" i="2"/>
  <c r="CP22" i="2"/>
  <c r="CP71" i="2"/>
  <c r="CP69" i="2"/>
  <c r="CP8" i="2"/>
  <c r="CP12" i="2" s="1"/>
  <c r="CP13" i="2" s="1"/>
  <c r="CP14" i="2" s="1"/>
  <c r="CP6" i="2"/>
  <c r="CP233" i="2"/>
  <c r="CP163" i="2"/>
  <c r="CR7" i="2"/>
  <c r="CR210" i="2"/>
  <c r="CG199" i="3"/>
  <c r="CG207" i="3"/>
  <c r="CP23" i="2"/>
  <c r="CG206" i="3"/>
  <c r="CG103" i="3"/>
  <c r="CG142" i="3"/>
  <c r="CG156" i="3" s="1"/>
  <c r="CG208" i="3"/>
  <c r="CG209" i="3"/>
  <c r="CG204" i="3"/>
  <c r="CG203" i="3"/>
  <c r="CG200" i="3"/>
  <c r="CG201" i="3"/>
  <c r="CC78" i="2"/>
  <c r="CC134" i="2" s="1"/>
  <c r="CC135" i="2" s="1"/>
  <c r="CF17" i="2"/>
  <c r="CF18" i="2"/>
  <c r="CB125" i="2"/>
  <c r="CB174" i="2"/>
  <c r="CB203" i="2" s="1"/>
  <c r="CG165" i="2"/>
  <c r="CG202" i="2" s="1"/>
  <c r="CG122" i="2"/>
  <c r="BE154" i="2"/>
  <c r="BE155" i="2" s="1"/>
  <c r="BE157" i="2"/>
  <c r="CG202" i="3"/>
  <c r="CB134" i="2"/>
  <c r="CM24" i="2"/>
  <c r="CM26" i="2" s="1"/>
  <c r="CM234" i="2"/>
  <c r="CM25" i="2"/>
  <c r="CM195" i="2"/>
  <c r="BZ92" i="2"/>
  <c r="CA92" i="2" s="1"/>
  <c r="BY120" i="2"/>
  <c r="BZ120" i="2" s="1"/>
  <c r="BP74" i="2"/>
  <c r="BQ171" i="2" s="1"/>
  <c r="BV171" i="2" s="1"/>
  <c r="CA171" i="2" s="1"/>
  <c r="CF171" i="2" s="1"/>
  <c r="CK171" i="2" s="1"/>
  <c r="CP171" i="2" s="1"/>
  <c r="CT9" i="2"/>
  <c r="CB167" i="2"/>
  <c r="CB201" i="2" s="1"/>
  <c r="CG160" i="2"/>
  <c r="CG85" i="2"/>
  <c r="CG70" i="2"/>
  <c r="CG123" i="2" s="1"/>
  <c r="CK24" i="2"/>
  <c r="CK26" i="2" s="1"/>
  <c r="CK25" i="2"/>
  <c r="CK234" i="2"/>
  <c r="CK195" i="2"/>
  <c r="CK16" i="2"/>
  <c r="CI201" i="3"/>
  <c r="CI199" i="3"/>
  <c r="CI103" i="3"/>
  <c r="CR23" i="2"/>
  <c r="CI208" i="3"/>
  <c r="CI200" i="3"/>
  <c r="CI207" i="3"/>
  <c r="CI142" i="3"/>
  <c r="CI156" i="3" s="1"/>
  <c r="CI203" i="3"/>
  <c r="CI206" i="3"/>
  <c r="CI209" i="3"/>
  <c r="CI204" i="3"/>
  <c r="CK85" i="2"/>
  <c r="CK174" i="2" s="1"/>
  <c r="CK203" i="2" s="1"/>
  <c r="CK70" i="2"/>
  <c r="CK160" i="2"/>
  <c r="CK239" i="2"/>
  <c r="CK169" i="2"/>
  <c r="CH190" i="3"/>
  <c r="CH12" i="3"/>
  <c r="CH7" i="3" s="1"/>
  <c r="CQ5" i="2"/>
  <c r="CH186" i="3"/>
  <c r="CH195" i="3"/>
  <c r="CH193" i="3"/>
  <c r="CH189" i="3"/>
  <c r="CH185" i="3"/>
  <c r="CH187" i="3"/>
  <c r="CH192" i="3"/>
  <c r="CH194" i="3"/>
  <c r="CR69" i="2"/>
  <c r="CR22" i="2"/>
  <c r="CR6" i="2"/>
  <c r="CR163" i="2"/>
  <c r="CR233" i="2"/>
  <c r="CR130" i="2"/>
  <c r="CA17" i="2"/>
  <c r="CA18" i="2"/>
  <c r="CG68" i="2"/>
  <c r="CG132" i="2" s="1"/>
  <c r="CH122" i="2"/>
  <c r="CL210" i="2"/>
  <c r="CL7" i="2"/>
  <c r="CG124" i="2"/>
  <c r="BO37" i="2" l="1"/>
  <c r="BS26" i="2"/>
  <c r="BX26" i="2"/>
  <c r="CR168" i="2"/>
  <c r="CR71" i="2" s="1"/>
  <c r="CM71" i="2"/>
  <c r="CM124" i="2" s="1"/>
  <c r="CC123" i="2"/>
  <c r="CR9" i="2"/>
  <c r="CR8" i="2" s="1"/>
  <c r="CR85" i="2" s="1"/>
  <c r="CM8" i="2"/>
  <c r="BX18" i="2"/>
  <c r="BX17" i="2"/>
  <c r="CC125" i="2"/>
  <c r="CC13" i="2"/>
  <c r="CC14" i="2" s="1"/>
  <c r="CC16" i="2"/>
  <c r="BO25" i="2"/>
  <c r="BO24" i="2"/>
  <c r="BP23" i="2"/>
  <c r="BO234" i="2"/>
  <c r="BO195" i="2"/>
  <c r="CH12" i="2"/>
  <c r="CH70" i="2"/>
  <c r="CH167" i="2" s="1"/>
  <c r="CH201" i="2" s="1"/>
  <c r="CH85" i="2"/>
  <c r="CH174" i="2" s="1"/>
  <c r="CH203" i="2" s="1"/>
  <c r="CH160" i="2"/>
  <c r="CC204" i="2"/>
  <c r="CF10" i="3"/>
  <c r="CI210" i="2"/>
  <c r="CI7" i="2"/>
  <c r="CE6" i="2"/>
  <c r="CE163" i="2"/>
  <c r="CE22" i="2"/>
  <c r="CE233" i="2"/>
  <c r="CE8" i="2"/>
  <c r="CF42" i="3"/>
  <c r="CF9" i="3"/>
  <c r="CJ9" i="3"/>
  <c r="CF6" i="3"/>
  <c r="CE187" i="3"/>
  <c r="CE186" i="3"/>
  <c r="CN5" i="2"/>
  <c r="CE190" i="3"/>
  <c r="CE188" i="3"/>
  <c r="CE185" i="3"/>
  <c r="CE192" i="3"/>
  <c r="CE195" i="3"/>
  <c r="CE12" i="3"/>
  <c r="CE7" i="3" s="1"/>
  <c r="CE189" i="3"/>
  <c r="CJ10" i="3"/>
  <c r="CJ8" i="3"/>
  <c r="CS211" i="2" s="1"/>
  <c r="CE193" i="3"/>
  <c r="CJ11" i="3"/>
  <c r="CE194" i="3"/>
  <c r="BZ160" i="2"/>
  <c r="BY8" i="2"/>
  <c r="CI130" i="2"/>
  <c r="CI71" i="2"/>
  <c r="CI69" i="2"/>
  <c r="CI163" i="2"/>
  <c r="CJ5" i="2"/>
  <c r="CI22" i="2"/>
  <c r="CI6" i="2"/>
  <c r="CI233" i="2"/>
  <c r="CA192" i="3"/>
  <c r="CA195" i="3"/>
  <c r="CA190" i="3"/>
  <c r="CA187" i="3"/>
  <c r="CA193" i="3"/>
  <c r="CA186" i="3"/>
  <c r="CA188" i="3"/>
  <c r="CA194" i="3"/>
  <c r="CA12" i="3"/>
  <c r="CA7" i="3" s="1"/>
  <c r="CA185" i="3"/>
  <c r="CA189" i="3"/>
  <c r="CE69" i="2"/>
  <c r="CD122" i="2"/>
  <c r="CD165" i="2"/>
  <c r="CD202" i="2" s="1"/>
  <c r="CF11" i="3"/>
  <c r="BZ170" i="2"/>
  <c r="BZ135" i="2"/>
  <c r="BZ169" i="2"/>
  <c r="BZ239" i="2"/>
  <c r="BZ124" i="2"/>
  <c r="BZ122" i="2"/>
  <c r="BZ164" i="2"/>
  <c r="CA122" i="2"/>
  <c r="BZ165" i="2"/>
  <c r="BZ202" i="2" s="1"/>
  <c r="CK43" i="3"/>
  <c r="CK48" i="3"/>
  <c r="CF49" i="3"/>
  <c r="CK46" i="3"/>
  <c r="CK44" i="3"/>
  <c r="CK45" i="3"/>
  <c r="CK47" i="3"/>
  <c r="CA124" i="2"/>
  <c r="BZ168" i="2"/>
  <c r="CE130" i="2"/>
  <c r="CD169" i="2"/>
  <c r="CD239" i="2"/>
  <c r="CE71" i="2"/>
  <c r="CD124" i="2"/>
  <c r="CF8" i="3"/>
  <c r="CO211" i="2" s="1"/>
  <c r="CJ6" i="3"/>
  <c r="CK41" i="3"/>
  <c r="CK49" i="3" s="1"/>
  <c r="CE210" i="2"/>
  <c r="CE7" i="2"/>
  <c r="BT9" i="2"/>
  <c r="BT12" i="2"/>
  <c r="BT160" i="2"/>
  <c r="BO14" i="2"/>
  <c r="BO204" i="2"/>
  <c r="BP174" i="2"/>
  <c r="BP203" i="2" s="1"/>
  <c r="BP173" i="2"/>
  <c r="BP167" i="2"/>
  <c r="BP201" i="2" s="1"/>
  <c r="BP166" i="2"/>
  <c r="BN30" i="2"/>
  <c r="BO17" i="2"/>
  <c r="BO18" i="2"/>
  <c r="BN236" i="2"/>
  <c r="U63" i="2"/>
  <c r="U159" i="2"/>
  <c r="U178" i="2" s="1"/>
  <c r="L5" i="3"/>
  <c r="V4" i="2"/>
  <c r="U194" i="2"/>
  <c r="U200" i="2"/>
  <c r="U109" i="2"/>
  <c r="BK249" i="2"/>
  <c r="BK250" i="2"/>
  <c r="CD179" i="2"/>
  <c r="CD57" i="2" s="1"/>
  <c r="CE57" i="2" s="1"/>
  <c r="CF180" i="2"/>
  <c r="CG162" i="2"/>
  <c r="CG196" i="2"/>
  <c r="CL124" i="2"/>
  <c r="CQ210" i="2"/>
  <c r="CQ7" i="2"/>
  <c r="CF161" i="2"/>
  <c r="CF19" i="2"/>
  <c r="CP195" i="2"/>
  <c r="CP234" i="2"/>
  <c r="CP24" i="2"/>
  <c r="CP26" i="2" s="1"/>
  <c r="CP25" i="2"/>
  <c r="CP16" i="2"/>
  <c r="CL122" i="2"/>
  <c r="CL165" i="2"/>
  <c r="CL202" i="2" s="1"/>
  <c r="CR239" i="2"/>
  <c r="CR169" i="2"/>
  <c r="CQ8" i="2"/>
  <c r="CQ12" i="2" s="1"/>
  <c r="CQ13" i="2" s="1"/>
  <c r="CQ22" i="2"/>
  <c r="CQ163" i="2"/>
  <c r="CQ6" i="2"/>
  <c r="CQ130" i="2"/>
  <c r="CQ69" i="2"/>
  <c r="CQ233" i="2"/>
  <c r="CQ71" i="2"/>
  <c r="CR234" i="2"/>
  <c r="CR25" i="2"/>
  <c r="CR195" i="2"/>
  <c r="CR24" i="2"/>
  <c r="CR26" i="2" s="1"/>
  <c r="CK18" i="2"/>
  <c r="CK17" i="2"/>
  <c r="CB92" i="2"/>
  <c r="CA120" i="2"/>
  <c r="CP165" i="2"/>
  <c r="CP202" i="2" s="1"/>
  <c r="CL85" i="2"/>
  <c r="CL160" i="2"/>
  <c r="CL70" i="2"/>
  <c r="CL123" i="2" s="1"/>
  <c r="BO28" i="2"/>
  <c r="CM122" i="2"/>
  <c r="CA161" i="2"/>
  <c r="CA19" i="2"/>
  <c r="CG167" i="2"/>
  <c r="CG201" i="2" s="1"/>
  <c r="CB204" i="2"/>
  <c r="CB117" i="2"/>
  <c r="CC91" i="2"/>
  <c r="CF138" i="2"/>
  <c r="CG89" i="2"/>
  <c r="CH68" i="2"/>
  <c r="CH132" i="2" s="1"/>
  <c r="CR165" i="2"/>
  <c r="CR202" i="2" s="1"/>
  <c r="CK167" i="2"/>
  <c r="CK201" i="2" s="1"/>
  <c r="CK204" i="2" s="1"/>
  <c r="CG174" i="2"/>
  <c r="CG203" i="2" s="1"/>
  <c r="CG125" i="2"/>
  <c r="CB135" i="2"/>
  <c r="CD78" i="2"/>
  <c r="CE78" i="2" s="1"/>
  <c r="CP70" i="2"/>
  <c r="CP85" i="2"/>
  <c r="CP174" i="2" s="1"/>
  <c r="CP203" i="2" s="1"/>
  <c r="CP160" i="2"/>
  <c r="CP169" i="2"/>
  <c r="CP239" i="2"/>
  <c r="CL12" i="2"/>
  <c r="CL13" i="2" s="1"/>
  <c r="CL14" i="2" s="1"/>
  <c r="CL239" i="2"/>
  <c r="CL169" i="2"/>
  <c r="BO40" i="2" l="1"/>
  <c r="BO26" i="2"/>
  <c r="BO161" i="2"/>
  <c r="BT23" i="2"/>
  <c r="BT10" i="2"/>
  <c r="CR124" i="2"/>
  <c r="CR70" i="2"/>
  <c r="CR167" i="2" s="1"/>
  <c r="CR201" i="2" s="1"/>
  <c r="BP37" i="2"/>
  <c r="BP40" i="2" s="1"/>
  <c r="BP195" i="2"/>
  <c r="CR12" i="2"/>
  <c r="CR13" i="2" s="1"/>
  <c r="CR160" i="2"/>
  <c r="CH123" i="2"/>
  <c r="CH204" i="2"/>
  <c r="CC17" i="2"/>
  <c r="CC18" i="2"/>
  <c r="BP25" i="2"/>
  <c r="BP24" i="2"/>
  <c r="BP26" i="2" s="1"/>
  <c r="CM12" i="2"/>
  <c r="CM70" i="2"/>
  <c r="CM167" i="2" s="1"/>
  <c r="CM201" i="2" s="1"/>
  <c r="CM85" i="2"/>
  <c r="CM174" i="2" s="1"/>
  <c r="CM203" i="2" s="1"/>
  <c r="CM160" i="2"/>
  <c r="CH13" i="2"/>
  <c r="CH14" i="2" s="1"/>
  <c r="CH16" i="2"/>
  <c r="BX161" i="2"/>
  <c r="BX19" i="2"/>
  <c r="CH125" i="2"/>
  <c r="CK8" i="3"/>
  <c r="CT211" i="2" s="1"/>
  <c r="CK11" i="3"/>
  <c r="CK10" i="3"/>
  <c r="CE122" i="2"/>
  <c r="CE124" i="2"/>
  <c r="BT174" i="2"/>
  <c r="BT203" i="2" s="1"/>
  <c r="CJ71" i="2"/>
  <c r="CI124" i="2"/>
  <c r="CD8" i="2"/>
  <c r="CE160" i="2"/>
  <c r="CE239" i="2"/>
  <c r="CE169" i="2"/>
  <c r="CE170" i="2"/>
  <c r="CJ7" i="2"/>
  <c r="CJ210" i="2"/>
  <c r="CJ8" i="2"/>
  <c r="CJ6" i="2"/>
  <c r="CJ163" i="2"/>
  <c r="CJ233" i="2"/>
  <c r="CJ22" i="2"/>
  <c r="CI169" i="2"/>
  <c r="CJ130" i="2"/>
  <c r="CI239" i="2"/>
  <c r="BY12" i="2"/>
  <c r="BY85" i="2"/>
  <c r="BY70" i="2"/>
  <c r="BY9" i="2"/>
  <c r="BY10" i="2" s="1"/>
  <c r="BY160" i="2"/>
  <c r="CN7" i="2"/>
  <c r="CN210" i="2"/>
  <c r="BT13" i="2"/>
  <c r="BU12" i="2"/>
  <c r="BU13" i="2" s="1"/>
  <c r="BU14" i="2" s="1"/>
  <c r="CJ188" i="3"/>
  <c r="CJ189" i="3"/>
  <c r="CJ185" i="3"/>
  <c r="CJ194" i="3"/>
  <c r="CJ187" i="3"/>
  <c r="CK6" i="3"/>
  <c r="CJ190" i="3"/>
  <c r="CJ193" i="3"/>
  <c r="CJ195" i="3"/>
  <c r="CJ186" i="3"/>
  <c r="CJ192" i="3"/>
  <c r="CJ12" i="3"/>
  <c r="CJ7" i="3" s="1"/>
  <c r="CS5" i="2"/>
  <c r="CF124" i="2"/>
  <c r="CE168" i="2"/>
  <c r="CK42" i="3"/>
  <c r="CK9" i="3"/>
  <c r="CF122" i="2"/>
  <c r="CE164" i="2"/>
  <c r="CE165" i="2"/>
  <c r="CE202" i="2" s="1"/>
  <c r="CF186" i="3"/>
  <c r="CF12" i="3"/>
  <c r="CF7" i="3" s="1"/>
  <c r="CF185" i="3"/>
  <c r="CF187" i="3"/>
  <c r="CF190" i="3"/>
  <c r="CF189" i="3"/>
  <c r="CF188" i="3"/>
  <c r="CF195" i="3"/>
  <c r="CF192" i="3"/>
  <c r="CF193" i="3"/>
  <c r="CF194" i="3"/>
  <c r="BU70" i="2"/>
  <c r="BT167" i="2"/>
  <c r="BT201" i="2" s="1"/>
  <c r="CJ69" i="2"/>
  <c r="CI165" i="2"/>
  <c r="CI202" i="2" s="1"/>
  <c r="CI122" i="2"/>
  <c r="CN163" i="2"/>
  <c r="CN130" i="2"/>
  <c r="CN69" i="2"/>
  <c r="CN71" i="2"/>
  <c r="CO5" i="2"/>
  <c r="CN6" i="2"/>
  <c r="CN22" i="2"/>
  <c r="CN233" i="2"/>
  <c r="BO29" i="2"/>
  <c r="BP204" i="2"/>
  <c r="BO19" i="2"/>
  <c r="V109" i="2"/>
  <c r="V63" i="2"/>
  <c r="V200" i="2"/>
  <c r="V159" i="2"/>
  <c r="V178" i="2" s="1"/>
  <c r="M5" i="3"/>
  <c r="X4" i="2"/>
  <c r="V194" i="2"/>
  <c r="CF179" i="2"/>
  <c r="CF57" i="2" s="1"/>
  <c r="CG180" i="2"/>
  <c r="CE179" i="2"/>
  <c r="CE180" i="2" s="1"/>
  <c r="CQ124" i="2"/>
  <c r="CH196" i="2"/>
  <c r="CH197" i="2" s="1"/>
  <c r="CH162" i="2"/>
  <c r="CG204" i="2"/>
  <c r="CP167" i="2"/>
  <c r="CP201" i="2" s="1"/>
  <c r="CP204" i="2" s="1"/>
  <c r="CD134" i="2"/>
  <c r="CL167" i="2"/>
  <c r="CL201" i="2" s="1"/>
  <c r="CP18" i="2"/>
  <c r="CP17" i="2"/>
  <c r="CR174" i="2"/>
  <c r="CR203" i="2" s="1"/>
  <c r="CB120" i="2"/>
  <c r="CC92" i="2"/>
  <c r="CK161" i="2"/>
  <c r="CK19" i="2"/>
  <c r="CQ122" i="2"/>
  <c r="CQ165" i="2"/>
  <c r="CQ202" i="2" s="1"/>
  <c r="CR122" i="2"/>
  <c r="CG138" i="2"/>
  <c r="CH89" i="2"/>
  <c r="CC117" i="2"/>
  <c r="CD91" i="2"/>
  <c r="BP172" i="2"/>
  <c r="BP28" i="2"/>
  <c r="BP171" i="2"/>
  <c r="CL125" i="2"/>
  <c r="CL174" i="2"/>
  <c r="CL203" i="2" s="1"/>
  <c r="CQ14" i="2"/>
  <c r="CQ239" i="2"/>
  <c r="CQ169" i="2"/>
  <c r="CQ85" i="2"/>
  <c r="CQ70" i="2"/>
  <c r="CQ160" i="2"/>
  <c r="BQ28" i="2"/>
  <c r="CF78" i="2"/>
  <c r="CF134" i="2" s="1"/>
  <c r="CI68" i="2"/>
  <c r="CJ68" i="2" s="1"/>
  <c r="BT29" i="2" l="1"/>
  <c r="BU23" i="2"/>
  <c r="BT14" i="2"/>
  <c r="CR204" i="2"/>
  <c r="CR16" i="2"/>
  <c r="CR17" i="2" s="1"/>
  <c r="CM123" i="2"/>
  <c r="CM204" i="2"/>
  <c r="BQ29" i="2"/>
  <c r="CH17" i="2"/>
  <c r="CH18" i="2"/>
  <c r="CM125" i="2"/>
  <c r="CM13" i="2"/>
  <c r="CM16" i="2"/>
  <c r="CC19" i="2"/>
  <c r="CC161" i="2"/>
  <c r="BT204" i="2"/>
  <c r="CO8" i="2"/>
  <c r="CO163" i="2"/>
  <c r="CO6" i="2"/>
  <c r="CO233" i="2"/>
  <c r="CO22" i="2"/>
  <c r="CJ122" i="2"/>
  <c r="CJ124" i="2"/>
  <c r="CK195" i="3"/>
  <c r="CK185" i="3"/>
  <c r="CK193" i="3"/>
  <c r="CK186" i="3"/>
  <c r="CK194" i="3"/>
  <c r="CK190" i="3"/>
  <c r="CK187" i="3"/>
  <c r="CK12" i="3"/>
  <c r="CK7" i="3" s="1"/>
  <c r="CK188" i="3"/>
  <c r="CK192" i="3"/>
  <c r="CK189" i="3"/>
  <c r="BZ85" i="2"/>
  <c r="BY174" i="2"/>
  <c r="BY203" i="2" s="1"/>
  <c r="BY125" i="2"/>
  <c r="CK124" i="2"/>
  <c r="CJ168" i="2"/>
  <c r="CO71" i="2"/>
  <c r="CN124" i="2"/>
  <c r="BV123" i="2"/>
  <c r="BU167" i="2"/>
  <c r="BU201" i="2" s="1"/>
  <c r="BU166" i="2"/>
  <c r="CS22" i="2"/>
  <c r="CS69" i="2"/>
  <c r="CS6" i="2"/>
  <c r="CS233" i="2"/>
  <c r="CS130" i="2"/>
  <c r="CS71" i="2"/>
  <c r="CT5" i="2"/>
  <c r="CS163" i="2"/>
  <c r="BY13" i="2"/>
  <c r="BY14" i="2" s="1"/>
  <c r="BZ12" i="2"/>
  <c r="BZ13" i="2" s="1"/>
  <c r="BZ14" i="2" s="1"/>
  <c r="CN122" i="2"/>
  <c r="CO69" i="2"/>
  <c r="CN165" i="2"/>
  <c r="CN202" i="2" s="1"/>
  <c r="CO210" i="2"/>
  <c r="CO7" i="2"/>
  <c r="CS210" i="2"/>
  <c r="CS7" i="2"/>
  <c r="CJ160" i="2"/>
  <c r="CI8" i="2"/>
  <c r="CD9" i="2"/>
  <c r="CD10" i="2" s="1"/>
  <c r="CD70" i="2"/>
  <c r="CD12" i="2"/>
  <c r="CD85" i="2"/>
  <c r="CD160" i="2"/>
  <c r="BU173" i="2"/>
  <c r="BV125" i="2"/>
  <c r="BU174" i="2"/>
  <c r="BU203" i="2" s="1"/>
  <c r="CO130" i="2"/>
  <c r="CN239" i="2"/>
  <c r="CN169" i="2"/>
  <c r="CJ164" i="2"/>
  <c r="CJ165" i="2"/>
  <c r="CJ202" i="2" s="1"/>
  <c r="CK122" i="2"/>
  <c r="BY123" i="2"/>
  <c r="BY167" i="2"/>
  <c r="BY201" i="2" s="1"/>
  <c r="BZ70" i="2"/>
  <c r="CJ169" i="2"/>
  <c r="CJ170" i="2"/>
  <c r="CJ239" i="2"/>
  <c r="BO236" i="2"/>
  <c r="BO30" i="2"/>
  <c r="X63" i="2"/>
  <c r="X159" i="2"/>
  <c r="X178" i="2" s="1"/>
  <c r="X109" i="2"/>
  <c r="Y4" i="2"/>
  <c r="X200" i="2"/>
  <c r="O5" i="3"/>
  <c r="X194" i="2"/>
  <c r="CH180" i="2"/>
  <c r="CG179" i="2"/>
  <c r="CI162" i="2"/>
  <c r="CI196" i="2"/>
  <c r="CI132" i="2"/>
  <c r="CJ132" i="2" s="1"/>
  <c r="CL204" i="2"/>
  <c r="CF135" i="2"/>
  <c r="CD117" i="2"/>
  <c r="CE117" i="2" s="1"/>
  <c r="CE91" i="2"/>
  <c r="CF91" i="2"/>
  <c r="CD135" i="2"/>
  <c r="CE134" i="2"/>
  <c r="CE135" i="2" s="1"/>
  <c r="CD92" i="2"/>
  <c r="CC120" i="2"/>
  <c r="CQ167" i="2"/>
  <c r="CQ201" i="2" s="1"/>
  <c r="CR123" i="2"/>
  <c r="BR28" i="2"/>
  <c r="CQ123" i="2"/>
  <c r="CG78" i="2"/>
  <c r="CI89" i="2"/>
  <c r="CH138" i="2"/>
  <c r="CK68" i="2"/>
  <c r="CK132" i="2" s="1"/>
  <c r="BQ236" i="2"/>
  <c r="CQ174" i="2"/>
  <c r="CQ203" i="2" s="1"/>
  <c r="CQ125" i="2"/>
  <c r="CR125" i="2"/>
  <c r="CP19" i="2"/>
  <c r="CP161" i="2"/>
  <c r="BU25" i="2" l="1"/>
  <c r="BU24" i="2"/>
  <c r="BU26" i="2" s="1"/>
  <c r="BT30" i="2"/>
  <c r="CR18" i="2"/>
  <c r="BQ30" i="2"/>
  <c r="CM14" i="2"/>
  <c r="CR14" i="2"/>
  <c r="CM17" i="2"/>
  <c r="CR19" i="2" s="1"/>
  <c r="CM18" i="2"/>
  <c r="CH161" i="2"/>
  <c r="CH19" i="2"/>
  <c r="BZ125" i="2"/>
  <c r="CO124" i="2"/>
  <c r="BY204" i="2"/>
  <c r="CO122" i="2"/>
  <c r="BZ123" i="2"/>
  <c r="CA123" i="2"/>
  <c r="BZ166" i="2"/>
  <c r="BZ167" i="2"/>
  <c r="BZ201" i="2" s="1"/>
  <c r="CO165" i="2"/>
  <c r="CO202" i="2" s="1"/>
  <c r="CO164" i="2"/>
  <c r="CP122" i="2"/>
  <c r="CT130" i="2"/>
  <c r="CS239" i="2"/>
  <c r="CS169" i="2"/>
  <c r="CT7" i="2"/>
  <c r="CT210" i="2"/>
  <c r="CD125" i="2"/>
  <c r="CD174" i="2"/>
  <c r="CD203" i="2" s="1"/>
  <c r="CE85" i="2"/>
  <c r="CI85" i="2"/>
  <c r="CI12" i="2"/>
  <c r="CI70" i="2"/>
  <c r="CI9" i="2"/>
  <c r="CI10" i="2" s="1"/>
  <c r="CI160" i="2"/>
  <c r="CP124" i="2"/>
  <c r="CO168" i="2"/>
  <c r="CE12" i="2"/>
  <c r="CE13" i="2" s="1"/>
  <c r="CE14" i="2" s="1"/>
  <c r="CD13" i="2"/>
  <c r="CD14" i="2" s="1"/>
  <c r="CT8" i="2"/>
  <c r="CT163" i="2"/>
  <c r="CT6" i="2"/>
  <c r="CT22" i="2"/>
  <c r="CT233" i="2"/>
  <c r="BU204" i="2"/>
  <c r="BZ173" i="2"/>
  <c r="BZ174" i="2"/>
  <c r="BZ203" i="2" s="1"/>
  <c r="CA125" i="2"/>
  <c r="CO239" i="2"/>
  <c r="CO169" i="2"/>
  <c r="CO170" i="2"/>
  <c r="CD123" i="2"/>
  <c r="CD167" i="2"/>
  <c r="CD201" i="2" s="1"/>
  <c r="CE70" i="2"/>
  <c r="CT71" i="2"/>
  <c r="CT168" i="2" s="1"/>
  <c r="CS124" i="2"/>
  <c r="CS122" i="2"/>
  <c r="CS165" i="2"/>
  <c r="CS202" i="2" s="1"/>
  <c r="CT69" i="2"/>
  <c r="CO160" i="2"/>
  <c r="CN8" i="2"/>
  <c r="Z4" i="2"/>
  <c r="Y159" i="2"/>
  <c r="Y178" i="2" s="1"/>
  <c r="Y63" i="2"/>
  <c r="Y194" i="2"/>
  <c r="P5" i="3"/>
  <c r="Y200" i="2"/>
  <c r="Y109" i="2"/>
  <c r="CH179" i="2"/>
  <c r="CH57" i="2" s="1"/>
  <c r="CI180" i="2"/>
  <c r="CG57" i="2"/>
  <c r="CK196" i="2"/>
  <c r="CK197" i="2" s="1"/>
  <c r="CK162" i="2"/>
  <c r="CQ204" i="2"/>
  <c r="BS28" i="2"/>
  <c r="CR161" i="2"/>
  <c r="CE92" i="2"/>
  <c r="CF92" i="2" s="1"/>
  <c r="CD120" i="2"/>
  <c r="CE120" i="2" s="1"/>
  <c r="CF117" i="2"/>
  <c r="CG91" i="2"/>
  <c r="CL68" i="2"/>
  <c r="CH78" i="2"/>
  <c r="CH134" i="2" s="1"/>
  <c r="CH135" i="2" s="1"/>
  <c r="CJ89" i="2"/>
  <c r="CI138" i="2"/>
  <c r="CJ138" i="2" s="1"/>
  <c r="CK89" i="2"/>
  <c r="CG134" i="2"/>
  <c r="BS29" i="2" l="1"/>
  <c r="BS30" i="2" s="1"/>
  <c r="CM161" i="2"/>
  <c r="CM19" i="2"/>
  <c r="CE123" i="2"/>
  <c r="CE166" i="2"/>
  <c r="CE167" i="2"/>
  <c r="CE201" i="2" s="1"/>
  <c r="CF123" i="2"/>
  <c r="CT165" i="2"/>
  <c r="CT202" i="2" s="1"/>
  <c r="CT164" i="2"/>
  <c r="CD204" i="2"/>
  <c r="CT124" i="2"/>
  <c r="CJ12" i="2"/>
  <c r="CJ13" i="2" s="1"/>
  <c r="CJ14" i="2" s="1"/>
  <c r="CI13" i="2"/>
  <c r="CI14" i="2" s="1"/>
  <c r="CJ85" i="2"/>
  <c r="CI125" i="2"/>
  <c r="CI174" i="2"/>
  <c r="CI203" i="2" s="1"/>
  <c r="CT169" i="2"/>
  <c r="CT239" i="2"/>
  <c r="CT170" i="2"/>
  <c r="BZ204" i="2"/>
  <c r="CN70" i="2"/>
  <c r="CN12" i="2"/>
  <c r="CN160" i="2"/>
  <c r="CN85" i="2"/>
  <c r="CN9" i="2"/>
  <c r="CN10" i="2" s="1"/>
  <c r="CE125" i="2"/>
  <c r="CE173" i="2"/>
  <c r="CE174" i="2"/>
  <c r="CE203" i="2" s="1"/>
  <c r="CF125" i="2"/>
  <c r="CT122" i="2"/>
  <c r="CT160" i="2"/>
  <c r="CS8" i="2"/>
  <c r="CI123" i="2"/>
  <c r="CJ70" i="2"/>
  <c r="CI167" i="2"/>
  <c r="CI201" i="2" s="1"/>
  <c r="AA4" i="2"/>
  <c r="Z200" i="2"/>
  <c r="Q5" i="3"/>
  <c r="Z194" i="2"/>
  <c r="Z109" i="2"/>
  <c r="Z63" i="2"/>
  <c r="Z159" i="2"/>
  <c r="Z178" i="2" s="1"/>
  <c r="CK180" i="2"/>
  <c r="CI179" i="2"/>
  <c r="CI57" i="2" s="1"/>
  <c r="CJ57" i="2" s="1"/>
  <c r="CL196" i="2"/>
  <c r="CL162" i="2"/>
  <c r="CG135" i="2"/>
  <c r="CM68" i="2"/>
  <c r="CM132" i="2" s="1"/>
  <c r="CL89" i="2"/>
  <c r="CK138" i="2"/>
  <c r="CL132" i="2"/>
  <c r="BU74" i="2"/>
  <c r="CG92" i="2"/>
  <c r="CF120" i="2"/>
  <c r="CI78" i="2"/>
  <c r="CJ78" i="2" s="1"/>
  <c r="CH91" i="2"/>
  <c r="CG117" i="2"/>
  <c r="BS236" i="2" l="1"/>
  <c r="CJ125" i="2"/>
  <c r="CN167" i="2"/>
  <c r="CN201" i="2" s="1"/>
  <c r="CN123" i="2"/>
  <c r="CO70" i="2"/>
  <c r="CJ167" i="2"/>
  <c r="CJ201" i="2" s="1"/>
  <c r="CK123" i="2"/>
  <c r="CJ166" i="2"/>
  <c r="CO12" i="2"/>
  <c r="CO13" i="2" s="1"/>
  <c r="CO14" i="2" s="1"/>
  <c r="CN13" i="2"/>
  <c r="CN14" i="2" s="1"/>
  <c r="CS85" i="2"/>
  <c r="CS9" i="2"/>
  <c r="CS10" i="2" s="1"/>
  <c r="CS12" i="2"/>
  <c r="CS70" i="2"/>
  <c r="CS160" i="2"/>
  <c r="CO85" i="2"/>
  <c r="CN174" i="2"/>
  <c r="CN203" i="2" s="1"/>
  <c r="CN125" i="2"/>
  <c r="CJ173" i="2"/>
  <c r="CJ174" i="2"/>
  <c r="CJ203" i="2" s="1"/>
  <c r="CK125" i="2"/>
  <c r="CJ123" i="2"/>
  <c r="CI204" i="2"/>
  <c r="CE204" i="2"/>
  <c r="AA159" i="2"/>
  <c r="AA178" i="2" s="1"/>
  <c r="R5" i="3"/>
  <c r="AA200" i="2"/>
  <c r="AA63" i="2"/>
  <c r="AA109" i="2"/>
  <c r="AC4" i="2"/>
  <c r="AA194" i="2"/>
  <c r="CL180" i="2"/>
  <c r="CK179" i="2"/>
  <c r="CK57" i="2" s="1"/>
  <c r="CJ179" i="2"/>
  <c r="CJ180" i="2" s="1"/>
  <c r="CM196" i="2"/>
  <c r="CM197" i="2" s="1"/>
  <c r="CM162" i="2"/>
  <c r="CK78" i="2"/>
  <c r="CK134" i="2" s="1"/>
  <c r="BT172" i="2"/>
  <c r="BU172" i="2"/>
  <c r="CI134" i="2"/>
  <c r="CH92" i="2"/>
  <c r="CG120" i="2"/>
  <c r="CM89" i="2"/>
  <c r="CL138" i="2"/>
  <c r="CH117" i="2"/>
  <c r="CI91" i="2"/>
  <c r="BV113" i="2"/>
  <c r="CN68" i="2"/>
  <c r="CO68" i="2" s="1"/>
  <c r="CO123" i="2" l="1"/>
  <c r="CN204" i="2"/>
  <c r="CS125" i="2"/>
  <c r="CT85" i="2"/>
  <c r="CS174" i="2"/>
  <c r="CS203" i="2" s="1"/>
  <c r="CS167" i="2"/>
  <c r="CS201" i="2" s="1"/>
  <c r="CS123" i="2"/>
  <c r="CT70" i="2"/>
  <c r="CO167" i="2"/>
  <c r="CO201" i="2" s="1"/>
  <c r="CO166" i="2"/>
  <c r="CP123" i="2"/>
  <c r="CP125" i="2"/>
  <c r="CO173" i="2"/>
  <c r="CO174" i="2"/>
  <c r="CO203" i="2" s="1"/>
  <c r="CO125" i="2"/>
  <c r="CS13" i="2"/>
  <c r="CS14" i="2" s="1"/>
  <c r="CT12" i="2"/>
  <c r="CT13" i="2" s="1"/>
  <c r="CT14" i="2" s="1"/>
  <c r="CJ204" i="2"/>
  <c r="AC159" i="2"/>
  <c r="AC178" i="2" s="1"/>
  <c r="AD4" i="2"/>
  <c r="T5" i="3"/>
  <c r="AC200" i="2"/>
  <c r="AC194" i="2"/>
  <c r="AC109" i="2"/>
  <c r="AC63" i="2"/>
  <c r="CM180" i="2"/>
  <c r="CL179" i="2"/>
  <c r="CN196" i="2"/>
  <c r="CN162" i="2"/>
  <c r="CN132" i="2"/>
  <c r="CO132" i="2" s="1"/>
  <c r="CK135" i="2"/>
  <c r="CI135" i="2"/>
  <c r="CJ134" i="2"/>
  <c r="CJ135" i="2" s="1"/>
  <c r="CP68" i="2"/>
  <c r="CN89" i="2"/>
  <c r="CM138" i="2"/>
  <c r="CL78" i="2"/>
  <c r="CL134" i="2" s="1"/>
  <c r="CL135" i="2" s="1"/>
  <c r="CI117" i="2"/>
  <c r="CJ117" i="2" s="1"/>
  <c r="CJ91" i="2"/>
  <c r="CK91" i="2"/>
  <c r="BV237" i="2"/>
  <c r="BV28" i="2"/>
  <c r="BV74" i="2"/>
  <c r="BV172" i="2" s="1"/>
  <c r="CI92" i="2"/>
  <c r="CH120" i="2"/>
  <c r="BU28" i="2"/>
  <c r="BU171" i="2"/>
  <c r="BV29" i="2" l="1"/>
  <c r="CT123" i="2"/>
  <c r="CO204" i="2"/>
  <c r="CT125" i="2"/>
  <c r="CT166" i="2"/>
  <c r="CT167" i="2"/>
  <c r="CT201" i="2" s="1"/>
  <c r="CS204" i="2"/>
  <c r="CT173" i="2"/>
  <c r="CT174" i="2"/>
  <c r="CT203" i="2" s="1"/>
  <c r="AD63" i="2"/>
  <c r="U5" i="3"/>
  <c r="AD194" i="2"/>
  <c r="AD109" i="2"/>
  <c r="AD159" i="2"/>
  <c r="AD178" i="2" s="1"/>
  <c r="AE4" i="2"/>
  <c r="AD200" i="2"/>
  <c r="CL57" i="2"/>
  <c r="CM179" i="2"/>
  <c r="CM57" i="2" s="1"/>
  <c r="CN180" i="2"/>
  <c r="CP162" i="2"/>
  <c r="CP196" i="2"/>
  <c r="CP197" i="2" s="1"/>
  <c r="CK117" i="2"/>
  <c r="CL91" i="2"/>
  <c r="CQ68" i="2"/>
  <c r="CQ132" i="2" s="1"/>
  <c r="CJ92" i="2"/>
  <c r="CK92" i="2" s="1"/>
  <c r="CI120" i="2"/>
  <c r="CJ120" i="2" s="1"/>
  <c r="CO89" i="2"/>
  <c r="CN138" i="2"/>
  <c r="CO138" i="2" s="1"/>
  <c r="CP89" i="2"/>
  <c r="CM78" i="2"/>
  <c r="CP132" i="2"/>
  <c r="BW113" i="2"/>
  <c r="BW74" i="2" s="1"/>
  <c r="BV30" i="2" l="1"/>
  <c r="BV236" i="2"/>
  <c r="CT204" i="2"/>
  <c r="AF4" i="2"/>
  <c r="AE159" i="2"/>
  <c r="AE178" i="2" s="1"/>
  <c r="V5" i="3"/>
  <c r="AE109" i="2"/>
  <c r="AE200" i="2"/>
  <c r="AE63" i="2"/>
  <c r="AE194" i="2"/>
  <c r="CP180" i="2"/>
  <c r="CN179" i="2"/>
  <c r="CN57" i="2" s="1"/>
  <c r="CO57" i="2" s="1"/>
  <c r="CQ196" i="2"/>
  <c r="CQ162" i="2"/>
  <c r="BX113" i="2"/>
  <c r="BX74" i="2" s="1"/>
  <c r="BY113" i="2" s="1"/>
  <c r="CM91" i="2"/>
  <c r="CL117" i="2"/>
  <c r="BW28" i="2"/>
  <c r="BW237" i="2"/>
  <c r="BW172" i="2"/>
  <c r="CN78" i="2"/>
  <c r="CO78" i="2" s="1"/>
  <c r="CQ89" i="2"/>
  <c r="CP138" i="2"/>
  <c r="CL92" i="2"/>
  <c r="CK120" i="2"/>
  <c r="CM134" i="2"/>
  <c r="CR68" i="2"/>
  <c r="CR132" i="2" s="1"/>
  <c r="AF109" i="2" l="1"/>
  <c r="AF159" i="2"/>
  <c r="AF178" i="2" s="1"/>
  <c r="AF63" i="2"/>
  <c r="W5" i="3"/>
  <c r="AF200" i="2"/>
  <c r="AF194" i="2"/>
  <c r="CO179" i="2"/>
  <c r="CO180" i="2" s="1"/>
  <c r="CQ180" i="2"/>
  <c r="CP179" i="2"/>
  <c r="CR196" i="2"/>
  <c r="CR197" i="2" s="1"/>
  <c r="CR162" i="2"/>
  <c r="BY74" i="2"/>
  <c r="BZ74" i="2" s="1"/>
  <c r="BY28" i="2"/>
  <c r="BY237" i="2"/>
  <c r="BZ113" i="2"/>
  <c r="CS68" i="2"/>
  <c r="CT68" i="2" s="1"/>
  <c r="CN134" i="2"/>
  <c r="CN135" i="2" s="1"/>
  <c r="CM135" i="2"/>
  <c r="CP78" i="2"/>
  <c r="CR89" i="2"/>
  <c r="CQ138" i="2"/>
  <c r="CM92" i="2"/>
  <c r="CL120" i="2"/>
  <c r="CM117" i="2"/>
  <c r="CN91" i="2"/>
  <c r="BX237" i="2"/>
  <c r="BX28" i="2"/>
  <c r="BX29" i="2" s="1"/>
  <c r="BX172" i="2"/>
  <c r="CP57" i="2" l="1"/>
  <c r="CQ179" i="2"/>
  <c r="CQ57" i="2" s="1"/>
  <c r="CR180" i="2"/>
  <c r="CS162" i="2"/>
  <c r="CS196" i="2"/>
  <c r="CO134" i="2"/>
  <c r="CO135" i="2" s="1"/>
  <c r="BY172" i="2"/>
  <c r="CS89" i="2"/>
  <c r="CR138" i="2"/>
  <c r="CQ78" i="2"/>
  <c r="CQ134" i="2" s="1"/>
  <c r="CQ135" i="2" s="1"/>
  <c r="CN92" i="2"/>
  <c r="CM120" i="2"/>
  <c r="BX236" i="2"/>
  <c r="BX30" i="2"/>
  <c r="CN117" i="2"/>
  <c r="CO117" i="2" s="1"/>
  <c r="CO91" i="2"/>
  <c r="CP91" i="2"/>
  <c r="CS132" i="2"/>
  <c r="CP134" i="2"/>
  <c r="BZ28" i="2"/>
  <c r="BZ172" i="2"/>
  <c r="BZ237" i="2"/>
  <c r="BZ171" i="2"/>
  <c r="CA113" i="2"/>
  <c r="CA74" i="2" s="1"/>
  <c r="CS180" i="2" l="1"/>
  <c r="CS179" i="2" s="1"/>
  <c r="CS57" i="2" s="1"/>
  <c r="CR179" i="2"/>
  <c r="CT89" i="2"/>
  <c r="CS138" i="2"/>
  <c r="CA172" i="2"/>
  <c r="CA237" i="2"/>
  <c r="CA28" i="2"/>
  <c r="CA29" i="2" s="1"/>
  <c r="CP135" i="2"/>
  <c r="CT138" i="2"/>
  <c r="CO92" i="2"/>
  <c r="CP92" i="2" s="1"/>
  <c r="CN120" i="2"/>
  <c r="CO120" i="2" s="1"/>
  <c r="CT132" i="2"/>
  <c r="CB113" i="2"/>
  <c r="CB74" i="2" s="1"/>
  <c r="CP117" i="2"/>
  <c r="CQ91" i="2"/>
  <c r="CR78" i="2"/>
  <c r="CR134" i="2" s="1"/>
  <c r="CR135" i="2" s="1"/>
  <c r="CR57" i="2" l="1"/>
  <c r="CT57" i="2" s="1"/>
  <c r="CT179" i="2"/>
  <c r="CT180" i="2" s="1"/>
  <c r="CA236" i="2"/>
  <c r="CA30" i="2"/>
  <c r="CS78" i="2"/>
  <c r="CT78" i="2" s="1"/>
  <c r="CB237" i="2"/>
  <c r="CB172" i="2"/>
  <c r="CB28" i="2"/>
  <c r="CQ92" i="2"/>
  <c r="CP120" i="2"/>
  <c r="CR91" i="2"/>
  <c r="CQ117" i="2"/>
  <c r="CC113" i="2"/>
  <c r="CC74" i="2" s="1"/>
  <c r="CD113" i="2" s="1"/>
  <c r="CS134" i="2" l="1"/>
  <c r="CS135" i="2" s="1"/>
  <c r="CD74" i="2"/>
  <c r="CE74" i="2" s="1"/>
  <c r="CD237" i="2"/>
  <c r="CD28" i="2"/>
  <c r="CT134" i="2"/>
  <c r="CT135" i="2" s="1"/>
  <c r="CC28" i="2"/>
  <c r="CC29" i="2" s="1"/>
  <c r="CC237" i="2"/>
  <c r="CC172" i="2"/>
  <c r="CR117" i="2"/>
  <c r="CS91" i="2"/>
  <c r="CR92" i="2"/>
  <c r="CQ120" i="2"/>
  <c r="CE113" i="2"/>
  <c r="CD172" i="2" l="1"/>
  <c r="CE28" i="2"/>
  <c r="CE171" i="2"/>
  <c r="CE172" i="2"/>
  <c r="CE237" i="2"/>
  <c r="CS92" i="2"/>
  <c r="CR120" i="2"/>
  <c r="CT91" i="2"/>
  <c r="CS117" i="2"/>
  <c r="CT117" i="2" s="1"/>
  <c r="CC236" i="2"/>
  <c r="CC30" i="2"/>
  <c r="CF113" i="2"/>
  <c r="CF28" i="2" l="1"/>
  <c r="CF29" i="2" s="1"/>
  <c r="CF237" i="2"/>
  <c r="CT92" i="2"/>
  <c r="CS120" i="2"/>
  <c r="CT120" i="2" s="1"/>
  <c r="CF74" i="2"/>
  <c r="CF30" i="2" l="1"/>
  <c r="CF236" i="2"/>
  <c r="CG113" i="2"/>
  <c r="CG74" i="2" s="1"/>
  <c r="CF172" i="2"/>
  <c r="CH113" i="2" l="1"/>
  <c r="CH74" i="2" s="1"/>
  <c r="CG237" i="2"/>
  <c r="CG28" i="2"/>
  <c r="CG172" i="2"/>
  <c r="CH172" i="2" l="1"/>
  <c r="CI113" i="2"/>
  <c r="CH28" i="2"/>
  <c r="CH29" i="2" s="1"/>
  <c r="CH237" i="2"/>
  <c r="CI74" i="2" l="1"/>
  <c r="CJ74" i="2" s="1"/>
  <c r="CI28" i="2"/>
  <c r="CI237" i="2"/>
  <c r="CJ113" i="2"/>
  <c r="CH30" i="2"/>
  <c r="CH236" i="2"/>
  <c r="CI172" i="2" l="1"/>
  <c r="CJ237" i="2"/>
  <c r="CJ28" i="2"/>
  <c r="CJ171" i="2"/>
  <c r="CJ172" i="2"/>
  <c r="CK113" i="2"/>
  <c r="CK74" i="2" s="1"/>
  <c r="CL113" i="2" l="1"/>
  <c r="CL74" i="2" s="1"/>
  <c r="CK237" i="2"/>
  <c r="CK28" i="2"/>
  <c r="CK29" i="2" s="1"/>
  <c r="CK172" i="2"/>
  <c r="CK236" i="2" l="1"/>
  <c r="CK30" i="2"/>
  <c r="CM113" i="2"/>
  <c r="CM74" i="2" s="1"/>
  <c r="CN113" i="2" s="1"/>
  <c r="CL28" i="2"/>
  <c r="CL172" i="2"/>
  <c r="CL237" i="2"/>
  <c r="CN74" i="2" l="1"/>
  <c r="CO74" i="2" s="1"/>
  <c r="CN237" i="2"/>
  <c r="CN28" i="2"/>
  <c r="CM28" i="2"/>
  <c r="CM29" i="2" s="1"/>
  <c r="CM237" i="2"/>
  <c r="CM172" i="2"/>
  <c r="CO113" i="2"/>
  <c r="CN172" i="2" l="1"/>
  <c r="CO171" i="2"/>
  <c r="CO172" i="2"/>
  <c r="CO237" i="2"/>
  <c r="CO28" i="2"/>
  <c r="CM30" i="2"/>
  <c r="CM236" i="2"/>
  <c r="CP113" i="2"/>
  <c r="CP237" i="2" l="1"/>
  <c r="CP28" i="2"/>
  <c r="CP29" i="2" s="1"/>
  <c r="CP74" i="2"/>
  <c r="CQ113" i="2" l="1"/>
  <c r="CQ74" i="2" s="1"/>
  <c r="CP30" i="2"/>
  <c r="CP236" i="2"/>
  <c r="CP172" i="2"/>
  <c r="CQ172" i="2" l="1"/>
  <c r="CR113" i="2"/>
  <c r="CQ237" i="2"/>
  <c r="CQ28" i="2"/>
  <c r="CR74" i="2" l="1"/>
  <c r="CR172" i="2" s="1"/>
  <c r="CR237" i="2"/>
  <c r="CR28" i="2"/>
  <c r="CR29" i="2" s="1"/>
  <c r="CR236" i="2" l="1"/>
  <c r="CR30" i="2"/>
  <c r="CS113" i="2"/>
  <c r="CS28" i="2" l="1"/>
  <c r="CS237" i="2"/>
  <c r="CT113" i="2"/>
  <c r="CS74" i="2"/>
  <c r="CT74" i="2" s="1"/>
  <c r="CS172" i="2" l="1"/>
  <c r="CT237" i="2"/>
  <c r="CT28" i="2"/>
  <c r="CT171" i="2"/>
  <c r="CT172" i="2"/>
  <c r="BJ43" i="2" l="1"/>
  <c r="BK162" i="2" l="1"/>
  <c r="BJ111" i="2"/>
  <c r="BJ49" i="2"/>
  <c r="BK111" i="2" l="1"/>
  <c r="BK120" i="2" s="1"/>
  <c r="BJ162" i="2"/>
  <c r="BJ196" i="2"/>
  <c r="BJ197" i="2" s="1"/>
  <c r="BK196" i="2"/>
  <c r="BK197" i="2" s="1"/>
  <c r="BJ51" i="2"/>
  <c r="BK49" i="2" l="1"/>
  <c r="BK51" i="2" s="1"/>
  <c r="BJ120" i="2"/>
  <c r="BK237" i="2"/>
  <c r="BJ45" i="2"/>
  <c r="BJ50" i="2"/>
  <c r="BK53" i="2"/>
  <c r="BK59" i="2" s="1"/>
  <c r="BK54" i="2"/>
  <c r="BK156" i="2"/>
  <c r="BJ156" i="2"/>
  <c r="BJ177" i="2"/>
  <c r="BK176" i="2" l="1"/>
  <c r="BK45" i="2"/>
  <c r="BJ127" i="2"/>
  <c r="BJ237" i="2"/>
  <c r="BK61" i="2"/>
  <c r="BJ46" i="2"/>
  <c r="BK100" i="2"/>
  <c r="BJ103" i="2"/>
  <c r="BK50" i="2"/>
  <c r="BK60" i="2" l="1"/>
  <c r="BK241" i="2"/>
  <c r="BK46" i="2"/>
  <c r="BK103" i="2"/>
  <c r="BJ152" i="2" l="1"/>
  <c r="BJ153" i="2" s="1"/>
  <c r="BJ154" i="2" s="1"/>
  <c r="BJ155" i="2" s="1"/>
  <c r="BK152" i="2"/>
  <c r="BK153" i="2" s="1"/>
  <c r="BK154" i="2" s="1"/>
  <c r="BK155" i="2" s="1"/>
  <c r="BJ189" i="2"/>
  <c r="BJ190" i="2" s="1"/>
  <c r="BJ191" i="2" s="1"/>
  <c r="BK189" i="2"/>
  <c r="BK190" i="2" s="1"/>
  <c r="BJ216" i="2"/>
  <c r="BK216" i="2"/>
  <c r="BJ238" i="2"/>
  <c r="BK238" i="2"/>
  <c r="BL188" i="2" l="1"/>
  <c r="BK191" i="2"/>
  <c r="BJ157" i="2"/>
  <c r="BK157" i="2"/>
  <c r="BP188" i="2"/>
  <c r="BJ147" i="2" l="1"/>
  <c r="BK147" i="2"/>
  <c r="BK149" i="2" s="1"/>
  <c r="BL148" i="2" s="1"/>
  <c r="BJ149" i="2" l="1"/>
  <c r="BP148" i="2"/>
  <c r="BJ241" i="2" l="1"/>
  <c r="BL43" i="2" l="1"/>
  <c r="BL196" i="2"/>
  <c r="BL197" i="2" s="1"/>
  <c r="BL162" i="2"/>
  <c r="BL49" i="2" l="1"/>
  <c r="BL51" i="2" s="1"/>
  <c r="BL177" i="2"/>
  <c r="BL111" i="2"/>
  <c r="BL45" i="2" l="1"/>
  <c r="BL50" i="2"/>
  <c r="BL46" i="2" l="1"/>
  <c r="BL156" i="2"/>
  <c r="BL103" i="2"/>
  <c r="BL238" i="2" l="1"/>
  <c r="BL120" i="2"/>
  <c r="BL216" i="2" s="1"/>
  <c r="BL152" i="2"/>
  <c r="BL153" i="2" s="1"/>
  <c r="BL154" i="2" s="1"/>
  <c r="BL155" i="2" s="1"/>
  <c r="BL189" i="2"/>
  <c r="BL190" i="2" s="1"/>
  <c r="BM188" i="2" s="1"/>
  <c r="BL157" i="2" l="1"/>
  <c r="BL191" i="2"/>
  <c r="BL237" i="2"/>
  <c r="BL143" i="2"/>
  <c r="BL147" i="2" l="1"/>
  <c r="BL149" i="2" l="1"/>
  <c r="BM148" i="2" l="1"/>
  <c r="BL241" i="2"/>
  <c r="BG60" i="2"/>
  <c r="BH60" i="2"/>
  <c r="BI60" i="2"/>
  <c r="BJ60" i="2"/>
  <c r="BL60" i="2"/>
  <c r="BD200" i="3" l="1"/>
  <c r="BN139" i="3"/>
  <c r="BS139" i="3" s="1"/>
  <c r="BX139" i="3" s="1"/>
  <c r="CC139" i="3" s="1"/>
  <c r="CH139" i="3" s="1"/>
  <c r="CH102" i="3" s="1"/>
  <c r="BG139" i="3"/>
  <c r="BG102" i="3" s="1"/>
  <c r="BG142" i="3" s="1"/>
  <c r="BG156" i="3" s="1"/>
  <c r="CK139" i="3" l="1"/>
  <c r="CA139" i="3"/>
  <c r="BG207" i="3"/>
  <c r="BG206" i="3"/>
  <c r="BG208" i="3"/>
  <c r="BG209" i="3"/>
  <c r="BV139" i="3"/>
  <c r="CC102" i="3"/>
  <c r="CL23" i="2" s="1"/>
  <c r="CL29" i="2" s="1"/>
  <c r="BQ139" i="3"/>
  <c r="BS102" i="3"/>
  <c r="CB23" i="2" s="1"/>
  <c r="CB16" i="2" s="1"/>
  <c r="BG204" i="3"/>
  <c r="BG203" i="3"/>
  <c r="BG202" i="3"/>
  <c r="BG200" i="3"/>
  <c r="BD209" i="3"/>
  <c r="BG201" i="3"/>
  <c r="BD206" i="3"/>
  <c r="BD201" i="3"/>
  <c r="BD199" i="3"/>
  <c r="BD103" i="3"/>
  <c r="BD208" i="3"/>
  <c r="BD203" i="3"/>
  <c r="BD204" i="3"/>
  <c r="BD207" i="3"/>
  <c r="BD202" i="3"/>
  <c r="BD142" i="3"/>
  <c r="BI156" i="3" s="1"/>
  <c r="BG199" i="3"/>
  <c r="CQ23" i="2"/>
  <c r="CH199" i="3"/>
  <c r="CH201" i="3"/>
  <c r="CH203" i="3"/>
  <c r="CH206" i="3"/>
  <c r="CH208" i="3"/>
  <c r="CH142" i="3"/>
  <c r="CH200" i="3"/>
  <c r="CH202" i="3"/>
  <c r="CH204" i="3"/>
  <c r="CH207" i="3"/>
  <c r="CH209" i="3"/>
  <c r="BG140" i="3"/>
  <c r="CF139" i="3"/>
  <c r="BL139" i="3"/>
  <c r="BX102" i="3"/>
  <c r="BG103" i="3"/>
  <c r="BN102" i="3"/>
  <c r="BI209" i="3" l="1"/>
  <c r="CH103" i="3"/>
  <c r="BV140" i="3"/>
  <c r="CA140" i="3"/>
  <c r="BI200" i="3"/>
  <c r="BI206" i="3"/>
  <c r="BI103" i="3"/>
  <c r="BI204" i="3"/>
  <c r="BI201" i="3"/>
  <c r="BI207" i="3"/>
  <c r="BI199" i="3"/>
  <c r="BI208" i="3"/>
  <c r="BI202" i="3"/>
  <c r="BI203" i="3"/>
  <c r="BS200" i="3"/>
  <c r="BS203" i="3"/>
  <c r="BS209" i="3"/>
  <c r="BS103" i="3"/>
  <c r="CC202" i="3"/>
  <c r="CB29" i="2"/>
  <c r="CB236" i="2" s="1"/>
  <c r="CC206" i="3"/>
  <c r="CC142" i="3"/>
  <c r="CH156" i="3" s="1"/>
  <c r="BS204" i="3"/>
  <c r="CB195" i="2"/>
  <c r="CB197" i="2" s="1"/>
  <c r="CL234" i="2"/>
  <c r="CB234" i="2"/>
  <c r="BS202" i="3"/>
  <c r="CC204" i="3"/>
  <c r="CB24" i="2"/>
  <c r="CC199" i="3"/>
  <c r="BS206" i="3"/>
  <c r="CC208" i="3"/>
  <c r="CL16" i="2"/>
  <c r="CL17" i="2" s="1"/>
  <c r="BS142" i="3"/>
  <c r="CC200" i="3"/>
  <c r="BS207" i="3"/>
  <c r="CC209" i="3"/>
  <c r="BS201" i="3"/>
  <c r="CC203" i="3"/>
  <c r="CL195" i="2"/>
  <c r="CL197" i="2" s="1"/>
  <c r="CL24" i="2"/>
  <c r="CC207" i="3"/>
  <c r="BS199" i="3"/>
  <c r="CC201" i="3"/>
  <c r="BS208" i="3"/>
  <c r="BD156" i="3"/>
  <c r="CG23" i="2"/>
  <c r="BX199" i="3"/>
  <c r="BX201" i="3"/>
  <c r="BX203" i="3"/>
  <c r="BX206" i="3"/>
  <c r="BX208" i="3"/>
  <c r="BX142" i="3"/>
  <c r="BX200" i="3"/>
  <c r="BX202" i="3"/>
  <c r="BX204" i="3"/>
  <c r="BX207" i="3"/>
  <c r="BX209" i="3"/>
  <c r="BX103" i="3"/>
  <c r="CC103" i="3"/>
  <c r="BP29" i="2"/>
  <c r="BP234" i="2"/>
  <c r="CQ16" i="2"/>
  <c r="CQ25" i="2"/>
  <c r="CQ29" i="2"/>
  <c r="CQ24" i="2"/>
  <c r="CQ195" i="2"/>
  <c r="CQ197" i="2" s="1"/>
  <c r="CQ234" i="2"/>
  <c r="BL140" i="3"/>
  <c r="BQ140" i="3"/>
  <c r="CL30" i="2"/>
  <c r="CL236" i="2"/>
  <c r="BW23" i="2"/>
  <c r="BN199" i="3"/>
  <c r="BN201" i="3"/>
  <c r="BN203" i="3"/>
  <c r="BN206" i="3"/>
  <c r="BN208" i="3"/>
  <c r="BN103" i="3"/>
  <c r="BN142" i="3"/>
  <c r="BN200" i="3"/>
  <c r="BN202" i="3"/>
  <c r="BN204" i="3"/>
  <c r="BN207" i="3"/>
  <c r="BN209" i="3"/>
  <c r="CB17" i="2"/>
  <c r="BM25" i="2"/>
  <c r="BM29" i="2"/>
  <c r="BM24" i="2"/>
  <c r="BR26" i="2" s="1"/>
  <c r="BM234" i="2"/>
  <c r="BM195" i="2"/>
  <c r="CF140" i="3"/>
  <c r="CK140" i="3"/>
  <c r="BR29" i="2" l="1"/>
  <c r="BR236" i="2" s="1"/>
  <c r="BR234" i="2"/>
  <c r="BR195" i="2"/>
  <c r="BR17" i="2"/>
  <c r="BR161" i="2" s="1"/>
  <c r="BR18" i="2"/>
  <c r="BN156" i="3"/>
  <c r="BX156" i="3"/>
  <c r="CQ26" i="2"/>
  <c r="CB30" i="2"/>
  <c r="CC156" i="3"/>
  <c r="CB161" i="2"/>
  <c r="BS156" i="3"/>
  <c r="CL161" i="2"/>
  <c r="BM26" i="2"/>
  <c r="BM18" i="2"/>
  <c r="BM17" i="2"/>
  <c r="BM161" i="2" s="1"/>
  <c r="BW16" i="2"/>
  <c r="BW25" i="2"/>
  <c r="BW29" i="2"/>
  <c r="BW24" i="2"/>
  <c r="BW195" i="2"/>
  <c r="BW197" i="2" s="1"/>
  <c r="BW234" i="2"/>
  <c r="CB25" i="2"/>
  <c r="BM30" i="2"/>
  <c r="BM236" i="2"/>
  <c r="CQ17" i="2"/>
  <c r="CQ18" i="2"/>
  <c r="CG16" i="2"/>
  <c r="CG25" i="2"/>
  <c r="CG29" i="2"/>
  <c r="CG24" i="2"/>
  <c r="CG234" i="2"/>
  <c r="CG195" i="2"/>
  <c r="CG197" i="2" s="1"/>
  <c r="CL25" i="2"/>
  <c r="CQ30" i="2"/>
  <c r="CQ236" i="2"/>
  <c r="BP30" i="2"/>
  <c r="BP236" i="2"/>
  <c r="BR30" i="2" l="1"/>
  <c r="CG30" i="2"/>
  <c r="CG236" i="2"/>
  <c r="BW30" i="2"/>
  <c r="BW236" i="2"/>
  <c r="BW17" i="2"/>
  <c r="BW18" i="2"/>
  <c r="CB18" i="2"/>
  <c r="BW26" i="2"/>
  <c r="CB26" i="2"/>
  <c r="CQ19" i="2"/>
  <c r="CQ161" i="2"/>
  <c r="CG26" i="2"/>
  <c r="CL26" i="2"/>
  <c r="CG17" i="2"/>
  <c r="CG18" i="2"/>
  <c r="CL18" i="2"/>
  <c r="BM19" i="2"/>
  <c r="BR19" i="2"/>
  <c r="BP161" i="2"/>
  <c r="CG19" i="2" l="1"/>
  <c r="CG161" i="2"/>
  <c r="CL19" i="2"/>
  <c r="BW19" i="2"/>
  <c r="BW161" i="2"/>
  <c r="CB19" i="2"/>
  <c r="BM162" i="2" l="1"/>
  <c r="BM43" i="2" l="1"/>
  <c r="BM196" i="2"/>
  <c r="BM197" i="2" s="1"/>
  <c r="BM49" i="2" l="1"/>
  <c r="BM51" i="2" s="1"/>
  <c r="BM177" i="2"/>
  <c r="BM111" i="2"/>
  <c r="BM120" i="2" s="1"/>
  <c r="BM237" i="2" l="1"/>
  <c r="BM45" i="2"/>
  <c r="BM50" i="2"/>
  <c r="BM46" i="2" l="1"/>
  <c r="BM156" i="2"/>
  <c r="BM103" i="2" l="1"/>
  <c r="BM72" i="2" l="1"/>
  <c r="BM83" i="2"/>
  <c r="BM183" i="2" s="1"/>
  <c r="BN186" i="2" s="1"/>
  <c r="BM184" i="2" l="1"/>
  <c r="BM87" i="2"/>
  <c r="BM80" i="2"/>
  <c r="BM192" i="2" s="1"/>
  <c r="BM185" i="2" l="1"/>
  <c r="BM240" i="2" s="1"/>
  <c r="BM93" i="2"/>
  <c r="BM260" i="2"/>
  <c r="BM105" i="2" l="1"/>
  <c r="BM107" i="2" l="1"/>
  <c r="BM152" i="2"/>
  <c r="BM153" i="2" s="1"/>
  <c r="BM157" i="2" s="1"/>
  <c r="BM189" i="2"/>
  <c r="BM190" i="2" s="1"/>
  <c r="BN188" i="2" s="1"/>
  <c r="BM216" i="2"/>
  <c r="BM238" i="2"/>
  <c r="BM191" i="2" l="1"/>
  <c r="BM154" i="2"/>
  <c r="BM155" i="2" s="1"/>
  <c r="BM147" i="2"/>
  <c r="BM149" i="2" l="1"/>
  <c r="BN148" i="2" l="1"/>
  <c r="BM150" i="2"/>
  <c r="BN162" i="2" l="1"/>
  <c r="BN196" i="2"/>
  <c r="BN197" i="2" s="1"/>
  <c r="BN43" i="2"/>
  <c r="BN111" i="2" l="1"/>
  <c r="BN120" i="2" s="1"/>
  <c r="BN49" i="2"/>
  <c r="BN51" i="2" l="1"/>
  <c r="BN45" i="2"/>
  <c r="BN50" i="2"/>
  <c r="BN46" i="2" l="1"/>
  <c r="BN156" i="2" l="1"/>
  <c r="BN177" i="2"/>
  <c r="BN103" i="2" l="1"/>
  <c r="BM241" i="2" l="1"/>
  <c r="BN241" i="2"/>
  <c r="BN72" i="2"/>
  <c r="BN184" i="2"/>
  <c r="BO187" i="2" l="1"/>
  <c r="BN187" i="2"/>
  <c r="BV60" i="2"/>
  <c r="BN80" i="2"/>
  <c r="BW60" i="2" l="1"/>
  <c r="BX60" i="2" s="1"/>
  <c r="BY60" i="2" s="1"/>
  <c r="CA60" i="2" s="1"/>
  <c r="CB60" i="2" s="1"/>
  <c r="CC60" i="2" s="1"/>
  <c r="CD60" i="2" s="1"/>
  <c r="CF60" i="2" s="1"/>
  <c r="CG60" i="2" s="1"/>
  <c r="CH60" i="2" s="1"/>
  <c r="CI60" i="2" s="1"/>
  <c r="CK60" i="2" s="1"/>
  <c r="CL60" i="2" s="1"/>
  <c r="CM60" i="2" s="1"/>
  <c r="CN60" i="2" s="1"/>
  <c r="CP60" i="2" s="1"/>
  <c r="CQ60" i="2" s="1"/>
  <c r="CR60" i="2" s="1"/>
  <c r="CS60" i="2" s="1"/>
  <c r="BN185" i="2"/>
  <c r="BN240" i="2" s="1"/>
  <c r="BN238" i="2" l="1"/>
  <c r="BN152" i="2"/>
  <c r="BN153" i="2" s="1"/>
  <c r="BN189" i="2"/>
  <c r="BN190" i="2" s="1"/>
  <c r="BO188" i="2" s="1"/>
  <c r="BN216" i="2"/>
  <c r="BN237" i="2"/>
  <c r="BN154" i="2" l="1"/>
  <c r="BN155" i="2" s="1"/>
  <c r="BN157" i="2"/>
  <c r="BN147" i="2"/>
  <c r="BN191" i="2"/>
  <c r="BN149" i="2" l="1"/>
  <c r="BO148" i="2" s="1"/>
  <c r="BN150" i="2" l="1"/>
  <c r="CC187" i="2"/>
  <c r="CH187" i="2" s="1"/>
  <c r="CC186" i="2" l="1"/>
  <c r="CM187" i="2"/>
  <c r="CR187" i="2" l="1"/>
  <c r="CH186" i="2"/>
  <c r="CM186" i="2" l="1"/>
  <c r="CR186" i="2" l="1"/>
  <c r="CD187" i="2" l="1"/>
  <c r="CI187" i="2" l="1"/>
  <c r="CN187" i="2" l="1"/>
  <c r="CS187" i="2" l="1"/>
  <c r="BP61" i="2" l="1"/>
  <c r="BP241" i="2" s="1"/>
  <c r="BO43" i="2" l="1"/>
  <c r="BP43" i="2"/>
  <c r="BP111" i="2" s="1"/>
  <c r="BO177" i="2" l="1"/>
  <c r="BO111" i="2"/>
  <c r="BO45" i="2"/>
  <c r="BO49" i="2"/>
  <c r="BP45" i="2"/>
  <c r="BP49" i="2"/>
  <c r="BO46" i="2" l="1"/>
  <c r="BO50" i="2"/>
  <c r="BO51" i="2"/>
  <c r="BO162" i="2"/>
  <c r="BO196" i="2"/>
  <c r="BO197" i="2" s="1"/>
  <c r="BP51" i="2"/>
  <c r="BP50" i="2"/>
  <c r="BP162" i="2"/>
  <c r="BP196" i="2"/>
  <c r="BP197" i="2" s="1"/>
  <c r="BP46" i="2"/>
  <c r="BP147" i="3" l="1"/>
  <c r="BF158" i="3"/>
  <c r="BF159" i="3"/>
  <c r="BF160" i="3"/>
  <c r="BF161" i="3"/>
  <c r="BF162" i="3"/>
  <c r="BF163" i="3"/>
  <c r="BF304" i="3" l="1"/>
  <c r="BK304" i="3"/>
  <c r="BF303" i="3"/>
  <c r="BK303" i="3"/>
  <c r="BF302" i="3"/>
  <c r="BK302" i="3"/>
  <c r="BF301" i="3"/>
  <c r="BK301" i="3"/>
  <c r="BF300" i="3"/>
  <c r="BK300" i="3"/>
  <c r="BF299" i="3"/>
  <c r="BK299" i="3"/>
  <c r="BP149" i="3"/>
  <c r="BU149" i="3" s="1"/>
  <c r="BU123" i="3" s="1"/>
  <c r="BP146" i="3"/>
  <c r="BP114" i="3" s="1"/>
  <c r="BQ114" i="3" s="1"/>
  <c r="BP145" i="3"/>
  <c r="BP111" i="3" s="1"/>
  <c r="BP112" i="3" s="1"/>
  <c r="BP144" i="3"/>
  <c r="BP108" i="3" s="1"/>
  <c r="BP109" i="3" s="1"/>
  <c r="BL120" i="3"/>
  <c r="BK121" i="3"/>
  <c r="BL111" i="3"/>
  <c r="BK112" i="3"/>
  <c r="BL123" i="3"/>
  <c r="BK124" i="3"/>
  <c r="BL108" i="3"/>
  <c r="BK109" i="3"/>
  <c r="BP117" i="3"/>
  <c r="BU147" i="3"/>
  <c r="BL114" i="3"/>
  <c r="BK115" i="3"/>
  <c r="BP148" i="3"/>
  <c r="BK102" i="3" l="1"/>
  <c r="BU145" i="3"/>
  <c r="BZ145" i="3" s="1"/>
  <c r="BQ111" i="3"/>
  <c r="BQ145" i="3" s="1"/>
  <c r="BZ149" i="3"/>
  <c r="CE149" i="3" s="1"/>
  <c r="BP123" i="3"/>
  <c r="BP124" i="3" s="1"/>
  <c r="BP115" i="3"/>
  <c r="BU146" i="3"/>
  <c r="BU114" i="3" s="1"/>
  <c r="BU144" i="3"/>
  <c r="BZ144" i="3" s="1"/>
  <c r="BQ108" i="3"/>
  <c r="BQ109" i="3" s="1"/>
  <c r="BP118" i="3"/>
  <c r="BQ117" i="3"/>
  <c r="BL109" i="3"/>
  <c r="BL144" i="3"/>
  <c r="BL158" i="3" s="1"/>
  <c r="BL117" i="3"/>
  <c r="BK118" i="3"/>
  <c r="BP120" i="3"/>
  <c r="BU148" i="3"/>
  <c r="BQ115" i="3"/>
  <c r="BQ146" i="3"/>
  <c r="BL121" i="3"/>
  <c r="BL148" i="3"/>
  <c r="BL162" i="3" s="1"/>
  <c r="BL112" i="3"/>
  <c r="BL145" i="3"/>
  <c r="BL159" i="3" s="1"/>
  <c r="BV123" i="3"/>
  <c r="BL115" i="3"/>
  <c r="BL146" i="3"/>
  <c r="BL160" i="3" s="1"/>
  <c r="BZ147" i="3"/>
  <c r="BU117" i="3"/>
  <c r="BL124" i="3"/>
  <c r="BL149" i="3"/>
  <c r="BL163" i="3" s="1"/>
  <c r="BK200" i="3" l="1"/>
  <c r="BK142" i="3"/>
  <c r="BK156" i="3" s="1"/>
  <c r="BK206" i="3"/>
  <c r="BK201" i="3"/>
  <c r="BK204" i="3"/>
  <c r="BK199" i="3"/>
  <c r="BK209" i="3"/>
  <c r="BK208" i="3"/>
  <c r="BK103" i="3"/>
  <c r="BK203" i="3"/>
  <c r="BK207" i="3"/>
  <c r="BK202" i="3"/>
  <c r="BU111" i="3"/>
  <c r="BU112" i="3" s="1"/>
  <c r="BZ146" i="3"/>
  <c r="CE146" i="3" s="1"/>
  <c r="BU124" i="3"/>
  <c r="BQ123" i="3"/>
  <c r="BQ124" i="3" s="1"/>
  <c r="BP102" i="3"/>
  <c r="BP103" i="3" s="1"/>
  <c r="BQ112" i="3"/>
  <c r="BZ123" i="3"/>
  <c r="CA123" i="3" s="1"/>
  <c r="BU108" i="3"/>
  <c r="BV108" i="3" s="1"/>
  <c r="BQ144" i="3"/>
  <c r="BQ158" i="3" s="1"/>
  <c r="BQ159" i="3"/>
  <c r="BZ117" i="3"/>
  <c r="CE147" i="3"/>
  <c r="BQ147" i="3"/>
  <c r="BQ118" i="3"/>
  <c r="BV117" i="3"/>
  <c r="BU118" i="3"/>
  <c r="BV149" i="3"/>
  <c r="BZ111" i="3"/>
  <c r="CE145" i="3"/>
  <c r="BU120" i="3"/>
  <c r="BZ148" i="3"/>
  <c r="BL118" i="3"/>
  <c r="BL147" i="3"/>
  <c r="BL161" i="3" s="1"/>
  <c r="BL102" i="3"/>
  <c r="BL202" i="3" s="1"/>
  <c r="CJ149" i="3"/>
  <c r="CJ123" i="3" s="1"/>
  <c r="CE123" i="3"/>
  <c r="BQ160" i="3"/>
  <c r="BP121" i="3"/>
  <c r="BQ120" i="3"/>
  <c r="BV114" i="3"/>
  <c r="BU115" i="3"/>
  <c r="BZ108" i="3"/>
  <c r="CE144" i="3"/>
  <c r="BT24" i="2" l="1"/>
  <c r="BT195" i="2"/>
  <c r="BT236" i="2"/>
  <c r="BT25" i="2"/>
  <c r="BT234" i="2"/>
  <c r="BV111" i="3"/>
  <c r="BV145" i="3" s="1"/>
  <c r="BV159" i="3" s="1"/>
  <c r="BZ114" i="3"/>
  <c r="CA114" i="3" s="1"/>
  <c r="BP209" i="3"/>
  <c r="BP201" i="3"/>
  <c r="BP207" i="3"/>
  <c r="BP203" i="3"/>
  <c r="BP199" i="3"/>
  <c r="BY23" i="2"/>
  <c r="BY16" i="2" s="1"/>
  <c r="BP202" i="3"/>
  <c r="BP204" i="3"/>
  <c r="BP200" i="3"/>
  <c r="BQ149" i="3"/>
  <c r="BQ163" i="3" s="1"/>
  <c r="BP208" i="3"/>
  <c r="BP206" i="3"/>
  <c r="BP142" i="3"/>
  <c r="BP156" i="3" s="1"/>
  <c r="BV124" i="3"/>
  <c r="BZ124" i="3"/>
  <c r="BU109" i="3"/>
  <c r="BU102" i="3"/>
  <c r="BU202" i="3" s="1"/>
  <c r="CF123" i="3"/>
  <c r="CE124" i="3"/>
  <c r="BZ109" i="3"/>
  <c r="CA108" i="3"/>
  <c r="BL103" i="3"/>
  <c r="BL142" i="3"/>
  <c r="BL156" i="3" s="1"/>
  <c r="BL206" i="3"/>
  <c r="BL207" i="3"/>
  <c r="BL208" i="3"/>
  <c r="BL209" i="3"/>
  <c r="BL199" i="3"/>
  <c r="BL201" i="3"/>
  <c r="BL204" i="3"/>
  <c r="BL200" i="3"/>
  <c r="BL203" i="3"/>
  <c r="BZ120" i="3"/>
  <c r="CE148" i="3"/>
  <c r="BZ118" i="3"/>
  <c r="CA117" i="3"/>
  <c r="BQ148" i="3"/>
  <c r="BQ162" i="3" s="1"/>
  <c r="BQ121" i="3"/>
  <c r="BQ102" i="3"/>
  <c r="CJ145" i="3"/>
  <c r="CJ111" i="3" s="1"/>
  <c r="CE111" i="3"/>
  <c r="BV115" i="3"/>
  <c r="BV146" i="3"/>
  <c r="BV160" i="3" s="1"/>
  <c r="BV120" i="3"/>
  <c r="BU121" i="3"/>
  <c r="BV118" i="3"/>
  <c r="BV147" i="3"/>
  <c r="BV161" i="3" s="1"/>
  <c r="BQ161" i="3"/>
  <c r="CA124" i="3"/>
  <c r="CA149" i="3"/>
  <c r="CA163" i="3" s="1"/>
  <c r="CJ144" i="3"/>
  <c r="CJ108" i="3" s="1"/>
  <c r="CE108" i="3"/>
  <c r="CJ124" i="3"/>
  <c r="CK123" i="3"/>
  <c r="BV109" i="3"/>
  <c r="BV144" i="3"/>
  <c r="BV158" i="3" s="1"/>
  <c r="BZ112" i="3"/>
  <c r="CA111" i="3"/>
  <c r="CJ146" i="3"/>
  <c r="CJ114" i="3" s="1"/>
  <c r="CE114" i="3"/>
  <c r="CJ147" i="3"/>
  <c r="CJ117" i="3" s="1"/>
  <c r="CE117" i="3"/>
  <c r="BT17" i="2" l="1"/>
  <c r="BT26" i="2"/>
  <c r="BT18" i="2"/>
  <c r="BV102" i="3"/>
  <c r="BV200" i="3" s="1"/>
  <c r="BV112" i="3"/>
  <c r="BZ115" i="3"/>
  <c r="BV163" i="3"/>
  <c r="BY29" i="2"/>
  <c r="BY30" i="2" s="1"/>
  <c r="BY25" i="2"/>
  <c r="BY234" i="2"/>
  <c r="BY24" i="2"/>
  <c r="BY26" i="2" s="1"/>
  <c r="BY195" i="2"/>
  <c r="BY197" i="2" s="1"/>
  <c r="BU207" i="3"/>
  <c r="CD23" i="2"/>
  <c r="CD29" i="2" s="1"/>
  <c r="BU200" i="3"/>
  <c r="BU204" i="3"/>
  <c r="BU206" i="3"/>
  <c r="BU209" i="3"/>
  <c r="BU142" i="3"/>
  <c r="BU156" i="3" s="1"/>
  <c r="BU199" i="3"/>
  <c r="BU201" i="3"/>
  <c r="BU203" i="3"/>
  <c r="BU208" i="3"/>
  <c r="BU103" i="3"/>
  <c r="BY17" i="2"/>
  <c r="BY18" i="2"/>
  <c r="CF108" i="3"/>
  <c r="CE109" i="3"/>
  <c r="CJ112" i="3"/>
  <c r="CK111" i="3"/>
  <c r="BZ121" i="3"/>
  <c r="CA120" i="3"/>
  <c r="CA102" i="3" s="1"/>
  <c r="CA199" i="3" s="1"/>
  <c r="BU29" i="2"/>
  <c r="BU195" i="2"/>
  <c r="BU234" i="2"/>
  <c r="BZ102" i="3"/>
  <c r="BZ203" i="3" s="1"/>
  <c r="CF117" i="3"/>
  <c r="CE118" i="3"/>
  <c r="CF114" i="3"/>
  <c r="CE115" i="3"/>
  <c r="CJ115" i="3"/>
  <c r="CK114" i="3"/>
  <c r="CK124" i="3"/>
  <c r="CK149" i="3"/>
  <c r="CJ109" i="3"/>
  <c r="CK108" i="3"/>
  <c r="BZ23" i="2"/>
  <c r="BQ206" i="3"/>
  <c r="BQ103" i="3"/>
  <c r="BQ142" i="3"/>
  <c r="BQ156" i="3" s="1"/>
  <c r="BQ207" i="3"/>
  <c r="BQ208" i="3"/>
  <c r="BQ209" i="3"/>
  <c r="BQ199" i="3"/>
  <c r="BQ201" i="3"/>
  <c r="BQ200" i="3"/>
  <c r="BQ204" i="3"/>
  <c r="BQ202" i="3"/>
  <c r="CA115" i="3"/>
  <c r="CA146" i="3"/>
  <c r="CA160" i="3" s="1"/>
  <c r="CA109" i="3"/>
  <c r="CA144" i="3"/>
  <c r="CA158" i="3" s="1"/>
  <c r="CA112" i="3"/>
  <c r="CA145" i="3"/>
  <c r="CA159" i="3" s="1"/>
  <c r="CA147" i="3"/>
  <c r="CA161" i="3" s="1"/>
  <c r="CA118" i="3"/>
  <c r="CJ118" i="3"/>
  <c r="CK117" i="3"/>
  <c r="BV121" i="3"/>
  <c r="BV148" i="3"/>
  <c r="BV162" i="3" s="1"/>
  <c r="CF111" i="3"/>
  <c r="CE112" i="3"/>
  <c r="BQ203" i="3"/>
  <c r="CE120" i="3"/>
  <c r="CE102" i="3" s="1"/>
  <c r="CJ148" i="3"/>
  <c r="CJ120" i="3" s="1"/>
  <c r="CF124" i="3"/>
  <c r="CF149" i="3"/>
  <c r="CF163" i="3" s="1"/>
  <c r="BT19" i="2" l="1"/>
  <c r="BT161" i="2"/>
  <c r="BV204" i="3"/>
  <c r="BV207" i="3"/>
  <c r="BV203" i="3"/>
  <c r="BV199" i="3"/>
  <c r="BV142" i="3"/>
  <c r="BV156" i="3" s="1"/>
  <c r="BV103" i="3"/>
  <c r="BV201" i="3"/>
  <c r="BV206" i="3"/>
  <c r="BV209" i="3"/>
  <c r="BV208" i="3"/>
  <c r="CE23" i="2"/>
  <c r="CE24" i="2" s="1"/>
  <c r="BV202" i="3"/>
  <c r="BY236" i="2"/>
  <c r="CD25" i="2"/>
  <c r="CD234" i="2"/>
  <c r="CD195" i="2"/>
  <c r="CD197" i="2" s="1"/>
  <c r="CD16" i="2"/>
  <c r="CD17" i="2" s="1"/>
  <c r="CD24" i="2"/>
  <c r="CD26" i="2" s="1"/>
  <c r="CK163" i="3"/>
  <c r="CA200" i="3"/>
  <c r="CN23" i="2"/>
  <c r="CE103" i="3"/>
  <c r="CE142" i="3"/>
  <c r="CE207" i="3"/>
  <c r="CE208" i="3"/>
  <c r="CE209" i="3"/>
  <c r="CE206" i="3"/>
  <c r="CE204" i="3"/>
  <c r="CE201" i="3"/>
  <c r="CE202" i="3"/>
  <c r="CE199" i="3"/>
  <c r="CE200" i="3"/>
  <c r="CF115" i="3"/>
  <c r="CF146" i="3"/>
  <c r="CF160" i="3" s="1"/>
  <c r="CI23" i="2"/>
  <c r="BZ103" i="3"/>
  <c r="BZ142" i="3"/>
  <c r="BZ156" i="3" s="1"/>
  <c r="BZ207" i="3"/>
  <c r="BZ208" i="3"/>
  <c r="BZ209" i="3"/>
  <c r="BZ206" i="3"/>
  <c r="BZ204" i="3"/>
  <c r="BZ199" i="3"/>
  <c r="BZ202" i="3"/>
  <c r="BZ200" i="3"/>
  <c r="BZ201" i="3"/>
  <c r="CJ121" i="3"/>
  <c r="CK120" i="3"/>
  <c r="CK102" i="3" s="1"/>
  <c r="CK200" i="3" s="1"/>
  <c r="CJ23" i="2"/>
  <c r="CA206" i="3"/>
  <c r="CA103" i="3"/>
  <c r="CA142" i="3"/>
  <c r="CA209" i="3"/>
  <c r="CA207" i="3"/>
  <c r="CA208" i="3"/>
  <c r="CA204" i="3"/>
  <c r="CA201" i="3"/>
  <c r="BZ16" i="2"/>
  <c r="BZ24" i="2"/>
  <c r="BZ26" i="2" s="1"/>
  <c r="BZ25" i="2"/>
  <c r="BZ29" i="2"/>
  <c r="BZ195" i="2"/>
  <c r="BZ234" i="2"/>
  <c r="CJ102" i="3"/>
  <c r="CJ203" i="3" s="1"/>
  <c r="BY19" i="2"/>
  <c r="BY161" i="2"/>
  <c r="CK115" i="3"/>
  <c r="CK146" i="3"/>
  <c r="CK112" i="3"/>
  <c r="CK145" i="3"/>
  <c r="CF120" i="3"/>
  <c r="CF102" i="3" s="1"/>
  <c r="CF201" i="3" s="1"/>
  <c r="CE203" i="3"/>
  <c r="CE121" i="3"/>
  <c r="CF112" i="3"/>
  <c r="CF145" i="3"/>
  <c r="CF159" i="3" s="1"/>
  <c r="CD30" i="2"/>
  <c r="CD236" i="2"/>
  <c r="CK147" i="3"/>
  <c r="CK118" i="3"/>
  <c r="CA202" i="3"/>
  <c r="CK109" i="3"/>
  <c r="CK144" i="3"/>
  <c r="CF118" i="3"/>
  <c r="CF147" i="3"/>
  <c r="CF161" i="3" s="1"/>
  <c r="BU30" i="2"/>
  <c r="BU236" i="2"/>
  <c r="CA148" i="3"/>
  <c r="CA162" i="3" s="1"/>
  <c r="CA203" i="3"/>
  <c r="CA121" i="3"/>
  <c r="CF109" i="3"/>
  <c r="CF144" i="3"/>
  <c r="CF158" i="3" s="1"/>
  <c r="CE195" i="2" l="1"/>
  <c r="CE16" i="2"/>
  <c r="CE17" i="2" s="1"/>
  <c r="CA156" i="3"/>
  <c r="CE29" i="2"/>
  <c r="CE25" i="2"/>
  <c r="CE234" i="2"/>
  <c r="CD18" i="2"/>
  <c r="CK159" i="3"/>
  <c r="CK199" i="3"/>
  <c r="CK202" i="3"/>
  <c r="CF200" i="3"/>
  <c r="CF199" i="3"/>
  <c r="BU161" i="2"/>
  <c r="CI16" i="2"/>
  <c r="CI24" i="2"/>
  <c r="CI26" i="2" s="1"/>
  <c r="CI25" i="2"/>
  <c r="CI29" i="2"/>
  <c r="CI195" i="2"/>
  <c r="CI197" i="2" s="1"/>
  <c r="CI234" i="2"/>
  <c r="CF202" i="3"/>
  <c r="CT23" i="2"/>
  <c r="CK206" i="3"/>
  <c r="CK103" i="3"/>
  <c r="CK142" i="3"/>
  <c r="CK207" i="3"/>
  <c r="CK208" i="3"/>
  <c r="CK209" i="3"/>
  <c r="CK204" i="3"/>
  <c r="CK161" i="3"/>
  <c r="CK160" i="3"/>
  <c r="CD19" i="2"/>
  <c r="CD161" i="2"/>
  <c r="CJ16" i="2"/>
  <c r="CJ24" i="2"/>
  <c r="CJ26" i="2" s="1"/>
  <c r="CJ25" i="2"/>
  <c r="CJ29" i="2"/>
  <c r="CJ195" i="2"/>
  <c r="CJ234" i="2"/>
  <c r="CK148" i="3"/>
  <c r="CK203" i="3"/>
  <c r="CK121" i="3"/>
  <c r="CE156" i="3"/>
  <c r="CO23" i="2"/>
  <c r="CF103" i="3"/>
  <c r="CF142" i="3"/>
  <c r="CF156" i="3" s="1"/>
  <c r="CF206" i="3"/>
  <c r="CF207" i="3"/>
  <c r="CF208" i="3"/>
  <c r="CF209" i="3"/>
  <c r="CF204" i="3"/>
  <c r="CK158" i="3"/>
  <c r="CF121" i="3"/>
  <c r="CF148" i="3"/>
  <c r="CF162" i="3" s="1"/>
  <c r="CF203" i="3"/>
  <c r="CK201" i="3"/>
  <c r="CS23" i="2"/>
  <c r="CJ103" i="3"/>
  <c r="CJ142" i="3"/>
  <c r="CJ156" i="3" s="1"/>
  <c r="CJ207" i="3"/>
  <c r="CJ208" i="3"/>
  <c r="CJ209" i="3"/>
  <c r="CJ206" i="3"/>
  <c r="CJ204" i="3"/>
  <c r="CJ199" i="3"/>
  <c r="CJ200" i="3"/>
  <c r="CJ201" i="3"/>
  <c r="CJ202" i="3"/>
  <c r="BZ30" i="2"/>
  <c r="BZ236" i="2"/>
  <c r="BZ17" i="2"/>
  <c r="BZ18" i="2"/>
  <c r="CE26" i="2"/>
  <c r="CN16" i="2"/>
  <c r="CN24" i="2"/>
  <c r="CN25" i="2"/>
  <c r="CN29" i="2"/>
  <c r="CN195" i="2"/>
  <c r="CN197" i="2" s="1"/>
  <c r="CN234" i="2"/>
  <c r="CE30" i="2" l="1"/>
  <c r="CE18" i="2"/>
  <c r="CE236" i="2"/>
  <c r="CK156" i="3"/>
  <c r="CN30" i="2"/>
  <c r="CN236" i="2"/>
  <c r="CN26" i="2"/>
  <c r="CJ17" i="2"/>
  <c r="CJ18" i="2"/>
  <c r="CI30" i="2"/>
  <c r="CI236" i="2"/>
  <c r="CS16" i="2"/>
  <c r="CS24" i="2"/>
  <c r="CS26" i="2" s="1"/>
  <c r="CS25" i="2"/>
  <c r="CS29" i="2"/>
  <c r="CS195" i="2"/>
  <c r="CS197" i="2" s="1"/>
  <c r="CS234" i="2"/>
  <c r="CT16" i="2"/>
  <c r="CT24" i="2"/>
  <c r="CT25" i="2"/>
  <c r="CT29" i="2"/>
  <c r="CT195" i="2"/>
  <c r="CT234" i="2"/>
  <c r="BZ19" i="2"/>
  <c r="BZ161" i="2"/>
  <c r="CN17" i="2"/>
  <c r="CN18" i="2"/>
  <c r="CO16" i="2"/>
  <c r="CO24" i="2"/>
  <c r="CO26" i="2" s="1"/>
  <c r="CO25" i="2"/>
  <c r="CO29" i="2"/>
  <c r="CO195" i="2"/>
  <c r="CO234" i="2"/>
  <c r="CK162" i="3"/>
  <c r="CJ30" i="2"/>
  <c r="CJ236" i="2"/>
  <c r="CI17" i="2"/>
  <c r="CI18" i="2"/>
  <c r="CE19" i="2"/>
  <c r="CE161" i="2"/>
  <c r="CO17" i="2" l="1"/>
  <c r="CO18" i="2"/>
  <c r="CS30" i="2"/>
  <c r="CS236" i="2"/>
  <c r="CS17" i="2"/>
  <c r="CS18" i="2"/>
  <c r="CI19" i="2"/>
  <c r="CI161" i="2"/>
  <c r="CN19" i="2"/>
  <c r="CN161" i="2"/>
  <c r="CT26" i="2"/>
  <c r="CO30" i="2"/>
  <c r="CO236" i="2"/>
  <c r="CT30" i="2"/>
  <c r="CT236" i="2"/>
  <c r="CT17" i="2"/>
  <c r="CT18" i="2"/>
  <c r="CJ19" i="2"/>
  <c r="CJ161" i="2"/>
  <c r="CO19" i="2" l="1"/>
  <c r="CO161" i="2"/>
  <c r="CT19" i="2"/>
  <c r="CT161" i="2"/>
  <c r="CS19" i="2"/>
  <c r="CS161" i="2"/>
  <c r="BL72" i="2"/>
  <c r="BL80" i="2" s="1"/>
  <c r="BL150" i="2"/>
  <c r="BL184" i="2"/>
  <c r="BM187" i="2"/>
  <c r="CB187" i="2" l="1"/>
  <c r="CG187" i="2" l="1"/>
  <c r="CL187" i="2" l="1"/>
  <c r="BK72" i="2"/>
  <c r="BK80" i="2" s="1"/>
  <c r="BK150" i="2"/>
  <c r="BK184" i="2"/>
  <c r="BL187" i="2" s="1"/>
  <c r="BP242" i="2"/>
  <c r="BK187" i="2" l="1"/>
  <c r="CQ187" i="2"/>
  <c r="CF187" i="2" l="1"/>
  <c r="CK187" i="2" l="1"/>
  <c r="CP187" i="2" l="1"/>
  <c r="BJ72" i="2"/>
  <c r="BJ80" i="2" s="1"/>
  <c r="BJ150" i="2"/>
  <c r="BJ184" i="2"/>
  <c r="BI72" i="2"/>
  <c r="BI80" i="2" s="1"/>
  <c r="BI150" i="2"/>
  <c r="BI184" i="2"/>
  <c r="BH72" i="2"/>
  <c r="BH80" i="2" s="1"/>
  <c r="BH150" i="2"/>
  <c r="BH184" i="2"/>
  <c r="BH187" i="2" s="1"/>
  <c r="BO72" i="2"/>
  <c r="BO80" i="2" s="1"/>
  <c r="BO192" i="2" s="1"/>
  <c r="BP72" i="2"/>
  <c r="BP80" i="2" s="1"/>
  <c r="BP184" i="2"/>
  <c r="BU242" i="2"/>
  <c r="BJ187" i="2" l="1"/>
  <c r="BI187" i="2"/>
  <c r="BP187" i="2"/>
  <c r="BP183" i="2"/>
  <c r="BP185" i="2" s="1"/>
  <c r="BP240" i="2" s="1"/>
  <c r="BO240" i="2"/>
  <c r="BP86" i="2"/>
  <c r="BP192" i="2" s="1"/>
  <c r="BO87" i="2"/>
  <c r="BP87" i="2" s="1"/>
  <c r="BP93" i="2" s="1"/>
  <c r="BO260" i="2"/>
  <c r="BP100" i="2"/>
  <c r="BP103" i="2" s="1"/>
  <c r="BO103" i="2"/>
  <c r="BP238" i="2"/>
  <c r="BP120" i="2"/>
  <c r="BP152" i="2"/>
  <c r="BP153" i="2" s="1"/>
  <c r="BP154" i="2" s="1"/>
  <c r="BP155" i="2" s="1"/>
  <c r="BP105" i="2" l="1"/>
  <c r="BP107" i="2" s="1"/>
  <c r="BO93" i="2"/>
  <c r="BO105" i="2" s="1"/>
  <c r="BO107" i="2" s="1"/>
  <c r="BO120" i="2"/>
  <c r="BP237" i="2"/>
  <c r="BP216" i="2"/>
  <c r="BO237" i="2" l="1"/>
  <c r="BO127" i="2"/>
  <c r="BO189" i="2" l="1"/>
  <c r="BO190" i="2" s="1"/>
  <c r="BO191" i="2" s="1"/>
  <c r="BO147" i="2"/>
  <c r="BO149" i="2" s="1"/>
  <c r="BO152" i="2"/>
  <c r="BO153" i="2" s="1"/>
  <c r="BO154" i="2" s="1"/>
  <c r="BO155" i="2" s="1"/>
  <c r="BO216" i="2"/>
  <c r="BO238" i="2"/>
  <c r="BP143" i="2"/>
  <c r="BP147" i="2" s="1"/>
  <c r="BP149" i="2" s="1"/>
  <c r="BP156" i="2"/>
  <c r="BP157" i="2" s="1"/>
  <c r="BP177" i="2"/>
  <c r="BP189" i="2"/>
  <c r="BP190" i="2" s="1"/>
  <c r="BQ188" i="2" s="1"/>
  <c r="BQ148" i="2" l="1"/>
  <c r="BP150" i="2"/>
  <c r="BP191" i="2"/>
  <c r="BU188" i="2"/>
  <c r="BU148" i="2"/>
  <c r="BO150" i="2"/>
  <c r="BO156" i="2"/>
  <c r="BO157" i="2"/>
  <c r="BY175" i="2" l="1"/>
  <c r="BY86" i="2" s="1"/>
  <c r="BZ86" i="2" s="1"/>
  <c r="CD175" i="2" l="1"/>
  <c r="CD186" i="2"/>
  <c r="BU175" i="2"/>
  <c r="BZ175" i="2"/>
  <c r="BP59" i="2"/>
  <c r="BP60" i="2"/>
  <c r="CD86" i="2" l="1"/>
  <c r="CE86" i="2" s="1"/>
  <c r="CE175" i="2" s="1"/>
  <c r="CI175" i="2"/>
  <c r="CI186" i="2"/>
  <c r="BV176" i="2"/>
  <c r="CN175" i="2" l="1"/>
  <c r="CI86" i="2"/>
  <c r="CJ86" i="2" s="1"/>
  <c r="CJ175" i="2" s="1"/>
  <c r="CN186" i="2"/>
  <c r="CN86" i="2" l="1"/>
  <c r="CO86" i="2" s="1"/>
  <c r="CO175" i="2" s="1"/>
  <c r="CS175" i="2"/>
  <c r="CS86" i="2" s="1"/>
  <c r="CT86" i="2" s="1"/>
  <c r="CS186" i="2"/>
  <c r="CT175" i="2" l="1"/>
  <c r="CB176" i="2" l="1"/>
  <c r="CC176" i="2" l="1"/>
  <c r="CD176" i="2" l="1"/>
  <c r="CF176" i="2" l="1"/>
  <c r="CG176" i="2" l="1"/>
  <c r="CH176" i="2" l="1"/>
  <c r="CI176" i="2" l="1"/>
  <c r="CK176" i="2" l="1"/>
  <c r="CL176" i="2" l="1"/>
  <c r="CM176" i="2" l="1"/>
  <c r="CN176" i="2" l="1"/>
  <c r="CP176" i="2" l="1"/>
  <c r="CQ176" i="2" l="1"/>
  <c r="CR176" i="2" l="1"/>
  <c r="CS176" i="2" l="1"/>
  <c r="BO241" i="2"/>
  <c r="BQ177" i="2" l="1"/>
  <c r="BQ162" i="2" l="1"/>
  <c r="BQ196" i="2"/>
  <c r="BQ197" i="2" s="1"/>
  <c r="BQ49" i="2"/>
  <c r="BQ111" i="2"/>
  <c r="BQ120" i="2" s="1"/>
  <c r="BQ51" i="2" l="1"/>
  <c r="BQ50" i="2" l="1"/>
  <c r="BQ156" i="2"/>
  <c r="BQ46" i="2" l="1"/>
  <c r="BQ103" i="2"/>
  <c r="BQ72" i="2" l="1"/>
  <c r="BQ80" i="2" s="1"/>
  <c r="BQ192" i="2" s="1"/>
  <c r="BQ184" i="2"/>
  <c r="BQ187" i="2" s="1"/>
  <c r="BQ183" i="2"/>
  <c r="BQ185" i="2" l="1"/>
  <c r="BQ240" i="2" s="1"/>
  <c r="BQ186" i="2"/>
  <c r="BQ143" i="2"/>
  <c r="BQ87" i="2"/>
  <c r="BQ93" i="2"/>
  <c r="BQ105" i="2" s="1"/>
  <c r="BQ107" i="2" s="1"/>
  <c r="BQ238" i="2"/>
  <c r="BQ152" i="2"/>
  <c r="BQ153" i="2" s="1"/>
  <c r="BQ189" i="2"/>
  <c r="BQ190" i="2" s="1"/>
  <c r="BR238" i="2" l="1"/>
  <c r="BQ147" i="2"/>
  <c r="BQ149" i="2" s="1"/>
  <c r="BR148" i="2" s="1"/>
  <c r="BQ237" i="2"/>
  <c r="BQ216" i="2"/>
  <c r="BR188" i="2"/>
  <c r="BQ191" i="2"/>
  <c r="BQ157" i="2"/>
  <c r="BQ154" i="2"/>
  <c r="BQ155" i="2" s="1"/>
  <c r="BQ150" i="2" l="1"/>
  <c r="BV175" i="2"/>
  <c r="BV86" i="2" s="1"/>
  <c r="BV126" i="2" l="1"/>
  <c r="CA175" i="2"/>
  <c r="CA86" i="2" l="1"/>
  <c r="CF175" i="2"/>
  <c r="BV216" i="2"/>
  <c r="BV238" i="2"/>
  <c r="CA126" i="2" l="1"/>
  <c r="CF86" i="2"/>
  <c r="CK175" i="2"/>
  <c r="CF126" i="2" l="1"/>
  <c r="CA216" i="2"/>
  <c r="CA238" i="2"/>
  <c r="CK86" i="2"/>
  <c r="CP175" i="2"/>
  <c r="CP86" i="2" s="1"/>
  <c r="CF216" i="2" l="1"/>
  <c r="CF238" i="2"/>
  <c r="CP126" i="2"/>
  <c r="CK126" i="2"/>
  <c r="CK216" i="2" l="1"/>
  <c r="CK238" i="2"/>
  <c r="CP216" i="2"/>
  <c r="CP238" i="2"/>
  <c r="CA186" i="2"/>
  <c r="CF186" i="2" l="1"/>
  <c r="CK186" i="2" l="1"/>
  <c r="CP186" i="2" l="1"/>
  <c r="BQ241" i="2"/>
  <c r="BR37" i="2" l="1"/>
  <c r="BR43" i="2" l="1"/>
  <c r="BR177" i="2" s="1"/>
  <c r="BR40" i="2"/>
  <c r="BR162" i="2" s="1"/>
  <c r="BR196" i="2" l="1"/>
  <c r="BR197" i="2" s="1"/>
  <c r="BR49" i="2" l="1"/>
  <c r="BR111" i="2"/>
  <c r="BR51" i="2" l="1"/>
  <c r="BR45" i="2" l="1"/>
  <c r="BR50" i="2"/>
  <c r="BR156" i="2"/>
  <c r="BR46" i="2" l="1"/>
  <c r="BR103" i="2"/>
  <c r="BR183" i="2" l="1"/>
  <c r="BR186" i="2" s="1"/>
  <c r="BR184" i="2"/>
  <c r="BS187" i="2" l="1"/>
  <c r="BR187" i="2"/>
  <c r="BR185" i="2"/>
  <c r="BR240" i="2" s="1"/>
  <c r="BR143" i="2"/>
  <c r="BR241" i="2" l="1"/>
  <c r="BR120" i="2" l="1"/>
  <c r="BR147" i="2"/>
  <c r="BR149" i="2" s="1"/>
  <c r="BS148" i="2" s="1"/>
  <c r="BR152" i="2"/>
  <c r="BR153" i="2" s="1"/>
  <c r="BR189" i="2"/>
  <c r="BR190" i="2" s="1"/>
  <c r="BR237" i="2" l="1"/>
  <c r="BR216" i="2"/>
  <c r="BR191" i="2"/>
  <c r="BS188" i="2"/>
  <c r="BR150" i="2"/>
  <c r="BR157" i="2"/>
  <c r="BR154" i="2"/>
  <c r="BR155" i="2" s="1"/>
  <c r="CB186" i="2" l="1"/>
  <c r="CG186" i="2" l="1"/>
  <c r="CL186" i="2" l="1"/>
  <c r="CQ186" i="2" l="1"/>
  <c r="BS37" i="2" l="1"/>
  <c r="BS40" i="2" l="1"/>
  <c r="BS43" i="2"/>
  <c r="BS177" i="2" s="1"/>
  <c r="BS162" i="2" l="1"/>
  <c r="BS196" i="2"/>
  <c r="BS197" i="2" s="1"/>
  <c r="BS49" i="2"/>
  <c r="BS111" i="2"/>
  <c r="BS51" i="2" l="1"/>
  <c r="BS45" i="2" l="1"/>
  <c r="BS46" i="2" s="1"/>
  <c r="BS50" i="2"/>
  <c r="BS156" i="2" l="1"/>
  <c r="BS103" i="2"/>
  <c r="BS241" i="2" l="1"/>
  <c r="BS72" i="2"/>
  <c r="BS80" i="2" s="1"/>
  <c r="BS192" i="2" s="1"/>
  <c r="BS143" i="2"/>
  <c r="BS147" i="2" s="1"/>
  <c r="BS149" i="2" s="1"/>
  <c r="BS183" i="2"/>
  <c r="BS87" i="2"/>
  <c r="BS93" i="2" s="1"/>
  <c r="BS105" i="2" s="1"/>
  <c r="BS107" i="2" s="1"/>
  <c r="BS238" i="2"/>
  <c r="BS120" i="2"/>
  <c r="BS152" i="2"/>
  <c r="BS153" i="2" s="1"/>
  <c r="BS189" i="2"/>
  <c r="BS190" i="2" s="1"/>
  <c r="BS191" i="2" s="1"/>
  <c r="BS154" i="2" l="1"/>
  <c r="BS155" i="2" s="1"/>
  <c r="BS157" i="2"/>
  <c r="BS185" i="2"/>
  <c r="BS240" i="2" s="1"/>
  <c r="BS186" i="2"/>
  <c r="BT238" i="2"/>
  <c r="BU238" i="2"/>
  <c r="BT148" i="2"/>
  <c r="BS150" i="2"/>
  <c r="BS237" i="2"/>
  <c r="BS216" i="2"/>
  <c r="BT188" i="2"/>
  <c r="BX175" i="2" l="1"/>
  <c r="BX86" i="2" s="1"/>
  <c r="CC175" i="2" l="1"/>
  <c r="BY126" i="2"/>
  <c r="BY216" i="2" l="1"/>
  <c r="BY238" i="2"/>
  <c r="CC86" i="2"/>
  <c r="CH175" i="2"/>
  <c r="CH86" i="2" l="1"/>
  <c r="CM175" i="2"/>
  <c r="CD126" i="2"/>
  <c r="CI126" i="2" l="1"/>
  <c r="CD216" i="2"/>
  <c r="CD238" i="2"/>
  <c r="CM86" i="2"/>
  <c r="CR175" i="2"/>
  <c r="CR86" i="2" s="1"/>
  <c r="CS126" i="2" l="1"/>
  <c r="CN126" i="2"/>
  <c r="CI216" i="2"/>
  <c r="CI238" i="2"/>
  <c r="CN216" i="2" l="1"/>
  <c r="CN238" i="2"/>
  <c r="CS216" i="2"/>
  <c r="CS238" i="2"/>
  <c r="BT37" i="2" l="1"/>
  <c r="BT40" i="2" l="1"/>
  <c r="BU37" i="2"/>
  <c r="BT162" i="2" l="1"/>
  <c r="BT196" i="2"/>
  <c r="BT197" i="2" s="1"/>
  <c r="BU39" i="2"/>
  <c r="BU40" i="2" s="1"/>
  <c r="BU162" i="2" s="1"/>
  <c r="BT43" i="2"/>
  <c r="BU196" i="2" l="1"/>
  <c r="BU197" i="2" s="1"/>
  <c r="BU43" i="2"/>
  <c r="BU49" i="2" s="1"/>
  <c r="BU51" i="2" s="1"/>
  <c r="BT111" i="2"/>
  <c r="BT49" i="2"/>
  <c r="BU111" i="2" l="1"/>
  <c r="BT51" i="2"/>
  <c r="BU45" i="2" l="1"/>
  <c r="BU46" i="2" s="1"/>
  <c r="BT177" i="2" l="1"/>
  <c r="BT156" i="2"/>
  <c r="BU61" i="2"/>
  <c r="BT103" i="2"/>
  <c r="BU100" i="2"/>
  <c r="BU50" i="2"/>
  <c r="BU241" i="2" l="1"/>
  <c r="BU103" i="2"/>
  <c r="BU156" i="2"/>
  <c r="BU177" i="2"/>
  <c r="BT87" i="2" l="1"/>
  <c r="BU83" i="2"/>
  <c r="BT183" i="2"/>
  <c r="BT186" i="2" s="1"/>
  <c r="BT72" i="2"/>
  <c r="BT80" i="2" s="1"/>
  <c r="BT184" i="2"/>
  <c r="BT187" i="2" s="1"/>
  <c r="BU183" i="2" l="1"/>
  <c r="BU186" i="2" s="1"/>
  <c r="BU87" i="2"/>
  <c r="BU93" i="2" s="1"/>
  <c r="BU105" i="2" s="1"/>
  <c r="BT93" i="2"/>
  <c r="BT105" i="2" s="1"/>
  <c r="BT107" i="2" s="1"/>
  <c r="BT192" i="2"/>
  <c r="BT185" i="2"/>
  <c r="BU72" i="2"/>
  <c r="BU80" i="2" s="1"/>
  <c r="BU184" i="2"/>
  <c r="BZ242" i="2"/>
  <c r="BU143" i="2"/>
  <c r="BU187" i="2" l="1"/>
  <c r="BU107" i="2"/>
  <c r="BU192" i="2"/>
  <c r="BU198" i="2" s="1"/>
  <c r="BU185" i="2"/>
  <c r="BU240" i="2" s="1"/>
  <c r="BT240" i="2"/>
  <c r="BU120" i="2" l="1"/>
  <c r="BU147" i="2"/>
  <c r="BU149" i="2" s="1"/>
  <c r="BU152" i="2"/>
  <c r="BU153" i="2" s="1"/>
  <c r="BU189" i="2"/>
  <c r="BU190" i="2" s="1"/>
  <c r="BT120" i="2" l="1"/>
  <c r="BV148" i="2"/>
  <c r="BU150" i="2"/>
  <c r="BU237" i="2"/>
  <c r="BU216" i="2"/>
  <c r="BU191" i="2"/>
  <c r="BT191" i="2" s="1"/>
  <c r="BV188" i="2"/>
  <c r="BZ188" i="2"/>
  <c r="BU154" i="2"/>
  <c r="BU155" i="2" s="1"/>
  <c r="BU157" i="2"/>
  <c r="BZ148" i="2"/>
  <c r="BT237" i="2" l="1"/>
  <c r="BT216" i="2"/>
  <c r="BT127" i="2"/>
  <c r="BT152" i="2" l="1"/>
  <c r="BT153" i="2" s="1"/>
  <c r="BT157" i="2" s="1"/>
  <c r="BT189" i="2"/>
  <c r="BT190" i="2" s="1"/>
  <c r="BT147" i="2"/>
  <c r="BT149" i="2" s="1"/>
  <c r="BT150" i="2" s="1"/>
  <c r="BU59" i="2"/>
  <c r="BU60" i="2" s="1"/>
  <c r="BT61" i="2"/>
  <c r="BT241" i="2" s="1"/>
  <c r="BT54" i="2" l="1"/>
  <c r="BT45" i="2" l="1"/>
  <c r="BT154" i="2"/>
  <c r="BT155" i="2" s="1"/>
  <c r="BT50" i="2"/>
  <c r="BT46" i="2" l="1"/>
  <c r="AR29" i="3" l="1"/>
  <c r="AQ7" i="2"/>
  <c r="BV33" i="2"/>
  <c r="BW33" i="2"/>
  <c r="BX33" i="2"/>
  <c r="BY33" i="2"/>
  <c r="BZ33" i="2"/>
  <c r="CA33" i="2"/>
  <c r="CB33" i="2"/>
  <c r="CC33" i="2"/>
  <c r="CD33" i="2"/>
  <c r="CE33" i="2"/>
  <c r="CF33" i="2"/>
  <c r="CG33" i="2"/>
  <c r="CH33" i="2"/>
  <c r="CI33" i="2"/>
  <c r="CJ33" i="2"/>
  <c r="CK33" i="2"/>
  <c r="CL33" i="2"/>
  <c r="CM33" i="2"/>
  <c r="CN33" i="2"/>
  <c r="CO33" i="2"/>
  <c r="CP33" i="2"/>
  <c r="CQ33" i="2"/>
  <c r="CR33" i="2"/>
  <c r="CS33" i="2"/>
  <c r="CT33" i="2"/>
  <c r="BV34" i="2"/>
  <c r="BW34" i="2"/>
  <c r="BX34" i="2"/>
  <c r="BY34" i="2"/>
  <c r="BZ34" i="2"/>
  <c r="CA34" i="2"/>
  <c r="CB34" i="2"/>
  <c r="CC34" i="2"/>
  <c r="CD34" i="2"/>
  <c r="CE34" i="2"/>
  <c r="CF34" i="2"/>
  <c r="CG34" i="2"/>
  <c r="CH34" i="2"/>
  <c r="CI34" i="2"/>
  <c r="CJ34" i="2"/>
  <c r="CK34" i="2"/>
  <c r="CL34" i="2"/>
  <c r="CM34" i="2"/>
  <c r="CN34" i="2"/>
  <c r="CO34" i="2"/>
  <c r="CP34" i="2"/>
  <c r="CQ34" i="2"/>
  <c r="CR34" i="2"/>
  <c r="CS34" i="2"/>
  <c r="CT34" i="2"/>
  <c r="BV37" i="2"/>
  <c r="BW37" i="2"/>
  <c r="BX37" i="2"/>
  <c r="BY37" i="2"/>
  <c r="BZ37" i="2"/>
  <c r="CA37" i="2"/>
  <c r="CB37" i="2"/>
  <c r="CC37" i="2"/>
  <c r="CD37" i="2"/>
  <c r="CE37" i="2"/>
  <c r="CF37" i="2"/>
  <c r="CG37" i="2"/>
  <c r="CH37" i="2"/>
  <c r="CI37" i="2"/>
  <c r="CJ37" i="2"/>
  <c r="CK37" i="2"/>
  <c r="CL37" i="2"/>
  <c r="CM37" i="2"/>
  <c r="CN37" i="2"/>
  <c r="CO37" i="2"/>
  <c r="CP37" i="2"/>
  <c r="CQ37" i="2"/>
  <c r="CR37" i="2"/>
  <c r="CS37" i="2"/>
  <c r="CT37" i="2"/>
  <c r="BV39" i="2"/>
  <c r="BW39" i="2"/>
  <c r="BX39" i="2"/>
  <c r="BY39" i="2"/>
  <c r="BZ39" i="2"/>
  <c r="CA39" i="2"/>
  <c r="CB39" i="2"/>
  <c r="CC39" i="2"/>
  <c r="CD39" i="2"/>
  <c r="CE39" i="2"/>
  <c r="CF39" i="2"/>
  <c r="CG39" i="2"/>
  <c r="CH39" i="2"/>
  <c r="CI39" i="2"/>
  <c r="CJ39" i="2"/>
  <c r="CK39" i="2"/>
  <c r="CL39" i="2"/>
  <c r="CM39" i="2"/>
  <c r="CN39" i="2"/>
  <c r="CO39" i="2"/>
  <c r="CP39" i="2"/>
  <c r="CQ39" i="2"/>
  <c r="CR39" i="2"/>
  <c r="CS39" i="2"/>
  <c r="CT39" i="2"/>
  <c r="BZ40" i="2"/>
  <c r="CE40" i="2"/>
  <c r="CJ40" i="2"/>
  <c r="CO40" i="2"/>
  <c r="CT40" i="2"/>
  <c r="BV43" i="2"/>
  <c r="BW43" i="2"/>
  <c r="BX43" i="2"/>
  <c r="BY43" i="2"/>
  <c r="BZ43" i="2"/>
  <c r="CA43" i="2"/>
  <c r="CB43" i="2"/>
  <c r="CC43" i="2"/>
  <c r="CD43" i="2"/>
  <c r="CE43" i="2"/>
  <c r="CF43" i="2"/>
  <c r="CG43" i="2"/>
  <c r="CH43" i="2"/>
  <c r="CI43" i="2"/>
  <c r="CJ43" i="2"/>
  <c r="CK43" i="2"/>
  <c r="CL43" i="2"/>
  <c r="CM43" i="2"/>
  <c r="CN43" i="2"/>
  <c r="CO43" i="2"/>
  <c r="CP43" i="2"/>
  <c r="CQ43" i="2"/>
  <c r="CR43" i="2"/>
  <c r="CS43" i="2"/>
  <c r="CT43" i="2"/>
  <c r="BV45" i="2"/>
  <c r="BW45" i="2"/>
  <c r="BX45" i="2"/>
  <c r="BY45" i="2"/>
  <c r="BZ45" i="2"/>
  <c r="CA45" i="2"/>
  <c r="CB45" i="2"/>
  <c r="CC45" i="2"/>
  <c r="CD45" i="2"/>
  <c r="CE45" i="2"/>
  <c r="CF45" i="2"/>
  <c r="CG45" i="2"/>
  <c r="CH45" i="2"/>
  <c r="CI45" i="2"/>
  <c r="CJ45" i="2"/>
  <c r="CK45" i="2"/>
  <c r="CL45" i="2"/>
  <c r="CM45" i="2"/>
  <c r="CN45" i="2"/>
  <c r="CO45" i="2"/>
  <c r="CP45" i="2"/>
  <c r="CQ45" i="2"/>
  <c r="CR45" i="2"/>
  <c r="CS45" i="2"/>
  <c r="CT45" i="2"/>
  <c r="BV46" i="2"/>
  <c r="BW46" i="2"/>
  <c r="BX46" i="2"/>
  <c r="BY46" i="2"/>
  <c r="BZ46" i="2"/>
  <c r="CA46" i="2"/>
  <c r="CB46" i="2"/>
  <c r="CC46" i="2"/>
  <c r="CD46" i="2"/>
  <c r="CE46" i="2"/>
  <c r="CF46" i="2"/>
  <c r="CG46" i="2"/>
  <c r="CH46" i="2"/>
  <c r="CI46" i="2"/>
  <c r="CJ46" i="2"/>
  <c r="CK46" i="2"/>
  <c r="CL46" i="2"/>
  <c r="CM46" i="2"/>
  <c r="CN46" i="2"/>
  <c r="CO46" i="2"/>
  <c r="CP46" i="2"/>
  <c r="CQ46" i="2"/>
  <c r="CR46" i="2"/>
  <c r="CS46" i="2"/>
  <c r="CT46" i="2"/>
  <c r="BZ48" i="2"/>
  <c r="CE48" i="2"/>
  <c r="BV49" i="2"/>
  <c r="BW49" i="2"/>
  <c r="BX49" i="2"/>
  <c r="BY49" i="2"/>
  <c r="BZ49" i="2"/>
  <c r="CA49" i="2"/>
  <c r="CB49" i="2"/>
  <c r="CC49" i="2"/>
  <c r="CD49" i="2"/>
  <c r="CE49" i="2"/>
  <c r="CF49" i="2"/>
  <c r="CG49" i="2"/>
  <c r="CH49" i="2"/>
  <c r="CI49" i="2"/>
  <c r="CJ49" i="2"/>
  <c r="CK49" i="2"/>
  <c r="CL49" i="2"/>
  <c r="CM49" i="2"/>
  <c r="CN49" i="2"/>
  <c r="CO49" i="2"/>
  <c r="CP49" i="2"/>
  <c r="CQ49" i="2"/>
  <c r="CR49" i="2"/>
  <c r="CS49" i="2"/>
  <c r="CT49" i="2"/>
  <c r="BV50" i="2"/>
  <c r="BW50" i="2"/>
  <c r="BX50" i="2"/>
  <c r="BY50" i="2"/>
  <c r="BZ50" i="2"/>
  <c r="CA50" i="2"/>
  <c r="CB50" i="2"/>
  <c r="CC50" i="2"/>
  <c r="CD50" i="2"/>
  <c r="CE50" i="2"/>
  <c r="CF50" i="2"/>
  <c r="CG50" i="2"/>
  <c r="CH50" i="2"/>
  <c r="CI50" i="2"/>
  <c r="CJ50" i="2"/>
  <c r="CK50" i="2"/>
  <c r="CL50" i="2"/>
  <c r="CM50" i="2"/>
  <c r="CN50" i="2"/>
  <c r="CO50" i="2"/>
  <c r="CP50" i="2"/>
  <c r="CQ50" i="2"/>
  <c r="CR50" i="2"/>
  <c r="CS50" i="2"/>
  <c r="CT50" i="2"/>
  <c r="BV51" i="2"/>
  <c r="BW51" i="2"/>
  <c r="BX51" i="2"/>
  <c r="BY51" i="2"/>
  <c r="BZ51" i="2"/>
  <c r="CA51" i="2"/>
  <c r="CB51" i="2"/>
  <c r="CC51" i="2"/>
  <c r="CD51" i="2"/>
  <c r="CE51" i="2"/>
  <c r="CF51" i="2"/>
  <c r="CG51" i="2"/>
  <c r="CH51" i="2"/>
  <c r="CI51" i="2"/>
  <c r="CJ51" i="2"/>
  <c r="CK51" i="2"/>
  <c r="CL51" i="2"/>
  <c r="CM51" i="2"/>
  <c r="CN51" i="2"/>
  <c r="CO51" i="2"/>
  <c r="CP51" i="2"/>
  <c r="CQ51" i="2"/>
  <c r="CR51" i="2"/>
  <c r="CS51" i="2"/>
  <c r="CT51" i="2"/>
  <c r="BV53" i="2"/>
  <c r="BW53" i="2"/>
  <c r="BX53" i="2"/>
  <c r="BY53" i="2"/>
  <c r="BZ53" i="2"/>
  <c r="CA53" i="2"/>
  <c r="CB53" i="2"/>
  <c r="CC53" i="2"/>
  <c r="CD53" i="2"/>
  <c r="CE53" i="2"/>
  <c r="CF53" i="2"/>
  <c r="CG53" i="2"/>
  <c r="CH53" i="2"/>
  <c r="CI53" i="2"/>
  <c r="CJ53" i="2"/>
  <c r="CK53" i="2"/>
  <c r="CL53" i="2"/>
  <c r="CM53" i="2"/>
  <c r="CN53" i="2"/>
  <c r="CO53" i="2"/>
  <c r="CP53" i="2"/>
  <c r="CQ53" i="2"/>
  <c r="CR53" i="2"/>
  <c r="CS53" i="2"/>
  <c r="CT53" i="2"/>
  <c r="BV54" i="2"/>
  <c r="BW54" i="2"/>
  <c r="BX54" i="2"/>
  <c r="BY54" i="2"/>
  <c r="BZ54" i="2"/>
  <c r="CA54" i="2"/>
  <c r="CB54" i="2"/>
  <c r="CC54" i="2"/>
  <c r="CD54" i="2"/>
  <c r="CE54" i="2"/>
  <c r="CF54" i="2"/>
  <c r="CG54" i="2"/>
  <c r="CH54" i="2"/>
  <c r="CI54" i="2"/>
  <c r="CJ54" i="2"/>
  <c r="CK54" i="2"/>
  <c r="CL54" i="2"/>
  <c r="CM54" i="2"/>
  <c r="CN54" i="2"/>
  <c r="CO54" i="2"/>
  <c r="CP54" i="2"/>
  <c r="CQ54" i="2"/>
  <c r="CR54" i="2"/>
  <c r="CS54" i="2"/>
  <c r="CT54" i="2"/>
  <c r="AX55" i="2"/>
  <c r="AY55" i="2"/>
  <c r="AZ55" i="2"/>
  <c r="BB55" i="2"/>
  <c r="BC55" i="2"/>
  <c r="BD55" i="2"/>
  <c r="BE55" i="2"/>
  <c r="BF55" i="2"/>
  <c r="BG55" i="2"/>
  <c r="BH55" i="2"/>
  <c r="BI55" i="2"/>
  <c r="BJ55" i="2"/>
  <c r="BK55" i="2"/>
  <c r="BL55" i="2"/>
  <c r="BM55" i="2"/>
  <c r="BN55" i="2"/>
  <c r="BO55" i="2"/>
  <c r="BP55" i="2"/>
  <c r="BQ55" i="2"/>
  <c r="BR55" i="2"/>
  <c r="BS55" i="2"/>
  <c r="BT55" i="2"/>
  <c r="BU55" i="2"/>
  <c r="BV55" i="2"/>
  <c r="BW55" i="2"/>
  <c r="BX55" i="2"/>
  <c r="BY55" i="2"/>
  <c r="BZ55" i="2"/>
  <c r="CA55" i="2"/>
  <c r="CB55" i="2"/>
  <c r="CC55" i="2"/>
  <c r="CD55" i="2"/>
  <c r="CE55" i="2"/>
  <c r="CF55" i="2"/>
  <c r="CG55" i="2"/>
  <c r="CH55" i="2"/>
  <c r="CI55" i="2"/>
  <c r="CJ55" i="2"/>
  <c r="CK55" i="2"/>
  <c r="CL55" i="2"/>
  <c r="CM55" i="2"/>
  <c r="CN55" i="2"/>
  <c r="CO55" i="2"/>
  <c r="CP55" i="2"/>
  <c r="CQ55" i="2"/>
  <c r="CR55" i="2"/>
  <c r="CS55" i="2"/>
  <c r="CT55" i="2"/>
  <c r="AW57" i="2"/>
  <c r="AZ57" i="2"/>
  <c r="BA57" i="2"/>
  <c r="AW58" i="2"/>
  <c r="AX58" i="2"/>
  <c r="AY58" i="2"/>
  <c r="AZ58" i="2"/>
  <c r="BA58" i="2"/>
  <c r="BB58" i="2"/>
  <c r="BC58" i="2"/>
  <c r="BD58" i="2"/>
  <c r="BE58" i="2"/>
  <c r="BF58" i="2"/>
  <c r="BG58" i="2"/>
  <c r="BH58" i="2"/>
  <c r="BI58" i="2"/>
  <c r="BJ58" i="2"/>
  <c r="BK58" i="2"/>
  <c r="BL58" i="2"/>
  <c r="BM58" i="2"/>
  <c r="BN58" i="2"/>
  <c r="BO58" i="2"/>
  <c r="BP58" i="2"/>
  <c r="BQ58" i="2"/>
  <c r="BR58" i="2"/>
  <c r="BS58" i="2"/>
  <c r="BT58" i="2"/>
  <c r="BU58" i="2"/>
  <c r="BV58" i="2"/>
  <c r="BW58" i="2"/>
  <c r="BX58" i="2"/>
  <c r="BY58" i="2"/>
  <c r="BZ58" i="2"/>
  <c r="CA58" i="2"/>
  <c r="CB58" i="2"/>
  <c r="CC58" i="2"/>
  <c r="CD58" i="2"/>
  <c r="CE58" i="2"/>
  <c r="CF58" i="2"/>
  <c r="CG58" i="2"/>
  <c r="CH58" i="2"/>
  <c r="CI58" i="2"/>
  <c r="CJ58" i="2"/>
  <c r="CK58" i="2"/>
  <c r="CL58" i="2"/>
  <c r="CM58" i="2"/>
  <c r="CN58" i="2"/>
  <c r="CO58" i="2"/>
  <c r="CP58" i="2"/>
  <c r="CQ58" i="2"/>
  <c r="CR58" i="2"/>
  <c r="CS58" i="2"/>
  <c r="CT58" i="2"/>
  <c r="BV59" i="2"/>
  <c r="BW59" i="2"/>
  <c r="BX59" i="2"/>
  <c r="BY59" i="2"/>
  <c r="BZ59" i="2"/>
  <c r="CA59" i="2"/>
  <c r="CB59" i="2"/>
  <c r="CC59" i="2"/>
  <c r="CD59" i="2"/>
  <c r="CE59" i="2"/>
  <c r="CF59" i="2"/>
  <c r="CG59" i="2"/>
  <c r="CH59" i="2"/>
  <c r="CI59" i="2"/>
  <c r="CJ59" i="2"/>
  <c r="CK59" i="2"/>
  <c r="CL59" i="2"/>
  <c r="CM59" i="2"/>
  <c r="CN59" i="2"/>
  <c r="CO59" i="2"/>
  <c r="CP59" i="2"/>
  <c r="CQ59" i="2"/>
  <c r="CR59" i="2"/>
  <c r="CS59" i="2"/>
  <c r="CT59" i="2"/>
  <c r="BZ60" i="2"/>
  <c r="CE60" i="2"/>
  <c r="CJ60" i="2"/>
  <c r="CO60" i="2"/>
  <c r="CT60" i="2"/>
  <c r="BV61" i="2"/>
  <c r="BW61" i="2"/>
  <c r="BX61" i="2"/>
  <c r="BY61" i="2"/>
  <c r="BZ61" i="2"/>
  <c r="CA61" i="2"/>
  <c r="CB61" i="2"/>
  <c r="CC61" i="2"/>
  <c r="CD61" i="2"/>
  <c r="CE61" i="2"/>
  <c r="CF61" i="2"/>
  <c r="CG61" i="2"/>
  <c r="CH61" i="2"/>
  <c r="CI61" i="2"/>
  <c r="CJ61" i="2"/>
  <c r="CK61" i="2"/>
  <c r="CL61" i="2"/>
  <c r="CM61" i="2"/>
  <c r="CN61" i="2"/>
  <c r="CO61" i="2"/>
  <c r="CP61" i="2"/>
  <c r="CQ61" i="2"/>
  <c r="CR61" i="2"/>
  <c r="CS61" i="2"/>
  <c r="CT61" i="2"/>
  <c r="BV66" i="2"/>
  <c r="BW66" i="2"/>
  <c r="BX66" i="2"/>
  <c r="BY66" i="2"/>
  <c r="BZ66" i="2"/>
  <c r="CA66" i="2"/>
  <c r="CB66" i="2"/>
  <c r="CC66" i="2"/>
  <c r="CD66" i="2"/>
  <c r="CE66" i="2"/>
  <c r="CF66" i="2"/>
  <c r="CG66" i="2"/>
  <c r="CH66" i="2"/>
  <c r="CI66" i="2"/>
  <c r="CJ66" i="2"/>
  <c r="CK66" i="2"/>
  <c r="CL66" i="2"/>
  <c r="CM66" i="2"/>
  <c r="CN66" i="2"/>
  <c r="CO66" i="2"/>
  <c r="CP66" i="2"/>
  <c r="CQ66" i="2"/>
  <c r="CR66" i="2"/>
  <c r="CS66" i="2"/>
  <c r="CT66" i="2"/>
  <c r="BV72" i="2"/>
  <c r="BW72" i="2"/>
  <c r="BX72" i="2"/>
  <c r="BY72" i="2"/>
  <c r="BZ72" i="2"/>
  <c r="CA72" i="2"/>
  <c r="CB72" i="2"/>
  <c r="CC72" i="2"/>
  <c r="CD72" i="2"/>
  <c r="CE72" i="2"/>
  <c r="CF72" i="2"/>
  <c r="CG72" i="2"/>
  <c r="CH72" i="2"/>
  <c r="CI72" i="2"/>
  <c r="CJ72" i="2"/>
  <c r="CK72" i="2"/>
  <c r="CL72" i="2"/>
  <c r="CM72" i="2"/>
  <c r="CN72" i="2"/>
  <c r="CO72" i="2"/>
  <c r="CP72" i="2"/>
  <c r="CQ72" i="2"/>
  <c r="CR72" i="2"/>
  <c r="CS72" i="2"/>
  <c r="CT72" i="2"/>
  <c r="BV80" i="2"/>
  <c r="BW80" i="2"/>
  <c r="BX80" i="2"/>
  <c r="BY80" i="2"/>
  <c r="BZ80" i="2"/>
  <c r="CA80" i="2"/>
  <c r="CB80" i="2"/>
  <c r="CC80" i="2"/>
  <c r="CD80" i="2"/>
  <c r="CE80" i="2"/>
  <c r="CF80" i="2"/>
  <c r="CG80" i="2"/>
  <c r="CH80" i="2"/>
  <c r="CI80" i="2"/>
  <c r="CJ80" i="2"/>
  <c r="CK80" i="2"/>
  <c r="CL80" i="2"/>
  <c r="CM80" i="2"/>
  <c r="CN80" i="2"/>
  <c r="CO80" i="2"/>
  <c r="CP80" i="2"/>
  <c r="CQ80" i="2"/>
  <c r="CR80" i="2"/>
  <c r="CS80" i="2"/>
  <c r="CT80" i="2"/>
  <c r="BH83" i="2"/>
  <c r="BI83" i="2"/>
  <c r="BJ83" i="2"/>
  <c r="BK83" i="2"/>
  <c r="BL83" i="2"/>
  <c r="BV83" i="2"/>
  <c r="BW83" i="2"/>
  <c r="BX83" i="2"/>
  <c r="BY83" i="2"/>
  <c r="BZ83" i="2"/>
  <c r="CA83" i="2"/>
  <c r="CB83" i="2"/>
  <c r="CC83" i="2"/>
  <c r="CD83" i="2"/>
  <c r="CE83" i="2"/>
  <c r="CF83" i="2"/>
  <c r="CG83" i="2"/>
  <c r="CH83" i="2"/>
  <c r="CI83" i="2"/>
  <c r="CJ83" i="2"/>
  <c r="CK83" i="2"/>
  <c r="CL83" i="2"/>
  <c r="CM83" i="2"/>
  <c r="CN83" i="2"/>
  <c r="CO83" i="2"/>
  <c r="CP83" i="2"/>
  <c r="CQ83" i="2"/>
  <c r="CR83" i="2"/>
  <c r="CS83" i="2"/>
  <c r="CT83" i="2"/>
  <c r="BH86" i="2"/>
  <c r="BI86" i="2"/>
  <c r="BJ86" i="2"/>
  <c r="BK86" i="2"/>
  <c r="BL86" i="2"/>
  <c r="BN86" i="2"/>
  <c r="BR86" i="2"/>
  <c r="BW86" i="2"/>
  <c r="CB86" i="2"/>
  <c r="CG86" i="2"/>
  <c r="CL86" i="2"/>
  <c r="CQ86" i="2"/>
  <c r="BH87" i="2"/>
  <c r="BI87" i="2"/>
  <c r="BJ87" i="2"/>
  <c r="BK87" i="2"/>
  <c r="BL87" i="2"/>
  <c r="BN87" i="2"/>
  <c r="BR87" i="2"/>
  <c r="BV87" i="2"/>
  <c r="BW87" i="2"/>
  <c r="BX87" i="2"/>
  <c r="BY87" i="2"/>
  <c r="BZ87" i="2"/>
  <c r="CA87" i="2"/>
  <c r="CB87" i="2"/>
  <c r="CC87" i="2"/>
  <c r="CD87" i="2"/>
  <c r="CE87" i="2"/>
  <c r="CF87" i="2"/>
  <c r="CG87" i="2"/>
  <c r="CH87" i="2"/>
  <c r="CI87" i="2"/>
  <c r="CJ87" i="2"/>
  <c r="CK87" i="2"/>
  <c r="CL87" i="2"/>
  <c r="CM87" i="2"/>
  <c r="CN87" i="2"/>
  <c r="CO87" i="2"/>
  <c r="CP87" i="2"/>
  <c r="CQ87" i="2"/>
  <c r="CR87" i="2"/>
  <c r="CS87" i="2"/>
  <c r="CT87" i="2"/>
  <c r="BH93" i="2"/>
  <c r="BI93" i="2"/>
  <c r="BJ93" i="2"/>
  <c r="BK93" i="2"/>
  <c r="BL93" i="2"/>
  <c r="BN93" i="2"/>
  <c r="BR93" i="2"/>
  <c r="BV93" i="2"/>
  <c r="BW93" i="2"/>
  <c r="BX93" i="2"/>
  <c r="BY93" i="2"/>
  <c r="BZ93" i="2"/>
  <c r="CA93" i="2"/>
  <c r="CB93" i="2"/>
  <c r="CC93" i="2"/>
  <c r="CD93" i="2"/>
  <c r="CE93" i="2"/>
  <c r="CF93" i="2"/>
  <c r="CG93" i="2"/>
  <c r="CH93" i="2"/>
  <c r="CI93" i="2"/>
  <c r="CJ93" i="2"/>
  <c r="CK93" i="2"/>
  <c r="CL93" i="2"/>
  <c r="CM93" i="2"/>
  <c r="CN93" i="2"/>
  <c r="CO93" i="2"/>
  <c r="CP93" i="2"/>
  <c r="CQ93" i="2"/>
  <c r="CR93" i="2"/>
  <c r="CS93" i="2"/>
  <c r="CT93" i="2"/>
  <c r="BV100" i="2"/>
  <c r="BW100" i="2"/>
  <c r="BX100" i="2"/>
  <c r="BY100" i="2"/>
  <c r="BZ100" i="2"/>
  <c r="CA100" i="2"/>
  <c r="CB100" i="2"/>
  <c r="CC100" i="2"/>
  <c r="CD100" i="2"/>
  <c r="CE100" i="2"/>
  <c r="CF100" i="2"/>
  <c r="CG100" i="2"/>
  <c r="CH100" i="2"/>
  <c r="CI100" i="2"/>
  <c r="CJ100" i="2"/>
  <c r="CK100" i="2"/>
  <c r="CL100" i="2"/>
  <c r="CM100" i="2"/>
  <c r="CN100" i="2"/>
  <c r="CO100" i="2"/>
  <c r="CP100" i="2"/>
  <c r="CQ100" i="2"/>
  <c r="CR100" i="2"/>
  <c r="CS100" i="2"/>
  <c r="CT100" i="2"/>
  <c r="BV103" i="2"/>
  <c r="BW103" i="2"/>
  <c r="BX103" i="2"/>
  <c r="BY103" i="2"/>
  <c r="BZ103" i="2"/>
  <c r="CA103" i="2"/>
  <c r="CB103" i="2"/>
  <c r="CC103" i="2"/>
  <c r="CD103" i="2"/>
  <c r="CE103" i="2"/>
  <c r="CF103" i="2"/>
  <c r="CG103" i="2"/>
  <c r="CH103" i="2"/>
  <c r="CI103" i="2"/>
  <c r="CJ103" i="2"/>
  <c r="CK103" i="2"/>
  <c r="CL103" i="2"/>
  <c r="CM103" i="2"/>
  <c r="CN103" i="2"/>
  <c r="CO103" i="2"/>
  <c r="CP103" i="2"/>
  <c r="CQ103" i="2"/>
  <c r="CR103" i="2"/>
  <c r="CS103" i="2"/>
  <c r="CT103" i="2"/>
  <c r="BH105" i="2"/>
  <c r="BI105" i="2"/>
  <c r="BJ105" i="2"/>
  <c r="BK105" i="2"/>
  <c r="BL105" i="2"/>
  <c r="BN105" i="2"/>
  <c r="BR105" i="2"/>
  <c r="BV105" i="2"/>
  <c r="BW105" i="2"/>
  <c r="BX105" i="2"/>
  <c r="BY105" i="2"/>
  <c r="BZ105" i="2"/>
  <c r="CA105" i="2"/>
  <c r="CB105" i="2"/>
  <c r="CC105" i="2"/>
  <c r="CD105" i="2"/>
  <c r="CE105" i="2"/>
  <c r="CF105" i="2"/>
  <c r="CG105" i="2"/>
  <c r="CH105" i="2"/>
  <c r="CI105" i="2"/>
  <c r="CJ105" i="2"/>
  <c r="CK105" i="2"/>
  <c r="CL105" i="2"/>
  <c r="CM105" i="2"/>
  <c r="CN105" i="2"/>
  <c r="CO105" i="2"/>
  <c r="CP105" i="2"/>
  <c r="CQ105" i="2"/>
  <c r="CR105" i="2"/>
  <c r="CS105" i="2"/>
  <c r="CT105" i="2"/>
  <c r="BH107" i="2"/>
  <c r="BI107" i="2"/>
  <c r="BJ107" i="2"/>
  <c r="BK107" i="2"/>
  <c r="BL107" i="2"/>
  <c r="BN107" i="2"/>
  <c r="BR107" i="2"/>
  <c r="BV107" i="2"/>
  <c r="BW107" i="2"/>
  <c r="BX107" i="2"/>
  <c r="BY107" i="2"/>
  <c r="BZ107" i="2"/>
  <c r="CA107" i="2"/>
  <c r="CB107" i="2"/>
  <c r="CC107" i="2"/>
  <c r="CD107" i="2"/>
  <c r="CE107" i="2"/>
  <c r="CF107" i="2"/>
  <c r="CG107" i="2"/>
  <c r="CH107" i="2"/>
  <c r="CI107" i="2"/>
  <c r="CJ107" i="2"/>
  <c r="CK107" i="2"/>
  <c r="CL107" i="2"/>
  <c r="CM107" i="2"/>
  <c r="CN107" i="2"/>
  <c r="CO107" i="2"/>
  <c r="CP107" i="2"/>
  <c r="CQ107" i="2"/>
  <c r="CR107" i="2"/>
  <c r="CS107" i="2"/>
  <c r="CT107" i="2"/>
  <c r="BV111" i="2"/>
  <c r="BW111" i="2"/>
  <c r="BX111" i="2"/>
  <c r="BY111" i="2"/>
  <c r="BZ111" i="2"/>
  <c r="CA111" i="2"/>
  <c r="CB111" i="2"/>
  <c r="CC111" i="2"/>
  <c r="CD111" i="2"/>
  <c r="CE111" i="2"/>
  <c r="CF111" i="2"/>
  <c r="CG111" i="2"/>
  <c r="CH111" i="2"/>
  <c r="CI111" i="2"/>
  <c r="CJ111" i="2"/>
  <c r="CK111" i="2"/>
  <c r="CL111" i="2"/>
  <c r="CM111" i="2"/>
  <c r="CN111" i="2"/>
  <c r="CO111" i="2"/>
  <c r="CP111" i="2"/>
  <c r="CQ111" i="2"/>
  <c r="CR111" i="2"/>
  <c r="CS111" i="2"/>
  <c r="CT111" i="2"/>
  <c r="BW126" i="2"/>
  <c r="BX126" i="2"/>
  <c r="BZ126" i="2"/>
  <c r="CB126" i="2"/>
  <c r="CC126" i="2"/>
  <c r="CE126" i="2"/>
  <c r="CG126" i="2"/>
  <c r="CH126" i="2"/>
  <c r="CJ126" i="2"/>
  <c r="CL126" i="2"/>
  <c r="CM126" i="2"/>
  <c r="CO126" i="2"/>
  <c r="CQ126" i="2"/>
  <c r="CR126" i="2"/>
  <c r="CT126" i="2"/>
  <c r="BV127" i="2"/>
  <c r="BW127" i="2"/>
  <c r="BX127" i="2"/>
  <c r="BY127" i="2"/>
  <c r="BZ127" i="2"/>
  <c r="CA127" i="2"/>
  <c r="CB127" i="2"/>
  <c r="CC127" i="2"/>
  <c r="CD127" i="2"/>
  <c r="CE127" i="2"/>
  <c r="CF127" i="2"/>
  <c r="CG127" i="2"/>
  <c r="CH127" i="2"/>
  <c r="CI127" i="2"/>
  <c r="CJ127" i="2"/>
  <c r="CK127" i="2"/>
  <c r="CL127" i="2"/>
  <c r="CM127" i="2"/>
  <c r="CN127" i="2"/>
  <c r="CO127" i="2"/>
  <c r="CP127" i="2"/>
  <c r="CQ127" i="2"/>
  <c r="CR127" i="2"/>
  <c r="CS127" i="2"/>
  <c r="CT127" i="2"/>
  <c r="BV139" i="2"/>
  <c r="BW139" i="2"/>
  <c r="BX139" i="2"/>
  <c r="BY139" i="2"/>
  <c r="BZ139" i="2"/>
  <c r="CA139" i="2"/>
  <c r="CB139" i="2"/>
  <c r="CC139" i="2"/>
  <c r="CD139" i="2"/>
  <c r="CE139" i="2"/>
  <c r="CF139" i="2"/>
  <c r="CG139" i="2"/>
  <c r="CH139" i="2"/>
  <c r="CI139" i="2"/>
  <c r="CJ139" i="2"/>
  <c r="CK139" i="2"/>
  <c r="CL139" i="2"/>
  <c r="CM139" i="2"/>
  <c r="CN139" i="2"/>
  <c r="CO139" i="2"/>
  <c r="CP139" i="2"/>
  <c r="CQ139" i="2"/>
  <c r="CR139" i="2"/>
  <c r="CS139" i="2"/>
  <c r="CT139" i="2"/>
  <c r="BV142" i="2"/>
  <c r="BW142" i="2"/>
  <c r="BX142" i="2"/>
  <c r="BY142" i="2"/>
  <c r="BZ142" i="2"/>
  <c r="CA142" i="2"/>
  <c r="CB142" i="2"/>
  <c r="CC142" i="2"/>
  <c r="CD142" i="2"/>
  <c r="CE142" i="2"/>
  <c r="CF142" i="2"/>
  <c r="CG142" i="2"/>
  <c r="CH142" i="2"/>
  <c r="CI142" i="2"/>
  <c r="CJ142" i="2"/>
  <c r="CK142" i="2"/>
  <c r="CL142" i="2"/>
  <c r="CM142" i="2"/>
  <c r="CN142" i="2"/>
  <c r="CO142" i="2"/>
  <c r="CP142" i="2"/>
  <c r="CQ142" i="2"/>
  <c r="CR142" i="2"/>
  <c r="CS142" i="2"/>
  <c r="CT142" i="2"/>
  <c r="BV143" i="2"/>
  <c r="BW143" i="2"/>
  <c r="BX143" i="2"/>
  <c r="BY143" i="2"/>
  <c r="BZ143" i="2"/>
  <c r="CA143" i="2"/>
  <c r="CB143" i="2"/>
  <c r="CC143" i="2"/>
  <c r="CD143" i="2"/>
  <c r="CE143" i="2"/>
  <c r="CF143" i="2"/>
  <c r="CG143" i="2"/>
  <c r="CH143" i="2"/>
  <c r="CI143" i="2"/>
  <c r="CJ143" i="2"/>
  <c r="CK143" i="2"/>
  <c r="CL143" i="2"/>
  <c r="CM143" i="2"/>
  <c r="CN143" i="2"/>
  <c r="CO143" i="2"/>
  <c r="CP143" i="2"/>
  <c r="CQ143" i="2"/>
  <c r="CR143" i="2"/>
  <c r="CS143" i="2"/>
  <c r="CT143" i="2"/>
  <c r="BV147" i="2"/>
  <c r="BW147" i="2"/>
  <c r="BX147" i="2"/>
  <c r="BY147" i="2"/>
  <c r="BZ147" i="2"/>
  <c r="CA147" i="2"/>
  <c r="CB147" i="2"/>
  <c r="CC147" i="2"/>
  <c r="CD147" i="2"/>
  <c r="CE147" i="2"/>
  <c r="CF147" i="2"/>
  <c r="CG147" i="2"/>
  <c r="CH147" i="2"/>
  <c r="CI147" i="2"/>
  <c r="CJ147" i="2"/>
  <c r="CK147" i="2"/>
  <c r="CL147" i="2"/>
  <c r="CM147" i="2"/>
  <c r="CN147" i="2"/>
  <c r="CO147" i="2"/>
  <c r="CP147" i="2"/>
  <c r="CQ147" i="2"/>
  <c r="CR147" i="2"/>
  <c r="CS147" i="2"/>
  <c r="CT147" i="2"/>
  <c r="BW148" i="2"/>
  <c r="BX148" i="2"/>
  <c r="BY148" i="2"/>
  <c r="CA148" i="2"/>
  <c r="CB148" i="2"/>
  <c r="CC148" i="2"/>
  <c r="CD148" i="2"/>
  <c r="CE148" i="2"/>
  <c r="CF148" i="2"/>
  <c r="CG148" i="2"/>
  <c r="CH148" i="2"/>
  <c r="CI148" i="2"/>
  <c r="CJ148" i="2"/>
  <c r="CK148" i="2"/>
  <c r="CL148" i="2"/>
  <c r="CM148" i="2"/>
  <c r="CN148" i="2"/>
  <c r="CO148" i="2"/>
  <c r="CP148" i="2"/>
  <c r="CQ148" i="2"/>
  <c r="CR148" i="2"/>
  <c r="CS148" i="2"/>
  <c r="CT148" i="2"/>
  <c r="BV149" i="2"/>
  <c r="BW149" i="2"/>
  <c r="BX149" i="2"/>
  <c r="BY149" i="2"/>
  <c r="BZ149" i="2"/>
  <c r="CA149" i="2"/>
  <c r="CB149" i="2"/>
  <c r="CC149" i="2"/>
  <c r="CD149" i="2"/>
  <c r="CE149" i="2"/>
  <c r="CF149" i="2"/>
  <c r="CG149" i="2"/>
  <c r="CH149" i="2"/>
  <c r="CI149" i="2"/>
  <c r="CJ149" i="2"/>
  <c r="CK149" i="2"/>
  <c r="CL149" i="2"/>
  <c r="CM149" i="2"/>
  <c r="CN149" i="2"/>
  <c r="CO149" i="2"/>
  <c r="CP149" i="2"/>
  <c r="CQ149" i="2"/>
  <c r="CR149" i="2"/>
  <c r="CS149" i="2"/>
  <c r="CT149" i="2"/>
  <c r="BV150" i="2"/>
  <c r="BW150" i="2"/>
  <c r="BX150" i="2"/>
  <c r="BY150" i="2"/>
  <c r="BZ150" i="2"/>
  <c r="CA150" i="2"/>
  <c r="CB150" i="2"/>
  <c r="CC150" i="2"/>
  <c r="CD150" i="2"/>
  <c r="CE150" i="2"/>
  <c r="CF150" i="2"/>
  <c r="CG150" i="2"/>
  <c r="CH150" i="2"/>
  <c r="CI150" i="2"/>
  <c r="CJ150" i="2"/>
  <c r="CK150" i="2"/>
  <c r="CL150" i="2"/>
  <c r="CM150" i="2"/>
  <c r="CN150" i="2"/>
  <c r="CO150" i="2"/>
  <c r="CP150" i="2"/>
  <c r="CQ150" i="2"/>
  <c r="CR150" i="2"/>
  <c r="CS150" i="2"/>
  <c r="CT150" i="2"/>
  <c r="BV152" i="2"/>
  <c r="BW152" i="2"/>
  <c r="BX152" i="2"/>
  <c r="BY152" i="2"/>
  <c r="BZ152" i="2"/>
  <c r="CA152" i="2"/>
  <c r="CB152" i="2"/>
  <c r="CC152" i="2"/>
  <c r="CD152" i="2"/>
  <c r="CE152" i="2"/>
  <c r="CF152" i="2"/>
  <c r="CG152" i="2"/>
  <c r="CH152" i="2"/>
  <c r="CI152" i="2"/>
  <c r="CJ152" i="2"/>
  <c r="CK152" i="2"/>
  <c r="CL152" i="2"/>
  <c r="CM152" i="2"/>
  <c r="CN152" i="2"/>
  <c r="CO152" i="2"/>
  <c r="CP152" i="2"/>
  <c r="CQ152" i="2"/>
  <c r="CR152" i="2"/>
  <c r="CS152" i="2"/>
  <c r="CT152" i="2"/>
  <c r="BV153" i="2"/>
  <c r="BW153" i="2"/>
  <c r="BX153" i="2"/>
  <c r="BY153" i="2"/>
  <c r="BZ153" i="2"/>
  <c r="CA153" i="2"/>
  <c r="CB153" i="2"/>
  <c r="CC153" i="2"/>
  <c r="CD153" i="2"/>
  <c r="CE153" i="2"/>
  <c r="CF153" i="2"/>
  <c r="CG153" i="2"/>
  <c r="CH153" i="2"/>
  <c r="CI153" i="2"/>
  <c r="CJ153" i="2"/>
  <c r="CK153" i="2"/>
  <c r="CL153" i="2"/>
  <c r="CM153" i="2"/>
  <c r="CN153" i="2"/>
  <c r="CO153" i="2"/>
  <c r="CP153" i="2"/>
  <c r="CQ153" i="2"/>
  <c r="CR153" i="2"/>
  <c r="CS153" i="2"/>
  <c r="CT153" i="2"/>
  <c r="BV154" i="2"/>
  <c r="BW154" i="2"/>
  <c r="BX154" i="2"/>
  <c r="BY154" i="2"/>
  <c r="BZ154" i="2"/>
  <c r="CA154" i="2"/>
  <c r="CB154" i="2"/>
  <c r="CC154" i="2"/>
  <c r="CD154" i="2"/>
  <c r="CE154" i="2"/>
  <c r="CF154" i="2"/>
  <c r="CG154" i="2"/>
  <c r="CH154" i="2"/>
  <c r="CI154" i="2"/>
  <c r="CJ154" i="2"/>
  <c r="CK154" i="2"/>
  <c r="CL154" i="2"/>
  <c r="CM154" i="2"/>
  <c r="CN154" i="2"/>
  <c r="CO154" i="2"/>
  <c r="CP154" i="2"/>
  <c r="CQ154" i="2"/>
  <c r="CR154" i="2"/>
  <c r="CS154" i="2"/>
  <c r="CT154" i="2"/>
  <c r="BV155" i="2"/>
  <c r="BW155" i="2"/>
  <c r="BX155" i="2"/>
  <c r="BY155" i="2"/>
  <c r="BZ155" i="2"/>
  <c r="CA155" i="2"/>
  <c r="CB155" i="2"/>
  <c r="CC155" i="2"/>
  <c r="CD155" i="2"/>
  <c r="CE155" i="2"/>
  <c r="CF155" i="2"/>
  <c r="CG155" i="2"/>
  <c r="CH155" i="2"/>
  <c r="CI155" i="2"/>
  <c r="CJ155" i="2"/>
  <c r="CK155" i="2"/>
  <c r="CL155" i="2"/>
  <c r="CM155" i="2"/>
  <c r="CN155" i="2"/>
  <c r="CO155" i="2"/>
  <c r="CP155" i="2"/>
  <c r="CQ155" i="2"/>
  <c r="CR155" i="2"/>
  <c r="CS155" i="2"/>
  <c r="CT155" i="2"/>
  <c r="BV156" i="2"/>
  <c r="BW156" i="2"/>
  <c r="BX156" i="2"/>
  <c r="BY156" i="2"/>
  <c r="BZ156" i="2"/>
  <c r="CA156" i="2"/>
  <c r="CB156" i="2"/>
  <c r="CC156" i="2"/>
  <c r="CD156" i="2"/>
  <c r="CE156" i="2"/>
  <c r="CF156" i="2"/>
  <c r="CG156" i="2"/>
  <c r="CH156" i="2"/>
  <c r="CI156" i="2"/>
  <c r="CJ156" i="2"/>
  <c r="CK156" i="2"/>
  <c r="CL156" i="2"/>
  <c r="CM156" i="2"/>
  <c r="CN156" i="2"/>
  <c r="CO156" i="2"/>
  <c r="CP156" i="2"/>
  <c r="CQ156" i="2"/>
  <c r="CR156" i="2"/>
  <c r="CS156" i="2"/>
  <c r="CT156" i="2"/>
  <c r="BV157" i="2"/>
  <c r="BW157" i="2"/>
  <c r="BX157" i="2"/>
  <c r="BY157" i="2"/>
  <c r="BZ157" i="2"/>
  <c r="CA157" i="2"/>
  <c r="CB157" i="2"/>
  <c r="CC157" i="2"/>
  <c r="CD157" i="2"/>
  <c r="CE157" i="2"/>
  <c r="CF157" i="2"/>
  <c r="CG157" i="2"/>
  <c r="CH157" i="2"/>
  <c r="CI157" i="2"/>
  <c r="CJ157" i="2"/>
  <c r="CK157" i="2"/>
  <c r="CL157" i="2"/>
  <c r="CM157" i="2"/>
  <c r="CN157" i="2"/>
  <c r="CO157" i="2"/>
  <c r="CP157" i="2"/>
  <c r="CQ157" i="2"/>
  <c r="CR157" i="2"/>
  <c r="CS157" i="2"/>
  <c r="CT157" i="2"/>
  <c r="BZ162" i="2"/>
  <c r="CE162" i="2"/>
  <c r="CJ162" i="2"/>
  <c r="CO162" i="2"/>
  <c r="CT162" i="2"/>
  <c r="BH175" i="2"/>
  <c r="BI175" i="2"/>
  <c r="BJ175" i="2"/>
  <c r="BK175" i="2"/>
  <c r="BL175" i="2"/>
  <c r="BN175" i="2"/>
  <c r="BP175" i="2"/>
  <c r="BR175" i="2"/>
  <c r="BW175" i="2"/>
  <c r="CB175" i="2"/>
  <c r="CG175" i="2"/>
  <c r="CL175" i="2"/>
  <c r="CQ175" i="2"/>
  <c r="BZ176" i="2"/>
  <c r="CE176" i="2"/>
  <c r="CJ176" i="2"/>
  <c r="CO176" i="2"/>
  <c r="CT176" i="2"/>
  <c r="BV177" i="2"/>
  <c r="BW177" i="2"/>
  <c r="BX177" i="2"/>
  <c r="BY177" i="2"/>
  <c r="BZ177" i="2"/>
  <c r="CA177" i="2"/>
  <c r="CB177" i="2"/>
  <c r="CC177" i="2"/>
  <c r="CD177" i="2"/>
  <c r="CE177" i="2"/>
  <c r="CF177" i="2"/>
  <c r="CG177" i="2"/>
  <c r="CH177" i="2"/>
  <c r="CI177" i="2"/>
  <c r="CJ177" i="2"/>
  <c r="CK177" i="2"/>
  <c r="CL177" i="2"/>
  <c r="CM177" i="2"/>
  <c r="CN177" i="2"/>
  <c r="CO177" i="2"/>
  <c r="CP177" i="2"/>
  <c r="CQ177" i="2"/>
  <c r="CR177" i="2"/>
  <c r="CS177" i="2"/>
  <c r="CT177" i="2"/>
  <c r="AW179" i="2"/>
  <c r="AZ179" i="2"/>
  <c r="BD179" i="2"/>
  <c r="BF179" i="2"/>
  <c r="AW180" i="2"/>
  <c r="AZ180" i="2"/>
  <c r="BD180" i="2"/>
  <c r="BF180" i="2"/>
  <c r="BH183" i="2"/>
  <c r="BI183" i="2"/>
  <c r="BJ183" i="2"/>
  <c r="BK183" i="2"/>
  <c r="BL183" i="2"/>
  <c r="BV183" i="2"/>
  <c r="BW183" i="2"/>
  <c r="BX183" i="2"/>
  <c r="BY183" i="2"/>
  <c r="BZ183" i="2"/>
  <c r="CA183" i="2"/>
  <c r="CB183" i="2"/>
  <c r="CC183" i="2"/>
  <c r="CD183" i="2"/>
  <c r="CE183" i="2"/>
  <c r="CF183" i="2"/>
  <c r="CG183" i="2"/>
  <c r="CH183" i="2"/>
  <c r="CI183" i="2"/>
  <c r="CJ183" i="2"/>
  <c r="CK183" i="2"/>
  <c r="CL183" i="2"/>
  <c r="CM183" i="2"/>
  <c r="CN183" i="2"/>
  <c r="CO183" i="2"/>
  <c r="CP183" i="2"/>
  <c r="CQ183" i="2"/>
  <c r="CR183" i="2"/>
  <c r="CS183" i="2"/>
  <c r="CT183" i="2"/>
  <c r="BV184" i="2"/>
  <c r="BW184" i="2"/>
  <c r="BX184" i="2"/>
  <c r="BY184" i="2"/>
  <c r="BZ184" i="2"/>
  <c r="CA184" i="2"/>
  <c r="CB184" i="2"/>
  <c r="CC184" i="2"/>
  <c r="CD184" i="2"/>
  <c r="CE184" i="2"/>
  <c r="CF184" i="2"/>
  <c r="CG184" i="2"/>
  <c r="CH184" i="2"/>
  <c r="CI184" i="2"/>
  <c r="CJ184" i="2"/>
  <c r="CK184" i="2"/>
  <c r="CL184" i="2"/>
  <c r="CM184" i="2"/>
  <c r="CN184" i="2"/>
  <c r="CO184" i="2"/>
  <c r="CP184" i="2"/>
  <c r="CQ184" i="2"/>
  <c r="CR184" i="2"/>
  <c r="CS184" i="2"/>
  <c r="CT184" i="2"/>
  <c r="BH185" i="2"/>
  <c r="BI185" i="2"/>
  <c r="BJ185" i="2"/>
  <c r="BK185" i="2"/>
  <c r="BL185" i="2"/>
  <c r="BV185" i="2"/>
  <c r="BW185" i="2"/>
  <c r="BX185" i="2"/>
  <c r="BY185" i="2"/>
  <c r="BZ185" i="2"/>
  <c r="CA185" i="2"/>
  <c r="CB185" i="2"/>
  <c r="CC185" i="2"/>
  <c r="CD185" i="2"/>
  <c r="CE185" i="2"/>
  <c r="CF185" i="2"/>
  <c r="CG185" i="2"/>
  <c r="CH185" i="2"/>
  <c r="CI185" i="2"/>
  <c r="CJ185" i="2"/>
  <c r="CK185" i="2"/>
  <c r="CL185" i="2"/>
  <c r="CM185" i="2"/>
  <c r="CN185" i="2"/>
  <c r="CO185" i="2"/>
  <c r="CP185" i="2"/>
  <c r="CQ185" i="2"/>
  <c r="CR185" i="2"/>
  <c r="CS185" i="2"/>
  <c r="CT185" i="2"/>
  <c r="BH186" i="2"/>
  <c r="BI186" i="2"/>
  <c r="BJ186" i="2"/>
  <c r="BK186" i="2"/>
  <c r="BL186" i="2"/>
  <c r="BM186" i="2"/>
  <c r="BP186" i="2"/>
  <c r="BZ186" i="2"/>
  <c r="CE186" i="2"/>
  <c r="CJ186" i="2"/>
  <c r="CO186" i="2"/>
  <c r="CT186" i="2"/>
  <c r="BZ187" i="2"/>
  <c r="CE187" i="2"/>
  <c r="CJ187" i="2"/>
  <c r="CO187" i="2"/>
  <c r="CT187" i="2"/>
  <c r="BW188" i="2"/>
  <c r="BX188" i="2"/>
  <c r="BY188" i="2"/>
  <c r="CA188" i="2"/>
  <c r="CB188" i="2"/>
  <c r="CC188" i="2"/>
  <c r="CD188" i="2"/>
  <c r="CE188" i="2"/>
  <c r="CF188" i="2"/>
  <c r="CG188" i="2"/>
  <c r="CH188" i="2"/>
  <c r="CI188" i="2"/>
  <c r="CJ188" i="2"/>
  <c r="CK188" i="2"/>
  <c r="CL188" i="2"/>
  <c r="CM188" i="2"/>
  <c r="CN188" i="2"/>
  <c r="CO188" i="2"/>
  <c r="CP188" i="2"/>
  <c r="CQ188" i="2"/>
  <c r="CR188" i="2"/>
  <c r="CS188" i="2"/>
  <c r="CT188" i="2"/>
  <c r="BV189" i="2"/>
  <c r="BW189" i="2"/>
  <c r="BX189" i="2"/>
  <c r="BY189" i="2"/>
  <c r="BZ189" i="2"/>
  <c r="CA189" i="2"/>
  <c r="CB189" i="2"/>
  <c r="CC189" i="2"/>
  <c r="CD189" i="2"/>
  <c r="CE189" i="2"/>
  <c r="CF189" i="2"/>
  <c r="CG189" i="2"/>
  <c r="CH189" i="2"/>
  <c r="CI189" i="2"/>
  <c r="CJ189" i="2"/>
  <c r="CK189" i="2"/>
  <c r="CL189" i="2"/>
  <c r="CM189" i="2"/>
  <c r="CN189" i="2"/>
  <c r="CO189" i="2"/>
  <c r="CP189" i="2"/>
  <c r="CQ189" i="2"/>
  <c r="CR189" i="2"/>
  <c r="CS189" i="2"/>
  <c r="CT189" i="2"/>
  <c r="BV190" i="2"/>
  <c r="BW190" i="2"/>
  <c r="BX190" i="2"/>
  <c r="BY190" i="2"/>
  <c r="BZ190" i="2"/>
  <c r="CA190" i="2"/>
  <c r="CB190" i="2"/>
  <c r="CC190" i="2"/>
  <c r="CD190" i="2"/>
  <c r="CE190" i="2"/>
  <c r="CF190" i="2"/>
  <c r="CG190" i="2"/>
  <c r="CH190" i="2"/>
  <c r="CI190" i="2"/>
  <c r="CJ190" i="2"/>
  <c r="CK190" i="2"/>
  <c r="CL190" i="2"/>
  <c r="CM190" i="2"/>
  <c r="CN190" i="2"/>
  <c r="CO190" i="2"/>
  <c r="CP190" i="2"/>
  <c r="CQ190" i="2"/>
  <c r="CR190" i="2"/>
  <c r="CS190" i="2"/>
  <c r="CT190" i="2"/>
  <c r="BV191" i="2"/>
  <c r="BW191" i="2"/>
  <c r="BX191" i="2"/>
  <c r="BY191" i="2"/>
  <c r="BZ191" i="2"/>
  <c r="CA191" i="2"/>
  <c r="CB191" i="2"/>
  <c r="CC191" i="2"/>
  <c r="CD191" i="2"/>
  <c r="CE191" i="2"/>
  <c r="CF191" i="2"/>
  <c r="CG191" i="2"/>
  <c r="CH191" i="2"/>
  <c r="CI191" i="2"/>
  <c r="CJ191" i="2"/>
  <c r="CK191" i="2"/>
  <c r="CL191" i="2"/>
  <c r="CM191" i="2"/>
  <c r="CN191" i="2"/>
  <c r="CO191" i="2"/>
  <c r="CP191" i="2"/>
  <c r="CQ191" i="2"/>
  <c r="CR191" i="2"/>
  <c r="CS191" i="2"/>
  <c r="CT191" i="2"/>
  <c r="BH192" i="2"/>
  <c r="BI192" i="2"/>
  <c r="BJ192" i="2"/>
  <c r="BK192" i="2"/>
  <c r="BL192" i="2"/>
  <c r="BN192" i="2"/>
  <c r="BR192" i="2"/>
  <c r="BV192" i="2"/>
  <c r="BW192" i="2"/>
  <c r="BX192" i="2"/>
  <c r="BY192" i="2"/>
  <c r="BZ192" i="2"/>
  <c r="CA192" i="2"/>
  <c r="CB192" i="2"/>
  <c r="CC192" i="2"/>
  <c r="CD192" i="2"/>
  <c r="CE192" i="2"/>
  <c r="CF192" i="2"/>
  <c r="CG192" i="2"/>
  <c r="CH192" i="2"/>
  <c r="CI192" i="2"/>
  <c r="CJ192" i="2"/>
  <c r="CK192" i="2"/>
  <c r="CL192" i="2"/>
  <c r="CM192" i="2"/>
  <c r="CN192" i="2"/>
  <c r="CO192" i="2"/>
  <c r="CP192" i="2"/>
  <c r="CQ192" i="2"/>
  <c r="CR192" i="2"/>
  <c r="CS192" i="2"/>
  <c r="CT192" i="2"/>
  <c r="BZ196" i="2"/>
  <c r="CE196" i="2"/>
  <c r="CJ196" i="2"/>
  <c r="CO196" i="2"/>
  <c r="CT196" i="2"/>
  <c r="BZ197" i="2"/>
  <c r="CE197" i="2"/>
  <c r="CJ197" i="2"/>
  <c r="CO197" i="2"/>
  <c r="CT197" i="2"/>
  <c r="BH198" i="2"/>
  <c r="BI198" i="2"/>
  <c r="BJ198" i="2"/>
  <c r="BK198" i="2"/>
  <c r="BL198" i="2"/>
  <c r="BM198" i="2"/>
  <c r="BN198" i="2"/>
  <c r="BO198" i="2"/>
  <c r="BP198" i="2"/>
  <c r="BQ198" i="2"/>
  <c r="BR198" i="2"/>
  <c r="BS198" i="2"/>
  <c r="BT198" i="2"/>
  <c r="BV198" i="2"/>
  <c r="BW198" i="2"/>
  <c r="BX198" i="2"/>
  <c r="BY198" i="2"/>
  <c r="BZ198" i="2"/>
  <c r="CA198" i="2"/>
  <c r="CB198" i="2"/>
  <c r="CC198" i="2"/>
  <c r="CD198" i="2"/>
  <c r="CE198" i="2"/>
  <c r="CF198" i="2"/>
  <c r="CG198" i="2"/>
  <c r="CH198" i="2"/>
  <c r="CI198" i="2"/>
  <c r="CJ198" i="2"/>
  <c r="CK198" i="2"/>
  <c r="CL198" i="2"/>
  <c r="CM198" i="2"/>
  <c r="CN198" i="2"/>
  <c r="CO198" i="2"/>
  <c r="CP198" i="2"/>
  <c r="CQ198" i="2"/>
  <c r="CR198" i="2"/>
  <c r="CS198" i="2"/>
  <c r="CT198" i="2"/>
  <c r="AQ210" i="2"/>
  <c r="AQ211" i="2"/>
  <c r="BW216" i="2"/>
  <c r="BX216" i="2"/>
  <c r="BZ216" i="2"/>
  <c r="CB216" i="2"/>
  <c r="CC216" i="2"/>
  <c r="CE216" i="2"/>
  <c r="CG216" i="2"/>
  <c r="CH216" i="2"/>
  <c r="CJ216" i="2"/>
  <c r="CL216" i="2"/>
  <c r="CM216" i="2"/>
  <c r="CO216" i="2"/>
  <c r="CQ216" i="2"/>
  <c r="CR216" i="2"/>
  <c r="CT216" i="2"/>
  <c r="BW238" i="2"/>
  <c r="BX238" i="2"/>
  <c r="BZ238" i="2"/>
  <c r="CB238" i="2"/>
  <c r="CC238" i="2"/>
  <c r="CE238" i="2"/>
  <c r="CG238" i="2"/>
  <c r="CH238" i="2"/>
  <c r="CJ238" i="2"/>
  <c r="CL238" i="2"/>
  <c r="CM238" i="2"/>
  <c r="CO238" i="2"/>
  <c r="CQ238" i="2"/>
  <c r="CR238" i="2"/>
  <c r="CT238" i="2"/>
  <c r="BH240" i="2"/>
  <c r="BI240" i="2"/>
  <c r="BJ240" i="2"/>
  <c r="BK240" i="2"/>
  <c r="BL240" i="2"/>
  <c r="BV240" i="2"/>
  <c r="BW240" i="2"/>
  <c r="BX240" i="2"/>
  <c r="BY240" i="2"/>
  <c r="BZ240" i="2"/>
  <c r="CA240" i="2"/>
  <c r="CB240" i="2"/>
  <c r="CC240" i="2"/>
  <c r="CD240" i="2"/>
  <c r="CE240" i="2"/>
  <c r="CF240" i="2"/>
  <c r="CG240" i="2"/>
  <c r="CH240" i="2"/>
  <c r="CI240" i="2"/>
  <c r="CJ240" i="2"/>
  <c r="CK240" i="2"/>
  <c r="CL240" i="2"/>
  <c r="CM240" i="2"/>
  <c r="CN240" i="2"/>
  <c r="CO240" i="2"/>
  <c r="CP240" i="2"/>
  <c r="CQ240" i="2"/>
  <c r="CR240" i="2"/>
  <c r="CS240" i="2"/>
  <c r="CT240" i="2"/>
  <c r="BV241" i="2"/>
  <c r="BW241" i="2"/>
  <c r="BX241" i="2"/>
  <c r="BY241" i="2"/>
  <c r="BZ241" i="2"/>
  <c r="CA241" i="2"/>
  <c r="CB241" i="2"/>
  <c r="CC241" i="2"/>
  <c r="CD241" i="2"/>
  <c r="CE241" i="2"/>
  <c r="CF241" i="2"/>
  <c r="CG241" i="2"/>
  <c r="CH241" i="2"/>
  <c r="CI241" i="2"/>
  <c r="CJ241" i="2"/>
  <c r="CK241" i="2"/>
  <c r="CL241" i="2"/>
  <c r="CM241" i="2"/>
  <c r="CN241" i="2"/>
  <c r="CO241" i="2"/>
  <c r="CP241" i="2"/>
  <c r="CQ241" i="2"/>
  <c r="CR241" i="2"/>
  <c r="CS241" i="2"/>
  <c r="CT241" i="2"/>
  <c r="CE242" i="2"/>
  <c r="CJ242" i="2"/>
  <c r="CO242" i="2"/>
  <c r="CT242" i="2"/>
  <c r="BL260" i="2"/>
  <c r="BN260" i="2"/>
  <c r="BP261" i="2"/>
  <c r="AH7" i="3"/>
  <c r="AH8" i="3"/>
  <c r="AH10" i="3"/>
  <c r="AH15" i="3"/>
  <c r="AD71" i="3"/>
  <c r="AH71" i="3"/>
  <c r="AD75" i="3"/>
  <c r="AD93" i="3"/>
  <c r="AH93" i="3"/>
  <c r="AD98" i="3"/>
  <c r="AH98" i="3"/>
  <c r="AD100" i="3"/>
  <c r="X211" i="3"/>
</calcChain>
</file>

<file path=xl/comments1.xml><?xml version="1.0" encoding="utf-8"?>
<comments xmlns="http://schemas.openxmlformats.org/spreadsheetml/2006/main">
  <authors>
    <author>mukeruma</author>
    <author>Falorni, Filippo (Research)</author>
    <author>Doctor, Bob (Research)</author>
    <author>doctobob</author>
    <author>grunke</author>
    <author>cruzv</author>
    <author>Fitzgerald, Kyle (Research)</author>
    <author>Rotondi, Scott (Research)</author>
  </authors>
  <commentList>
    <comment ref="AH4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Bottler Acquisitions closed on March 1.</t>
        </r>
      </text>
    </comment>
    <comment ref="M5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Excludes Extra Week</t>
        </r>
      </text>
    </comment>
    <comment ref="BQ7" authorId="1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4Q16: Q1 organic sales growth below full year, at ~2%</t>
        </r>
      </text>
    </comment>
    <comment ref="BR7" authorId="1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1Q17 (IR): 2.5%-3%
1Q call: "expect our rate of organic revenue growth to show sequential improvement"</t>
        </r>
      </text>
    </comment>
    <comment ref="BU7" authorId="1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3Q17: ~2.3% (in line with YTD trend)
G at 2Q17: </t>
        </r>
        <r>
          <rPr>
            <b/>
            <sz val="9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
G at 1Q17: </t>
        </r>
        <r>
          <rPr>
            <b/>
            <sz val="9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
G at 4Q16: "At least +3%"</t>
        </r>
      </text>
    </comment>
    <comment ref="BZ7" authorId="1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4Q17: at least in line with the 2017 growth rate (+2.3%)</t>
        </r>
      </text>
    </comment>
    <comment ref="AQ8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comm cost inflation = higher end of $1.4-$1.6 billion</t>
        </r>
      </text>
    </comment>
    <comment ref="AV8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incremental $500M productivity (1.1B total); $1.5B additional commodity cost</t>
        </r>
      </text>
    </comment>
    <comment ref="BQ14" authorId="1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4Q16: GM under pressure in 1H17, due to commodity inflation</t>
        </r>
      </text>
    </comment>
    <comment ref="BR14" authorId="1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1Q17: Down y-o-y but a litlle better than Q1
G at 4Q16: GM under pressure in 1H17, due to commodity inflation</t>
        </r>
      </text>
    </comment>
    <comment ref="BT14" authorId="1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3Q17 (IR): 15-20 bps</t>
        </r>
      </text>
    </comment>
    <comment ref="BU14" authorId="1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4Q16: OM expansion driven more by SG&amp;A than GM</t>
        </r>
      </text>
    </comment>
    <comment ref="BV14" authorId="1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4Q17 (IR): Similar to Q4</t>
        </r>
      </text>
    </comment>
    <comment ref="BW14" authorId="1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4Q17 (IR): A little better than Q1 but still down</t>
        </r>
      </text>
    </comment>
    <comment ref="BX14" authorId="1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4Q17 (IR): Q3/Q4 up</t>
        </r>
      </text>
    </comment>
    <comment ref="BY14" authorId="1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4Q17 (IR): Q3/Q4 up</t>
        </r>
      </text>
    </comment>
    <comment ref="BZ14" authorId="1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4Q17 (IR): Flat to Up a Little</t>
        </r>
      </text>
    </comment>
    <comment ref="R16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excluding  restructuring</t>
        </r>
      </text>
    </comment>
    <comment ref="S16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excluding Mark-to-Market  on Commodity Hedges</t>
        </r>
      </text>
    </comment>
    <comment ref="T16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excluding Mark-to-Market  on Commodity Hedges</t>
        </r>
      </text>
    </comment>
    <comment ref="U16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excluding Mark-to-Market  on Commodity Hedges</t>
        </r>
      </text>
    </comment>
    <comment ref="V16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excluding Mark-to-Market  on Commodity Hedges</t>
        </r>
      </text>
    </comment>
    <comment ref="W16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excluding Mark-to-Market  on Commodity Hedges</t>
        </r>
      </text>
    </comment>
    <comment ref="AV16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Increasing A&amp;M spend by $500-600M; mktplace spend by $600-700M; higher pension costs of 100 Mn</t>
        </r>
      </text>
    </comment>
    <comment ref="BQ16" authorId="1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Pension reclassification</t>
        </r>
      </text>
    </comment>
    <comment ref="BR16" authorId="1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Pension reclassification</t>
        </r>
      </text>
    </comment>
    <comment ref="BS16" authorId="1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Pension reclassification</t>
        </r>
      </text>
    </comment>
    <comment ref="BT16" authorId="1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Pension reclassification</t>
        </r>
      </text>
    </comment>
    <comment ref="AZ19" authorId="2">
      <text>
        <r>
          <rPr>
            <b/>
            <sz val="9"/>
            <color indexed="81"/>
            <rFont val="Tahoma"/>
            <family val="2"/>
          </rPr>
          <t>Doctor, Bob (Research):</t>
        </r>
        <r>
          <rPr>
            <sz val="9"/>
            <color indexed="81"/>
            <rFont val="Tahoma"/>
            <family val="2"/>
          </rPr>
          <t xml:space="preserve">
+28 bps due to 56M step up in investment last year</t>
        </r>
      </text>
    </comment>
    <comment ref="BC19" authorId="3">
      <text>
        <r>
          <rPr>
            <b/>
            <sz val="8"/>
            <color indexed="81"/>
            <rFont val="Tahoma"/>
            <family val="2"/>
          </rPr>
          <t>doctobob:</t>
        </r>
        <r>
          <rPr>
            <sz val="8"/>
            <color indexed="81"/>
            <rFont val="Tahoma"/>
            <family val="2"/>
          </rPr>
          <t xml:space="preserve">
lapping vietnam gain</t>
        </r>
      </text>
    </comment>
    <comment ref="BU19" authorId="1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4Q16: OM expansion driven more by SG&amp;A than GM</t>
        </r>
      </text>
    </comment>
    <comment ref="BR26" authorId="1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1Q17 (IR): similar to Q1 decline
G at 1Q call: "expect our core -- our consolidated core operating margin to contract in the quarter due to the timing of business investments in Latin America and AMENA"</t>
        </r>
      </text>
    </comment>
    <comment ref="Q32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excluding PEP share of PBG tax benefits of $21</t>
        </r>
      </text>
    </comment>
    <comment ref="R32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excluding PEP share of PBG tax benefits</t>
        </r>
      </text>
    </comment>
    <comment ref="AV33" authorId="4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mid to high $800Ms, net int inc</t>
        </r>
      </text>
    </comment>
    <comment ref="AY33" authorId="5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Net interest expense will be higher than 2Q13</t>
        </r>
      </text>
    </comment>
    <comment ref="AZ33" authorId="5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Net interest expense will be higher YoY</t>
        </r>
      </text>
    </comment>
    <comment ref="BE33" authorId="2">
      <text>
        <r>
          <rPr>
            <b/>
            <sz val="9"/>
            <color indexed="81"/>
            <rFont val="Tahoma"/>
            <family val="2"/>
          </rPr>
          <t>Doctor, Bob (Research):</t>
        </r>
        <r>
          <rPr>
            <sz val="9"/>
            <color indexed="81"/>
            <rFont val="Tahoma"/>
            <family val="2"/>
          </rPr>
          <t xml:space="preserve">
increase yoy</t>
        </r>
      </text>
    </comment>
    <comment ref="BF33" authorId="5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Higher interest expense given higher debt balance</t>
        </r>
      </text>
    </comment>
    <comment ref="BJ33" authorId="6">
      <text>
        <r>
          <rPr>
            <b/>
            <sz val="9"/>
            <color indexed="81"/>
            <rFont val="Tahoma"/>
            <family val="2"/>
          </rPr>
          <t>Fitzgerald, Kyle (Research):</t>
        </r>
        <r>
          <rPr>
            <sz val="9"/>
            <color indexed="81"/>
            <rFont val="Tahoma"/>
            <family val="2"/>
          </rPr>
          <t xml:space="preserve">
Expected to increase vs. last year driven by higher rates and debt balances</t>
        </r>
      </text>
    </comment>
    <comment ref="BK33" authorId="2">
      <text>
        <r>
          <rPr>
            <b/>
            <sz val="9"/>
            <color indexed="81"/>
            <rFont val="Tahoma"/>
            <family val="2"/>
          </rPr>
          <t>Doctor, Bob (Research):</t>
        </r>
        <r>
          <rPr>
            <sz val="9"/>
            <color indexed="81"/>
            <rFont val="Tahoma"/>
            <family val="2"/>
          </rPr>
          <t xml:space="preserve">
higher yoy driven by higher debt balance</t>
        </r>
      </text>
    </comment>
    <comment ref="BO33" authorId="6">
      <text>
        <r>
          <rPr>
            <b/>
            <sz val="9"/>
            <color indexed="81"/>
            <rFont val="Tahoma"/>
            <family val="2"/>
          </rPr>
          <t>Fitzgerald, Kyle (Research):</t>
        </r>
        <r>
          <rPr>
            <sz val="9"/>
            <color indexed="81"/>
            <rFont val="Tahoma"/>
            <family val="2"/>
          </rPr>
          <t xml:space="preserve">
Extra week</t>
        </r>
      </text>
    </comment>
    <comment ref="BP35" authorId="1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Pension reclassification</t>
        </r>
      </text>
    </comment>
    <comment ref="BQ35" authorId="1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Pension reclassification</t>
        </r>
      </text>
    </comment>
    <comment ref="BR35" authorId="1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Pension reclassification</t>
        </r>
      </text>
    </comment>
    <comment ref="BS35" authorId="1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Pension reclassification</t>
        </r>
      </text>
    </comment>
    <comment ref="BT35" authorId="1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Pension reclassification</t>
        </r>
      </text>
    </comment>
    <comment ref="AQ40" authorId="4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PEP guidance 27%</t>
        </r>
      </text>
    </comment>
    <comment ref="AV40" authorId="4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27% guid</t>
        </r>
      </text>
    </comment>
    <comment ref="BA40" authorId="5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~27% guidance</t>
        </r>
      </text>
    </comment>
    <comment ref="BF40" authorId="5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25%</t>
        </r>
      </text>
    </comment>
    <comment ref="BK40" authorId="2">
      <text>
        <r>
          <rPr>
            <b/>
            <sz val="9"/>
            <color indexed="81"/>
            <rFont val="Tahoma"/>
            <family val="2"/>
          </rPr>
          <t>Doctor, Bob (Research):</t>
        </r>
        <r>
          <rPr>
            <sz val="9"/>
            <color indexed="81"/>
            <rFont val="Tahoma"/>
            <family val="2"/>
          </rPr>
          <t xml:space="preserve">
25%</t>
        </r>
      </text>
    </comment>
    <comment ref="BU40" authorId="1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3Q17: </t>
        </r>
        <r>
          <rPr>
            <b/>
            <sz val="9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
G at 2Q17: </t>
        </r>
        <r>
          <rPr>
            <b/>
            <sz val="9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
G at 1Q17: </t>
        </r>
        <r>
          <rPr>
            <b/>
            <sz val="9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
G at 4Q16: ~24% includes benefit from accounting change</t>
        </r>
      </text>
    </comment>
    <comment ref="BZ40" authorId="1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4Q17: Low 20s (20.5-21.5% per IR)</t>
        </r>
      </text>
    </comment>
    <comment ref="H45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Excluding tax benefit of $266M and restruc of $150M ($96M post-tax)</t>
        </r>
      </text>
    </comment>
    <comment ref="M45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Excluding tax charge of $460M and restruc of $83M ($55M post-tax)</t>
        </r>
      </text>
    </comment>
    <comment ref="AI45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2.4 cent est. impact from health care tax issue ($40M)</t>
        </r>
      </text>
    </comment>
    <comment ref="AP45" authorId="4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PEP's guidance implies $1.16-$1.24</t>
        </r>
      </text>
    </comment>
    <comment ref="BE45" authorId="2">
      <text>
        <r>
          <rPr>
            <b/>
            <sz val="9"/>
            <color indexed="81"/>
            <rFont val="Tahoma"/>
            <family val="2"/>
          </rPr>
          <t>Doctor, Bob (Research):</t>
        </r>
        <r>
          <rPr>
            <sz val="9"/>
            <color indexed="81"/>
            <rFont val="Tahoma"/>
            <family val="2"/>
          </rPr>
          <t xml:space="preserve">
implied 1.06 guide</t>
        </r>
      </text>
    </comment>
    <comment ref="BF45" authorId="5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~$4.57 (9% FX-neutral EPS growth, -4% FX hit)</t>
        </r>
      </text>
    </comment>
    <comment ref="BK45" authorId="6">
      <text>
        <r>
          <rPr>
            <b/>
            <sz val="9"/>
            <color indexed="81"/>
            <rFont val="Tahoma"/>
            <family val="2"/>
          </rPr>
          <t>Fitzgerald, Kyle (Research):</t>
        </r>
        <r>
          <rPr>
            <sz val="9"/>
            <color indexed="81"/>
            <rFont val="Tahoma"/>
            <family val="2"/>
          </rPr>
          <t xml:space="preserve">
4.54</t>
        </r>
      </text>
    </comment>
    <comment ref="BP45" authorId="2">
      <text>
        <r>
          <rPr>
            <b/>
            <sz val="9"/>
            <color indexed="81"/>
            <rFont val="Tahoma"/>
            <family val="2"/>
          </rPr>
          <t>Doctor, Bob (Research):</t>
        </r>
        <r>
          <rPr>
            <sz val="9"/>
            <color indexed="81"/>
            <rFont val="Tahoma"/>
            <family val="2"/>
          </rPr>
          <t xml:space="preserve">
4.78</t>
        </r>
      </text>
    </comment>
    <comment ref="BU45" authorId="1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3Q17: $5.23
G at 2Q17: $5.13
G at 1Q17: </t>
        </r>
        <r>
          <rPr>
            <b/>
            <sz val="9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
G at 4Q16: $5.09 </t>
        </r>
      </text>
    </comment>
    <comment ref="BZ45" authorId="1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4Q17: $5.70</t>
        </r>
      </text>
    </comment>
    <comment ref="AV46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-5% CC; 3% FX headwind</t>
        </r>
      </text>
    </comment>
    <comment ref="BA46" authorId="5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-7% FX-neutral EPS growth guidance</t>
        </r>
      </text>
    </comment>
    <comment ref="BQ46" authorId="1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4Q16 (IR): Flattish y-o-y</t>
        </r>
      </text>
    </comment>
    <comment ref="BR46" authorId="1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1Q17 (IR): limited earnings growth in 2Q</t>
        </r>
      </text>
    </comment>
    <comment ref="BU46" authorId="1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3Q17: Constant currency EPS growth +9%, FX -1%
G at 2Q17: Constant currency EPS growth +8%, FX -2%
G at 1Q17: </t>
        </r>
        <r>
          <rPr>
            <b/>
            <sz val="9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
G at 4Q16: Constant currency EPS growth +8%, FX -3%</t>
        </r>
      </text>
    </comment>
    <comment ref="BV46" authorId="1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4Q17 (IR): Down yoy</t>
        </r>
      </text>
    </comment>
    <comment ref="BW46" authorId="1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4Q17 (IR): +LSD%</t>
        </r>
      </text>
    </comment>
    <comment ref="BZ46" authorId="1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4Q17: Constant currency EPS growth +9%, FX flat</t>
        </r>
      </text>
    </comment>
    <comment ref="U48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includes commodity mark-to-mkt gains/losses, tax benefit</t>
        </r>
      </text>
    </comment>
    <comment ref="V48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includes rest. Charges, commodity mark-to-mkt gains/losses.</t>
        </r>
      </text>
    </comment>
    <comment ref="W48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includes restructuring/ other charges, commodity mark-to-mkt gains/losses, tax benefit</t>
        </r>
      </text>
    </comment>
    <comment ref="X48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includes rest. Charges, commodity mark-to-mkt gains/losses.</t>
        </r>
      </text>
    </comment>
    <comment ref="Y48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includes restructuring charges, commodity mark-to-mkt gains/losses.</t>
        </r>
      </text>
    </comment>
    <comment ref="Z48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includes restructuring charges, commodity mark-to-mkt gains/losses, PBG restructuring/impairment</t>
        </r>
      </text>
    </comment>
    <comment ref="AA48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includes restructuring charges, commodity mark-to-mkt gains/losses, PBG restructuring/impairment</t>
        </r>
      </text>
    </comment>
    <comment ref="AB48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includes restructuring charges, commodity mark-to-mkt gains/losses, PBG restructuring/impairment</t>
        </r>
      </text>
    </comment>
    <comment ref="AC48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includes rest. Charges, commodity mark-to-mkt gains/losses.</t>
        </r>
      </text>
    </comment>
    <comment ref="AD48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includes restructuring charges, commodity mark-to-mkt gains/losses.</t>
        </r>
      </text>
    </comment>
    <comment ref="AE48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includes commodity mark-to-mkt gains/losses, merger costs.</t>
        </r>
      </text>
    </comment>
    <comment ref="AF48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includes commodity mark-to-mkt gains/losses, merger costs.</t>
        </r>
      </text>
    </comment>
    <comment ref="AG48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includes restructuring charges, commodity mark-to-mkt gains/losses, merger costs.</t>
        </r>
      </text>
    </comment>
    <comment ref="AH48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includes gain on previously held equity interest in pgb/pas, inventory adj, bottler merger costs, sap related asset write-up, one-time Venezuela deval charge, contib to PepsiCo Foundation, commodity mark-to-mkt gains/losses.</t>
        </r>
      </text>
    </comment>
    <comment ref="AI48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includes inventory adj, bottler merger costs, commodity mark-to-mkt gains/losses.</t>
        </r>
      </text>
    </comment>
    <comment ref="AJ48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includes inventory adj, bottler merger costs, commodity mark-to-mkt gains/losses.</t>
        </r>
      </text>
    </comment>
    <comment ref="BD48" authorId="2">
      <text>
        <r>
          <rPr>
            <b/>
            <sz val="9"/>
            <color indexed="81"/>
            <rFont val="Tahoma"/>
            <family val="2"/>
          </rPr>
          <t>Doctor, Bob (Research):</t>
        </r>
        <r>
          <rPr>
            <sz val="9"/>
            <color indexed="81"/>
            <rFont val="Tahoma"/>
            <family val="2"/>
          </rPr>
          <t xml:space="preserve">
Core1 EPS increased 10 percent to $1.36. Core constant currency1 EPS increased
11 percent</t>
        </r>
      </text>
    </comment>
    <comment ref="BC89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paying off debt per schedule</t>
        </r>
      </text>
    </comment>
    <comment ref="CB89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Paying down debt</t>
        </r>
      </text>
    </comment>
    <comment ref="CG89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Paying down debt</t>
        </r>
      </text>
    </comment>
    <comment ref="CL89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Paying down debt</t>
        </r>
      </text>
    </comment>
    <comment ref="CQ89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Paying down debt</t>
        </r>
      </text>
    </comment>
    <comment ref="BZ115" authorId="1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4Q17: ~$1.4B discretionary pension contribution</t>
        </r>
      </text>
    </comment>
    <comment ref="AV127" authorId="4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approx $8B in CFFO</t>
        </r>
      </text>
    </comment>
    <comment ref="BA127" authorId="5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Over $9B CFFO guidance</t>
        </r>
      </text>
    </comment>
    <comment ref="BF127" authorId="5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Over $10B</t>
        </r>
      </text>
    </comment>
    <comment ref="BK127" authorId="2">
      <text>
        <r>
          <rPr>
            <b/>
            <sz val="9"/>
            <color indexed="81"/>
            <rFont val="Tahoma"/>
            <family val="2"/>
          </rPr>
          <t>Doctor, Bob (Research):</t>
        </r>
        <r>
          <rPr>
            <sz val="9"/>
            <color indexed="81"/>
            <rFont val="Tahoma"/>
            <family val="2"/>
          </rPr>
          <t xml:space="preserve">
10B</t>
        </r>
      </text>
    </comment>
    <comment ref="BU127" authorId="1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3Q17: </t>
        </r>
        <r>
          <rPr>
            <b/>
            <sz val="9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
G at 2Q17: </t>
        </r>
        <r>
          <rPr>
            <b/>
            <sz val="9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
G at 1Q17: </t>
        </r>
        <r>
          <rPr>
            <b/>
            <sz val="9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
G at 4Q16: ~$10bn</t>
        </r>
      </text>
    </comment>
    <comment ref="BZ127" authorId="1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4Q17: ~$9B</t>
        </r>
      </text>
    </comment>
    <comment ref="BA130" authorId="4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c. $3B guid</t>
        </r>
      </text>
    </comment>
    <comment ref="BF130" authorId="5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~3Bn</t>
        </r>
      </text>
    </comment>
    <comment ref="BK130" authorId="2">
      <text>
        <r>
          <rPr>
            <b/>
            <sz val="9"/>
            <color indexed="81"/>
            <rFont val="Tahoma"/>
            <family val="2"/>
          </rPr>
          <t>Doctor, Bob (Research):</t>
        </r>
        <r>
          <rPr>
            <sz val="9"/>
            <color indexed="81"/>
            <rFont val="Tahoma"/>
            <family val="2"/>
          </rPr>
          <t xml:space="preserve">
3B</t>
        </r>
      </text>
    </comment>
    <comment ref="BU130" authorId="1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3Q17: </t>
        </r>
        <r>
          <rPr>
            <b/>
            <sz val="9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
G at 2Q17: </t>
        </r>
        <r>
          <rPr>
            <b/>
            <sz val="9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
G at 1Q17: </t>
        </r>
        <r>
          <rPr>
            <b/>
            <sz val="9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
G at 4Q16: ~$3bn</t>
        </r>
      </text>
    </comment>
    <comment ref="BZ130" authorId="1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4Q17: ~$3.6B, elevated on reivestment of tax reform savings</t>
        </r>
      </text>
    </comment>
    <comment ref="AM133" authorId="4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77% WBD shares o/s</t>
        </r>
      </text>
    </comment>
    <comment ref="AS133" authorId="4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includes $298M cash payments related to Tingyi</t>
        </r>
      </text>
    </comment>
    <comment ref="BI134" authorId="6">
      <text>
        <r>
          <rPr>
            <b/>
            <sz val="9"/>
            <color indexed="81"/>
            <rFont val="Tahoma"/>
            <family val="2"/>
          </rPr>
          <t>Fitzgerald, Kyle (Research):</t>
        </r>
        <r>
          <rPr>
            <sz val="9"/>
            <color indexed="81"/>
            <rFont val="Tahoma"/>
            <family val="2"/>
          </rPr>
          <t xml:space="preserve">
Reduction of cash due to VZ deconsolidation</t>
        </r>
      </text>
    </comment>
    <comment ref="AN141" authorId="4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includes $1,327M from WBD</t>
        </r>
      </text>
    </comment>
    <comment ref="BA142" authorId="5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~$3.4B guidance</t>
        </r>
      </text>
    </comment>
    <comment ref="BU142" authorId="1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3Q17: </t>
        </r>
        <r>
          <rPr>
            <b/>
            <sz val="9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
G at 2Q17: </t>
        </r>
        <r>
          <rPr>
            <b/>
            <sz val="9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
G at 1Q17: </t>
        </r>
        <r>
          <rPr>
            <b/>
            <sz val="9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
G at 4Q16: ~$4.5bn</t>
        </r>
      </text>
    </comment>
    <comment ref="BZ142" authorId="1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4Q17: ~$5B</t>
        </r>
      </text>
    </comment>
    <comment ref="BK153" authorId="2">
      <text>
        <r>
          <rPr>
            <b/>
            <sz val="9"/>
            <color indexed="81"/>
            <rFont val="Tahoma"/>
            <family val="2"/>
          </rPr>
          <t>Doctor, Bob (Research):</t>
        </r>
        <r>
          <rPr>
            <sz val="9"/>
            <color indexed="81"/>
            <rFont val="Tahoma"/>
            <family val="2"/>
          </rPr>
          <t xml:space="preserve">
+7B</t>
        </r>
      </text>
    </comment>
    <comment ref="BU153" authorId="1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3Q17: </t>
        </r>
        <r>
          <rPr>
            <b/>
            <sz val="9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
G at 2Q17: </t>
        </r>
        <r>
          <rPr>
            <b/>
            <sz val="9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
G at 1Q17: </t>
        </r>
        <r>
          <rPr>
            <b/>
            <sz val="9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
G at 4Q16: ~$7bn</t>
        </r>
      </text>
    </comment>
    <comment ref="BZ153" authorId="1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4Q17: ~$6B</t>
        </r>
      </text>
    </comment>
    <comment ref="BK176" authorId="2">
      <text>
        <r>
          <rPr>
            <b/>
            <sz val="9"/>
            <color indexed="81"/>
            <rFont val="Tahoma"/>
            <family val="2"/>
          </rPr>
          <t>Doctor, Bob (Research):</t>
        </r>
        <r>
          <rPr>
            <sz val="9"/>
            <color indexed="81"/>
            <rFont val="Tahoma"/>
            <family val="2"/>
          </rPr>
          <t xml:space="preserve">
2.81</t>
        </r>
      </text>
    </comment>
    <comment ref="BW176" authorId="1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4Q17: 15% Increase in dividend to $3.71</t>
        </r>
      </text>
    </comment>
    <comment ref="AQ181" authorId="4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in-line with PEP guidance of $2.5B </t>
        </r>
      </text>
    </comment>
    <comment ref="AV181" authorId="4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more than $3B guid</t>
        </r>
      </text>
    </comment>
    <comment ref="BA181" authorId="4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c. $3B guid</t>
        </r>
      </text>
    </comment>
    <comment ref="BK181" authorId="6">
      <text>
        <r>
          <rPr>
            <b/>
            <sz val="9"/>
            <color indexed="81"/>
            <rFont val="Tahoma"/>
            <family val="2"/>
          </rPr>
          <t>Fitzgerald, Kyle (Research):</t>
        </r>
        <r>
          <rPr>
            <sz val="9"/>
            <color indexed="81"/>
            <rFont val="Tahoma"/>
            <family val="2"/>
          </rPr>
          <t xml:space="preserve">
5B</t>
        </r>
      </text>
    </comment>
    <comment ref="BU181" authorId="1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3Q17: </t>
        </r>
        <r>
          <rPr>
            <b/>
            <sz val="9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
G at 2Q17: </t>
        </r>
        <r>
          <rPr>
            <b/>
            <sz val="9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
G at 1Q17: </t>
        </r>
        <r>
          <rPr>
            <b/>
            <sz val="9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
G at 4Q16: ~$2bn</t>
        </r>
      </text>
    </comment>
    <comment ref="BX181" authorId="1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4Q17: The Company also announced a new share repurchase program providing for the repurchase of up to $15 billion of PepsiCo common stock commencing on July 1, 2018 and expiring on June 30, 2021.</t>
        </r>
      </text>
    </comment>
    <comment ref="BZ181" authorId="1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4Q17: ~$2B</t>
        </r>
      </text>
    </comment>
    <comment ref="A192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 total assets - cash/st inv - non interest bearing current liab</t>
        </r>
      </text>
    </comment>
    <comment ref="B192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 total assets - cash/st inv - non interest bearing current liab</t>
        </r>
      </text>
    </comment>
    <comment ref="AV223" authorId="5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3.7B, but A&amp;M was 5.7%</t>
        </r>
      </text>
    </comment>
    <comment ref="A246" authorId="6">
      <text>
        <r>
          <rPr>
            <b/>
            <sz val="9"/>
            <color indexed="81"/>
            <rFont val="Tahoma"/>
            <family val="2"/>
          </rPr>
          <t>Fitzgerald, Kyle (Research):</t>
        </r>
        <r>
          <rPr>
            <sz val="9"/>
            <color indexed="81"/>
            <rFont val="Tahoma"/>
            <family val="2"/>
          </rPr>
          <t xml:space="preserve">
From 10-K supplemental BS information</t>
        </r>
      </text>
    </comment>
    <comment ref="A252" authorId="7">
      <text>
        <r>
          <rPr>
            <b/>
            <sz val="9"/>
            <color indexed="81"/>
            <rFont val="Tahoma"/>
            <family val="2"/>
          </rPr>
          <t>Rotondi, Scott (Research):</t>
        </r>
        <r>
          <rPr>
            <sz val="9"/>
            <color indexed="81"/>
            <rFont val="Tahoma"/>
            <family val="2"/>
          </rPr>
          <t xml:space="preserve">
consumer research costs included in Other Marketing Costs and excluded from Research and Development Costs</t>
        </r>
      </text>
    </comment>
  </commentList>
</comments>
</file>

<file path=xl/comments2.xml><?xml version="1.0" encoding="utf-8"?>
<comments xmlns="http://schemas.openxmlformats.org/spreadsheetml/2006/main">
  <authors>
    <author>mukeruma</author>
    <author>grunke</author>
    <author>doctobob</author>
    <author>cruzv</author>
    <author>Doctor, Bob (Research)</author>
    <author>Falorni, Filippo (Research)</author>
    <author>Fitzgerald, Kyle (Research)</author>
    <author>u041569</author>
  </authors>
  <commentList>
    <comment ref="X6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Pro forma = 57,471</t>
        </r>
      </text>
    </comment>
    <comment ref="Y6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Bottler Acquisitions closed on March 1.</t>
        </r>
      </text>
    </comment>
    <comment ref="N7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excluding acquisitions</t>
        </r>
      </text>
    </comment>
    <comment ref="Q7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excluding acquisitions</t>
        </r>
      </text>
    </comment>
    <comment ref="R7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excluding acquisitions</t>
        </r>
      </text>
    </comment>
    <comment ref="S7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excluding acquisitions</t>
        </r>
      </text>
    </comment>
    <comment ref="T7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5.5% core rev growth includes acquisitions</t>
        </r>
      </text>
    </comment>
    <comment ref="U7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5.5% core rev growth includes acquisitions</t>
        </r>
      </text>
    </comment>
    <comment ref="V7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5% core rev growth includes acquisitions</t>
        </r>
      </text>
    </comment>
    <comment ref="W7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3% core rev growth includes acquisitions</t>
        </r>
      </text>
    </comment>
    <comment ref="X7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5% core rev growth includes acquisitions</t>
        </r>
      </text>
    </comment>
    <comment ref="Y7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11% core rev growth includes bottle acquisition/DPS benefit</t>
        </r>
      </text>
    </comment>
    <comment ref="Z7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37% core rev growth includes bottle acquisition/DPS benefit</t>
        </r>
      </text>
    </comment>
    <comment ref="AA7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41% core rev growth includes bottle acquisition/DPS benefit</t>
        </r>
      </text>
    </comment>
    <comment ref="AB7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37% core rev growth includes bottle acquisition/DPS benefit</t>
        </r>
      </text>
    </comment>
    <comment ref="AC7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33% core rev growth includes acquisitions</t>
        </r>
      </text>
    </comment>
    <comment ref="AD7" authorId="1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provided in press release</t>
        </r>
      </text>
    </comment>
    <comment ref="AR7" authorId="1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MSD % guidance</t>
        </r>
      </text>
    </comment>
    <comment ref="AS7" authorId="2">
      <text>
        <r>
          <rPr>
            <b/>
            <sz val="8"/>
            <color indexed="81"/>
            <rFont val="Tahoma"/>
            <family val="2"/>
          </rPr>
          <t>doctobob:</t>
        </r>
        <r>
          <rPr>
            <sz val="8"/>
            <color indexed="81"/>
            <rFont val="Tahoma"/>
            <family val="2"/>
          </rPr>
          <t xml:space="preserve">
5% snack; 3% bevs</t>
        </r>
      </text>
    </comment>
    <comment ref="AW7" authorId="3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MSD (%) guidance</t>
        </r>
      </text>
    </comment>
    <comment ref="BB7" authorId="4">
      <text>
        <r>
          <rPr>
            <b/>
            <sz val="9"/>
            <color indexed="81"/>
            <rFont val="Tahoma"/>
            <family val="2"/>
          </rPr>
          <t>Doctor, Bob (Research):</t>
        </r>
        <r>
          <rPr>
            <sz val="9"/>
            <color indexed="81"/>
            <rFont val="Tahoma"/>
            <family val="2"/>
          </rPr>
          <t xml:space="preserve">
MSD%</t>
        </r>
      </text>
    </comment>
    <comment ref="BH7" authorId="5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4Q16: Q1 organic sales growth below full year, at ~2%</t>
        </r>
      </text>
    </comment>
    <comment ref="BI7" authorId="5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1Q17 (IR): 2.5%-3%</t>
        </r>
      </text>
    </comment>
    <comment ref="BL7" authorId="5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3Q17: ~2.3% (in line with YTD trend)
G at 2Q17: </t>
        </r>
        <r>
          <rPr>
            <b/>
            <sz val="9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
G at 1Q17: </t>
        </r>
        <r>
          <rPr>
            <b/>
            <sz val="9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
G at 4Q16: "At least +3%"</t>
        </r>
      </text>
    </comment>
    <comment ref="BQ7" authorId="5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4Q17: at least in line with the 2017 growth rate (+2.3%)</t>
        </r>
      </text>
    </comment>
    <comment ref="AN8" authorId="3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-1% guidance</t>
        </r>
      </text>
    </comment>
    <comment ref="AO8" authorId="3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-2% guidance</t>
        </r>
      </text>
    </comment>
    <comment ref="AP8" authorId="3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FX had more than -1% impact in the quarter</t>
        </r>
      </text>
    </comment>
    <comment ref="AQ8" authorId="3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-3% guidance</t>
        </r>
      </text>
    </comment>
    <comment ref="AR8" authorId="3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2%</t>
        </r>
      </text>
    </comment>
    <comment ref="AT8" authorId="2">
      <text>
        <r>
          <rPr>
            <b/>
            <sz val="8"/>
            <color indexed="81"/>
            <rFont val="Tahoma"/>
            <family val="2"/>
          </rPr>
          <t>doctobob:</t>
        </r>
        <r>
          <rPr>
            <sz val="8"/>
            <color indexed="81"/>
            <rFont val="Tahoma"/>
            <family val="2"/>
          </rPr>
          <t xml:space="preserve">
4 point headwind</t>
        </r>
      </text>
    </comment>
    <comment ref="AU8" authorId="4">
      <text>
        <r>
          <rPr>
            <b/>
            <sz val="9"/>
            <color indexed="81"/>
            <rFont val="Tahoma"/>
            <family val="2"/>
          </rPr>
          <t>Doctor, Bob (Research):</t>
        </r>
        <r>
          <rPr>
            <sz val="9"/>
            <color indexed="81"/>
            <rFont val="Tahoma"/>
            <family val="2"/>
          </rPr>
          <t xml:space="preserve">
2 pt impact</t>
        </r>
      </text>
    </comment>
    <comment ref="AW8" authorId="3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-3% guidance</t>
        </r>
      </text>
    </comment>
    <comment ref="AZ8" authorId="6">
      <text>
        <r>
          <rPr>
            <b/>
            <sz val="9"/>
            <color indexed="81"/>
            <rFont val="Tahoma"/>
            <family val="2"/>
          </rPr>
          <t>Fitzgerald, Kyle (Research):</t>
        </r>
        <r>
          <rPr>
            <sz val="9"/>
            <color indexed="81"/>
            <rFont val="Tahoma"/>
            <family val="2"/>
          </rPr>
          <t xml:space="preserve">
-11 pt headwind</t>
        </r>
      </text>
    </comment>
    <comment ref="BA8" authorId="6">
      <text>
        <r>
          <rPr>
            <b/>
            <sz val="9"/>
            <color indexed="81"/>
            <rFont val="Tahoma"/>
            <family val="2"/>
          </rPr>
          <t>Fitzgerald, Kyle (Research):</t>
        </r>
        <r>
          <rPr>
            <sz val="9"/>
            <color indexed="81"/>
            <rFont val="Tahoma"/>
            <family val="2"/>
          </rPr>
          <t xml:space="preserve">
8 pt headwind on rev and EPS</t>
        </r>
      </text>
    </comment>
    <comment ref="BB8" authorId="6">
      <text>
        <r>
          <rPr>
            <b/>
            <sz val="9"/>
            <color indexed="81"/>
            <rFont val="Tahoma"/>
            <family val="2"/>
          </rPr>
          <t>Fitzgerald, Kyle (Research):</t>
        </r>
        <r>
          <rPr>
            <sz val="9"/>
            <color indexed="81"/>
            <rFont val="Tahoma"/>
            <family val="2"/>
          </rPr>
          <t xml:space="preserve">
10 pts</t>
        </r>
      </text>
    </comment>
    <comment ref="BG8" authorId="4">
      <text>
        <r>
          <rPr>
            <b/>
            <sz val="9"/>
            <color indexed="81"/>
            <rFont val="Tahoma"/>
            <family val="2"/>
          </rPr>
          <t>Doctor, Bob (Research):</t>
        </r>
        <r>
          <rPr>
            <sz val="9"/>
            <color indexed="81"/>
            <rFont val="Tahoma"/>
            <family val="2"/>
          </rPr>
          <t xml:space="preserve">
-3%</t>
        </r>
      </text>
    </comment>
    <comment ref="BI8" authorId="5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Q1 call: "we expect foreign exchange translation to be a low single-digit headwind on both reported revenue and EPS"</t>
        </r>
      </text>
    </comment>
    <comment ref="BL8" authorId="5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3Q17: -1%
G at 2Q17: -2%
G at 1Q17: -2%
G at 4Q16: -3%</t>
        </r>
      </text>
    </comment>
    <comment ref="BQ8" authorId="5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4Q17: Flat</t>
        </r>
      </text>
    </comment>
    <comment ref="AD9" authorId="1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3.5% org bev volume (52% mix) and 3% snacks volume (48% mix)</t>
        </r>
      </text>
    </comment>
    <comment ref="AG9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8% snacks inc acquisitions; 
3% bevs</t>
        </r>
      </text>
    </comment>
    <comment ref="AH9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N9" authorId="3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Snacks: +4%
Beverages: +1%</t>
        </r>
      </text>
    </comment>
    <comment ref="AO9" authorId="3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3% snacks
1.5% beverages</t>
        </r>
      </text>
    </comment>
    <comment ref="AQ9" authorId="3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snacks: 3%
bevs: 1%</t>
        </r>
      </text>
    </comment>
    <comment ref="AS9" authorId="2">
      <text>
        <r>
          <rPr>
            <b/>
            <sz val="8"/>
            <color indexed="81"/>
            <rFont val="Tahoma"/>
            <family val="2"/>
          </rPr>
          <t>doctobob:</t>
        </r>
        <r>
          <rPr>
            <sz val="8"/>
            <color indexed="81"/>
            <rFont val="Tahoma"/>
            <family val="2"/>
          </rPr>
          <t xml:space="preserve">
2% snack; flat bevs</t>
        </r>
      </text>
    </comment>
    <comment ref="AI10" authorId="1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per press release</t>
        </r>
      </text>
    </comment>
    <comment ref="AP10" authorId="3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Net price realization up 3%</t>
        </r>
      </text>
    </comment>
    <comment ref="AG11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est. 5.5% wbd and 4% from re-enfranchising Mexico</t>
        </r>
      </text>
    </comment>
    <comment ref="AI11" authorId="1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1% per 10-Q</t>
        </r>
      </text>
    </comment>
    <comment ref="AN11" authorId="1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negtative 3 pt guid per pepsico</t>
        </r>
      </text>
    </comment>
    <comment ref="AO11" authorId="3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Nearly 1% from refranchising of Vietnam and China beverages operations</t>
        </r>
      </text>
    </comment>
    <comment ref="AP11" authorId="3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-0.5% guidance</t>
        </r>
      </text>
    </comment>
    <comment ref="AQ11" authorId="3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-0.5% guidance</t>
        </r>
      </text>
    </comment>
    <comment ref="AR11" authorId="3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Expected to reduce net revenue by ~1% for full year</t>
        </r>
      </text>
    </comment>
    <comment ref="AS11" authorId="3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-0.5% </t>
        </r>
      </text>
    </comment>
    <comment ref="AT11" authorId="2">
      <text>
        <r>
          <rPr>
            <b/>
            <sz val="8"/>
            <color indexed="81"/>
            <rFont val="Tahoma"/>
            <family val="2"/>
          </rPr>
          <t>doctobob:</t>
        </r>
        <r>
          <rPr>
            <sz val="8"/>
            <color indexed="81"/>
            <rFont val="Tahoma"/>
            <family val="2"/>
          </rPr>
          <t xml:space="preserve">
-15 bp structural impact</t>
        </r>
      </text>
    </comment>
    <comment ref="BL11" authorId="5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3Q17: </t>
        </r>
        <r>
          <rPr>
            <b/>
            <sz val="9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
G at 2Q17: </t>
        </r>
        <r>
          <rPr>
            <b/>
            <sz val="9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
G at 1Q17: </t>
        </r>
        <r>
          <rPr>
            <b/>
            <sz val="9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
G at 4Q16: -1% from 53rd week</t>
        </r>
      </text>
    </comment>
    <comment ref="BQ11" authorId="5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4Q17 (IR): -30 to -40 bps from Jordan/Thailand refranchising</t>
        </r>
      </text>
    </comment>
    <comment ref="AG13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excludes extra week</t>
        </r>
      </text>
    </comment>
    <comment ref="AK14" authorId="1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6% per PEP press release</t>
        </r>
      </text>
    </comment>
    <comment ref="O16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3% reported</t>
        </r>
      </text>
    </comment>
    <comment ref="P16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2% reported</t>
        </r>
      </text>
    </comment>
    <comment ref="Q16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1% reported</t>
        </r>
      </text>
    </comment>
    <comment ref="R16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0% reported</t>
        </r>
      </text>
    </comment>
    <comment ref="S16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1% reported</t>
        </r>
      </text>
    </comment>
    <comment ref="AO16" authorId="3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2% reported, unrounding to reconcile with org sales</t>
        </r>
      </text>
    </comment>
    <comment ref="AP16" authorId="3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3% reported</t>
        </r>
      </text>
    </comment>
    <comment ref="AO17" authorId="3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5% reported, unrounding to reconcile with org sales</t>
        </r>
      </text>
    </comment>
    <comment ref="AP17" authorId="3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5% REPORTED</t>
        </r>
      </text>
    </comment>
    <comment ref="AG20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excluding the extra week</t>
        </r>
      </text>
    </comment>
    <comment ref="AC21" authorId="1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+1% following re-segmentation of Quaker Snacks business</t>
        </r>
      </text>
    </comment>
    <comment ref="BH21" authorId="5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Holiday shift impact</t>
        </r>
      </text>
    </comment>
    <comment ref="BK21" authorId="5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3Q17 (IR): 3-4%</t>
        </r>
      </text>
    </comment>
    <comment ref="BQ21" authorId="5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4Q17 (IR): ~3.5% range</t>
        </r>
      </text>
    </comment>
    <comment ref="Y23" authorId="1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0% following re-segmentation of Quaker snacks business into QFNA segment from FLNA</t>
        </r>
      </text>
    </comment>
    <comment ref="Z23" authorId="1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-3% following re-segmentation of Quaker snacks business into QFNA segment from FLNA</t>
        </r>
      </text>
    </comment>
    <comment ref="AA23" authorId="1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-2% following re-segmentation of Quaker snacks business into QFNA segment from FLNA</t>
        </r>
      </text>
    </comment>
    <comment ref="AB23" authorId="1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0% following re-segmentation of Quaker snacks business into QFNA segment from FLNA</t>
        </r>
      </text>
    </comment>
    <comment ref="AC23" authorId="1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-1% following re-segmentation of Quaker snacks business into QFNA segment from FLNA</t>
        </r>
      </text>
    </comment>
    <comment ref="AI23" authorId="1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negative 2 pt impact from extra week comp issue in 2011
</t>
        </r>
      </text>
    </comment>
    <comment ref="AR23" authorId="3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3%</t>
        </r>
      </text>
    </comment>
    <comment ref="BI23" authorId="4">
      <text>
        <r>
          <rPr>
            <b/>
            <sz val="9"/>
            <color indexed="81"/>
            <rFont val="Tahoma"/>
            <family val="2"/>
          </rPr>
          <t>Doctor, Bob (Research):</t>
        </r>
        <r>
          <rPr>
            <sz val="9"/>
            <color indexed="81"/>
            <rFont val="Tahoma"/>
            <family val="2"/>
          </rPr>
          <t xml:space="preserve">
per IR; PEP rounds down</t>
        </r>
      </text>
    </comment>
    <comment ref="BJ23" authorId="4">
      <text>
        <r>
          <rPr>
            <sz val="9"/>
            <color indexed="81"/>
            <rFont val="Tahoma"/>
            <family val="2"/>
          </rPr>
          <t>Just below 0.5%, per IR; PEP rounds down</t>
        </r>
      </text>
    </comment>
    <comment ref="AO24" authorId="3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2% reported, unrounding to reconcile with org sales</t>
        </r>
      </text>
    </comment>
    <comment ref="AQ24" authorId="3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2% net pricing</t>
        </r>
      </text>
    </comment>
    <comment ref="AR24" authorId="3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2%</t>
        </r>
      </text>
    </comment>
    <comment ref="AG25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taken out extra week from revenue number</t>
        </r>
      </text>
    </comment>
    <comment ref="BF25" authorId="6">
      <text>
        <r>
          <rPr>
            <b/>
            <sz val="9"/>
            <color indexed="81"/>
            <rFont val="Tahoma"/>
            <family val="2"/>
          </rPr>
          <t>Fitzgerald, Kyle (Research):</t>
        </r>
        <r>
          <rPr>
            <sz val="9"/>
            <color indexed="81"/>
            <rFont val="Tahoma"/>
            <family val="2"/>
          </rPr>
          <t xml:space="preserve">
53rd week</t>
        </r>
      </text>
    </comment>
    <comment ref="BK25" authorId="5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53rd week comparison</t>
        </r>
      </text>
    </comment>
    <comment ref="AG27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excluding the extra week</t>
        </r>
      </text>
    </comment>
    <comment ref="AC28" authorId="1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-1% following re-segmentation of Quaker Snacks business</t>
        </r>
      </text>
    </comment>
    <comment ref="BH28" authorId="5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Holiday shift impact</t>
        </r>
      </text>
    </comment>
    <comment ref="BQ28" authorId="5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4Q17 (IR): Flattish</t>
        </r>
      </text>
    </comment>
    <comment ref="AR29" authorId="3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Less than -0.5%</t>
        </r>
      </text>
    </comment>
    <comment ref="Q30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Flooding in Iowa shut down facility</t>
        </r>
      </text>
    </comment>
    <comment ref="Y30" authorId="1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+1% following re-segmentation of Quaker snacks business into QFNA segment from FLNA</t>
        </r>
      </text>
    </comment>
    <comment ref="Z30" authorId="1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-1% following re-segmentation of Quaker snacks business into QFNA segment from FLNA</t>
        </r>
      </text>
    </comment>
    <comment ref="AA30" authorId="1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-1% following re-segmentation of Quaker snacks business into QFNA segment from FLNA</t>
        </r>
      </text>
    </comment>
    <comment ref="AB30" authorId="1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0% following re-segmentation of Quaker snacks business into QFNA segment from FLNA</t>
        </r>
      </text>
    </comment>
    <comment ref="AC30" authorId="1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0% following re-segmentation of Quaker snacks business into QFNA segment from FLNA</t>
        </r>
      </text>
    </comment>
    <comment ref="AG32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taken out extra week from revenue number</t>
        </r>
      </text>
    </comment>
    <comment ref="BF32" authorId="5">
      <text>
        <r>
          <rPr>
            <b/>
            <sz val="9"/>
            <color indexed="81"/>
            <rFont val="Tahoma"/>
            <family val="2"/>
          </rPr>
          <t xml:space="preserve">Fitzgerald, Kyle (Research):
</t>
        </r>
        <r>
          <rPr>
            <sz val="9"/>
            <color indexed="81"/>
            <rFont val="Tahoma"/>
            <family val="2"/>
          </rPr>
          <t>53rd week</t>
        </r>
      </text>
    </comment>
    <comment ref="BK32" authorId="5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53rd week comparison</t>
        </r>
      </text>
    </comment>
    <comment ref="BH35" authorId="5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Holiday shift impact</t>
        </r>
      </text>
    </comment>
    <comment ref="BI35" authorId="5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Easter shift (+)
Tough comp in May (-)</t>
        </r>
      </text>
    </comment>
    <comment ref="BJ35" authorId="5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Very difficult compare (2-Yr average)</t>
        </r>
      </text>
    </comment>
    <comment ref="BK35" authorId="5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3Q17 (IR): Down in Q4
G at 3Q17: Expect sequential improvement in 4Q17</t>
        </r>
      </text>
    </comment>
    <comment ref="BF39" authorId="5">
      <text>
        <r>
          <rPr>
            <b/>
            <sz val="9"/>
            <color indexed="81"/>
            <rFont val="Tahoma"/>
            <family val="2"/>
          </rPr>
          <t xml:space="preserve">Fitzgerald, Kyle (Research):
</t>
        </r>
        <r>
          <rPr>
            <sz val="9"/>
            <color indexed="81"/>
            <rFont val="Tahoma"/>
            <family val="2"/>
          </rPr>
          <t>53rd week</t>
        </r>
      </text>
    </comment>
    <comment ref="BK39" authorId="5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53rd week comparison</t>
        </r>
      </text>
    </comment>
    <comment ref="AZ42" authorId="6">
      <text>
        <r>
          <rPr>
            <b/>
            <sz val="9"/>
            <color indexed="81"/>
            <rFont val="Tahoma"/>
            <family val="2"/>
          </rPr>
          <t>Fitzgerald, Kyle (Research):</t>
        </r>
        <r>
          <rPr>
            <sz val="9"/>
            <color indexed="81"/>
            <rFont val="Tahoma"/>
            <family val="2"/>
          </rPr>
          <t xml:space="preserve">
Ex VZ, up +9%</t>
        </r>
      </text>
    </comment>
    <comment ref="BK44" authorId="5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3Q17: Negative impact of earthquake</t>
        </r>
      </text>
    </comment>
    <comment ref="BK51" authorId="5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3Q17 (IR): 4-5%</t>
        </r>
      </text>
    </comment>
    <comment ref="C54" authorId="6">
      <text>
        <r>
          <rPr>
            <b/>
            <sz val="9"/>
            <color indexed="81"/>
            <rFont val="Tahoma"/>
            <family val="2"/>
          </rPr>
          <t>Fitzgerald, Kyle (Research):</t>
        </r>
        <r>
          <rPr>
            <sz val="9"/>
            <color indexed="81"/>
            <rFont val="Tahoma"/>
            <family val="2"/>
          </rPr>
          <t xml:space="preserve">
2015 Investor Presentation</t>
        </r>
      </text>
    </comment>
    <comment ref="BH60" authorId="5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Chinese New Year shift impact</t>
        </r>
      </text>
    </comment>
    <comment ref="BK60" authorId="5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3Q17 (IR): 6-7%</t>
        </r>
      </text>
    </comment>
    <comment ref="BQ66" authorId="5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4Q17 (IR): Jordan/Thailand refranchising impact (-30 to -40 bps on total PEP)</t>
        </r>
      </text>
    </comment>
    <comment ref="N70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Excluding acqn.</t>
        </r>
      </text>
    </comment>
    <comment ref="S70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Excluding acqn.</t>
        </r>
      </text>
    </comment>
    <comment ref="AO70" authorId="3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12% reported</t>
        </r>
      </text>
    </comment>
    <comment ref="AI71" authorId="1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-6% reported</t>
        </r>
      </text>
    </comment>
    <comment ref="N72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ex acqn</t>
        </r>
      </text>
    </comment>
    <comment ref="O72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3.5% benefit from Lucky acqn</t>
        </r>
      </text>
    </comment>
    <comment ref="P72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4% including Lucky</t>
        </r>
      </text>
    </comment>
    <comment ref="Q72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3% volume driven by Lucky acqn</t>
        </r>
      </text>
    </comment>
    <comment ref="S72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acqn drove all vol</t>
        </r>
      </text>
    </comment>
    <comment ref="AO72" authorId="3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1% reported, unrounding to reconcile with org sales</t>
        </r>
      </text>
    </comment>
    <comment ref="AP72" authorId="3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3% reported</t>
        </r>
      </text>
    </comment>
    <comment ref="AI73" authorId="1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11% reporeted</t>
        </r>
      </text>
    </comment>
    <comment ref="AO73" authorId="3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10% reported, unrounding to reconcile with org sales</t>
        </r>
      </text>
    </comment>
    <comment ref="AP73" authorId="3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12% reported</t>
        </r>
      </text>
    </comment>
    <comment ref="AJ74" authorId="3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Mable acquisition</t>
        </r>
      </text>
    </comment>
    <comment ref="AK74" authorId="1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est net impact of Mable acq and Brazil fish divest</t>
        </r>
      </text>
    </comment>
    <comment ref="AL74" authorId="1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est one month benefit from Mable acq</t>
        </r>
      </text>
    </comment>
    <comment ref="Z76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"It is impractical to separately determine and quantify the impact of our acquisitions of PBG and PAS from changes in our
pre-existing beverage business since we now manage these businesses as an integrated system."</t>
        </r>
      </text>
    </comment>
    <comment ref="AG76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excluding the extra week</t>
        </r>
      </text>
    </comment>
    <comment ref="Y77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Estimated</t>
        </r>
      </text>
    </comment>
    <comment ref="Z77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Estimated</t>
        </r>
      </text>
    </comment>
    <comment ref="AA77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Estimated</t>
        </r>
      </text>
    </comment>
    <comment ref="AB77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Estimated</t>
        </r>
      </text>
    </comment>
    <comment ref="AP77" authorId="3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-1.5% reported</t>
        </r>
      </text>
    </comment>
    <comment ref="J79" authorId="7">
      <text>
        <r>
          <rPr>
            <sz val="8"/>
            <color indexed="81"/>
            <rFont val="Tahoma"/>
            <family val="2"/>
          </rPr>
          <t>+2%  incl +2.5% from acq</t>
        </r>
      </text>
    </comment>
    <comment ref="K79" authorId="7">
      <text>
        <r>
          <rPr>
            <sz val="8"/>
            <color indexed="81"/>
            <rFont val="Tahoma"/>
            <family val="2"/>
          </rPr>
          <t xml:space="preserve">Flat incl +2% from acq
</t>
        </r>
      </text>
    </comment>
    <comment ref="L79" authorId="7">
      <text>
        <r>
          <rPr>
            <sz val="8"/>
            <color indexed="81"/>
            <rFont val="Tahoma"/>
            <family val="2"/>
          </rPr>
          <t>Flat incl +2% from acq</t>
        </r>
      </text>
    </comment>
    <comment ref="M79" authorId="7">
      <text>
        <r>
          <rPr>
            <sz val="8"/>
            <color indexed="81"/>
            <rFont val="Tahoma"/>
            <family val="2"/>
          </rPr>
          <t>+1% incl +2.5% from acq</t>
        </r>
      </text>
    </comment>
    <comment ref="N79" authorId="7">
      <text>
        <r>
          <rPr>
            <sz val="8"/>
            <color indexed="81"/>
            <rFont val="Tahoma"/>
            <family val="2"/>
          </rPr>
          <t>+1% incl +2% from acq</t>
        </r>
      </text>
    </comment>
    <comment ref="Y79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-4%. But, incremental volume related to DPS manufacturing and distribution agreement contribute 2 percentage points to volume growth</t>
        </r>
      </text>
    </comment>
    <comment ref="Z79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Volume increased 13%, 
Incremental brands related to acquisition of PBG’s operations in Mexico contributed 8 percentage points to volume growth
Incremental volume related to DPS manufacturing and distribution agreement contributed 6 percentage points to volume growth</t>
        </r>
      </text>
    </comment>
    <comment ref="AA79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Volume increased 13%, but flat ex DPS benefit. </t>
        </r>
      </text>
    </comment>
    <comment ref="AO79" authorId="3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LatAm bevs declined less than 1%, NA non-carbs down LSD(%), CSDs down MSD(%)</t>
        </r>
      </text>
    </comment>
    <comment ref="AP79" authorId="3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Negative impact of concentrate shipment timing</t>
        </r>
      </text>
    </comment>
    <comment ref="AD80" authorId="1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'almost 2%' per conf call</t>
        </r>
      </text>
    </comment>
    <comment ref="AI80" authorId="1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4% per PEP, but does not reconcile due to rounding</t>
        </r>
      </text>
    </comment>
    <comment ref="AO80" authorId="3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3% reported, adjusted to reconcile with org sales</t>
        </r>
      </text>
    </comment>
    <comment ref="AP80" authorId="3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3% reported</t>
        </r>
      </text>
    </comment>
    <comment ref="AQ80" authorId="3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net pricing of 3%</t>
        </r>
      </text>
    </comment>
    <comment ref="AR80" authorId="3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3% effective net pricing</t>
        </r>
      </text>
    </comment>
    <comment ref="AS80" authorId="2">
      <text>
        <r>
          <rPr>
            <b/>
            <sz val="8"/>
            <color indexed="81"/>
            <rFont val="Tahoma"/>
            <family val="2"/>
          </rPr>
          <t>doctobob:</t>
        </r>
        <r>
          <rPr>
            <sz val="8"/>
            <color indexed="81"/>
            <rFont val="Tahoma"/>
            <family val="2"/>
          </rPr>
          <t xml:space="preserve">
1 pt</t>
        </r>
      </text>
    </comment>
    <comment ref="AG81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Re-enfranchising of Mexico</t>
        </r>
      </text>
    </comment>
    <comment ref="AI81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Mexico refranchise</t>
        </r>
      </text>
    </comment>
    <comment ref="AJ81" authorId="0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Mexico refranchise
7% per press release</t>
        </r>
      </text>
    </comment>
    <comment ref="AK81" authorId="0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Mexico refranchise</t>
        </r>
      </text>
    </comment>
    <comment ref="AL81" authorId="1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~1/4 impact for the qtr
- deal closed 9/30, but PEP's 3Q period end was 9/3</t>
        </r>
      </text>
    </comment>
    <comment ref="J83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Slightly different reporting. Q108 would have been 911 based on this reporting</t>
        </r>
      </text>
    </comment>
    <comment ref="K83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Slightly different reporting. Q208 would have been 1727 based on this reporting</t>
        </r>
      </text>
    </comment>
    <comment ref="L83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Slightly different reporting. Q308 would have been 1783 based on this reporting</t>
        </r>
      </text>
    </comment>
    <comment ref="M83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Slightly different reporting. Q408 would have been 2014 based on this reporting</t>
        </r>
      </text>
    </comment>
    <comment ref="N83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Slightly different reporting. FY08 would have been 6435 based on this reporting</t>
        </r>
      </text>
    </comment>
    <comment ref="AG83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excluding the extra week</t>
        </r>
      </text>
    </comment>
    <comment ref="T84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excluding acquisitions</t>
        </r>
      </text>
    </comment>
    <comment ref="U84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excluding acquisitions</t>
        </r>
      </text>
    </comment>
    <comment ref="V84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excluding acquisitions</t>
        </r>
      </text>
    </comment>
    <comment ref="W84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excluding acquisitions</t>
        </r>
      </text>
    </comment>
    <comment ref="X84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excluding acquisitions</t>
        </r>
      </text>
    </comment>
    <comment ref="Z84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Estimated</t>
        </r>
      </text>
    </comment>
    <comment ref="AA84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Estimated</t>
        </r>
      </text>
    </comment>
    <comment ref="AC84" authorId="1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MS est. roughly equivalent following re-segmentation</t>
        </r>
      </text>
    </comment>
    <comment ref="AD84" authorId="1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PEP PR states 5% pro-forma net revenue growth, adj for bottlers and WBD.  MS adj. for negative 2 pt FX impact.</t>
        </r>
      </text>
    </comment>
    <comment ref="AF84" authorId="1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per press release, WBD contributed 5 pts to total PEP growth in 3Q</t>
        </r>
      </text>
    </comment>
    <comment ref="AK84" authorId="1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7% per PEP</t>
        </r>
      </text>
    </comment>
    <comment ref="AP85" authorId="3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slight favorable fx impact</t>
        </r>
      </text>
    </comment>
    <comment ref="V86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est. excluding acquisitions</t>
        </r>
      </text>
    </comment>
    <comment ref="W86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snacks -3%, bevs flat including 2 points from acquisition. Assuming 60-40 split</t>
        </r>
      </text>
    </comment>
    <comment ref="X86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snacks -1%, bevs +3.5%. Assuming 60-40 split</t>
        </r>
      </text>
    </comment>
    <comment ref="Y86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bevs, snacks both -4%. Assuming 60-40 split</t>
        </r>
      </text>
    </comment>
    <comment ref="C87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Before PBG/PAS</t>
        </r>
      </text>
    </comment>
    <comment ref="D87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46% proforma after PBG/PAS</t>
        </r>
      </text>
    </comment>
    <comment ref="O87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1% driven by Bulgaria snacks acn</t>
        </r>
      </text>
    </comment>
    <comment ref="P87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1% driven by Bulgaria snacks acn</t>
        </r>
      </text>
    </comment>
    <comment ref="Q87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driven by Bulgaria snacks acn</t>
        </r>
      </text>
    </comment>
    <comment ref="T87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reported +1%; Marbo Acquisition (Serbia) contributed 3% to snacks volume </t>
        </r>
      </text>
    </comment>
    <comment ref="U87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reported -1%; Marbo Acquisition (Serbia) contributed 4% to snacks volume</t>
        </r>
      </text>
    </comment>
    <comment ref="V87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Acqn = 3% to snacks volume</t>
        </r>
      </text>
    </comment>
    <comment ref="X87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Acquisition of snacks company in Serbia (in Q408) contributed 2% to snacks volume</t>
        </r>
      </text>
    </comment>
    <comment ref="Y87" authorId="1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-3% following re-segmentation of S. Africa snacks business into Europe from AMEA </t>
        </r>
      </text>
    </comment>
    <comment ref="Z87" authorId="1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+2% following re-segmentation of S. Africa snacks business into Europe from AMEA </t>
        </r>
      </text>
    </comment>
    <comment ref="AA87" authorId="1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+3% following re-segmentation of S. Africa snacks business into Europe from AMEA </t>
        </r>
      </text>
    </comment>
    <comment ref="AB87" authorId="1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+3% following re-segmentation of S. Africa snacks business into Europe from AMEA </t>
        </r>
      </text>
    </comment>
    <comment ref="AC87" authorId="1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+2% following re-segmentation of S. Africa snacks business into Europe from AMEA </t>
        </r>
      </text>
    </comment>
    <comment ref="C88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Before PBG/PAS</t>
        </r>
      </text>
    </comment>
    <comment ref="D88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54% proforma after PBG/PAS</t>
        </r>
      </text>
    </comment>
    <comment ref="O88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Sandora, Pepsi Lipton. = 17% contribution</t>
        </r>
      </text>
    </comment>
    <comment ref="P88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Lebed+PepsiLipton. = 17% contribution</t>
        </r>
      </text>
    </comment>
    <comment ref="Q88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Lebed+PepsiLipton. = "primary" driver</t>
        </r>
      </text>
    </comment>
    <comment ref="R88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Lebed+PepsiLipton. = "primary" driver</t>
        </r>
      </text>
    </comment>
    <comment ref="S88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Lebed+PepsiLipton</t>
        </r>
      </text>
    </comment>
    <comment ref="T88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reported = 7% Lebedyansky contributed 14%</t>
        </r>
      </text>
    </comment>
    <comment ref="U88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reported = 2% Lebedyansky contributed 10%</t>
        </r>
      </text>
    </comment>
    <comment ref="V88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reported = 9% Lebedyansky contributed 10%</t>
        </r>
      </text>
    </comment>
    <comment ref="W88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bevs flat including 2 points from acquisition. </t>
        </r>
      </text>
    </comment>
    <comment ref="X88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bevs +3.5%. 8% from acqn of Lebed yansky in Q408</t>
        </r>
      </text>
    </comment>
    <comment ref="AF88" authorId="1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down MSD %</t>
        </r>
      </text>
    </comment>
    <comment ref="T90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acquisitions contributed 13% to revenue</t>
        </r>
      </text>
    </comment>
    <comment ref="U90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acquisitions contributed 10% to revenue</t>
        </r>
      </text>
    </comment>
    <comment ref="V90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acquisitions contributed 10% to revenue</t>
        </r>
      </text>
    </comment>
    <comment ref="W90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acquisitions contributed 2% to revenue</t>
        </r>
      </text>
    </comment>
    <comment ref="X90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acquisitions contributed 8% to revenue</t>
        </r>
      </text>
    </comment>
    <comment ref="Y90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no mention of acquisitions</t>
        </r>
      </text>
    </comment>
    <comment ref="AG90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only WBD. taken out extra week from revenue number</t>
        </r>
      </text>
    </comment>
    <comment ref="AI90" authorId="1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WBD - per 10-Q</t>
        </r>
      </text>
    </comment>
    <comment ref="J92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Slightly different reporting. Q108 would have been 866 based on this reporting</t>
        </r>
      </text>
    </comment>
    <comment ref="K92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Slightly different reporting. Q208 would have been 1459 based on this reporting</t>
        </r>
      </text>
    </comment>
    <comment ref="L92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Slightly different reporting. Q308 would have been 1546 based on this reporting</t>
        </r>
      </text>
    </comment>
    <comment ref="M92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Slightly different reporting. Q408 would have been 1704 based on this reporting</t>
        </r>
      </text>
    </comment>
    <comment ref="N92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Slightly different reporting. FY08 would have been 5575 based on this reporting</t>
        </r>
      </text>
    </comment>
    <comment ref="AG92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includes extra week</t>
        </r>
      </text>
    </comment>
    <comment ref="T93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net acquisitions /div contributed 2.5% to revenue</t>
        </r>
      </text>
    </comment>
    <comment ref="U93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net acquisitions /div contributed 1% to revenue</t>
        </r>
      </text>
    </comment>
    <comment ref="V93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net acquisitions /div contributed 1% to revenue</t>
        </r>
      </text>
    </comment>
    <comment ref="X93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acquisitions contributed 1% to revenue</t>
        </r>
      </text>
    </comment>
    <comment ref="Y93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1% from acquisitions</t>
        </r>
      </text>
    </comment>
    <comment ref="Z93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acquisitions had nominal impact</t>
        </r>
      </text>
    </comment>
    <comment ref="AA93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acquisitions had nominal impact</t>
        </r>
      </text>
    </comment>
    <comment ref="AB93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acquisitions had nominal impact</t>
        </r>
      </text>
    </comment>
    <comment ref="AC93" authorId="1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+16% following re-segmentation of S. Africa snacks business into Europe from AMEA  </t>
        </r>
      </text>
    </comment>
    <comment ref="AK93" authorId="1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10% PEP press release</t>
        </r>
      </text>
    </comment>
    <comment ref="V95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reported snacks = +8%, bevs +9%. 
Assuming 60-40 split</t>
        </r>
      </text>
    </comment>
    <comment ref="W95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reported snacks = +13% (+4% from acns), bevs +5%. 
Assuming 60-40 split</t>
        </r>
      </text>
    </comment>
    <comment ref="X95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reported snacks = +9%, bevs +8%. 
Assuming 60-40 split</t>
        </r>
      </text>
    </comment>
    <comment ref="Y95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reported snacks = +16%, bevs +8%. 
Assuming 60-40 split</t>
        </r>
      </text>
    </comment>
    <comment ref="Z95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reported snacks = +16% including 4% from acqns, bevs +8%. 
Assuming 60-40 split</t>
        </r>
      </text>
    </comment>
    <comment ref="AA95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reported snacks = +16% including 4% from acqns, bevs +8%. 
Assuming 60-40 split</t>
        </r>
      </text>
    </comment>
    <comment ref="AO95" authorId="3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MS est. 7% reported volume growth (but not necessarily organic)</t>
        </r>
      </text>
    </comment>
    <comment ref="C96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Mix from most recent investor presentation</t>
        </r>
      </text>
    </comment>
    <comment ref="V96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reported snacks = +8% including 2% from acqns, </t>
        </r>
      </text>
    </comment>
    <comment ref="W96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reported snacks = +13% including 4% from acqns, </t>
        </r>
      </text>
    </comment>
    <comment ref="X96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Net impact of acuisitions/divestitures = 2%</t>
        </r>
      </text>
    </comment>
    <comment ref="Y96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1. reported snacks = +13% including 3% from acqns
2. +14% (MS est. ~11% organic) following re-segmentation of S. Africa snacks business into Europe from AMEA</t>
        </r>
      </text>
    </comment>
    <comment ref="Z96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1. reported snacks = +16% including 4% from acqns. 
2. +19% (MS est. ~15% organic) following re-segmentation of S. Africa snacks business into Europe from AMEA  </t>
        </r>
      </text>
    </comment>
    <comment ref="AA96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1. Acquisitions contributed 1.5 points
2. +17% (MS est. ~15.5% organic) following re-segmentation of S. Africa snacks business into Europe from AMEA  </t>
        </r>
      </text>
    </comment>
    <comment ref="AB96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1, Acquisitions contributed 2 points
2. +13% (MS est. ~11% organic) following re-segmentation of S. Africa snacks business into Europe from AMEA  </t>
        </r>
      </text>
    </comment>
    <comment ref="AC96" authorId="1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+16% (MS est. ~13.5% organic) following re-segmentation of S. Africa snacks business into Europe from AMEA  </t>
        </r>
      </text>
    </comment>
    <comment ref="AD96" authorId="1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12% reported, acq added 1 pt</t>
        </r>
      </text>
    </comment>
    <comment ref="AK96" authorId="1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7 pts co-branding - house of tropicana</t>
        </r>
      </text>
    </comment>
    <comment ref="AP96" authorId="3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4% reported</t>
        </r>
      </text>
    </comment>
    <comment ref="C97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Mix from most recent investor presentation</t>
        </r>
      </text>
    </comment>
    <comment ref="AK97" authorId="1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15% including 7% from co-branded juices in China (which do not contribute to financials)</t>
        </r>
      </text>
    </comment>
    <comment ref="AL97" authorId="1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13% including 6% from co-branded juices in China (which do not contribute to financials)</t>
        </r>
      </text>
    </comment>
    <comment ref="AO97" authorId="3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9% reported</t>
        </r>
      </text>
    </comment>
    <comment ref="AP97" authorId="3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7% reported</t>
        </r>
      </text>
    </comment>
    <comment ref="AO98" authorId="3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7% reported</t>
        </r>
      </text>
    </comment>
    <comment ref="AP98" authorId="3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6% effective net pricing in press release, affected by acquisition/Tingyi non-organic contribution</t>
        </r>
      </text>
    </comment>
    <comment ref="O99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China bottling venture</t>
        </r>
      </text>
    </comment>
    <comment ref="T99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net acquisitions /div contributed 2.5% to revenue</t>
        </r>
      </text>
    </comment>
    <comment ref="U99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net acquisitions /div contributed 1% to revenue</t>
        </r>
      </text>
    </comment>
    <comment ref="V99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net acquisitions /div contributed 1% to revenue</t>
        </r>
      </text>
    </comment>
    <comment ref="W99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acquisition impact not meaningful</t>
        </r>
      </text>
    </comment>
    <comment ref="X99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acquisitions contributed 1% to revenue</t>
        </r>
      </text>
    </comment>
    <comment ref="Y99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acquisitions contributed 1% to revenue</t>
        </r>
      </text>
    </comment>
    <comment ref="Z99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acquisitions had nominal impact</t>
        </r>
      </text>
    </comment>
    <comment ref="AA99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Assuming not meaningful impact as in previous Q</t>
        </r>
      </text>
    </comment>
    <comment ref="AB99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Assuming not meaningful impact as in previous Q</t>
        </r>
      </text>
    </comment>
    <comment ref="AD99" authorId="1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acq added 1 pt to snacks volume growth</t>
        </r>
      </text>
    </comment>
    <comment ref="AJ99" authorId="1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13 pts Tingyi
2 pts IDJ</t>
        </r>
      </text>
    </comment>
    <comment ref="AK99" authorId="1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seasonality</t>
        </r>
      </text>
    </comment>
    <comment ref="AM99" authorId="1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- est. ~$200M impact in FY12 from Almarai JV
- est. ~$800M impact from Tingyi agreement </t>
        </r>
      </text>
    </comment>
    <comment ref="AP99" authorId="3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Refranchising in Vietnam</t>
        </r>
      </text>
    </comment>
    <comment ref="AQ99" authorId="3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Refranchising in Vietnam</t>
        </r>
      </text>
    </comment>
    <comment ref="B104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includes acquisitions</t>
        </r>
      </text>
    </comment>
    <comment ref="N107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not adjusted for FX
</t>
        </r>
      </text>
    </comment>
    <comment ref="S107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not adjusted for FX
</t>
        </r>
      </text>
    </comment>
    <comment ref="BK109" authorId="5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3Q17 (IR): 5-6% operating income growth</t>
        </r>
      </text>
    </comment>
    <comment ref="N110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not adjusted for FX
</t>
        </r>
      </text>
    </comment>
    <comment ref="S110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not adjusted for FX
</t>
        </r>
      </text>
    </comment>
    <comment ref="AC110" authorId="1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8% following re-segmentation, as well</t>
        </r>
      </text>
    </comment>
    <comment ref="AG111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includes gain on sale</t>
        </r>
      </text>
    </comment>
    <comment ref="AZ111" authorId="6">
      <text>
        <r>
          <rPr>
            <b/>
            <sz val="9"/>
            <color indexed="81"/>
            <rFont val="Tahoma"/>
            <family val="2"/>
          </rPr>
          <t>Fitzgerald, Kyle (Research):</t>
        </r>
        <r>
          <rPr>
            <sz val="9"/>
            <color indexed="81"/>
            <rFont val="Tahoma"/>
            <family val="2"/>
          </rPr>
          <t xml:space="preserve">
Lapping cereal divestiture gain</t>
        </r>
      </text>
    </comment>
    <comment ref="AV112" authorId="4">
      <text>
        <r>
          <rPr>
            <b/>
            <sz val="9"/>
            <color indexed="81"/>
            <rFont val="Tahoma"/>
            <family val="2"/>
          </rPr>
          <t>Doctor, Bob (Research):</t>
        </r>
        <r>
          <rPr>
            <sz val="9"/>
            <color indexed="81"/>
            <rFont val="Tahoma"/>
            <family val="2"/>
          </rPr>
          <t xml:space="preserve">
modest improvement from underlying trend in Q3 (-5%)</t>
        </r>
      </text>
    </comment>
    <comment ref="N113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not adjusted for FX
</t>
        </r>
      </text>
    </comment>
    <comment ref="S113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not adjusted for FX
</t>
        </r>
      </text>
    </comment>
    <comment ref="AC113" authorId="1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-6% following re-segmentation</t>
        </r>
      </text>
    </comment>
    <comment ref="AG113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Gain on sale contributed 14%.</t>
        </r>
      </text>
    </comment>
    <comment ref="AG114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includes gain on refranchising of Mex</t>
        </r>
      </text>
    </comment>
    <comment ref="BK115" authorId="5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3Q17 (IR): down in Q4</t>
        </r>
      </text>
    </comment>
    <comment ref="Y116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Venezuela hurt FX </t>
        </r>
      </text>
    </comment>
    <comment ref="AG116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Gain associated with Mex refranchising contributed +5%.</t>
        </r>
      </text>
    </comment>
    <comment ref="AG117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includes gain on refranchising of Mex</t>
        </r>
      </text>
    </comment>
    <comment ref="Y119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Venezuela hurt FX </t>
        </r>
      </text>
    </comment>
    <comment ref="AG119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Gain associated with Mex refranchising contributed +5%.</t>
        </r>
      </text>
    </comment>
    <comment ref="AG120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includes gain on refranchising of Mex</t>
        </r>
      </text>
    </comment>
    <comment ref="Y122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Venezuela hurt FX </t>
        </r>
      </text>
    </comment>
    <comment ref="AG122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Gain associated with Mex refranchising contributed +5%.</t>
        </r>
      </text>
    </comment>
    <comment ref="AG123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includes gain on refranchising of Mex</t>
        </r>
      </text>
    </comment>
    <comment ref="Y125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Venezuela hurt FX </t>
        </r>
      </text>
    </comment>
    <comment ref="AG125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Gain associated with Mex refranchising contributed +5%.</t>
        </r>
      </text>
    </comment>
    <comment ref="AG127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includes gain on sale</t>
        </r>
      </text>
    </comment>
    <comment ref="N129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not adjusted for FX
</t>
        </r>
      </text>
    </comment>
    <comment ref="S129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not adjusted for FX
</t>
        </r>
      </text>
    </comment>
    <comment ref="AG129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Gain on sale contributed 12%.</t>
        </r>
      </text>
    </comment>
    <comment ref="AG130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includes gain on refranchising of Mex</t>
        </r>
      </text>
    </comment>
    <comment ref="N132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not adjusted for FX
</t>
        </r>
      </text>
    </comment>
    <comment ref="S132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not adjusted for FX
</t>
        </r>
      </text>
    </comment>
    <comment ref="Y132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Venezuela hurt FX </t>
        </r>
      </text>
    </comment>
    <comment ref="AG132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Gain associated with Mex refranchising contributed +5%.</t>
        </r>
      </text>
    </comment>
    <comment ref="J133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Slightly different reporting. Q108 would have been 102 based on this reporting</t>
        </r>
      </text>
    </comment>
    <comment ref="K133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Slightly different reporting. Q208 would have been 262 based on this reporting</t>
        </r>
      </text>
    </comment>
    <comment ref="L133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Slightly different reporting. Q308 would have been 279 based on this reporting</t>
        </r>
      </text>
    </comment>
    <comment ref="M133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Slightly different reporting. Q408 would have been 218 based on this reporting</t>
        </r>
      </text>
    </comment>
    <comment ref="N133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Slightly different reporting. FY08 would have been 861 based on this reporting</t>
        </r>
      </text>
    </comment>
    <comment ref="AQ133" authorId="4">
      <text>
        <r>
          <rPr>
            <b/>
            <sz val="9"/>
            <color indexed="81"/>
            <rFont val="Tahoma"/>
            <family val="2"/>
          </rPr>
          <t>Doctor, Bob (Research):</t>
        </r>
        <r>
          <rPr>
            <sz val="9"/>
            <color indexed="81"/>
            <rFont val="Tahoma"/>
            <family val="2"/>
          </rPr>
          <t xml:space="preserve">
includes 9M of increased investment</t>
        </r>
      </text>
    </comment>
    <comment ref="Y134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press release says 14%</t>
        </r>
      </text>
    </comment>
    <comment ref="N135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not adjusted for FX
</t>
        </r>
      </text>
    </comment>
    <comment ref="S135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not adjusted for FX
</t>
        </r>
      </text>
    </comment>
    <comment ref="AC135" authorId="1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27% following re-segmentation</t>
        </r>
      </text>
    </comment>
    <comment ref="J136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Slightly different reporting. Q108 would have been 139 based on this reporting</t>
        </r>
      </text>
    </comment>
    <comment ref="K136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Slightly different reporting. Q208 would have been 233 based on this reporting</t>
        </r>
      </text>
    </comment>
    <comment ref="L136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Slightly different reporting. Q308 would have been 227 based on this reporting</t>
        </r>
      </text>
    </comment>
    <comment ref="M136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Slightly different reporting. Q408 would have been 83 based on this reporting</t>
        </r>
      </text>
    </comment>
    <comment ref="N136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Slightly different reporting. FY08 would have been 682 based on this reporting</t>
        </r>
      </text>
    </comment>
    <comment ref="AG136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Almost all growth from gain on sale</t>
        </r>
      </text>
    </comment>
    <comment ref="AL136" authorId="1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PY included $120M gain on sale</t>
        </r>
      </text>
    </comment>
    <comment ref="AQ136" authorId="4">
      <text>
        <r>
          <rPr>
            <b/>
            <sz val="9"/>
            <color indexed="81"/>
            <rFont val="Tahoma"/>
            <family val="2"/>
          </rPr>
          <t>Doctor, Bob (Research):</t>
        </r>
        <r>
          <rPr>
            <sz val="9"/>
            <color indexed="81"/>
            <rFont val="Tahoma"/>
            <family val="2"/>
          </rPr>
          <t xml:space="preserve">
include 30M of increased investment</t>
        </r>
      </text>
    </comment>
    <comment ref="N138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not adjusted for FX
</t>
        </r>
      </text>
    </comment>
    <comment ref="S138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not adjusted for FX
</t>
        </r>
      </text>
    </comment>
    <comment ref="AC138" authorId="1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-4% following re-segmentation</t>
        </r>
      </text>
    </comment>
    <comment ref="AG138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Almost all growth from gain on sale</t>
        </r>
      </text>
    </comment>
    <comment ref="J139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ex commodity mark-to-market (gain of $17M in this Q)</t>
        </r>
      </text>
    </comment>
    <comment ref="K139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ex commodity mark-to-market</t>
        </r>
      </text>
    </comment>
    <comment ref="AK139" authorId="1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guid: 'a bit higher than..2Q, based on timing of expenses'</t>
        </r>
      </text>
    </comment>
    <comment ref="AL139" authorId="1">
      <text>
        <r>
          <rPr>
            <b/>
            <sz val="8"/>
            <color indexed="81"/>
            <rFont val="Tahoma"/>
            <family val="2"/>
          </rPr>
          <t>grunke:</t>
        </r>
        <r>
          <rPr>
            <sz val="8"/>
            <color indexed="81"/>
            <rFont val="Tahoma"/>
            <family val="2"/>
          </rPr>
          <t xml:space="preserve">
~$400M</t>
        </r>
      </text>
    </comment>
    <comment ref="AU139" authorId="4">
      <text>
        <r>
          <rPr>
            <b/>
            <sz val="9"/>
            <color indexed="81"/>
            <rFont val="Tahoma"/>
            <family val="2"/>
          </rPr>
          <t>Doctor, Bob (Research):</t>
        </r>
        <r>
          <rPr>
            <sz val="9"/>
            <color indexed="81"/>
            <rFont val="Tahoma"/>
            <family val="2"/>
          </rPr>
          <t xml:space="preserve">
up yoy - some reversal from 2Q favorability</t>
        </r>
      </text>
    </comment>
    <comment ref="AW139" authorId="4">
      <text>
        <r>
          <rPr>
            <b/>
            <sz val="9"/>
            <color indexed="81"/>
            <rFont val="Tahoma"/>
            <family val="2"/>
          </rPr>
          <t>Doctor, Bob (Research):</t>
        </r>
        <r>
          <rPr>
            <sz val="9"/>
            <color indexed="81"/>
            <rFont val="Tahoma"/>
            <family val="2"/>
          </rPr>
          <t xml:space="preserve">
down yoy</t>
        </r>
      </text>
    </comment>
    <comment ref="AQ140" authorId="3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Higher YoY based on the timing of investments primarily in R&amp;D</t>
        </r>
      </text>
    </comment>
    <comment ref="AS140" authorId="3">
      <text>
        <r>
          <rPr>
            <b/>
            <sz val="8"/>
            <color indexed="81"/>
            <rFont val="Tahoma"/>
            <family val="2"/>
          </rPr>
          <t>cruzv:</t>
        </r>
        <r>
          <rPr>
            <sz val="8"/>
            <color indexed="81"/>
            <rFont val="Tahoma"/>
            <family val="2"/>
          </rPr>
          <t xml:space="preserve">
Higher YoY based on the timing of investments primarily in R&amp;D</t>
        </r>
      </text>
    </comment>
    <comment ref="BB140" authorId="4">
      <text>
        <r>
          <rPr>
            <b/>
            <sz val="9"/>
            <color indexed="81"/>
            <rFont val="Tahoma"/>
            <family val="2"/>
          </rPr>
          <t>Doctor, Bob (Research):</t>
        </r>
        <r>
          <rPr>
            <sz val="9"/>
            <color indexed="81"/>
            <rFont val="Tahoma"/>
            <family val="2"/>
          </rPr>
          <t xml:space="preserve">
down yoy</t>
        </r>
      </text>
    </comment>
    <comment ref="AS153" authorId="2">
      <text>
        <r>
          <rPr>
            <b/>
            <sz val="8"/>
            <color indexed="81"/>
            <rFont val="Tahoma"/>
            <family val="2"/>
          </rPr>
          <t>doctobob:</t>
        </r>
        <r>
          <rPr>
            <sz val="8"/>
            <color indexed="81"/>
            <rFont val="Tahoma"/>
            <family val="2"/>
          </rPr>
          <t xml:space="preserve">
6.2 adj;  (back out 31M gain)</t>
        </r>
      </text>
    </comment>
    <comment ref="AU159" authorId="4">
      <text>
        <r>
          <rPr>
            <b/>
            <sz val="9"/>
            <color indexed="81"/>
            <rFont val="Tahoma"/>
            <family val="2"/>
          </rPr>
          <t>Doctor, Bob (Research):</t>
        </r>
        <r>
          <rPr>
            <sz val="9"/>
            <color indexed="81"/>
            <rFont val="Tahoma"/>
            <family val="2"/>
          </rPr>
          <t xml:space="preserve">
-50 bps ex gain</t>
        </r>
      </text>
    </comment>
    <comment ref="BC159" authorId="5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Positively impacted by the lapping of a first quarter 2015 impairment charge and the prior year operating performance associated with a dairy joint venture (operations of which ceased in the fourth quarter of 2015)</t>
        </r>
      </text>
    </comment>
    <comment ref="BI161" authorId="5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Q1 call: investments in Latin America and AMENA</t>
        </r>
      </text>
    </comment>
    <comment ref="BI162" authorId="5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1Q17 (IR) some pressure in ESSA on juice factory disruption</t>
        </r>
      </text>
    </comment>
    <comment ref="BN162" authorId="5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Britvic gain -6 cents</t>
        </r>
      </text>
    </comment>
    <comment ref="BI163" authorId="5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G at Q1 call: investments in Latin America and AMENA</t>
        </r>
      </text>
    </comment>
    <comment ref="BP163" authorId="5">
      <text>
        <r>
          <rPr>
            <b/>
            <sz val="9"/>
            <color indexed="81"/>
            <rFont val="Tahoma"/>
            <family val="2"/>
          </rPr>
          <t>Falorni, Filippo (Research):</t>
        </r>
        <r>
          <rPr>
            <sz val="9"/>
            <color indexed="81"/>
            <rFont val="Tahoma"/>
            <family val="2"/>
          </rPr>
          <t xml:space="preserve">
Lapping Jordan refranchising gain (-7 cents) </t>
        </r>
      </text>
    </comment>
    <comment ref="AG167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wbd lowering margins</t>
        </r>
      </text>
    </comment>
    <comment ref="AH167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wbd lowering margins</t>
        </r>
      </text>
    </comment>
    <comment ref="AQ167" authorId="4">
      <text>
        <r>
          <rPr>
            <b/>
            <sz val="9"/>
            <color indexed="81"/>
            <rFont val="Tahoma"/>
            <family val="2"/>
          </rPr>
          <t>Doctor, Bob (Research):</t>
        </r>
        <r>
          <rPr>
            <sz val="9"/>
            <color indexed="81"/>
            <rFont val="Tahoma"/>
            <family val="2"/>
          </rPr>
          <t xml:space="preserve">
21 bps headwind from higher invetsment</t>
        </r>
      </text>
    </comment>
    <comment ref="AS167" authorId="2">
      <text>
        <r>
          <rPr>
            <b/>
            <sz val="8"/>
            <color indexed="81"/>
            <rFont val="Tahoma"/>
            <family val="2"/>
          </rPr>
          <t>doctobob:</t>
        </r>
        <r>
          <rPr>
            <sz val="8"/>
            <color indexed="81"/>
            <rFont val="Tahoma"/>
            <family val="2"/>
          </rPr>
          <t xml:space="preserve">
+138 adj (back out 31M gain)</t>
        </r>
      </text>
    </comment>
    <comment ref="AU167" authorId="4">
      <text>
        <r>
          <rPr>
            <b/>
            <sz val="9"/>
            <color indexed="81"/>
            <rFont val="Tahoma"/>
            <family val="2"/>
          </rPr>
          <t>Doctor, Bob (Research):</t>
        </r>
        <r>
          <rPr>
            <sz val="9"/>
            <color indexed="81"/>
            <rFont val="Tahoma"/>
            <family val="2"/>
          </rPr>
          <t xml:space="preserve">
-5 bps yoy ex impairment charge</t>
        </r>
      </text>
    </comment>
    <comment ref="AQ168" authorId="4">
      <text>
        <r>
          <rPr>
            <b/>
            <sz val="9"/>
            <color indexed="81"/>
            <rFont val="Tahoma"/>
            <family val="2"/>
          </rPr>
          <t>Doctor, Bob (Research):</t>
        </r>
        <r>
          <rPr>
            <sz val="9"/>
            <color indexed="81"/>
            <rFont val="Tahoma"/>
            <family val="2"/>
          </rPr>
          <t xml:space="preserve">
155 bps headwind from higher invetsment</t>
        </r>
      </text>
    </comment>
    <comment ref="AU168" authorId="4">
      <text>
        <r>
          <rPr>
            <b/>
            <sz val="9"/>
            <color indexed="81"/>
            <rFont val="Tahoma"/>
            <family val="2"/>
          </rPr>
          <t>Doctor, Bob (Research):</t>
        </r>
        <r>
          <rPr>
            <sz val="9"/>
            <color indexed="81"/>
            <rFont val="Tahoma"/>
            <family val="2"/>
          </rPr>
          <t xml:space="preserve">
down 145 bps ex gain </t>
        </r>
      </text>
    </comment>
    <comment ref="AC180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taking slightly incremental margin for food</t>
        </r>
      </text>
    </comment>
    <comment ref="AH180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taking slightly incremental margin for food</t>
        </r>
      </text>
    </comment>
    <comment ref="AM180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taking slightly incremental margin for food</t>
        </r>
      </text>
    </comment>
    <comment ref="AR180" authorId="0">
      <text>
        <r>
          <rPr>
            <b/>
            <sz val="8"/>
            <color indexed="81"/>
            <rFont val="Tahoma"/>
            <family val="2"/>
          </rPr>
          <t>mukeruma:</t>
        </r>
        <r>
          <rPr>
            <sz val="8"/>
            <color indexed="81"/>
            <rFont val="Tahoma"/>
            <family val="2"/>
          </rPr>
          <t xml:space="preserve">
taking slightly incremental margin for food</t>
        </r>
      </text>
    </comment>
    <comment ref="B223" authorId="6">
      <text>
        <r>
          <rPr>
            <b/>
            <sz val="9"/>
            <color indexed="81"/>
            <rFont val="Tahoma"/>
            <family val="2"/>
          </rPr>
          <t>Fitzgerald, Kyle (Research):</t>
        </r>
        <r>
          <rPr>
            <sz val="9"/>
            <color indexed="81"/>
            <rFont val="Tahoma"/>
            <family val="2"/>
          </rPr>
          <t xml:space="preserve">
At end of period</t>
        </r>
      </text>
    </comment>
    <comment ref="AN223" authorId="6">
      <text>
        <r>
          <rPr>
            <b/>
            <sz val="9"/>
            <color indexed="81"/>
            <rFont val="Tahoma"/>
            <family val="2"/>
          </rPr>
          <t>Fitzgerald, Kyle (Research):</t>
        </r>
        <r>
          <rPr>
            <sz val="9"/>
            <color indexed="81"/>
            <rFont val="Tahoma"/>
            <family val="2"/>
          </rPr>
          <t xml:space="preserve">
Effective February 2013, the Venezuelan government devalued the bolivar by resetting the official exchange rate from 4.3 bolivars to 6.3 bolivars per dollar.</t>
        </r>
      </text>
    </comment>
    <comment ref="AY223" authorId="6">
      <text>
        <r>
          <rPr>
            <b/>
            <sz val="9"/>
            <color indexed="81"/>
            <rFont val="Tahoma"/>
            <family val="2"/>
          </rPr>
          <t>Fitzgerald, Kyle (Research):</t>
        </r>
        <r>
          <rPr>
            <sz val="9"/>
            <color indexed="81"/>
            <rFont val="Tahoma"/>
            <family val="2"/>
          </rPr>
          <t xml:space="preserve">
As of the end of the second quarter of 2015, the SICAD exchange rate was 12.0 bolivars per U.S. dollar. Subsequent to the end of the second quarter of 2015, a SICAD auction was held at which bolivars were exchanged for U.S. dollars at the rate of 12.8 bolivars per U.S. dollar.</t>
        </r>
      </text>
    </comment>
    <comment ref="AV229" authorId="6">
      <text>
        <r>
          <rPr>
            <b/>
            <sz val="9"/>
            <color indexed="81"/>
            <rFont val="Tahoma"/>
            <family val="2"/>
          </rPr>
          <t>Fitzgerald, Kyle (Research):</t>
        </r>
        <r>
          <rPr>
            <sz val="9"/>
            <color indexed="81"/>
            <rFont val="Tahoma"/>
            <family val="2"/>
          </rPr>
          <t xml:space="preserve">
VZ worth 3 cents to core EPS</t>
        </r>
      </text>
    </comment>
    <comment ref="AZ229" authorId="6">
      <text>
        <r>
          <rPr>
            <b/>
            <sz val="9"/>
            <color indexed="81"/>
            <rFont val="Tahoma"/>
            <family val="2"/>
          </rPr>
          <t>Fitzgerald, Kyle (Research):</t>
        </r>
        <r>
          <rPr>
            <sz val="9"/>
            <color indexed="81"/>
            <rFont val="Tahoma"/>
            <family val="2"/>
          </rPr>
          <t xml:space="preserve">
VZ worth 10 cents in 2015</t>
        </r>
      </text>
    </comment>
    <comment ref="AP262" authorId="4">
      <text>
        <r>
          <rPr>
            <b/>
            <sz val="9"/>
            <color indexed="81"/>
            <rFont val="Tahoma"/>
            <family val="2"/>
          </rPr>
          <t>Doctor, Bob (Research):</t>
        </r>
        <r>
          <rPr>
            <sz val="9"/>
            <color indexed="81"/>
            <rFont val="Tahoma"/>
            <family val="2"/>
          </rPr>
          <t xml:space="preserve">
Core constant currency operating profit rose 3 percent reflecting increased
advertising and marketing expense and $28 million of incremental investments.</t>
        </r>
      </text>
    </comment>
    <comment ref="AQ262" authorId="4">
      <text>
        <r>
          <rPr>
            <b/>
            <sz val="9"/>
            <color indexed="81"/>
            <rFont val="Tahoma"/>
            <family val="2"/>
          </rPr>
          <t>Doctor, Bob (Research):</t>
        </r>
        <r>
          <rPr>
            <sz val="9"/>
            <color indexed="81"/>
            <rFont val="Tahoma"/>
            <family val="2"/>
          </rPr>
          <t xml:space="preserve">
and $56 million of incremental investments</t>
        </r>
      </text>
    </comment>
    <comment ref="AP271" authorId="4">
      <text>
        <r>
          <rPr>
            <b/>
            <sz val="9"/>
            <color indexed="81"/>
            <rFont val="Tahoma"/>
            <family val="2"/>
          </rPr>
          <t>Doctor, Bob (Research):</t>
        </r>
        <r>
          <rPr>
            <sz val="9"/>
            <color indexed="81"/>
            <rFont val="Tahoma"/>
            <family val="2"/>
          </rPr>
          <t xml:space="preserve">
The incremental
investments negatively impacted operating profit growth by 1 percentage point</t>
        </r>
      </text>
    </comment>
  </commentList>
</comments>
</file>

<file path=xl/comments3.xml><?xml version="1.0" encoding="utf-8"?>
<comments xmlns="http://schemas.openxmlformats.org/spreadsheetml/2006/main">
  <authors>
    <author>grunke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>卟䙄_x0001_＀＀竅乮_x0011_单〱剙偞偟䥒䕃〨착_x0018_＀＀_x0018_＀＀_x0008_＀＀_x0001_＀＀_x0001_＀＀炤਽ꏗ㿾钰䮪_x000D_偞偟䥒䕃丨坏착_x0018_＀＀_x0018_＀＀_x0008_＀＀_x0001_＀＀_x0001_＀＀豀碵꼝쐕ͽ䴯_x0013_堡䕒剕䝞偟䥒䕃丨坏착_x0018_＀＀_x0018_＀＀_x0008_＀＀_x0001_＀＀_x0001_＀＀̈뷏இ㿵펗䬖_x0018_䝆ⵌ十幘䝆䑟䉅彔佔䅔⡌⤰_x0018_＀＀_x0018_＀＀_x0008_＀＀_x0001_＀＀_x0001_＀＀＀＀＀＀猀䂦ͭ䴯_x000D_䝞偟䥒䕃丨坏착_x0018_＀＀_x0018_＀＀_x0008_＀＀_x0001_＀＀_x0001_＀＀豀碵꼝쐕펖䬖_x0013_堡䅒䑕䝞偟䥒䕃丨坏착_x0018_＀＀_x0018_＀＀_x0008_＀＀_x0001_＀＀_x0001_＀＀峻앭닾㿭펖䬖_x0014_䝆ⵌ十幘彐剐䍉⡅低⥗_x0018_＀＀_x0018_＀＀_x0008_＀＀_x0001_＀＀_x0001_＀＀蔟凫Ẹ䀖竅乮_x0010_䕐幐䝆䵟呋噟䱁䕕_x0018_＀＀_x0018_＀＀_x0008_＀＀_x0001_＀＀_x0001_＀＀ᑺ㲞䃷㠎亚_x0010_䕐幐彐剐䍉⡅低⥗_x0018_＀＀_x0018_＀＀_x0008_＀＀_x0001_＀＀_x0001_＀＀蔟凫Ẹ䁏펗䬖_x0015_䝆ⵌ十幘䝆䍟十彈呓〨착_x0018_＀＀_x0018_＀＀_x0008_＀＀_x0001_＀＀_x0001_＀＀晦晦뙦䁠펗䬖_x001A_䝆ⵌ十幘彐佃彍䡓当問⡔低⥗_x0018_＀＀_x0018_＀＀_x0008_＀＀_x0001_＀＀_x0001_＀＀沋ﯧ⚩䂞㯌䱒_x0010_噁幐䝆䵟呋噟䱁䕕_x0018_＀＀_x0018_＀＀_x0008_＀＀_x0001_＀＀_x0001_＀＀ﯧ叢䃉㯌䱒_x0010_噁幐彐剐䍉⡅低⥗_x0018_＀＀_x0018_＀＀_x0008_＀＀_x0001_＀＀_x0001_＀＀롑䔞䀾縦䬙_x0010_呓幚䝆䵟呋噟䱁䕕_x0018_＀＀_x0018_＀＀_x0008_＀＀_x0001_＀＀_x0001_＀＀㼔_xDCC6_掠䂬馾䬢_x0010_呓幚彐剐䍉⡅低⥗_x0018_＀＀_x0018_＀＀_x0008_＀＀_x0001_＀＀_x0001_＀＀凬Ẹ䀯</t>
        </r>
      </text>
    </comment>
    <comment ref="B1" authorId="0">
      <text>
        <r>
          <rPr>
            <b/>
            <sz val="8"/>
            <color indexed="81"/>
            <rFont val="Tahoma"/>
            <family val="2"/>
          </rPr>
          <t>474</t>
        </r>
      </text>
    </comment>
  </commentList>
</comments>
</file>

<file path=xl/sharedStrings.xml><?xml version="1.0" encoding="utf-8"?>
<sst xmlns="http://schemas.openxmlformats.org/spreadsheetml/2006/main" count="917" uniqueCount="728">
  <si>
    <t>Short-term Borrowings</t>
  </si>
  <si>
    <t>Change in Income Taxes Payable</t>
  </si>
  <si>
    <t>Pension/Medical Contributions</t>
  </si>
  <si>
    <t>Pension/Retiree Plan Expenses</t>
  </si>
  <si>
    <t xml:space="preserve">Acquisitions/Divestitures, Net </t>
  </si>
  <si>
    <t>Dara Mohsenian, CFA</t>
  </si>
  <si>
    <t>Price/Mix</t>
  </si>
  <si>
    <t>2066721</t>
  </si>
  <si>
    <t>35</t>
  </si>
  <si>
    <t>Corporated Unallocated/ Other</t>
  </si>
  <si>
    <t>Core growth ex FX</t>
  </si>
  <si>
    <t>Amortization of Intangible Assets</t>
  </si>
  <si>
    <t>Bottling Equity Income</t>
  </si>
  <si>
    <t>Net Income to PepsiCo</t>
  </si>
  <si>
    <t>Core EPS</t>
  </si>
  <si>
    <t>Reported Net Income to PepsiCo</t>
  </si>
  <si>
    <t>S-T Investments</t>
  </si>
  <si>
    <t>Amortizable Intangible Assets</t>
  </si>
  <si>
    <t>Goodwill</t>
  </si>
  <si>
    <t>Nonamortizable Intangible Assets</t>
  </si>
  <si>
    <t>Investments in Non-controlled Affiliates</t>
  </si>
  <si>
    <t>Short-term Obligations</t>
  </si>
  <si>
    <t>Accounts Payable and Other Curr. Liabs.</t>
  </si>
  <si>
    <t>Income Taxes Payable</t>
  </si>
  <si>
    <t>Preferred Stock</t>
  </si>
  <si>
    <t>Repurchased Pref Stock</t>
  </si>
  <si>
    <t>% of sales bps change</t>
  </si>
  <si>
    <t>Gross Margin bps change</t>
  </si>
  <si>
    <t>Operating Margin bps change</t>
  </si>
  <si>
    <t>US Household Products and Beverages</t>
  </si>
  <si>
    <t>Volume (organic) - snacks</t>
  </si>
  <si>
    <t>Volume (organic) - beverages</t>
  </si>
  <si>
    <t>Core growth ex FX - Divisions</t>
  </si>
  <si>
    <t>Asia, Middle East, &amp; Africa</t>
  </si>
  <si>
    <t>Volume (organic)</t>
  </si>
  <si>
    <t>(212) 761 - 6575</t>
  </si>
  <si>
    <t>dara.mohsenian@morganstanley.com</t>
  </si>
  <si>
    <t>Capex</t>
  </si>
  <si>
    <t>Dividend Payout Ratio</t>
  </si>
  <si>
    <t>USD</t>
  </si>
  <si>
    <t>NA Revenue</t>
  </si>
  <si>
    <t>Europe Revenue</t>
  </si>
  <si>
    <t xml:space="preserve"> </t>
  </si>
  <si>
    <t>AVP.N,mscalc:sedolCodeCalc</t>
  </si>
  <si>
    <t>AVP.N,mscalc:closePriceCurrencyCalc</t>
  </si>
  <si>
    <t>AVP.N,mscalc:targetPrice,,,,USD</t>
  </si>
  <si>
    <t>Income Statement</t>
  </si>
  <si>
    <t>Total Revenue</t>
  </si>
  <si>
    <t>% growth</t>
  </si>
  <si>
    <t>Cost of Sales</t>
  </si>
  <si>
    <t>% of sales</t>
  </si>
  <si>
    <t>Gross Profit</t>
  </si>
  <si>
    <t>Gross Margin %</t>
  </si>
  <si>
    <t>Selling, General and Administrative Expenses</t>
  </si>
  <si>
    <t>Operating Profit</t>
  </si>
  <si>
    <t>Operating Margin</t>
  </si>
  <si>
    <t>Memo Item:  D&amp;A</t>
  </si>
  <si>
    <t>Memo Item:  EBITDA (excluding charges)</t>
  </si>
  <si>
    <t>Memo Item:  EBITDA Margin</t>
  </si>
  <si>
    <t>Interest Expense</t>
  </si>
  <si>
    <t>Pretax Income</t>
  </si>
  <si>
    <t>Taxes</t>
  </si>
  <si>
    <t>Tax Rate</t>
  </si>
  <si>
    <t>Minority Interest</t>
  </si>
  <si>
    <t>PepsiCo Inc.</t>
  </si>
  <si>
    <t>PepsiCo (PEP)</t>
  </si>
  <si>
    <t>PepsiCo, Inc.</t>
  </si>
  <si>
    <t>Pepsi Americas Food</t>
  </si>
  <si>
    <t>Frito-Lay North America</t>
  </si>
  <si>
    <t>Quaker Foods North America</t>
  </si>
  <si>
    <t>Latin America Foods</t>
  </si>
  <si>
    <t>PepsiCo Americas Beverages</t>
  </si>
  <si>
    <t>Europe</t>
  </si>
  <si>
    <t>EPS % Growth</t>
  </si>
  <si>
    <t>Other</t>
  </si>
  <si>
    <t>Total One-Time Charges (post-tax)</t>
  </si>
  <si>
    <t>Reported Diluted EPS</t>
  </si>
  <si>
    <t>Basic Shares</t>
  </si>
  <si>
    <t>Diluted Shares</t>
  </si>
  <si>
    <t>Beginning basic</t>
  </si>
  <si>
    <t>Shares Issued</t>
  </si>
  <si>
    <t>Shares Repurchased</t>
  </si>
  <si>
    <t>Ending basic shares</t>
  </si>
  <si>
    <t>Average basic shares</t>
  </si>
  <si>
    <t>Dilutive Effect of Stock Options</t>
  </si>
  <si>
    <t>Average diluted shares</t>
  </si>
  <si>
    <t>Shares repurchased</t>
  </si>
  <si>
    <t>Balance Sheet</t>
  </si>
  <si>
    <t>Assets</t>
  </si>
  <si>
    <t>Surplus Cash</t>
  </si>
  <si>
    <t>Cash &amp; Equivalents</t>
  </si>
  <si>
    <t>AR, Net</t>
  </si>
  <si>
    <t>Inventories, Net</t>
  </si>
  <si>
    <t>Prepaid Expenses &amp; Other</t>
  </si>
  <si>
    <t>Total Current Assets</t>
  </si>
  <si>
    <t>PPE, Net</t>
  </si>
  <si>
    <t>Other Assets</t>
  </si>
  <si>
    <t>Total Assets</t>
  </si>
  <si>
    <t>Liabilities</t>
  </si>
  <si>
    <t>Accounts Payable</t>
  </si>
  <si>
    <t>Total Current Liabilities</t>
  </si>
  <si>
    <t>Long-Term Debt</t>
  </si>
  <si>
    <t>Other Liabilities</t>
  </si>
  <si>
    <t>Total Liabilities &amp; Minority Interest</t>
  </si>
  <si>
    <t>Stockholders' Equity</t>
  </si>
  <si>
    <t>Common Stock</t>
  </si>
  <si>
    <t>Additional Paid-in Capital</t>
  </si>
  <si>
    <t>Retained Earnings</t>
  </si>
  <si>
    <t>Treasury Stock</t>
  </si>
  <si>
    <t>Accumulated Other Comprehensive Income/Loss</t>
  </si>
  <si>
    <t>Total S/E</t>
  </si>
  <si>
    <t>Total Liabilities &amp; S/E</t>
  </si>
  <si>
    <t>Check:</t>
  </si>
  <si>
    <t>Cash Flow</t>
  </si>
  <si>
    <t>Net Income</t>
  </si>
  <si>
    <t>Adjustments:</t>
  </si>
  <si>
    <t>Depreciation &amp; Amortization</t>
  </si>
  <si>
    <t>Stock-based Compensation</t>
  </si>
  <si>
    <t>Deferred Income Taxes</t>
  </si>
  <si>
    <t>Changes in A/L:</t>
  </si>
  <si>
    <t>Accounts Receivable</t>
  </si>
  <si>
    <t>Inventories</t>
  </si>
  <si>
    <t>Prepaid Expenses &amp; Other Current Assets</t>
  </si>
  <si>
    <t>Cash Provided by Operations</t>
  </si>
  <si>
    <t>Cash Flows  from Investing Activities:</t>
  </si>
  <si>
    <t>Additions to PPE</t>
  </si>
  <si>
    <t>Sale of Assets/Businesses, Net of Taxes</t>
  </si>
  <si>
    <t>Purchases/Sale of Investments</t>
  </si>
  <si>
    <t>Cash Used for Investing Activities</t>
  </si>
  <si>
    <t>Cash Flows from Financing Activites:</t>
  </si>
  <si>
    <t>Increase/ Decrease in Long-term Debt</t>
  </si>
  <si>
    <t>Increase/ Decrease in Short-term Debt</t>
  </si>
  <si>
    <t>Issuance/Repurchase of Common/Preferred Stock</t>
  </si>
  <si>
    <t>Dividends Paid</t>
  </si>
  <si>
    <t>Cash Used for Financing Activities</t>
  </si>
  <si>
    <t>Cash Provided by Discontinued Operations</t>
  </si>
  <si>
    <t>Exchange Rate Effect on Cash / Other</t>
  </si>
  <si>
    <t>Net Increase (Decrease) in Cash and Cash Equivs</t>
  </si>
  <si>
    <t>Cash and Cash Equivs, Beg</t>
  </si>
  <si>
    <t>Cash and Cash Equivs, End</t>
  </si>
  <si>
    <t>Cash Flow Statistics</t>
  </si>
  <si>
    <t>Cash Flow From Operations</t>
  </si>
  <si>
    <t>Free Cash Flow (Cash Flow Oper. Less Capex)</t>
  </si>
  <si>
    <t>Free Cash Flow Per Share</t>
  </si>
  <si>
    <t>Cash Returned to Shareholders</t>
  </si>
  <si>
    <t>Cash Returned to Shareholders as % Available</t>
  </si>
  <si>
    <t>Ratios</t>
  </si>
  <si>
    <t>COGS % Sales</t>
  </si>
  <si>
    <t>SGA % Sales</t>
  </si>
  <si>
    <t>Taxes % Pretax Income</t>
  </si>
  <si>
    <t>Cash % of Sales</t>
  </si>
  <si>
    <t>AR % of Sales</t>
  </si>
  <si>
    <t>AR Days</t>
  </si>
  <si>
    <t>Inventories % COGS</t>
  </si>
  <si>
    <t>Inventory Days</t>
  </si>
  <si>
    <t>Other CA % Sales</t>
  </si>
  <si>
    <t>Capex, net of dispositions</t>
  </si>
  <si>
    <t>Addition to PPE as % Sales</t>
  </si>
  <si>
    <t>Depreciation% opening PPE</t>
  </si>
  <si>
    <t>Depreciation% Net PPE</t>
  </si>
  <si>
    <t>AP % COGS</t>
  </si>
  <si>
    <t>AP Days</t>
  </si>
  <si>
    <t>Share Repurchase</t>
  </si>
  <si>
    <t>Price</t>
  </si>
  <si>
    <t>-</t>
  </si>
  <si>
    <t>Cash outflow</t>
  </si>
  <si>
    <t>Total Debt</t>
  </si>
  <si>
    <t>Cash</t>
  </si>
  <si>
    <t>Net Debt</t>
  </si>
  <si>
    <t>Interest Rate on Debt</t>
  </si>
  <si>
    <t>Interest Rate on Cash</t>
  </si>
  <si>
    <t>Opening Net Debt</t>
  </si>
  <si>
    <t>Changes in Net Debt from Cashflow</t>
  </si>
  <si>
    <t>Closing Net Debt</t>
  </si>
  <si>
    <t>Mar-18 E</t>
  </si>
  <si>
    <t>Jun-18 E</t>
  </si>
  <si>
    <t>Sep-18 E</t>
  </si>
  <si>
    <t>Dec-18 E</t>
  </si>
  <si>
    <t>2018E</t>
  </si>
  <si>
    <t>Mar-19 E</t>
  </si>
  <si>
    <t>Jun-19 E</t>
  </si>
  <si>
    <t>Sep-19 E</t>
  </si>
  <si>
    <t>Dec-19 E</t>
  </si>
  <si>
    <t>2019E</t>
  </si>
  <si>
    <t>Net Debt/ LTM EBITDA</t>
  </si>
  <si>
    <t>ROIC</t>
  </si>
  <si>
    <t>Tax rate</t>
  </si>
  <si>
    <t>NOPAT</t>
  </si>
  <si>
    <t>Cash Conversion Cycle</t>
  </si>
  <si>
    <t>Days Inventory</t>
  </si>
  <si>
    <t>Days Recievable</t>
  </si>
  <si>
    <t>Days Payable</t>
  </si>
  <si>
    <t>Organic Sales Growth</t>
  </si>
  <si>
    <t>Currency Impact on Revenue</t>
  </si>
  <si>
    <t xml:space="preserve">Unrecored Goodwill from poolings, write-offs, etc. </t>
  </si>
  <si>
    <t>Acquistions and Disposals</t>
  </si>
  <si>
    <t>Working Capital Change</t>
  </si>
  <si>
    <t>LTM EBIT/Interest</t>
  </si>
  <si>
    <t>LTM EBITDA/Interest</t>
  </si>
  <si>
    <t>Segment Breakdown</t>
  </si>
  <si>
    <t>Organic LC Sales Growth</t>
  </si>
  <si>
    <t>FX Impact</t>
  </si>
  <si>
    <t>Acquisitions/(Divestitures)/Other</t>
  </si>
  <si>
    <t>Total % Growth</t>
  </si>
  <si>
    <t xml:space="preserve">Change in OM </t>
  </si>
  <si>
    <t>Total</t>
  </si>
  <si>
    <t>This sheet contains Factset binary data for use with this workbook's =FDS codes.  Modifying the worksheet's contents may damage the workbook's =FDS functionality.</t>
  </si>
  <si>
    <t>Income Taxes % Sales</t>
  </si>
  <si>
    <t>Operating Income</t>
  </si>
  <si>
    <t>Latin America</t>
  </si>
  <si>
    <t>AMEA</t>
  </si>
  <si>
    <t>Reported Net Income before Minority Interest</t>
  </si>
  <si>
    <t>Currency</t>
  </si>
  <si>
    <t>Current Stock Price</t>
  </si>
  <si>
    <t>Count</t>
  </si>
  <si>
    <t>PAB</t>
  </si>
  <si>
    <t>PEP.N,mscalc:sedolCodeCalc</t>
  </si>
  <si>
    <t>PEP.N,mscalc:targetPrice,,,,USD</t>
  </si>
  <si>
    <t>PEP.N,mscalc:closePriceCurrencyCalc</t>
  </si>
  <si>
    <t>NA</t>
  </si>
  <si>
    <t>LAF</t>
  </si>
  <si>
    <t>Mar-20 E</t>
  </si>
  <si>
    <t>Jun-20 E</t>
  </si>
  <si>
    <t>Sep-20 E</t>
  </si>
  <si>
    <t>Dec-20 E</t>
  </si>
  <si>
    <t>2020E</t>
  </si>
  <si>
    <t>Cash Payments for Restructuring Charges</t>
  </si>
  <si>
    <t>Advertising and Marketing</t>
  </si>
  <si>
    <t>Just Advertising</t>
  </si>
  <si>
    <t>Est. % organic growth</t>
  </si>
  <si>
    <t xml:space="preserve">Invested Capital </t>
  </si>
  <si>
    <t>Est. Organic LC Sales Growth</t>
  </si>
  <si>
    <t>2681511</t>
  </si>
  <si>
    <t>Net Sales</t>
  </si>
  <si>
    <t>SOS</t>
  </si>
  <si>
    <t>n.m.f.</t>
  </si>
  <si>
    <t>Interest Income and Other</t>
  </si>
  <si>
    <t xml:space="preserve">  % sales</t>
  </si>
  <si>
    <t>,mscalc:targetPrice,,,,USD</t>
  </si>
  <si>
    <t>,mscalc:closePriceCurrencyCalc</t>
  </si>
  <si>
    <t>,mscalc:sedolCodeCalc</t>
  </si>
  <si>
    <t>PEP.N,mscalc:targetPrice</t>
  </si>
  <si>
    <t>Mar-21 E</t>
  </si>
  <si>
    <t>Jun-21 E</t>
  </si>
  <si>
    <t>Sep-21 E</t>
  </si>
  <si>
    <t>Dec-21 E</t>
  </si>
  <si>
    <t>2021E</t>
  </si>
  <si>
    <t>Sales Incentives &amp; Discounts</t>
  </si>
  <si>
    <t>CHD-US.N,mscalc:ebitdaBeforePensionOpebAndOperatingLeaseAdjustments,2011FY,,FYR</t>
  </si>
  <si>
    <t>Quaker</t>
  </si>
  <si>
    <t>2.5% pts reve</t>
  </si>
  <si>
    <t>Estimate</t>
  </si>
  <si>
    <t>Incremental Margin</t>
  </si>
  <si>
    <t>Food OP</t>
  </si>
  <si>
    <t>Bevs OP</t>
  </si>
  <si>
    <t>Sales Mix</t>
  </si>
  <si>
    <t>Operating Profit Mix</t>
  </si>
  <si>
    <t>Mar-22 E</t>
  </si>
  <si>
    <t>Jun-22 E</t>
  </si>
  <si>
    <t>Sep-22 E</t>
  </si>
  <si>
    <t>Dec-22 E</t>
  </si>
  <si>
    <t>2022E</t>
  </si>
  <si>
    <t>(212) 761 - 7250</t>
  </si>
  <si>
    <t>bob.doctor@morganstanley.com</t>
  </si>
  <si>
    <t>LBO Model Items</t>
  </si>
  <si>
    <t>Other Non-Op Income</t>
  </si>
  <si>
    <t xml:space="preserve">EBITDA </t>
  </si>
  <si>
    <t>Other Adjustments</t>
  </si>
  <si>
    <t>Changes in Working Capital</t>
  </si>
  <si>
    <t>Cash - Beginning Balance</t>
  </si>
  <si>
    <t>Total Snack Organic Sales</t>
  </si>
  <si>
    <t>Total Snack Volume</t>
  </si>
  <si>
    <t>Total Snack Sales Growth</t>
  </si>
  <si>
    <t>Total Bev Volume</t>
  </si>
  <si>
    <t>Total Bev Organic Sales</t>
  </si>
  <si>
    <t>Total Bev Sales Growth</t>
  </si>
  <si>
    <t>Vietnam gain</t>
  </si>
  <si>
    <t>Net</t>
  </si>
  <si>
    <t>AMEA profit impact</t>
  </si>
  <si>
    <t>total company profit</t>
  </si>
  <si>
    <t>AMEA adjust OM</t>
  </si>
  <si>
    <t>Company adj OM</t>
  </si>
  <si>
    <t>total re-investment</t>
  </si>
  <si>
    <t>Net EPS impact</t>
  </si>
  <si>
    <t>Europe adjust OM</t>
  </si>
  <si>
    <t>Europe profit impact</t>
  </si>
  <si>
    <t>margin impact</t>
  </si>
  <si>
    <t>Venezuela Disclosures</t>
  </si>
  <si>
    <t>% of Revenue YTD</t>
  </si>
  <si>
    <t>% of Operating Profit YTD</t>
  </si>
  <si>
    <t>FX rate for remeasurement of net monetary assets</t>
  </si>
  <si>
    <t>Reported Operating Profit YTD</t>
  </si>
  <si>
    <t>Reported Sales YTD</t>
  </si>
  <si>
    <t>Reported Sales Q</t>
  </si>
  <si>
    <t>Reported Operating Profit Q</t>
  </si>
  <si>
    <t>Reported YoY Sales Growth</t>
  </si>
  <si>
    <t>Reported YoY Op. Profit Growth</t>
  </si>
  <si>
    <t>Core Op Profit</t>
  </si>
  <si>
    <t>Reported Sales Change ($M)</t>
  </si>
  <si>
    <t>Reported Operating Profit Change ($M)</t>
  </si>
  <si>
    <t>Fx Impact on Op Profit</t>
  </si>
  <si>
    <t>FX Impact on Sales</t>
  </si>
  <si>
    <t>Core Sales Growth</t>
  </si>
  <si>
    <t>Core Op Profit Growth</t>
  </si>
  <si>
    <t>Impact on Core Sales Growth</t>
  </si>
  <si>
    <t>Core Sales Growth Ex. VZ</t>
  </si>
  <si>
    <t>% of Revenue Q</t>
  </si>
  <si>
    <t>% of Operating Profit Q</t>
  </si>
  <si>
    <t>Core Sales (Current Period Rate on Prior Year)</t>
  </si>
  <si>
    <t>North America Beverages</t>
  </si>
  <si>
    <t>Europe Sub-Saharan Africa</t>
  </si>
  <si>
    <t>Asia, Middle East and North Africa</t>
  </si>
  <si>
    <t>Old Segments</t>
  </si>
  <si>
    <t>Y-o-Y Growth Impact on LatAm</t>
  </si>
  <si>
    <t>Accounts Payable Only</t>
  </si>
  <si>
    <t>Days</t>
  </si>
  <si>
    <t>Research and Development</t>
  </si>
  <si>
    <t>% sales</t>
  </si>
  <si>
    <t>Intangible Capital</t>
  </si>
  <si>
    <t>Tangible Capital</t>
  </si>
  <si>
    <t>ROTC</t>
  </si>
  <si>
    <t>Filippo Falorni, CFA</t>
  </si>
  <si>
    <t>(212) 296 - 4965</t>
  </si>
  <si>
    <t>filippo.falorni@morganstanley.com</t>
  </si>
  <si>
    <t>Bob Doctor, CFA</t>
  </si>
  <si>
    <t>Sales 2-Yr Average</t>
  </si>
  <si>
    <t>Operating Profit 2-Yr Average</t>
  </si>
  <si>
    <t>129</t>
  </si>
  <si>
    <t>Scott Rotondi</t>
  </si>
  <si>
    <t>(212) 761 - 9196</t>
  </si>
  <si>
    <t>scott.rotondi@morganstanley.com</t>
  </si>
  <si>
    <t>PEP.O</t>
  </si>
  <si>
    <t>PEP.O,mscalc:closePriceCurrencyCalc</t>
  </si>
  <si>
    <t>PEP.O,mscalc:targetPrice,,,,USD</t>
  </si>
  <si>
    <t>PEP.O,mscalc:sedolCodeCalc</t>
  </si>
  <si>
    <t>$AB$2</t>
  </si>
  <si>
    <t>Other Income/Pension</t>
  </si>
  <si>
    <t>Research</t>
  </si>
  <si>
    <t>MSA12783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</si>
  <si>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</si>
  <si>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</si>
  <si>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</si>
  <si>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1585 Broadway</t>
  </si>
  <si>
    <t>New York, NY  10036-8293</t>
  </si>
  <si>
    <t>United States</t>
  </si>
  <si>
    <t>Tel: +1 (1)212 761 4000</t>
  </si>
  <si>
    <t>Authors: Dara Mohsenian</t>
  </si>
  <si>
    <t>Date: 04 Apr 2018</t>
  </si>
  <si>
    <t>Ticker: PEP.O</t>
  </si>
  <si>
    <t>Stock Rating: Overweight</t>
  </si>
  <si>
    <t>Industry: Beverages</t>
  </si>
  <si>
    <t>Industry View: In-Line</t>
  </si>
  <si>
    <t>Price as of 04 Apr 2018: 108.19</t>
  </si>
  <si>
    <t>Target Price: 129</t>
  </si>
  <si>
    <t>Analyst Certification</t>
  </si>
  <si>
    <t>Unless otherwise stated, the individuals listed on the cover page of this report are research analysts.</t>
  </si>
  <si>
    <t>Global Research Conflict Management Policy</t>
  </si>
  <si>
    <t>Important US Regulatory Disclosures on Subject Companies</t>
  </si>
  <si>
    <t>Morgan Stanley &amp; Co. LLC makes a market in the securities of PepsiCo Inc..</t>
  </si>
  <si>
    <t>STOCK RATINGS</t>
  </si>
  <si>
    <t>Global Stock Ratings Distribution</t>
  </si>
  <si>
    <t>(as of March 31, 2018)</t>
  </si>
  <si>
    <t>Coverage Universe</t>
  </si>
  <si>
    <t>Investment Banking Clients (IBC)</t>
  </si>
  <si>
    <t>Other Material Investment Services Clients (MISC)</t>
  </si>
  <si>
    <t>Stock Rating Category</t>
  </si>
  <si>
    <t>% of Total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</si>
  <si>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</si>
  <si>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</si>
  <si>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</si>
  <si>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</si>
  <si>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</si>
  <si>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</si>
  <si>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</si>
  <si>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Analyst Stock Ratings</t>
  </si>
  <si>
    <t>Analyst Industry Views</t>
  </si>
  <si>
    <t>.</t>
  </si>
  <si>
    <t>Stock Price, Price Target and Rating History (See Rating Definitions)</t>
  </si>
  <si>
    <t>Important Disclosures for Morgan Stanley Smith Barney LLC Customers</t>
  </si>
  <si>
    <t>Other Important Disclosures</t>
  </si>
  <si>
    <t>Morgan Stanley Research, or any portion thereof may not be reprinted, sold or redistributed without the</t>
  </si>
  <si>
    <t>written consent of Morgan Stanley.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</si>
  <si>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</si>
  <si>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</si>
  <si>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</si>
  <si>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</si>
  <si>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</si>
  <si>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</si>
  <si>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</si>
  <si>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</si>
  <si>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</si>
  <si>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</si>
  <si>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</si>
  <si>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information in Morgan Stanley Research is being communicated by Morgan Stanley &amp; Co. International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</si>
  <si>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</si>
  <si>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</si>
  <si>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</si>
  <si>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plc (DIFC Branch), regulated by the Dubai Financial Services Authority (the DFSA), and is directed at</t>
  </si>
  <si>
    <t>Professional Clients only, as defined by the DFSA. The financial products or financial services to which</t>
  </si>
  <si>
    <t>this research relates will only be made available to a customer who we are satisfied meets the</t>
  </si>
  <si>
    <t>regulatory criteria to be a Professional Client.</t>
  </si>
  <si>
    <t>Morgan Stanley Research is disseminated in Brazil by Morgan Stanley C.T.V.M. S.A.; in Mexico by Morgan</t>
  </si>
  <si>
    <t>Stanley México, Casa de Bolsa, S.A. de C.V which is regulated by Comision Nacional Bancaria y de</t>
  </si>
  <si>
    <t>Valores. Paseo de los Tamarindos 90, Torre 1, Col. Bosques de las Lomas Floor 29, 05120 Mexico City; in</t>
  </si>
  <si>
    <t>Japan by Morgan Stanley MUFG Securities Co., Ltd. and, for Commodities related research reports only,</t>
  </si>
  <si>
    <t>Morgan Stanley Capital Group Japan Co., Ltd; in Hong Kong by Morgan Stanley Asia Limited (which accepts</t>
  </si>
  <si>
    <t>responsibility for its contents) and by Morgan Stanley Asia International Limited, Hong Kong Branch; in</t>
  </si>
  <si>
    <t>Singapore by Morgan Stanley Asia (Singapore) Pte. (Registration number 199206298Z) and/or Morgan Stanley</t>
  </si>
  <si>
    <t>Asia (Singapore) Securities Pte Ltd (Registration number 200008434H), regulated by the Monetary</t>
  </si>
  <si>
    <t>Authority of Singapore (which accepts legal responsibility for its contents and should be contacted with</t>
  </si>
  <si>
    <t>respect to any matters arising from, or in connection with, Morgan Stanley Research) and by Morgan</t>
  </si>
  <si>
    <t>Stanley Asia International Limited, Singapore Branch (Registration number T11FC0207F);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</si>
  <si>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</si>
  <si>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</si>
  <si>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</si>
  <si>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</si>
  <si>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</si>
  <si>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</si>
  <si>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Limited; in Indonesia by PT. Morgan Stanley Sekuritas Indonesia; in Canada</t>
  </si>
  <si>
    <t>by Morgan Stanley Canada Limited, which has approved of and takes responsibility for its contents in</t>
  </si>
  <si>
    <t>Canada; in Germany by Morgan Stanley Bank AG, Frankfurt am Main and Morgan Stanley Private Wealth</t>
  </si>
  <si>
    <t>Management Limited, Niederlassung Deutschland, regulated by Bundesanstalt fuer</t>
  </si>
  <si>
    <t>Finanzdienstleistungsaufsicht (BaFin); in Spain by Morgan Stanley, S.V., S.A., a Morgan Stanley group</t>
  </si>
  <si>
    <t>company, which is supervised by the Spanish Securities Markets Commission (CNMV) and states that Morgan</t>
  </si>
  <si>
    <t>Stanley Research has been written and distributed in accordance with the rules of conduct applicable to</t>
  </si>
  <si>
    <t>financial research as established under Spanish regulations; in the US by Morgan Stanley &amp; Co. LLC,</t>
  </si>
  <si>
    <t>which accepts responsibility for its contents. Morgan Stanley &amp; Co. International plc, authorized by the</t>
  </si>
  <si>
    <t>Prudential Regulatory Authority and regulated by the Financial Conduct Authority and the Prudential</t>
  </si>
  <si>
    <t>Regulatory Authority, disseminates in the UK research that it has prepared, and approves solely for the</t>
  </si>
  <si>
    <t>purposes of section 21 of the Financial Services and Markets Act 2000, research which has been prepared</t>
  </si>
  <si>
    <t>by any of its affiliates. RMB Morgan Stanley Proprietary Limited is a member of the JSE Limited and</t>
  </si>
  <si>
    <t>regulated by the Financial Services Board in South Africa. RMB Morgan Stanley Proprietary Limited is a</t>
  </si>
  <si>
    <t>joint venture owned equally by Morgan Stanley International Holdings Inc. and RMB Investment Advisory</t>
  </si>
  <si>
    <t>(Proprietary) Limited, which is wholly owned by FirstRand Limited. The information in Morgan Stanley</t>
  </si>
  <si>
    <t>Research is being disseminated by Morgan Stanley Saudi Arabia, regulated by the Capital Market Authority</t>
  </si>
  <si>
    <t>in the Kingdom of Saudi Arabia , and is directed at Sophisticated investors only.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</si>
  <si>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</si>
  <si>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</si>
  <si>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</si>
  <si>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</si>
  <si>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</si>
  <si>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</si>
  <si>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</si>
  <si>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</si>
  <si>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</si>
  <si>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</si>
  <si>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</si>
  <si>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</si>
  <si>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</si>
  <si>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</si>
  <si>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</si>
  <si>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</si>
  <si>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</si>
  <si>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</si>
  <si>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</si>
  <si>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</si>
  <si>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</si>
  <si>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Morgan Stanley may make investment decisions that are inconsistent with the recommendations or views in</t>
  </si>
  <si>
    <t>this report.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</si>
  <si>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</si>
  <si>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</si>
  <si>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</si>
  <si>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</si>
  <si>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</si>
  <si>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</si>
  <si>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</si>
  <si>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</si>
  <si>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</si>
  <si>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</si>
  <si>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The "Important US Regulatory Disclosures on Subject Companies" section in Morgan Stanley Research lists</t>
  </si>
  <si>
    <t>all companies mentioned where Morgan Stanley owns 1% or more of a class of common equity securities of</t>
  </si>
  <si>
    <t>the 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</si>
  <si>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</si>
  <si>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</si>
  <si>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</si>
  <si>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</si>
  <si>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</si>
  <si>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</si>
  <si>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</si>
  <si>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</si>
  <si>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</si>
  <si>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</si>
  <si>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</si>
  <si>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</si>
  <si>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particular trading desks.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</si>
  <si>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</si>
  <si>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</si>
  <si>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</si>
  <si>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</si>
  <si>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</si>
  <si>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</si>
  <si>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</si>
  <si>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</si>
  <si>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</si>
  <si>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</si>
  <si>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</si>
  <si>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</si>
  <si>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</si>
  <si>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</si>
  <si>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</si>
  <si>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</si>
  <si>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If you do not agree to our Terms of Use and/or if you do not wish to provide your consent to Morgan</t>
  </si>
  <si>
    <t>Stanley processing your personal data or using cookies please do not access our research.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</si>
  <si>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</si>
  <si>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</si>
  <si>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</si>
  <si>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</si>
  <si>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</si>
  <si>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</si>
  <si>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</si>
  <si>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</si>
  <si>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</si>
  <si>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</si>
  <si>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</si>
  <si>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</si>
  <si>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</si>
  <si>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</si>
  <si>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</si>
  <si>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</si>
  <si>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</si>
  <si>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</si>
  <si>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</si>
  <si>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</si>
  <si>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</si>
  <si>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</si>
  <si>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</si>
  <si>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</si>
  <si>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</si>
  <si>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</si>
  <si>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</si>
  <si>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</si>
  <si>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</si>
  <si>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</si>
  <si>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</si>
  <si>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Morgan Stanley &amp; Co. International PLC and its affiliates have a significant financial interest in the</t>
  </si>
  <si>
    <t>debt securities of PepsiCo Inc..</t>
  </si>
  <si>
    <t>Each Morgan Stanley Equity Research report is reviewed and approved on behalf of Morgan Stanley Smith</t>
  </si>
  <si>
    <t>Barney LLC. This review and approval is conducted by the same person who reviews the Equity Research</t>
  </si>
  <si>
    <t>report on behalf of Morgan Stanley. This could create a conflict of interest.</t>
  </si>
  <si>
    <t>Important disclosures regarding the relationship between the companies that are the subject of Morgan</t>
  </si>
  <si>
    <t>Stanley Research and Morgan Stanley Smith Barney LLC or Morgan Stanley or any of their affiliates, are</t>
  </si>
  <si>
    <t>available on the Morgan Stanley Wealth Management disclosure website at</t>
  </si>
  <si>
    <t>www.morganstanley.com/online/researchdisclosures. For Morgan Stanley specific disclosures, you may refer</t>
  </si>
  <si>
    <t>to www.morganstanley.com/researchdisclosures.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</si>
  <si>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</si>
  <si>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</si>
  <si>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</si>
  <si>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Cautious (C): The analyst views the performance of his or her industry coverage universe over the next</t>
  </si>
  <si>
    <t>12-18 months with caution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</si>
  <si>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</si>
  <si>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</si>
  <si>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Attractive (A): The analyst expects the performance of his or her industry coverage universe over the</t>
  </si>
  <si>
    <t>next 12-18 months to be attractive vs. the relevant broad market benchmark, as indicated below.</t>
  </si>
  <si>
    <t>Unless otherwise specified, the time frame for price targets included in Morgan Stanley Research is 12</t>
  </si>
  <si>
    <t>to 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</si>
  <si>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</si>
  <si>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</si>
  <si>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</si>
  <si>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</si>
  <si>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</si>
  <si>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</si>
  <si>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</si>
  <si>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</si>
  <si>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</si>
  <si>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</si>
  <si>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</si>
  <si>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</si>
  <si>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</si>
  <si>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</si>
  <si>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</si>
  <si>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For disclosure purposes only (in accordance with NASD and NYSE requirements), we include the category</t>
  </si>
  <si>
    <t>headings of Buy, Hold, and Sell alongside our ratings of Overweight, Equal-weight, Not-Rated and</t>
  </si>
  <si>
    <t>Underweight. Morgan Stanley does not assign ratings of Buy, Hold or Sell to the stocks we cover.</t>
  </si>
  <si>
    <t>Overweight, Equal-weight, Not-Rated and Underweight are not the equivalent of buy, hold, and sell but</t>
  </si>
  <si>
    <t>represent recommended relative weightings (see definitions below). To satisfy regulatory requirements,</t>
  </si>
  <si>
    <t>we correspond Overweight, our most positive stock rating, with a buy recommendation; we correspond</t>
  </si>
  <si>
    <t>Equal-weight and Not-Rated to hold and Underweight to sell recommendations, respectively.</t>
  </si>
  <si>
    <t>The Stock Ratings described below apply to Morgan Stanley's Fundamental Equity Research and do not apply</t>
  </si>
  <si>
    <t>to Debt Research produced by the Firm.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</si>
  <si>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</si>
  <si>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</si>
  <si>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</si>
  <si>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</si>
  <si>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</si>
  <si>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</si>
  <si>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 upon</t>
  </si>
  <si>
    <t>as investment advice. An investor's decision to buy or sell a stock should depend on individual</t>
  </si>
  <si>
    <t>circumstances (such as the investor's existing holdings) and other considerations.</t>
  </si>
  <si>
    <t>Certain disclosures listed above are also for compliance with applicable regulations in non-US</t>
  </si>
  <si>
    <t>jurisdictions.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</si>
  <si>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</si>
  <si>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</si>
  <si>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</si>
  <si>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</si>
  <si>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</si>
  <si>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</si>
  <si>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</si>
  <si>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</si>
  <si>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</si>
  <si>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</si>
  <si>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</si>
  <si>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</si>
  <si>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Within the last 12 months, Morgan Stanley has either provided or is providing non-investment banking,</t>
  </si>
  <si>
    <t>securities-related services to and/or in the past has entered into an agreement to provide services or</t>
  </si>
  <si>
    <t>has a client relationship with the following company: PepsiCo Inc..</t>
  </si>
  <si>
    <t>Within the last 12 months, Morgan Stanley has provided or is providing investment banking services to,</t>
  </si>
  <si>
    <t>or has an investment banking client relationship with, the following company: PepsiCo Inc..</t>
  </si>
  <si>
    <t>Within the last 12 months, Morgan Stanley has received compensation for products and services other than</t>
  </si>
  <si>
    <t>investment banking services from PepsiCo Inc..</t>
  </si>
  <si>
    <t>In the next 3 months, Morgan Stanley expects to receive or intends to seek compensation for investment</t>
  </si>
  <si>
    <t>banking services from PepsiCo Inc..</t>
  </si>
  <si>
    <t>Within the last 12 months, Morgan Stanley has received compensation for investment banking services from</t>
  </si>
  <si>
    <t>PepsiCo Inc..</t>
  </si>
  <si>
    <t>Within the last 12 months, Morgan Stanley managed or co-managed a public offering (or 144A offering) of</t>
  </si>
  <si>
    <t>securities of PepsiCo Inc..</t>
  </si>
  <si>
    <t>As of February 28, 2018, Morgan Stanley beneficially owned 1% or more of a class of common equity</t>
  </si>
  <si>
    <t>securities of the following companies covered in Morgan Stanley Research: PepsiCo Inc..</t>
  </si>
  <si>
    <t>Morgan Stanley Research has been published in accordance with our conflict management policy, which is</t>
  </si>
  <si>
    <t>available at www.morganstanley.com/institutional/research/conflictpolicies.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</si>
  <si>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</si>
  <si>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</si>
  <si>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</si>
  <si>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Dara Mohsenian, CFA.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</si>
  <si>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</si>
  <si>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</si>
  <si>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</si>
  <si>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</si>
  <si>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</si>
  <si>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</si>
  <si>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</si>
  <si>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</si>
  <si>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www.morganstanley.com/researchdisclosures, or contact your investment representative or Morgan Stanley</t>
  </si>
  <si>
    <t>Research at 1585 Broadway, (Attention: Research Management), New York, NY, 10036 USA.</t>
  </si>
  <si>
    <t>The information and opinions in Morgan Stanley Research were prepared by Morgan Stanley &amp; Co. LLC,</t>
  </si>
  <si>
    <t>and/or Morgan Stanley C.T.V.M. S.A., and/or Morgan Stanley Mexico, Casa de Bolsa, S.A. de C.V., and/or</t>
  </si>
  <si>
    <t>Morgan Stanley Canada Limited. As used in this disclosure section, "Morgan Stanley" includes Morgan</t>
  </si>
  <si>
    <t>Stanley &amp; Co. LLC, Morgan Stanley C.T.V.M. S.A., Morgan Stanley Mexico, Casa de Bolsa, S.A. de C.V.,</t>
  </si>
  <si>
    <t>Morgan Stanley Canada Limited and their affiliates as necessary.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</si>
  <si>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</si>
  <si>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</si>
  <si>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</si>
  <si>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</si>
  <si>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© Copyright 2018 Morgan Stanley</t>
  </si>
  <si>
    <t>MacroVersion</t>
  </si>
  <si>
    <t>PublishDate</t>
  </si>
  <si>
    <t>Discipline</t>
  </si>
  <si>
    <t>ResearchTopic</t>
  </si>
  <si>
    <t>Company</t>
  </si>
  <si>
    <t>DocType</t>
  </si>
  <si>
    <t>Model</t>
  </si>
  <si>
    <t>SubjectCode</t>
  </si>
  <si>
    <t>Description</t>
  </si>
  <si>
    <t>KeepVersions</t>
  </si>
  <si>
    <t>All</t>
  </si>
  <si>
    <t>Rating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</si>
  <si>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</si>
  <si>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</si>
  <si>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</si>
  <si>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</si>
  <si>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</si>
  <si>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</si>
  <si>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</si>
  <si>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</si>
  <si>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Authors</t>
  </si>
  <si>
    <t>Tickers</t>
  </si>
  <si>
    <t>CUSIP</t>
  </si>
  <si>
    <t>RIC</t>
  </si>
  <si>
    <t>SEDOL</t>
  </si>
  <si>
    <t>PathName</t>
  </si>
  <si>
    <t>Distribution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</si>
  <si>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</si>
  <si>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</si>
  <si>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</si>
  <si>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</si>
  <si>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</si>
  <si>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</si>
  <si>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</si>
  <si>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</si>
  <si>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</si>
  <si>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</si>
  <si>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</si>
  <si>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TemplateRegion</t>
  </si>
  <si>
    <t>ObjectType</t>
  </si>
  <si>
    <t>excel</t>
  </si>
  <si>
    <t>LanguageCode</t>
  </si>
  <si>
    <t>en-US</t>
  </si>
  <si>
    <t>SubmitterUserId</t>
  </si>
  <si>
    <t>IndustryId</t>
  </si>
  <si>
    <t>TickerRegion</t>
  </si>
  <si>
    <t>AdditionalInstructions</t>
  </si>
  <si>
    <t>*Estimated</t>
  </si>
  <si>
    <t>Overweight / In-Line</t>
  </si>
  <si>
    <t>Regular Update</t>
  </si>
  <si>
    <t>NorthAmerica</t>
  </si>
  <si>
    <t>filipf</t>
  </si>
  <si>
    <t>L:\CONSUMER\STAPLES\PEP\Model\Published\Old\PEP_Model_Pre 1Q18.xlsm</t>
  </si>
  <si>
    <t>[BRO MSA]</t>
  </si>
  <si>
    <t>[PRODUCT MODEL]</t>
  </si>
  <si>
    <t>[EMAIL_ALERT YES]</t>
  </si>
  <si>
    <t>[DISCIPLINE Company]</t>
  </si>
  <si>
    <t>[SUPPRESSED NO]</t>
  </si>
  <si>
    <t>[DOCDAT 2018-04-04]</t>
  </si>
  <si>
    <t>[DOCTIME 08:32]</t>
  </si>
  <si>
    <t>[PSYM PEP.O(S&amp;P) (None)]</t>
  </si>
  <si>
    <t>[COU 1]</t>
  </si>
  <si>
    <t>[ANA ]</t>
  </si>
  <si>
    <t>[HL PEP.O Model]</t>
  </si>
  <si>
    <t>[IND BEVALC]</t>
  </si>
  <si>
    <t>[PANA MSA12783]</t>
  </si>
  <si>
    <r>
      <t xml:space="preserve">This workbook contains formulas which </t>
    </r>
    <r>
      <rPr>
        <u/>
        <sz val="14"/>
        <rFont val="Arial"/>
        <family val="2"/>
      </rPr>
      <t>intentionally</t>
    </r>
    <r>
      <rPr>
        <sz val="14"/>
        <rFont val="Arial"/>
        <family val="2"/>
      </rPr>
      <t xml:space="preserve"> use circular reference calculation. These calculations can be resolved as intended by the originating analyst by selecting the Apply Circular Settings button below.</t>
    </r>
  </si>
  <si>
    <r>
      <t xml:space="preserve">This workbook contains formulas which </t>
    </r>
    <r>
      <rPr>
        <u/>
        <sz val="14"/>
        <rFont val="Arial"/>
        <family val="2"/>
      </rPr>
      <t>intentionally</t>
    </r>
    <r>
      <rPr>
        <sz val="14"/>
        <rFont val="Arial"/>
        <family val="2"/>
      </rPr>
      <t xml:space="preserve"> use circular reference calculation. These calculations can be resolved as intended by the originating analyst by applying the following settings in the Tools &gt;&gt; Options &gt;&gt; Calculation dialog box:</t>
    </r>
  </si>
  <si>
    <t>Clicking the Apply Circular Settings button will display the model worksheets and make the following settings changes in the Tools &gt;&gt; Options &gt;&gt; Calculation dialog box:</t>
  </si>
  <si>
    <t>1) Select the Iteration check box</t>
  </si>
  <si>
    <t>Failure to apply these settings can result in incorrect calculation or unexpected termination of your Microsoft Excel session.</t>
  </si>
  <si>
    <t>2) Set Maximum Iterations = 100</t>
  </si>
  <si>
    <t>3) Set Maximum Change = 0.001</t>
  </si>
  <si>
    <t>Sheet Name</t>
  </si>
  <si>
    <t>Visible Status</t>
  </si>
  <si>
    <t>ImportantDisclosures</t>
  </si>
  <si>
    <t>SheetVisibilityStatus</t>
  </si>
  <si>
    <t>CircularReferenceAlert</t>
  </si>
  <si>
    <t>Cover</t>
  </si>
  <si>
    <t>Financial Statements</t>
  </si>
  <si>
    <t>Segments</t>
  </si>
  <si>
    <t>IndexInformation</t>
  </si>
  <si>
    <t>ModPubIndex</t>
  </si>
  <si>
    <t>__FDSCACHE__</t>
  </si>
  <si>
    <t>MW-Cache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</si>
</sst>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3">
    <numFmt numFmtId="6" formatCode="&quot;$&quot;#,##0_);[Red]\(&quot;$&quot;#,##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0.0"/>
    <numFmt numFmtId="166" formatCode="0.000"/>
    <numFmt numFmtId="167" formatCode="#,##0.0"/>
    <numFmt numFmtId="169" formatCode="&quot;$&quot;#,##0.0_);[Red]\(&quot;$&quot;#,##0.0\)"/>
    <numFmt numFmtId="170" formatCode="&quot;$&quot;#,##0.00"/>
    <numFmt numFmtId="171" formatCode="_(* #,##0_);_(* \(#,##0\);_(* &quot;-&quot;??_);_(@_)"/>
    <numFmt numFmtId="172" formatCode="&quot;$&quot;#,##0.0"/>
    <numFmt numFmtId="173" formatCode="0.0&quot;x&quot;"/>
    <numFmt numFmtId="174" formatCode="0.0_);\(0.0\)"/>
    <numFmt numFmtId="176" formatCode="_(* #,##0.0_);_(* \(#,##0.0\);_(* &quot;-&quot;??_);_(@_)"/>
    <numFmt numFmtId="187" formatCode="&quot;$&quot;#,##0.000_);[Red]\(&quot;$&quot;#,##0.000\)"/>
    <numFmt numFmtId="188" formatCode="_(&quot;$&quot;* #,##0.000_);_(&quot;$&quot;* \(#,##0.000\);_(&quot;$&quot;* &quot;-&quot;??_);_(@_)"/>
    <numFmt numFmtId="191" formatCode="#,##0;\(#,##0\)"/>
    <numFmt numFmtId="192" formatCode="_([$€-2]* #,##0.00_);_([$€-2]* \(#,##0.00\);_([$€-2]* &quot;-&quot;??_)"/>
    <numFmt numFmtId="196" formatCode="0.0000"/>
    <numFmt numFmtId="198" formatCode="0.0000000000000000%"/>
    <numFmt numFmtId="205" formatCode="mm/dd/yy\ hh:mm"/>
  </numFmts>
  <fonts count="86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10"/>
      <name val="MS Sans Serif"/>
      <family val="2"/>
    </font>
    <font>
      <b/>
      <sz val="10"/>
      <color indexed="8"/>
      <name val="Times New Roman"/>
      <family val="1"/>
    </font>
    <font>
      <sz val="8"/>
      <name val="Arial"/>
      <family val="2"/>
    </font>
    <font>
      <sz val="9"/>
      <name val="Times New Roman"/>
      <family val="1"/>
    </font>
    <font>
      <sz val="10"/>
      <color indexed="8"/>
      <name val="Times New Roman"/>
      <family val="1"/>
    </font>
    <font>
      <i/>
      <sz val="8"/>
      <name val="Times New Roman"/>
      <family val="1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sz val="10"/>
      <color indexed="8"/>
      <name val="MS Sans Serif"/>
      <family val="2"/>
    </font>
    <font>
      <sz val="11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i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4"/>
      <color indexed="9"/>
      <name val="Arial"/>
      <family val="2"/>
    </font>
    <font>
      <i/>
      <sz val="10"/>
      <color indexed="9"/>
      <name val="Arial"/>
      <family val="2"/>
    </font>
    <font>
      <u/>
      <sz val="10"/>
      <color indexed="9"/>
      <name val="Arial"/>
      <family val="2"/>
    </font>
    <font>
      <b/>
      <u/>
      <sz val="10"/>
      <color indexed="9"/>
      <name val="Arial"/>
      <family val="2"/>
    </font>
    <font>
      <b/>
      <u/>
      <sz val="10"/>
      <name val="Arial"/>
      <family val="2"/>
    </font>
    <font>
      <sz val="10"/>
      <color indexed="10"/>
      <name val="Arial"/>
      <family val="2"/>
    </font>
    <font>
      <sz val="10"/>
      <color indexed="14"/>
      <name val="Arial"/>
      <family val="2"/>
    </font>
    <font>
      <sz val="8"/>
      <color indexed="12"/>
      <name val="Arial"/>
      <family val="2"/>
    </font>
    <font>
      <b/>
      <sz val="10"/>
      <color indexed="14"/>
      <name val="Arial"/>
      <family val="2"/>
    </font>
    <font>
      <i/>
      <sz val="10"/>
      <name val="Arial"/>
      <family val="2"/>
    </font>
    <font>
      <sz val="8"/>
      <color indexed="17"/>
      <name val="Arial"/>
      <family val="2"/>
    </font>
    <font>
      <sz val="10"/>
      <color indexed="10"/>
      <name val="Arial"/>
      <family val="2"/>
    </font>
    <font>
      <sz val="12"/>
      <name val="Times New Roman"/>
      <family val="1"/>
    </font>
    <font>
      <b/>
      <sz val="10"/>
      <color indexed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4"/>
      <color indexed="12"/>
      <name val="Arial"/>
      <family val="2"/>
    </font>
    <font>
      <sz val="10"/>
      <color indexed="55"/>
      <name val="Arial"/>
      <family val="2"/>
    </font>
    <font>
      <i/>
      <sz val="10"/>
      <color indexed="55"/>
      <name val="Arial"/>
      <family val="2"/>
    </font>
    <font>
      <b/>
      <i/>
      <sz val="10"/>
      <name val="Arial"/>
      <family val="2"/>
    </font>
    <font>
      <sz val="10"/>
      <color indexed="23"/>
      <name val="Arial"/>
      <family val="2"/>
    </font>
    <font>
      <b/>
      <sz val="10"/>
      <color indexed="8"/>
      <name val="Arial"/>
      <family val="2"/>
    </font>
    <font>
      <sz val="10"/>
      <color indexed="14"/>
      <name val="Arial"/>
      <family val="2"/>
    </font>
    <font>
      <b/>
      <u/>
      <sz val="10"/>
      <color indexed="8"/>
      <name val="Arial"/>
      <family val="2"/>
    </font>
    <font>
      <b/>
      <sz val="10"/>
      <color indexed="23"/>
      <name val="Arial"/>
      <family val="2"/>
    </font>
    <font>
      <sz val="10"/>
      <color indexed="48"/>
      <name val="Arial"/>
      <family val="2"/>
    </font>
    <font>
      <i/>
      <sz val="10"/>
      <color indexed="14"/>
      <name val="Arial"/>
      <family val="2"/>
    </font>
    <font>
      <i/>
      <sz val="10"/>
      <color indexed="48"/>
      <name val="Arial"/>
      <family val="2"/>
    </font>
    <font>
      <b/>
      <i/>
      <sz val="10"/>
      <color indexed="14"/>
      <name val="Arial"/>
      <family val="2"/>
    </font>
    <font>
      <sz val="9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MS Sans Serif"/>
      <family val="2"/>
    </font>
    <font>
      <b/>
      <sz val="10"/>
      <color indexed="8"/>
      <name val="Times New Roman"/>
      <family val="1"/>
    </font>
    <font>
      <sz val="10"/>
      <color indexed="8"/>
      <name val="Times New Roman"/>
      <family val="1"/>
    </font>
    <font>
      <sz val="10"/>
      <color indexed="47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sz val="10"/>
      <color theme="0" tint="-0.249977111117893"/>
      <name val="Arial"/>
      <family val="2"/>
    </font>
    <font>
      <u/>
      <sz val="10"/>
      <color theme="0"/>
      <name val="Arial"/>
      <family val="2"/>
    </font>
    <font>
      <sz val="10"/>
      <color theme="1"/>
      <name val="Arial"/>
      <family val="2"/>
    </font>
    <font>
      <sz val="10"/>
      <name val="Courier"/>
      <family val="3"/>
    </font>
    <font>
      <sz val="10"/>
      <color rgb="FF000000"/>
      <name val="Arial"/>
      <family val="2"/>
    </font>
    <font>
      <b/>
      <sz val="12"/>
      <color rgb="FF000080"/>
      <name val="Arial"/>
      <family val="2"/>
    </font>
    <font>
      <sz val="14"/>
      <name val="Arial"/>
      <family val="2"/>
    </font>
    <font>
      <u/>
      <sz val="14"/>
      <name val="Arial"/>
      <family val="2"/>
    </font>
    <font>
      <b/>
      <u/>
      <sz val="14"/>
      <color indexed="10"/>
      <name val="Arial"/>
      <family val="2"/>
    </font>
    <font>
      <b/>
      <sz val="18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26"/>
      </patternFill>
    </fill>
    <fill>
      <patternFill patternType="solid">
        <fgColor indexed="54"/>
      </patternFill>
    </fill>
    <fill>
      <patternFill patternType="solid">
        <fgColor indexed="45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5"/>
        <bgColor indexed="64"/>
      </patternFill>
    </fill>
  </fills>
  <borders count="2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8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78">
    <xf numFmtId="0" fontId="0" fillId="0" borderId="0"/>
    <xf numFmtId="0" fontId="1" fillId="0" borderId="0"/>
    <xf numFmtId="0" fontId="16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8" fillId="0" borderId="0"/>
    <xf numFmtId="0" fontId="69" fillId="0" borderId="0"/>
    <xf numFmtId="0" fontId="8" fillId="0" borderId="0"/>
    <xf numFmtId="0" fontId="69" fillId="0" borderId="0"/>
    <xf numFmtId="0" fontId="37" fillId="2" borderId="0" applyNumberFormat="0" applyBorder="0" applyAlignment="0" applyProtection="0"/>
    <xf numFmtId="0" fontId="37" fillId="3" borderId="0" applyNumberFormat="0" applyBorder="0" applyAlignment="0" applyProtection="0"/>
    <xf numFmtId="0" fontId="37" fillId="4" borderId="0" applyNumberFormat="0" applyBorder="0" applyAlignment="0" applyProtection="0"/>
    <xf numFmtId="0" fontId="37" fillId="2" borderId="0" applyNumberFormat="0" applyBorder="0" applyAlignment="0" applyProtection="0"/>
    <xf numFmtId="0" fontId="37" fillId="5" borderId="0" applyNumberFormat="0" applyBorder="0" applyAlignment="0" applyProtection="0"/>
    <xf numFmtId="0" fontId="37" fillId="4" borderId="0" applyNumberFormat="0" applyBorder="0" applyAlignment="0" applyProtection="0"/>
    <xf numFmtId="0" fontId="37" fillId="6" borderId="0" applyNumberFormat="0" applyBorder="0" applyAlignment="0" applyProtection="0"/>
    <xf numFmtId="0" fontId="37" fillId="3" borderId="0" applyNumberFormat="0" applyBorder="0" applyAlignment="0" applyProtection="0"/>
    <xf numFmtId="0" fontId="37" fillId="4" borderId="0" applyNumberFormat="0" applyBorder="0" applyAlignment="0" applyProtection="0"/>
    <xf numFmtId="0" fontId="37" fillId="6" borderId="0" applyNumberFormat="0" applyBorder="0" applyAlignment="0" applyProtection="0"/>
    <xf numFmtId="0" fontId="37" fillId="7" borderId="0" applyNumberFormat="0" applyBorder="0" applyAlignment="0" applyProtection="0"/>
    <xf numFmtId="0" fontId="37" fillId="4" borderId="0" applyNumberFormat="0" applyBorder="0" applyAlignment="0" applyProtection="0"/>
    <xf numFmtId="0" fontId="38" fillId="8" borderId="0" applyNumberFormat="0" applyBorder="0" applyAlignment="0" applyProtection="0"/>
    <xf numFmtId="0" fontId="38" fillId="3" borderId="0" applyNumberFormat="0" applyBorder="0" applyAlignment="0" applyProtection="0"/>
    <xf numFmtId="0" fontId="38" fillId="9" borderId="0" applyNumberFormat="0" applyBorder="0" applyAlignment="0" applyProtection="0"/>
    <xf numFmtId="0" fontId="38" fillId="6" borderId="0" applyNumberFormat="0" applyBorder="0" applyAlignment="0" applyProtection="0"/>
    <xf numFmtId="0" fontId="38" fillId="8" borderId="0" applyNumberFormat="0" applyBorder="0" applyAlignment="0" applyProtection="0"/>
    <xf numFmtId="0" fontId="38" fillId="4" borderId="0" applyNumberFormat="0" applyBorder="0" applyAlignment="0" applyProtection="0"/>
    <xf numFmtId="0" fontId="38" fillId="8" borderId="0" applyNumberFormat="0" applyBorder="0" applyAlignment="0" applyProtection="0"/>
    <xf numFmtId="0" fontId="38" fillId="3" borderId="0" applyNumberFormat="0" applyBorder="0" applyAlignment="0" applyProtection="0"/>
    <xf numFmtId="0" fontId="38" fillId="9" borderId="0" applyNumberFormat="0" applyBorder="0" applyAlignment="0" applyProtection="0"/>
    <xf numFmtId="0" fontId="38" fillId="10" borderId="0" applyNumberFormat="0" applyBorder="0" applyAlignment="0" applyProtection="0"/>
    <xf numFmtId="0" fontId="38" fillId="8" borderId="0" applyNumberFormat="0" applyBorder="0" applyAlignment="0" applyProtection="0"/>
    <xf numFmtId="0" fontId="38" fillId="3" borderId="0" applyNumberFormat="0" applyBorder="0" applyAlignment="0" applyProtection="0"/>
    <xf numFmtId="0" fontId="39" fillId="11" borderId="0" applyNumberFormat="0" applyBorder="0" applyAlignment="0" applyProtection="0"/>
    <xf numFmtId="0" fontId="9" fillId="0" borderId="0"/>
    <xf numFmtId="0" fontId="70" fillId="0" borderId="0"/>
    <xf numFmtId="0" fontId="40" fillId="12" borderId="1" applyNumberFormat="0" applyAlignment="0" applyProtection="0"/>
    <xf numFmtId="0" fontId="41" fillId="13" borderId="2" applyNumberFormat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73" fillId="0" borderId="0" applyFont="0" applyFill="0" applyBorder="0" applyAlignment="0" applyProtection="0"/>
    <xf numFmtId="192" fontId="1" fillId="0" borderId="0" applyFont="0" applyFill="0" applyBorder="0" applyAlignment="0" applyProtection="0"/>
    <xf numFmtId="0" fontId="42" fillId="0" borderId="0" applyNumberFormat="0" applyFill="0" applyBorder="0" applyAlignment="0" applyProtection="0"/>
    <xf numFmtId="191" fontId="33" fillId="0" borderId="0"/>
    <xf numFmtId="0" fontId="43" fillId="14" borderId="0" applyNumberFormat="0" applyBorder="0" applyAlignment="0" applyProtection="0"/>
    <xf numFmtId="0" fontId="44" fillId="0" borderId="3" applyNumberFormat="0" applyFill="0" applyAlignment="0" applyProtection="0"/>
    <xf numFmtId="0" fontId="45" fillId="0" borderId="4" applyNumberFormat="0" applyFill="0" applyAlignment="0" applyProtection="0"/>
    <xf numFmtId="0" fontId="46" fillId="0" borderId="5" applyNumberFormat="0" applyFill="0" applyAlignment="0" applyProtection="0"/>
    <xf numFmtId="0" fontId="46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191" fontId="30" fillId="15" borderId="0"/>
    <xf numFmtId="0" fontId="47" fillId="0" borderId="6" applyNumberFormat="0" applyFill="0" applyAlignment="0" applyProtection="0"/>
    <xf numFmtId="0" fontId="48" fillId="4" borderId="0" applyNumberFormat="0" applyBorder="0" applyAlignment="0" applyProtection="0"/>
    <xf numFmtId="0" fontId="2" fillId="0" borderId="0"/>
    <xf numFmtId="0" fontId="1" fillId="0" borderId="0">
      <alignment horizontal="left" vertical="top" wrapText="1"/>
    </xf>
    <xf numFmtId="0" fontId="66" fillId="0" borderId="0"/>
    <xf numFmtId="0" fontId="1" fillId="0" borderId="0"/>
    <xf numFmtId="0" fontId="1" fillId="4" borderId="7" applyNumberFormat="0" applyFont="0" applyAlignment="0" applyProtection="0"/>
    <xf numFmtId="0" fontId="49" fillId="12" borderId="8" applyNumberFormat="0" applyAlignment="0" applyProtection="0"/>
    <xf numFmtId="0" fontId="11" fillId="0" borderId="0">
      <alignment vertical="center"/>
    </xf>
    <xf numFmtId="9" fontId="2" fillId="0" borderId="0" applyFont="0" applyFill="0" applyBorder="0" applyAlignment="0" applyProtection="0"/>
    <xf numFmtId="0" fontId="7" fillId="16" borderId="0" applyNumberFormat="0" applyFont="0" applyBorder="0" applyAlignment="0" applyProtection="0"/>
    <xf numFmtId="0" fontId="2" fillId="16" borderId="0" applyNumberFormat="0" applyFont="0" applyBorder="0" applyAlignment="0" applyProtection="0"/>
    <xf numFmtId="0" fontId="12" fillId="0" borderId="0"/>
    <xf numFmtId="0" fontId="71" fillId="0" borderId="0"/>
    <xf numFmtId="0" fontId="12" fillId="0" borderId="9">
      <alignment horizontal="centerContinuous"/>
    </xf>
    <xf numFmtId="0" fontId="71" fillId="0" borderId="9">
      <alignment horizontal="centerContinuous"/>
    </xf>
    <xf numFmtId="0" fontId="13" fillId="0" borderId="9"/>
    <xf numFmtId="0" fontId="1" fillId="0" borderId="0">
      <alignment vertical="top"/>
    </xf>
    <xf numFmtId="0" fontId="1" fillId="0" borderId="0">
      <alignment vertical="top"/>
    </xf>
    <xf numFmtId="0" fontId="50" fillId="0" borderId="0" applyNumberFormat="0" applyFill="0" applyBorder="0" applyAlignment="0" applyProtection="0"/>
    <xf numFmtId="0" fontId="51" fillId="0" borderId="10" applyNumberFormat="0" applyFill="0" applyAlignment="0" applyProtection="0"/>
    <xf numFmtId="0" fontId="52" fillId="0" borderId="0" applyNumberFormat="0" applyFill="0" applyBorder="0" applyAlignment="0" applyProtection="0"/>
    <xf numFmtId="0" fontId="1" fillId="0" borderId="0"/>
    <xf numFmtId="0" fontId="1" fillId="16" borderId="0" applyNumberFormat="0" applyFont="0" applyBorder="0" applyAlignment="0" applyProtection="0"/>
    <xf numFmtId="44" fontId="1" fillId="0" borderId="0" applyFont="0" applyFill="0" applyBorder="0" applyAlignment="0" applyProtection="0"/>
    <xf numFmtId="0" fontId="79" fillId="0" borderId="0"/>
  </cellStyleXfs>
  <cellXfs count="679">
    <xf numFmtId="0" fontId="0" fillId="0" borderId="0" xfId="0"/>
    <xf numFmtId="0" fontId="4" fillId="0" borderId="0" xfId="0" applyFont="1"/>
    <xf numFmtId="49" fontId="0" fillId="0" borderId="0" xfId="0" applyNumberFormat="1"/>
    <xf numFmtId="0" fontId="7" fillId="17" borderId="0" xfId="0" applyFont="1" applyFill="1"/>
    <xf numFmtId="0" fontId="23" fillId="19" borderId="0" xfId="57" applyFont="1" applyFill="1" applyBorder="1"/>
    <xf numFmtId="0" fontId="18" fillId="19" borderId="0" xfId="57" applyFont="1" applyFill="1" applyBorder="1"/>
    <xf numFmtId="0" fontId="19" fillId="19" borderId="0" xfId="57" applyFont="1" applyFill="1" applyBorder="1"/>
    <xf numFmtId="0" fontId="0" fillId="19" borderId="0" xfId="0" applyFill="1"/>
    <xf numFmtId="0" fontId="19" fillId="19" borderId="0" xfId="0" applyFont="1" applyFill="1"/>
    <xf numFmtId="0" fontId="24" fillId="19" borderId="0" xfId="57" applyFont="1" applyFill="1" applyBorder="1"/>
    <xf numFmtId="0" fontId="25" fillId="19" borderId="0" xfId="50" applyFont="1" applyFill="1"/>
    <xf numFmtId="0" fontId="26" fillId="19" borderId="0" xfId="50" applyFont="1" applyFill="1"/>
    <xf numFmtId="0" fontId="21" fillId="19" borderId="0" xfId="0" applyFont="1" applyFill="1"/>
    <xf numFmtId="0" fontId="14" fillId="0" borderId="0" xfId="0" applyFont="1"/>
    <xf numFmtId="0" fontId="27" fillId="0" borderId="0" xfId="0" applyFont="1"/>
    <xf numFmtId="164" fontId="28" fillId="0" borderId="0" xfId="0" applyNumberFormat="1" applyFont="1" applyFill="1" applyAlignment="1">
      <alignment horizontal="center"/>
    </xf>
    <xf numFmtId="164" fontId="28" fillId="0" borderId="0" xfId="0" applyNumberFormat="1" applyFont="1" applyAlignment="1">
      <alignment horizontal="center"/>
    </xf>
    <xf numFmtId="167" fontId="4" fillId="0" borderId="0" xfId="0" applyNumberFormat="1" applyFont="1" applyAlignment="1">
      <alignment horizontal="center"/>
    </xf>
    <xf numFmtId="0" fontId="4" fillId="0" borderId="12" xfId="0" applyFont="1" applyBorder="1"/>
    <xf numFmtId="3" fontId="4" fillId="0" borderId="0" xfId="0" applyNumberFormat="1" applyFont="1" applyFill="1" applyAlignment="1">
      <alignment horizontal="center"/>
    </xf>
    <xf numFmtId="164" fontId="0" fillId="0" borderId="0" xfId="0" applyNumberFormat="1"/>
    <xf numFmtId="165" fontId="29" fillId="0" borderId="0" xfId="0" applyNumberFormat="1" applyFont="1" applyFill="1" applyAlignment="1">
      <alignment horizontal="center"/>
    </xf>
    <xf numFmtId="0" fontId="4" fillId="0" borderId="11" xfId="0" applyFont="1" applyBorder="1"/>
    <xf numFmtId="9" fontId="0" fillId="0" borderId="0" xfId="0" applyNumberFormat="1"/>
    <xf numFmtId="164" fontId="1" fillId="0" borderId="0" xfId="61" applyNumberFormat="1" applyFont="1"/>
    <xf numFmtId="0" fontId="7" fillId="0" borderId="0" xfId="0" applyFont="1"/>
    <xf numFmtId="0" fontId="7" fillId="0" borderId="0" xfId="0" applyFont="1" applyBorder="1"/>
    <xf numFmtId="167" fontId="7" fillId="0" borderId="0" xfId="0" applyNumberFormat="1" applyFont="1"/>
    <xf numFmtId="0" fontId="4" fillId="0" borderId="0" xfId="0" applyFont="1" applyBorder="1"/>
    <xf numFmtId="164" fontId="7" fillId="0" borderId="0" xfId="0" applyNumberFormat="1" applyFont="1" applyBorder="1"/>
    <xf numFmtId="0" fontId="7" fillId="0" borderId="12" xfId="0" applyFont="1" applyBorder="1"/>
    <xf numFmtId="167" fontId="4" fillId="0" borderId="12" xfId="0" applyNumberFormat="1" applyFont="1" applyBorder="1"/>
    <xf numFmtId="164" fontId="7" fillId="0" borderId="0" xfId="61" applyNumberFormat="1" applyFont="1"/>
    <xf numFmtId="164" fontId="7" fillId="0" borderId="0" xfId="0" applyNumberFormat="1" applyFont="1"/>
    <xf numFmtId="164" fontId="7" fillId="0" borderId="0" xfId="61" applyNumberFormat="1" applyFont="1" applyBorder="1"/>
    <xf numFmtId="164" fontId="29" fillId="0" borderId="0" xfId="0" applyNumberFormat="1" applyFont="1" applyAlignment="1">
      <alignment horizontal="center"/>
    </xf>
    <xf numFmtId="165" fontId="1" fillId="0" borderId="0" xfId="0" applyNumberFormat="1" applyFont="1" applyAlignment="1">
      <alignment horizontal="center"/>
    </xf>
    <xf numFmtId="0" fontId="32" fillId="0" borderId="0" xfId="0" applyFont="1"/>
    <xf numFmtId="0" fontId="53" fillId="0" borderId="0" xfId="0" applyFont="1"/>
    <xf numFmtId="164" fontId="7" fillId="0" borderId="0" xfId="61" applyNumberFormat="1" applyFont="1" applyFill="1"/>
    <xf numFmtId="0" fontId="7" fillId="0" borderId="0" xfId="0" applyFont="1" applyAlignment="1">
      <alignment horizontal="center"/>
    </xf>
    <xf numFmtId="9" fontId="7" fillId="0" borderId="0" xfId="0" applyNumberFormat="1" applyFont="1"/>
    <xf numFmtId="171" fontId="7" fillId="0" borderId="0" xfId="39" applyNumberFormat="1" applyFont="1"/>
    <xf numFmtId="164" fontId="7" fillId="17" borderId="0" xfId="61" applyNumberFormat="1" applyFont="1" applyFill="1"/>
    <xf numFmtId="164" fontId="4" fillId="0" borderId="0" xfId="0" applyNumberFormat="1" applyFont="1"/>
    <xf numFmtId="167" fontId="32" fillId="0" borderId="0" xfId="0" applyNumberFormat="1" applyFont="1"/>
    <xf numFmtId="0" fontId="32" fillId="0" borderId="12" xfId="0" applyFont="1" applyBorder="1"/>
    <xf numFmtId="0" fontId="32" fillId="0" borderId="0" xfId="0" applyFont="1" applyBorder="1"/>
    <xf numFmtId="165" fontId="7" fillId="0" borderId="0" xfId="0" applyNumberFormat="1" applyFont="1"/>
    <xf numFmtId="1" fontId="7" fillId="0" borderId="0" xfId="0" applyNumberFormat="1" applyFont="1"/>
    <xf numFmtId="10" fontId="57" fillId="0" borderId="0" xfId="0" applyNumberFormat="1" applyFont="1" applyAlignment="1">
      <alignment vertical="top"/>
    </xf>
    <xf numFmtId="167" fontId="58" fillId="18" borderId="0" xfId="0" applyNumberFormat="1" applyFont="1" applyFill="1" applyAlignment="1">
      <alignment horizontal="center"/>
    </xf>
    <xf numFmtId="164" fontId="58" fillId="18" borderId="0" xfId="61" applyNumberFormat="1" applyFont="1" applyFill="1" applyAlignment="1">
      <alignment horizontal="center"/>
    </xf>
    <xf numFmtId="0" fontId="58" fillId="0" borderId="13" xfId="0" applyFont="1" applyBorder="1"/>
    <xf numFmtId="17" fontId="4" fillId="0" borderId="13" xfId="0" applyNumberFormat="1" applyFont="1" applyBorder="1" applyAlignment="1">
      <alignment horizontal="center"/>
    </xf>
    <xf numFmtId="17" fontId="58" fillId="0" borderId="13" xfId="0" applyNumberFormat="1" applyFont="1" applyBorder="1" applyAlignment="1">
      <alignment horizontal="center"/>
    </xf>
    <xf numFmtId="0" fontId="4" fillId="18" borderId="13" xfId="0" applyFont="1" applyFill="1" applyBorder="1" applyAlignment="1">
      <alignment horizontal="center"/>
    </xf>
    <xf numFmtId="17" fontId="4" fillId="0" borderId="13" xfId="0" applyNumberFormat="1" applyFont="1" applyFill="1" applyBorder="1" applyAlignment="1">
      <alignment horizontal="center"/>
    </xf>
    <xf numFmtId="17" fontId="58" fillId="0" borderId="13" xfId="0" applyNumberFormat="1" applyFont="1" applyFill="1" applyBorder="1" applyAlignment="1">
      <alignment horizontal="center"/>
    </xf>
    <xf numFmtId="0" fontId="58" fillId="0" borderId="0" xfId="0" applyFont="1"/>
    <xf numFmtId="167" fontId="58" fillId="0" borderId="0" xfId="0" applyNumberFormat="1" applyFont="1" applyAlignment="1">
      <alignment horizontal="center"/>
    </xf>
    <xf numFmtId="167" fontId="58" fillId="0" borderId="0" xfId="0" applyNumberFormat="1" applyFont="1" applyFill="1" applyAlignment="1">
      <alignment horizontal="center"/>
    </xf>
    <xf numFmtId="167" fontId="58" fillId="17" borderId="0" xfId="0" applyNumberFormat="1" applyFont="1" applyFill="1" applyAlignment="1">
      <alignment horizontal="center"/>
    </xf>
    <xf numFmtId="0" fontId="22" fillId="0" borderId="0" xfId="0" applyFont="1"/>
    <xf numFmtId="167" fontId="4" fillId="0" borderId="0" xfId="0" applyNumberFormat="1" applyFont="1"/>
    <xf numFmtId="0" fontId="20" fillId="0" borderId="0" xfId="0" applyFont="1"/>
    <xf numFmtId="165" fontId="14" fillId="18" borderId="0" xfId="0" applyNumberFormat="1" applyFont="1" applyFill="1" applyAlignment="1">
      <alignment horizontal="center"/>
    </xf>
    <xf numFmtId="165" fontId="58" fillId="0" borderId="0" xfId="0" applyNumberFormat="1" applyFont="1" applyAlignment="1">
      <alignment horizontal="center"/>
    </xf>
    <xf numFmtId="165" fontId="58" fillId="18" borderId="0" xfId="0" applyNumberFormat="1" applyFont="1" applyFill="1" applyAlignment="1">
      <alignment horizontal="center"/>
    </xf>
    <xf numFmtId="165" fontId="58" fillId="0" borderId="0" xfId="0" applyNumberFormat="1" applyFont="1" applyFill="1" applyAlignment="1">
      <alignment horizontal="center"/>
    </xf>
    <xf numFmtId="4" fontId="14" fillId="0" borderId="0" xfId="0" applyNumberFormat="1" applyFont="1" applyAlignment="1">
      <alignment horizontal="center"/>
    </xf>
    <xf numFmtId="8" fontId="58" fillId="0" borderId="0" xfId="0" applyNumberFormat="1" applyFont="1" applyAlignment="1">
      <alignment horizontal="center"/>
    </xf>
    <xf numFmtId="8" fontId="58" fillId="18" borderId="0" xfId="0" applyNumberFormat="1" applyFont="1" applyFill="1" applyAlignment="1">
      <alignment horizontal="center"/>
    </xf>
    <xf numFmtId="8" fontId="14" fillId="0" borderId="0" xfId="0" applyNumberFormat="1" applyFont="1" applyAlignment="1">
      <alignment horizontal="center"/>
    </xf>
    <xf numFmtId="8" fontId="14" fillId="18" borderId="0" xfId="0" applyNumberFormat="1" applyFont="1" applyFill="1" applyAlignment="1">
      <alignment horizontal="center"/>
    </xf>
    <xf numFmtId="8" fontId="36" fillId="0" borderId="0" xfId="0" applyNumberFormat="1" applyFont="1" applyAlignment="1">
      <alignment horizontal="center"/>
    </xf>
    <xf numFmtId="8" fontId="36" fillId="18" borderId="0" xfId="0" applyNumberFormat="1" applyFont="1" applyFill="1" applyAlignment="1">
      <alignment horizontal="center"/>
    </xf>
    <xf numFmtId="164" fontId="14" fillId="0" borderId="0" xfId="61" applyNumberFormat="1" applyFont="1" applyAlignment="1">
      <alignment horizontal="center"/>
    </xf>
    <xf numFmtId="167" fontId="15" fillId="0" borderId="0" xfId="0" applyNumberFormat="1" applyFont="1" applyAlignment="1">
      <alignment horizontal="center"/>
    </xf>
    <xf numFmtId="164" fontId="14" fillId="18" borderId="0" xfId="61" applyNumberFormat="1" applyFont="1" applyFill="1" applyAlignment="1">
      <alignment horizontal="center"/>
    </xf>
    <xf numFmtId="41" fontId="4" fillId="0" borderId="0" xfId="0" applyNumberFormat="1" applyFont="1"/>
    <xf numFmtId="165" fontId="4" fillId="0" borderId="0" xfId="0" applyNumberFormat="1" applyFont="1" applyFill="1" applyAlignment="1">
      <alignment horizontal="center"/>
    </xf>
    <xf numFmtId="164" fontId="58" fillId="0" borderId="0" xfId="61" applyNumberFormat="1" applyFont="1" applyFill="1" applyAlignment="1">
      <alignment horizontal="center"/>
    </xf>
    <xf numFmtId="164" fontId="58" fillId="0" borderId="0" xfId="61" applyNumberFormat="1" applyFont="1" applyAlignment="1">
      <alignment horizontal="center"/>
    </xf>
    <xf numFmtId="164" fontId="14" fillId="17" borderId="0" xfId="61" applyNumberFormat="1" applyFont="1" applyFill="1" applyAlignment="1">
      <alignment horizontal="center"/>
    </xf>
    <xf numFmtId="164" fontId="14" fillId="0" borderId="0" xfId="61" applyNumberFormat="1" applyFont="1" applyFill="1" applyAlignment="1">
      <alignment horizontal="center"/>
    </xf>
    <xf numFmtId="17" fontId="58" fillId="17" borderId="13" xfId="0" applyNumberFormat="1" applyFont="1" applyFill="1" applyBorder="1" applyAlignment="1">
      <alignment horizontal="center"/>
    </xf>
    <xf numFmtId="9" fontId="36" fillId="0" borderId="0" xfId="0" applyNumberFormat="1" applyFont="1" applyAlignment="1">
      <alignment horizontal="center"/>
    </xf>
    <xf numFmtId="9" fontId="36" fillId="18" borderId="0" xfId="0" applyNumberFormat="1" applyFont="1" applyFill="1" applyAlignment="1">
      <alignment horizontal="center"/>
    </xf>
    <xf numFmtId="165" fontId="36" fillId="0" borderId="0" xfId="0" applyNumberFormat="1" applyFont="1" applyAlignment="1">
      <alignment horizontal="center"/>
    </xf>
    <xf numFmtId="165" fontId="36" fillId="0" borderId="0" xfId="0" applyNumberFormat="1" applyFont="1" applyFill="1" applyAlignment="1">
      <alignment horizontal="center"/>
    </xf>
    <xf numFmtId="167" fontId="58" fillId="0" borderId="0" xfId="0" applyNumberFormat="1" applyFont="1"/>
    <xf numFmtId="167" fontId="4" fillId="0" borderId="0" xfId="0" applyNumberFormat="1" applyFont="1" applyFill="1" applyAlignment="1">
      <alignment horizontal="center"/>
    </xf>
    <xf numFmtId="167" fontId="4" fillId="17" borderId="0" xfId="0" applyNumberFormat="1" applyFont="1" applyFill="1" applyAlignment="1">
      <alignment horizontal="center"/>
    </xf>
    <xf numFmtId="167" fontId="4" fillId="0" borderId="0" xfId="0" applyNumberFormat="1" applyFont="1" applyBorder="1"/>
    <xf numFmtId="167" fontId="4" fillId="0" borderId="11" xfId="0" applyNumberFormat="1" applyFont="1" applyBorder="1" applyAlignment="1">
      <alignment horizontal="center"/>
    </xf>
    <xf numFmtId="167" fontId="58" fillId="18" borderId="11" xfId="0" applyNumberFormat="1" applyFont="1" applyFill="1" applyBorder="1" applyAlignment="1">
      <alignment horizontal="center"/>
    </xf>
    <xf numFmtId="167" fontId="58" fillId="0" borderId="11" xfId="0" applyNumberFormat="1" applyFont="1" applyBorder="1" applyAlignment="1">
      <alignment horizontal="center"/>
    </xf>
    <xf numFmtId="167" fontId="58" fillId="0" borderId="11" xfId="0" applyNumberFormat="1" applyFont="1" applyFill="1" applyBorder="1" applyAlignment="1">
      <alignment horizontal="center"/>
    </xf>
    <xf numFmtId="167" fontId="4" fillId="0" borderId="11" xfId="0" applyNumberFormat="1" applyFont="1" applyFill="1" applyBorder="1" applyAlignment="1">
      <alignment horizontal="center"/>
    </xf>
    <xf numFmtId="167" fontId="58" fillId="17" borderId="11" xfId="0" applyNumberFormat="1" applyFont="1" applyFill="1" applyBorder="1" applyAlignment="1">
      <alignment horizontal="center"/>
    </xf>
    <xf numFmtId="167" fontId="4" fillId="17" borderId="11" xfId="0" applyNumberFormat="1" applyFont="1" applyFill="1" applyBorder="1" applyAlignment="1">
      <alignment horizontal="center"/>
    </xf>
    <xf numFmtId="167" fontId="20" fillId="0" borderId="0" xfId="0" applyNumberFormat="1" applyFont="1" applyAlignment="1">
      <alignment horizontal="center"/>
    </xf>
    <xf numFmtId="167" fontId="32" fillId="0" borderId="0" xfId="0" applyNumberFormat="1" applyFont="1" applyAlignment="1">
      <alignment horizontal="center"/>
    </xf>
    <xf numFmtId="167" fontId="20" fillId="18" borderId="0" xfId="0" applyNumberFormat="1" applyFont="1" applyFill="1" applyAlignment="1">
      <alignment horizontal="center"/>
    </xf>
    <xf numFmtId="167" fontId="20" fillId="0" borderId="0" xfId="0" applyNumberFormat="1" applyFont="1" applyFill="1" applyAlignment="1">
      <alignment horizontal="center"/>
    </xf>
    <xf numFmtId="167" fontId="32" fillId="0" borderId="0" xfId="0" applyNumberFormat="1" applyFont="1" applyFill="1" applyAlignment="1">
      <alignment horizontal="center"/>
    </xf>
    <xf numFmtId="167" fontId="20" fillId="17" borderId="0" xfId="0" applyNumberFormat="1" applyFont="1" applyFill="1" applyAlignment="1">
      <alignment horizontal="center"/>
    </xf>
    <xf numFmtId="0" fontId="58" fillId="0" borderId="0" xfId="69" applyFont="1" applyBorder="1" applyAlignment="1"/>
    <xf numFmtId="0" fontId="60" fillId="0" borderId="0" xfId="0" applyFont="1"/>
    <xf numFmtId="0" fontId="58" fillId="0" borderId="0" xfId="69" applyFont="1" applyAlignment="1"/>
    <xf numFmtId="0" fontId="58" fillId="0" borderId="14" xfId="0" applyFont="1" applyBorder="1"/>
    <xf numFmtId="17" fontId="58" fillId="0" borderId="14" xfId="0" applyNumberFormat="1" applyFont="1" applyBorder="1" applyAlignment="1">
      <alignment horizontal="center"/>
    </xf>
    <xf numFmtId="0" fontId="58" fillId="18" borderId="14" xfId="0" applyFont="1" applyFill="1" applyBorder="1" applyAlignment="1">
      <alignment horizontal="center"/>
    </xf>
    <xf numFmtId="17" fontId="58" fillId="0" borderId="14" xfId="0" applyNumberFormat="1" applyFont="1" applyFill="1" applyBorder="1" applyAlignment="1">
      <alignment horizontal="center"/>
    </xf>
    <xf numFmtId="164" fontId="4" fillId="17" borderId="0" xfId="61" applyNumberFormat="1" applyFont="1" applyFill="1" applyBorder="1"/>
    <xf numFmtId="164" fontId="7" fillId="17" borderId="0" xfId="61" applyNumberFormat="1" applyFont="1" applyFill="1" applyBorder="1"/>
    <xf numFmtId="164" fontId="7" fillId="0" borderId="0" xfId="61" applyNumberFormat="1" applyFont="1" applyFill="1" applyBorder="1"/>
    <xf numFmtId="0" fontId="4" fillId="0" borderId="14" xfId="0" applyFont="1" applyBorder="1"/>
    <xf numFmtId="17" fontId="4" fillId="0" borderId="14" xfId="0" applyNumberFormat="1" applyFont="1" applyFill="1" applyBorder="1" applyAlignment="1">
      <alignment horizontal="center"/>
    </xf>
    <xf numFmtId="0" fontId="4" fillId="18" borderId="14" xfId="0" applyFont="1" applyFill="1" applyBorder="1" applyAlignment="1">
      <alignment horizontal="center"/>
    </xf>
    <xf numFmtId="17" fontId="4" fillId="17" borderId="14" xfId="0" applyNumberFormat="1" applyFont="1" applyFill="1" applyBorder="1" applyAlignment="1">
      <alignment horizontal="center"/>
    </xf>
    <xf numFmtId="167" fontId="4" fillId="18" borderId="12" xfId="0" applyNumberFormat="1" applyFont="1" applyFill="1" applyBorder="1"/>
    <xf numFmtId="167" fontId="4" fillId="17" borderId="12" xfId="0" applyNumberFormat="1" applyFont="1" applyFill="1" applyBorder="1"/>
    <xf numFmtId="0" fontId="7" fillId="0" borderId="0" xfId="0" applyFont="1" applyFill="1" applyAlignment="1">
      <alignment horizontal="left" indent="1"/>
    </xf>
    <xf numFmtId="164" fontId="7" fillId="18" borderId="0" xfId="61" applyNumberFormat="1" applyFont="1" applyFill="1"/>
    <xf numFmtId="164" fontId="62" fillId="0" borderId="0" xfId="61" applyNumberFormat="1" applyFont="1" applyFill="1" applyBorder="1"/>
    <xf numFmtId="164" fontId="62" fillId="18" borderId="0" xfId="61" applyNumberFormat="1" applyFont="1" applyFill="1" applyBorder="1"/>
    <xf numFmtId="164" fontId="62" fillId="0" borderId="0" xfId="61" applyNumberFormat="1" applyFont="1" applyBorder="1"/>
    <xf numFmtId="0" fontId="7" fillId="0" borderId="0" xfId="0" applyFont="1" applyAlignment="1">
      <alignment horizontal="left" indent="1"/>
    </xf>
    <xf numFmtId="164" fontId="59" fillId="0" borderId="0" xfId="61" applyNumberFormat="1" applyFont="1"/>
    <xf numFmtId="164" fontId="62" fillId="18" borderId="0" xfId="61" applyNumberFormat="1" applyFont="1" applyFill="1"/>
    <xf numFmtId="164" fontId="62" fillId="0" borderId="0" xfId="61" applyNumberFormat="1" applyFont="1"/>
    <xf numFmtId="164" fontId="7" fillId="18" borderId="0" xfId="61" applyNumberFormat="1" applyFont="1" applyFill="1" applyBorder="1"/>
    <xf numFmtId="164" fontId="62" fillId="17" borderId="0" xfId="61" applyNumberFormat="1" applyFont="1" applyFill="1" applyBorder="1"/>
    <xf numFmtId="0" fontId="7" fillId="0" borderId="12" xfId="0" applyFont="1" applyBorder="1" applyAlignment="1">
      <alignment horizontal="left" indent="1"/>
    </xf>
    <xf numFmtId="164" fontId="7" fillId="0" borderId="12" xfId="61" applyNumberFormat="1" applyFont="1" applyBorder="1"/>
    <xf numFmtId="164" fontId="7" fillId="18" borderId="12" xfId="61" applyNumberFormat="1" applyFont="1" applyFill="1" applyBorder="1"/>
    <xf numFmtId="164" fontId="7" fillId="0" borderId="12" xfId="61" applyNumberFormat="1" applyFont="1" applyFill="1" applyBorder="1"/>
    <xf numFmtId="164" fontId="7" fillId="17" borderId="12" xfId="61" applyNumberFormat="1" applyFont="1" applyFill="1" applyBorder="1"/>
    <xf numFmtId="167" fontId="4" fillId="18" borderId="0" xfId="0" applyNumberFormat="1" applyFont="1" applyFill="1"/>
    <xf numFmtId="167" fontId="4" fillId="0" borderId="0" xfId="0" applyNumberFormat="1" applyFont="1" applyFill="1"/>
    <xf numFmtId="167" fontId="4" fillId="17" borderId="0" xfId="0" applyNumberFormat="1" applyFont="1" applyFill="1"/>
    <xf numFmtId="164" fontId="62" fillId="0" borderId="0" xfId="61" applyNumberFormat="1" applyFont="1" applyFill="1"/>
    <xf numFmtId="0" fontId="56" fillId="0" borderId="0" xfId="0" applyFont="1"/>
    <xf numFmtId="167" fontId="56" fillId="0" borderId="0" xfId="0" applyNumberFormat="1" applyFont="1"/>
    <xf numFmtId="167" fontId="56" fillId="18" borderId="0" xfId="0" applyNumberFormat="1" applyFont="1" applyFill="1"/>
    <xf numFmtId="167" fontId="56" fillId="0" borderId="0" xfId="0" applyNumberFormat="1" applyFont="1" applyFill="1"/>
    <xf numFmtId="167" fontId="4" fillId="18" borderId="0" xfId="0" applyNumberFormat="1" applyFont="1" applyFill="1" applyBorder="1"/>
    <xf numFmtId="167" fontId="56" fillId="17" borderId="0" xfId="0" applyNumberFormat="1" applyFont="1" applyFill="1"/>
    <xf numFmtId="0" fontId="32" fillId="0" borderId="0" xfId="0" applyFont="1" applyAlignment="1">
      <alignment horizontal="left" indent="1"/>
    </xf>
    <xf numFmtId="164" fontId="32" fillId="0" borderId="0" xfId="61" applyNumberFormat="1" applyFont="1"/>
    <xf numFmtId="164" fontId="32" fillId="18" borderId="0" xfId="61" applyNumberFormat="1" applyFont="1" applyFill="1" applyBorder="1"/>
    <xf numFmtId="164" fontId="32" fillId="0" borderId="0" xfId="61" applyNumberFormat="1" applyFont="1" applyFill="1" applyBorder="1"/>
    <xf numFmtId="164" fontId="32" fillId="0" borderId="0" xfId="61" applyNumberFormat="1" applyFont="1" applyBorder="1"/>
    <xf numFmtId="164" fontId="55" fillId="18" borderId="0" xfId="61" applyNumberFormat="1" applyFont="1" applyFill="1" applyBorder="1"/>
    <xf numFmtId="164" fontId="32" fillId="17" borderId="0" xfId="61" applyNumberFormat="1" applyFont="1" applyFill="1"/>
    <xf numFmtId="164" fontId="32" fillId="18" borderId="0" xfId="61" applyNumberFormat="1" applyFont="1" applyFill="1"/>
    <xf numFmtId="164" fontId="32" fillId="0" borderId="0" xfId="61" applyNumberFormat="1" applyFont="1" applyFill="1"/>
    <xf numFmtId="164" fontId="64" fillId="0" borderId="0" xfId="61" applyNumberFormat="1" applyFont="1" applyFill="1" applyBorder="1"/>
    <xf numFmtId="164" fontId="64" fillId="18" borderId="0" xfId="61" applyNumberFormat="1" applyFont="1" applyFill="1" applyBorder="1"/>
    <xf numFmtId="164" fontId="64" fillId="0" borderId="0" xfId="61" applyNumberFormat="1" applyFont="1" applyBorder="1"/>
    <xf numFmtId="164" fontId="32" fillId="17" borderId="0" xfId="61" applyNumberFormat="1" applyFont="1" applyFill="1" applyBorder="1"/>
    <xf numFmtId="164" fontId="63" fillId="0" borderId="0" xfId="61" applyNumberFormat="1" applyFont="1" applyFill="1" applyBorder="1"/>
    <xf numFmtId="164" fontId="55" fillId="0" borderId="0" xfId="61" applyNumberFormat="1" applyFont="1" applyFill="1" applyBorder="1"/>
    <xf numFmtId="164" fontId="63" fillId="18" borderId="0" xfId="61" applyNumberFormat="1" applyFont="1" applyFill="1" applyBorder="1"/>
    <xf numFmtId="0" fontId="32" fillId="0" borderId="12" xfId="0" applyFont="1" applyBorder="1" applyAlignment="1">
      <alignment horizontal="left" indent="1"/>
    </xf>
    <xf numFmtId="164" fontId="32" fillId="0" borderId="12" xfId="61" applyNumberFormat="1" applyFont="1" applyBorder="1"/>
    <xf numFmtId="164" fontId="32" fillId="18" borderId="12" xfId="61" applyNumberFormat="1" applyFont="1" applyFill="1" applyBorder="1"/>
    <xf numFmtId="164" fontId="32" fillId="0" borderId="12" xfId="61" applyNumberFormat="1" applyFont="1" applyFill="1" applyBorder="1"/>
    <xf numFmtId="164" fontId="32" fillId="17" borderId="12" xfId="61" applyNumberFormat="1" applyFont="1" applyFill="1" applyBorder="1"/>
    <xf numFmtId="164" fontId="64" fillId="0" borderId="0" xfId="61" applyNumberFormat="1" applyFont="1" applyFill="1"/>
    <xf numFmtId="167" fontId="65" fillId="0" borderId="0" xfId="0" applyNumberFormat="1" applyFont="1"/>
    <xf numFmtId="164" fontId="64" fillId="0" borderId="0" xfId="61" applyNumberFormat="1" applyFont="1"/>
    <xf numFmtId="164" fontId="59" fillId="17" borderId="0" xfId="61" applyNumberFormat="1" applyFont="1" applyFill="1" applyBorder="1"/>
    <xf numFmtId="164" fontId="59" fillId="0" borderId="0" xfId="61" applyNumberFormat="1" applyFont="1" applyFill="1" applyBorder="1"/>
    <xf numFmtId="164" fontId="59" fillId="18" borderId="0" xfId="61" applyNumberFormat="1" applyFont="1" applyFill="1" applyBorder="1"/>
    <xf numFmtId="167" fontId="31" fillId="0" borderId="0" xfId="0" applyNumberFormat="1" applyFont="1" applyFill="1"/>
    <xf numFmtId="164" fontId="54" fillId="18" borderId="0" xfId="61" applyNumberFormat="1" applyFont="1" applyFill="1" applyBorder="1"/>
    <xf numFmtId="164" fontId="54" fillId="0" borderId="0" xfId="61" applyNumberFormat="1" applyFont="1" applyFill="1" applyBorder="1"/>
    <xf numFmtId="164" fontId="54" fillId="0" borderId="0" xfId="61" applyNumberFormat="1" applyFont="1"/>
    <xf numFmtId="164" fontId="54" fillId="0" borderId="0" xfId="61" applyNumberFormat="1" applyFont="1" applyFill="1"/>
    <xf numFmtId="9" fontId="15" fillId="0" borderId="0" xfId="0" applyNumberFormat="1" applyFont="1"/>
    <xf numFmtId="164" fontId="59" fillId="0" borderId="0" xfId="61" applyNumberFormat="1" applyFont="1" applyBorder="1"/>
    <xf numFmtId="164" fontId="54" fillId="18" borderId="12" xfId="61" applyNumberFormat="1" applyFont="1" applyFill="1" applyBorder="1"/>
    <xf numFmtId="164" fontId="54" fillId="0" borderId="12" xfId="61" applyNumberFormat="1" applyFont="1" applyFill="1" applyBorder="1"/>
    <xf numFmtId="164" fontId="54" fillId="18" borderId="0" xfId="61" applyNumberFormat="1" applyFont="1" applyFill="1"/>
    <xf numFmtId="165" fontId="4" fillId="0" borderId="14" xfId="0" applyNumberFormat="1" applyFont="1" applyBorder="1"/>
    <xf numFmtId="165" fontId="7" fillId="0" borderId="14" xfId="0" applyNumberFormat="1" applyFont="1" applyBorder="1"/>
    <xf numFmtId="165" fontId="4" fillId="18" borderId="14" xfId="0" applyNumberFormat="1" applyFont="1" applyFill="1" applyBorder="1" applyAlignment="1">
      <alignment horizontal="center"/>
    </xf>
    <xf numFmtId="165" fontId="4" fillId="0" borderId="14" xfId="0" applyNumberFormat="1" applyFont="1" applyFill="1" applyBorder="1" applyAlignment="1">
      <alignment horizontal="center"/>
    </xf>
    <xf numFmtId="165" fontId="4" fillId="18" borderId="14" xfId="61" applyNumberFormat="1" applyFont="1" applyFill="1" applyBorder="1" applyAlignment="1">
      <alignment horizontal="center"/>
    </xf>
    <xf numFmtId="43" fontId="4" fillId="17" borderId="14" xfId="39" applyFont="1" applyFill="1" applyBorder="1" applyAlignment="1">
      <alignment horizontal="center"/>
    </xf>
    <xf numFmtId="176" fontId="4" fillId="0" borderId="14" xfId="39" applyNumberFormat="1" applyFont="1" applyFill="1" applyBorder="1" applyAlignment="1">
      <alignment horizontal="center"/>
    </xf>
    <xf numFmtId="43" fontId="36" fillId="0" borderId="14" xfId="39" applyFont="1" applyFill="1" applyBorder="1" applyAlignment="1">
      <alignment horizontal="center"/>
    </xf>
    <xf numFmtId="171" fontId="4" fillId="18" borderId="14" xfId="39" applyNumberFormat="1" applyFont="1" applyFill="1" applyBorder="1" applyAlignment="1">
      <alignment horizontal="center"/>
    </xf>
    <xf numFmtId="167" fontId="4" fillId="17" borderId="0" xfId="0" applyNumberFormat="1" applyFont="1" applyFill="1" applyBorder="1"/>
    <xf numFmtId="176" fontId="36" fillId="0" borderId="0" xfId="39" applyNumberFormat="1" applyFont="1" applyBorder="1"/>
    <xf numFmtId="0" fontId="56" fillId="0" borderId="0" xfId="0" applyFont="1" applyBorder="1"/>
    <xf numFmtId="0" fontId="56" fillId="0" borderId="0" xfId="0" applyFont="1" applyBorder="1" applyAlignment="1">
      <alignment horizontal="left" indent="2"/>
    </xf>
    <xf numFmtId="167" fontId="56" fillId="0" borderId="0" xfId="0" applyNumberFormat="1" applyFont="1" applyFill="1" applyBorder="1"/>
    <xf numFmtId="167" fontId="56" fillId="18" borderId="0" xfId="0" applyNumberFormat="1" applyFont="1" applyFill="1" applyBorder="1"/>
    <xf numFmtId="167" fontId="56" fillId="0" borderId="0" xfId="0" applyNumberFormat="1" applyFont="1" applyBorder="1"/>
    <xf numFmtId="167" fontId="56" fillId="17" borderId="0" xfId="0" applyNumberFormat="1" applyFont="1" applyFill="1" applyBorder="1"/>
    <xf numFmtId="0" fontId="32" fillId="0" borderId="0" xfId="0" applyFont="1" applyBorder="1" applyAlignment="1">
      <alignment horizontal="left" indent="2"/>
    </xf>
    <xf numFmtId="164" fontId="54" fillId="0" borderId="0" xfId="61" applyNumberFormat="1" applyFont="1" applyBorder="1"/>
    <xf numFmtId="166" fontId="7" fillId="0" borderId="0" xfId="0" applyNumberFormat="1" applyFont="1" applyBorder="1"/>
    <xf numFmtId="166" fontId="7" fillId="18" borderId="0" xfId="0" applyNumberFormat="1" applyFont="1" applyFill="1" applyBorder="1"/>
    <xf numFmtId="9" fontId="36" fillId="0" borderId="0" xfId="61" applyFont="1" applyBorder="1"/>
    <xf numFmtId="9" fontId="36" fillId="18" borderId="0" xfId="61" applyFont="1" applyFill="1" applyBorder="1"/>
    <xf numFmtId="2" fontId="36" fillId="0" borderId="0" xfId="0" applyNumberFormat="1" applyFont="1" applyBorder="1"/>
    <xf numFmtId="2" fontId="36" fillId="18" borderId="0" xfId="0" applyNumberFormat="1" applyFont="1" applyFill="1" applyBorder="1"/>
    <xf numFmtId="164" fontId="4" fillId="0" borderId="0" xfId="61" applyNumberFormat="1" applyFont="1" applyBorder="1"/>
    <xf numFmtId="164" fontId="4" fillId="18" borderId="0" xfId="61" applyNumberFormat="1" applyFont="1" applyFill="1" applyBorder="1"/>
    <xf numFmtId="0" fontId="32" fillId="0" borderId="0" xfId="0" applyFont="1" applyBorder="1" applyAlignment="1">
      <alignment horizontal="left" indent="1"/>
    </xf>
    <xf numFmtId="164" fontId="7" fillId="0" borderId="0" xfId="61" applyNumberFormat="1" applyFont="1" applyBorder="1" applyAlignment="1">
      <alignment horizontal="right"/>
    </xf>
    <xf numFmtId="1" fontId="4" fillId="0" borderId="0" xfId="61" applyNumberFormat="1" applyFont="1" applyBorder="1"/>
    <xf numFmtId="1" fontId="4" fillId="18" borderId="0" xfId="61" applyNumberFormat="1" applyFont="1" applyFill="1" applyBorder="1"/>
    <xf numFmtId="1" fontId="4" fillId="17" borderId="0" xfId="61" applyNumberFormat="1" applyFont="1" applyFill="1" applyBorder="1"/>
    <xf numFmtId="2" fontId="36" fillId="18" borderId="0" xfId="61" applyNumberFormat="1" applyFont="1" applyFill="1" applyBorder="1"/>
    <xf numFmtId="1" fontId="7" fillId="0" borderId="0" xfId="61" applyNumberFormat="1" applyFont="1" applyBorder="1"/>
    <xf numFmtId="1" fontId="7" fillId="18" borderId="0" xfId="61" applyNumberFormat="1" applyFont="1" applyFill="1" applyBorder="1"/>
    <xf numFmtId="1" fontId="7" fillId="17" borderId="0" xfId="61" applyNumberFormat="1" applyFont="1" applyFill="1" applyBorder="1"/>
    <xf numFmtId="1" fontId="32" fillId="0" borderId="0" xfId="61" applyNumberFormat="1" applyFont="1" applyBorder="1"/>
    <xf numFmtId="1" fontId="32" fillId="18" borderId="0" xfId="61" applyNumberFormat="1" applyFont="1" applyFill="1" applyBorder="1"/>
    <xf numFmtId="1" fontId="32" fillId="17" borderId="0" xfId="61" applyNumberFormat="1" applyFont="1" applyFill="1" applyBorder="1"/>
    <xf numFmtId="1" fontId="63" fillId="0" borderId="0" xfId="61" applyNumberFormat="1" applyFont="1" applyBorder="1"/>
    <xf numFmtId="164" fontId="7" fillId="18" borderId="0" xfId="61" applyNumberFormat="1" applyFont="1" applyFill="1" applyBorder="1" applyAlignment="1">
      <alignment horizontal="right"/>
    </xf>
    <xf numFmtId="1" fontId="59" fillId="0" borderId="0" xfId="61" applyNumberFormat="1" applyFont="1" applyBorder="1"/>
    <xf numFmtId="43" fontId="36" fillId="17" borderId="14" xfId="39" applyFont="1" applyFill="1" applyBorder="1" applyAlignment="1">
      <alignment horizontal="center"/>
    </xf>
    <xf numFmtId="2" fontId="36" fillId="17" borderId="0" xfId="0" applyNumberFormat="1" applyFont="1" applyFill="1" applyBorder="1"/>
    <xf numFmtId="164" fontId="36" fillId="17" borderId="0" xfId="61" applyNumberFormat="1" applyFont="1" applyFill="1" applyAlignment="1">
      <alignment horizontal="center"/>
    </xf>
    <xf numFmtId="1" fontId="36" fillId="0" borderId="0" xfId="61" applyNumberFormat="1" applyFont="1" applyBorder="1"/>
    <xf numFmtId="1" fontId="36" fillId="18" borderId="0" xfId="61" applyNumberFormat="1" applyFont="1" applyFill="1" applyBorder="1"/>
    <xf numFmtId="167" fontId="14" fillId="17" borderId="0" xfId="0" applyNumberFormat="1" applyFont="1" applyFill="1" applyAlignment="1">
      <alignment horizontal="center"/>
    </xf>
    <xf numFmtId="164" fontId="36" fillId="0" borderId="0" xfId="61" applyNumberFormat="1" applyFont="1" applyAlignment="1">
      <alignment horizontal="center"/>
    </xf>
    <xf numFmtId="164" fontId="15" fillId="0" borderId="0" xfId="61" applyNumberFormat="1" applyFont="1" applyAlignment="1">
      <alignment horizontal="center"/>
    </xf>
    <xf numFmtId="167" fontId="14" fillId="0" borderId="0" xfId="0" applyNumberFormat="1" applyFont="1" applyAlignment="1">
      <alignment horizontal="center"/>
    </xf>
    <xf numFmtId="0" fontId="7" fillId="0" borderId="0" xfId="0" applyFont="1" applyAlignment="1">
      <alignment horizontal="right"/>
    </xf>
    <xf numFmtId="1" fontId="7" fillId="0" borderId="12" xfId="61" applyNumberFormat="1" applyFont="1" applyBorder="1"/>
    <xf numFmtId="1" fontId="59" fillId="0" borderId="12" xfId="61" applyNumberFormat="1" applyFont="1" applyBorder="1"/>
    <xf numFmtId="1" fontId="7" fillId="18" borderId="12" xfId="61" applyNumberFormat="1" applyFont="1" applyFill="1" applyBorder="1"/>
    <xf numFmtId="1" fontId="59" fillId="18" borderId="12" xfId="61" applyNumberFormat="1" applyFont="1" applyFill="1" applyBorder="1"/>
    <xf numFmtId="44" fontId="15" fillId="0" borderId="12" xfId="40" applyFont="1" applyBorder="1"/>
    <xf numFmtId="44" fontId="15" fillId="0" borderId="12" xfId="40" applyNumberFormat="1" applyFont="1" applyBorder="1"/>
    <xf numFmtId="44" fontId="59" fillId="0" borderId="12" xfId="61" applyNumberFormat="1" applyFont="1" applyBorder="1"/>
    <xf numFmtId="171" fontId="7" fillId="0" borderId="0" xfId="39" applyNumberFormat="1" applyFont="1" applyBorder="1"/>
    <xf numFmtId="171" fontId="7" fillId="18" borderId="0" xfId="39" applyNumberFormat="1" applyFont="1" applyFill="1" applyBorder="1"/>
    <xf numFmtId="44" fontId="7" fillId="0" borderId="0" xfId="61" applyNumberFormat="1" applyFont="1" applyBorder="1"/>
    <xf numFmtId="44" fontId="7" fillId="18" borderId="0" xfId="61" applyNumberFormat="1" applyFont="1" applyFill="1" applyBorder="1"/>
    <xf numFmtId="10" fontId="7" fillId="0" borderId="0" xfId="61" applyNumberFormat="1" applyFont="1" applyBorder="1"/>
    <xf numFmtId="10" fontId="7" fillId="18" borderId="0" xfId="61" applyNumberFormat="1" applyFont="1" applyFill="1" applyBorder="1"/>
    <xf numFmtId="44" fontId="7" fillId="0" borderId="0" xfId="0" applyNumberFormat="1" applyFont="1"/>
    <xf numFmtId="44" fontId="7" fillId="0" borderId="0" xfId="39" applyNumberFormat="1" applyFont="1"/>
    <xf numFmtId="44" fontId="34" fillId="0" borderId="0" xfId="40" applyFont="1"/>
    <xf numFmtId="44" fontId="34" fillId="0" borderId="0" xfId="40" applyNumberFormat="1" applyFont="1"/>
    <xf numFmtId="9" fontId="4" fillId="0" borderId="0" xfId="61" applyFont="1"/>
    <xf numFmtId="9" fontId="4" fillId="0" borderId="0" xfId="61" applyFont="1" applyAlignment="1">
      <alignment horizontal="center"/>
    </xf>
    <xf numFmtId="9" fontId="4" fillId="0" borderId="0" xfId="61" applyFont="1" applyAlignment="1">
      <alignment horizontal="right"/>
    </xf>
    <xf numFmtId="9" fontId="7" fillId="0" borderId="0" xfId="61" applyFont="1"/>
    <xf numFmtId="9" fontId="7" fillId="0" borderId="0" xfId="61" applyFont="1" applyAlignment="1">
      <alignment horizontal="center"/>
    </xf>
    <xf numFmtId="9" fontId="7" fillId="0" borderId="0" xfId="61" applyFont="1" applyAlignment="1">
      <alignment horizontal="right"/>
    </xf>
    <xf numFmtId="9" fontId="4" fillId="0" borderId="0" xfId="61" applyNumberFormat="1" applyFont="1" applyAlignment="1">
      <alignment horizontal="center"/>
    </xf>
    <xf numFmtId="9" fontId="4" fillId="0" borderId="0" xfId="61" applyNumberFormat="1" applyFont="1" applyAlignment="1">
      <alignment horizontal="right"/>
    </xf>
    <xf numFmtId="9" fontId="7" fillId="0" borderId="0" xfId="61" applyNumberFormat="1" applyFont="1" applyAlignment="1">
      <alignment horizontal="center"/>
    </xf>
    <xf numFmtId="9" fontId="7" fillId="0" borderId="0" xfId="61" applyNumberFormat="1" applyFont="1" applyAlignment="1">
      <alignment horizontal="right"/>
    </xf>
    <xf numFmtId="3" fontId="15" fillId="0" borderId="0" xfId="0" applyNumberFormat="1" applyFont="1" applyAlignment="1">
      <alignment horizontal="center"/>
    </xf>
    <xf numFmtId="3" fontId="4" fillId="0" borderId="0" xfId="0" applyNumberFormat="1" applyFont="1"/>
    <xf numFmtId="3" fontId="58" fillId="18" borderId="0" xfId="0" applyNumberFormat="1" applyFont="1" applyFill="1" applyAlignment="1">
      <alignment horizontal="center"/>
    </xf>
    <xf numFmtId="3" fontId="58" fillId="0" borderId="0" xfId="0" applyNumberFormat="1" applyFont="1" applyFill="1" applyAlignment="1">
      <alignment horizontal="center"/>
    </xf>
    <xf numFmtId="3" fontId="58" fillId="17" borderId="0" xfId="0" applyNumberFormat="1" applyFont="1" applyFill="1" applyAlignment="1">
      <alignment horizontal="center"/>
    </xf>
    <xf numFmtId="3" fontId="58" fillId="0" borderId="0" xfId="0" applyNumberFormat="1" applyFont="1" applyAlignment="1">
      <alignment horizontal="center"/>
    </xf>
    <xf numFmtId="167" fontId="15" fillId="0" borderId="0" xfId="0" applyNumberFormat="1" applyFont="1" applyFill="1" applyAlignment="1">
      <alignment horizontal="center"/>
    </xf>
    <xf numFmtId="167" fontId="14" fillId="0" borderId="0" xfId="0" applyNumberFormat="1" applyFont="1" applyFill="1" applyAlignment="1">
      <alignment horizontal="center"/>
    </xf>
    <xf numFmtId="167" fontId="14" fillId="18" borderId="0" xfId="0" applyNumberFormat="1" applyFont="1" applyFill="1" applyAlignment="1">
      <alignment horizontal="center"/>
    </xf>
    <xf numFmtId="167" fontId="36" fillId="0" borderId="0" xfId="0" applyNumberFormat="1" applyFont="1" applyFill="1" applyAlignment="1">
      <alignment horizontal="center"/>
    </xf>
    <xf numFmtId="167" fontId="36" fillId="18" borderId="0" xfId="0" applyNumberFormat="1" applyFont="1" applyFill="1" applyAlignment="1">
      <alignment horizontal="center"/>
    </xf>
    <xf numFmtId="167" fontId="36" fillId="0" borderId="0" xfId="0" applyNumberFormat="1" applyFont="1" applyAlignment="1">
      <alignment horizontal="center"/>
    </xf>
    <xf numFmtId="167" fontId="36" fillId="17" borderId="0" xfId="0" applyNumberFormat="1" applyFont="1" applyFill="1" applyAlignment="1">
      <alignment horizontal="center"/>
    </xf>
    <xf numFmtId="167" fontId="61" fillId="0" borderId="0" xfId="0" applyNumberFormat="1" applyFont="1" applyAlignment="1">
      <alignment horizontal="center"/>
    </xf>
    <xf numFmtId="167" fontId="61" fillId="18" borderId="0" xfId="0" applyNumberFormat="1" applyFont="1" applyFill="1" applyAlignment="1">
      <alignment horizontal="center"/>
    </xf>
    <xf numFmtId="167" fontId="61" fillId="0" borderId="0" xfId="0" applyNumberFormat="1" applyFont="1" applyFill="1" applyAlignment="1">
      <alignment horizontal="center"/>
    </xf>
    <xf numFmtId="167" fontId="61" fillId="17" borderId="0" xfId="0" applyNumberFormat="1" applyFont="1" applyFill="1" applyAlignment="1">
      <alignment horizontal="center"/>
    </xf>
    <xf numFmtId="167" fontId="60" fillId="0" borderId="0" xfId="0" applyNumberFormat="1" applyFont="1"/>
    <xf numFmtId="166" fontId="36" fillId="0" borderId="0" xfId="0" applyNumberFormat="1" applyFont="1" applyBorder="1"/>
    <xf numFmtId="10" fontId="7" fillId="0" borderId="0" xfId="61" applyNumberFormat="1" applyFont="1"/>
    <xf numFmtId="167" fontId="4" fillId="0" borderId="0" xfId="0" applyNumberFormat="1" applyFont="1" applyFill="1" applyBorder="1"/>
    <xf numFmtId="2" fontId="36" fillId="0" borderId="0" xfId="61" applyNumberFormat="1" applyFont="1" applyBorder="1"/>
    <xf numFmtId="187" fontId="36" fillId="18" borderId="0" xfId="0" applyNumberFormat="1" applyFont="1" applyFill="1"/>
    <xf numFmtId="164" fontId="36" fillId="18" borderId="0" xfId="61" applyNumberFormat="1" applyFont="1" applyFill="1" applyAlignment="1">
      <alignment horizontal="center"/>
    </xf>
    <xf numFmtId="2" fontId="4" fillId="0" borderId="0" xfId="61" applyNumberFormat="1" applyFont="1" applyBorder="1"/>
    <xf numFmtId="0" fontId="27" fillId="17" borderId="0" xfId="55" applyFont="1" applyFill="1" applyBorder="1" applyAlignment="1">
      <alignment horizontal="left" vertical="center"/>
    </xf>
    <xf numFmtId="164" fontId="2" fillId="0" borderId="0" xfId="61" applyNumberFormat="1" applyFont="1"/>
    <xf numFmtId="9" fontId="36" fillId="0" borderId="0" xfId="61" applyFont="1" applyAlignment="1">
      <alignment horizontal="center"/>
    </xf>
    <xf numFmtId="165" fontId="21" fillId="0" borderId="0" xfId="0" applyNumberFormat="1" applyFont="1" applyAlignment="1">
      <alignment horizontal="center"/>
    </xf>
    <xf numFmtId="167" fontId="21" fillId="0" borderId="0" xfId="0" applyNumberFormat="1" applyFont="1" applyBorder="1" applyAlignment="1">
      <alignment horizontal="center"/>
    </xf>
    <xf numFmtId="167" fontId="2" fillId="17" borderId="0" xfId="0" applyNumberFormat="1" applyFont="1" applyFill="1" applyAlignment="1">
      <alignment horizontal="center"/>
    </xf>
    <xf numFmtId="167" fontId="2" fillId="17" borderId="12" xfId="0" applyNumberFormat="1" applyFont="1" applyFill="1" applyBorder="1" applyAlignment="1">
      <alignment horizontal="center"/>
    </xf>
    <xf numFmtId="167" fontId="2" fillId="0" borderId="0" xfId="0" applyNumberFormat="1" applyFont="1" applyAlignment="1">
      <alignment horizontal="center"/>
    </xf>
    <xf numFmtId="167" fontId="2" fillId="0" borderId="12" xfId="0" applyNumberFormat="1" applyFont="1" applyBorder="1" applyAlignment="1">
      <alignment horizontal="center"/>
    </xf>
    <xf numFmtId="167" fontId="2" fillId="0" borderId="0" xfId="0" applyNumberFormat="1" applyFont="1" applyBorder="1" applyAlignment="1">
      <alignment horizontal="center"/>
    </xf>
    <xf numFmtId="167" fontId="2" fillId="0" borderId="0" xfId="0" applyNumberFormat="1" applyFont="1" applyFill="1" applyAlignment="1">
      <alignment horizontal="center"/>
    </xf>
    <xf numFmtId="10" fontId="7" fillId="0" borderId="0" xfId="0" applyNumberFormat="1" applyFont="1"/>
    <xf numFmtId="0" fontId="2" fillId="0" borderId="0" xfId="0" applyFont="1"/>
    <xf numFmtId="0" fontId="2" fillId="0" borderId="0" xfId="0" applyFont="1" applyFill="1"/>
    <xf numFmtId="2" fontId="7" fillId="0" borderId="0" xfId="0" applyNumberFormat="1" applyFont="1"/>
    <xf numFmtId="172" fontId="2" fillId="0" borderId="0" xfId="39" applyNumberFormat="1" applyFont="1" applyFill="1" applyAlignment="1">
      <alignment horizontal="center"/>
    </xf>
    <xf numFmtId="3" fontId="2" fillId="0" borderId="0" xfId="0" applyNumberFormat="1" applyFont="1" applyAlignment="1">
      <alignment horizontal="center"/>
    </xf>
    <xf numFmtId="164" fontId="2" fillId="0" borderId="0" xfId="61" applyNumberFormat="1" applyFont="1" applyFill="1" applyBorder="1"/>
    <xf numFmtId="164" fontId="2" fillId="0" borderId="12" xfId="61" applyNumberFormat="1" applyFont="1" applyFill="1" applyBorder="1"/>
    <xf numFmtId="164" fontId="2" fillId="0" borderId="0" xfId="61" applyNumberFormat="1" applyFont="1" applyFill="1"/>
    <xf numFmtId="2" fontId="4" fillId="18" borderId="0" xfId="61" applyNumberFormat="1" applyFont="1" applyFill="1" applyBorder="1"/>
    <xf numFmtId="196" fontId="4" fillId="18" borderId="0" xfId="61" applyNumberFormat="1" applyFont="1" applyFill="1" applyBorder="1"/>
    <xf numFmtId="0" fontId="21" fillId="0" borderId="0" xfId="0" applyFont="1"/>
    <xf numFmtId="9" fontId="2" fillId="0" borderId="0" xfId="0" applyNumberFormat="1" applyFont="1"/>
    <xf numFmtId="164" fontId="2" fillId="0" borderId="0" xfId="0" applyNumberFormat="1" applyFont="1"/>
    <xf numFmtId="10" fontId="21" fillId="0" borderId="0" xfId="0" applyNumberFormat="1" applyFont="1" applyAlignment="1">
      <alignment vertical="top"/>
    </xf>
    <xf numFmtId="0" fontId="58" fillId="17" borderId="13" xfId="0" applyFont="1" applyFill="1" applyBorder="1"/>
    <xf numFmtId="164" fontId="2" fillId="0" borderId="0" xfId="61" applyNumberFormat="1" applyFont="1" applyAlignment="1">
      <alignment horizontal="center"/>
    </xf>
    <xf numFmtId="164" fontId="21" fillId="0" borderId="0" xfId="61" applyNumberFormat="1" applyFont="1" applyAlignment="1">
      <alignment horizontal="center"/>
    </xf>
    <xf numFmtId="164" fontId="21" fillId="0" borderId="0" xfId="0" applyNumberFormat="1" applyFont="1" applyAlignment="1">
      <alignment horizontal="center"/>
    </xf>
    <xf numFmtId="164" fontId="21" fillId="18" borderId="0" xfId="0" applyNumberFormat="1" applyFont="1" applyFill="1" applyAlignment="1">
      <alignment horizontal="center"/>
    </xf>
    <xf numFmtId="164" fontId="21" fillId="0" borderId="0" xfId="0" applyNumberFormat="1" applyFont="1" applyFill="1" applyAlignment="1">
      <alignment horizontal="center"/>
    </xf>
    <xf numFmtId="164" fontId="21" fillId="17" borderId="0" xfId="0" applyNumberFormat="1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0" fontId="21" fillId="0" borderId="0" xfId="0" applyFont="1" applyAlignment="1">
      <alignment vertical="top"/>
    </xf>
    <xf numFmtId="164" fontId="21" fillId="0" borderId="0" xfId="0" applyNumberFormat="1" applyFont="1" applyAlignment="1">
      <alignment horizontal="center" vertical="top"/>
    </xf>
    <xf numFmtId="164" fontId="21" fillId="18" borderId="0" xfId="0" applyNumberFormat="1" applyFont="1" applyFill="1" applyAlignment="1">
      <alignment horizontal="center" vertical="top"/>
    </xf>
    <xf numFmtId="164" fontId="21" fillId="0" borderId="0" xfId="0" applyNumberFormat="1" applyFont="1" applyFill="1" applyAlignment="1">
      <alignment horizontal="center" vertical="top"/>
    </xf>
    <xf numFmtId="164" fontId="21" fillId="17" borderId="0" xfId="0" applyNumberFormat="1" applyFont="1" applyFill="1" applyAlignment="1">
      <alignment horizontal="center" vertical="top"/>
    </xf>
    <xf numFmtId="167" fontId="21" fillId="0" borderId="0" xfId="0" applyNumberFormat="1" applyFont="1" applyAlignment="1">
      <alignment horizontal="center"/>
    </xf>
    <xf numFmtId="167" fontId="21" fillId="18" borderId="0" xfId="0" applyNumberFormat="1" applyFont="1" applyFill="1" applyAlignment="1">
      <alignment horizontal="center"/>
    </xf>
    <xf numFmtId="167" fontId="21" fillId="0" borderId="0" xfId="0" applyNumberFormat="1" applyFont="1" applyFill="1" applyAlignment="1">
      <alignment horizontal="center"/>
    </xf>
    <xf numFmtId="167" fontId="21" fillId="17" borderId="0" xfId="0" applyNumberFormat="1" applyFont="1" applyFill="1" applyAlignment="1">
      <alignment horizontal="center"/>
    </xf>
    <xf numFmtId="164" fontId="2" fillId="18" borderId="0" xfId="61" applyNumberFormat="1" applyFont="1" applyFill="1" applyAlignment="1">
      <alignment horizontal="center"/>
    </xf>
    <xf numFmtId="164" fontId="2" fillId="0" borderId="0" xfId="61" applyNumberFormat="1" applyFont="1" applyFill="1" applyAlignment="1">
      <alignment horizontal="center"/>
    </xf>
    <xf numFmtId="164" fontId="2" fillId="0" borderId="0" xfId="61" applyNumberFormat="1" applyFont="1" applyBorder="1" applyAlignment="1">
      <alignment horizontal="center"/>
    </xf>
    <xf numFmtId="164" fontId="2" fillId="17" borderId="0" xfId="61" applyNumberFormat="1" applyFont="1" applyFill="1" applyAlignment="1">
      <alignment horizontal="center"/>
    </xf>
    <xf numFmtId="164" fontId="2" fillId="0" borderId="0" xfId="61" applyNumberFormat="1" applyFont="1" applyFill="1" applyBorder="1" applyAlignment="1">
      <alignment horizontal="center"/>
    </xf>
    <xf numFmtId="164" fontId="2" fillId="17" borderId="0" xfId="61" applyNumberFormat="1" applyFont="1" applyFill="1" applyBorder="1" applyAlignment="1">
      <alignment horizontal="center"/>
    </xf>
    <xf numFmtId="3" fontId="58" fillId="0" borderId="0" xfId="0" applyNumberFormat="1" applyFont="1"/>
    <xf numFmtId="3" fontId="21" fillId="0" borderId="0" xfId="0" applyNumberFormat="1" applyFont="1"/>
    <xf numFmtId="3" fontId="2" fillId="18" borderId="0" xfId="0" applyNumberFormat="1" applyFont="1" applyFill="1" applyAlignment="1">
      <alignment horizontal="center"/>
    </xf>
    <xf numFmtId="3" fontId="2" fillId="0" borderId="0" xfId="0" applyNumberFormat="1" applyFont="1" applyFill="1" applyAlignment="1">
      <alignment horizontal="center"/>
    </xf>
    <xf numFmtId="3" fontId="21" fillId="0" borderId="0" xfId="0" applyNumberFormat="1" applyFont="1" applyFill="1" applyAlignment="1">
      <alignment horizontal="center"/>
    </xf>
    <xf numFmtId="3" fontId="2" fillId="17" borderId="0" xfId="0" applyNumberFormat="1" applyFont="1" applyFill="1" applyAlignment="1">
      <alignment horizontal="center"/>
    </xf>
    <xf numFmtId="3" fontId="21" fillId="17" borderId="0" xfId="0" applyNumberFormat="1" applyFont="1" applyFill="1" applyAlignment="1">
      <alignment horizontal="center"/>
    </xf>
    <xf numFmtId="3" fontId="29" fillId="18" borderId="0" xfId="0" applyNumberFormat="1" applyFont="1" applyFill="1" applyAlignment="1">
      <alignment horizontal="center"/>
    </xf>
    <xf numFmtId="3" fontId="29" fillId="0" borderId="0" xfId="0" applyNumberFormat="1" applyFont="1" applyAlignment="1">
      <alignment horizontal="center"/>
    </xf>
    <xf numFmtId="3" fontId="21" fillId="0" borderId="0" xfId="0" applyNumberFormat="1" applyFont="1" applyAlignment="1">
      <alignment horizontal="center"/>
    </xf>
    <xf numFmtId="9" fontId="21" fillId="0" borderId="0" xfId="0" applyNumberFormat="1" applyFont="1" applyAlignment="1">
      <alignment horizontal="center"/>
    </xf>
    <xf numFmtId="0" fontId="21" fillId="18" borderId="0" xfId="0" applyFont="1" applyFill="1" applyAlignment="1">
      <alignment horizontal="center"/>
    </xf>
    <xf numFmtId="9" fontId="21" fillId="0" borderId="0" xfId="0" applyNumberFormat="1" applyFont="1" applyFill="1" applyAlignment="1">
      <alignment horizontal="center"/>
    </xf>
    <xf numFmtId="176" fontId="21" fillId="0" borderId="0" xfId="39" applyNumberFormat="1" applyFont="1" applyAlignment="1">
      <alignment horizontal="center"/>
    </xf>
    <xf numFmtId="171" fontId="21" fillId="18" borderId="0" xfId="39" applyNumberFormat="1" applyFont="1" applyFill="1" applyAlignment="1">
      <alignment horizontal="center"/>
    </xf>
    <xf numFmtId="164" fontId="21" fillId="18" borderId="0" xfId="61" applyNumberFormat="1" applyFont="1" applyFill="1" applyAlignment="1">
      <alignment horizontal="center"/>
    </xf>
    <xf numFmtId="3" fontId="21" fillId="18" borderId="0" xfId="0" applyNumberFormat="1" applyFont="1" applyFill="1" applyAlignment="1">
      <alignment horizontal="center"/>
    </xf>
    <xf numFmtId="0" fontId="21" fillId="0" borderId="0" xfId="0" applyFont="1" applyFill="1"/>
    <xf numFmtId="0" fontId="21" fillId="0" borderId="0" xfId="0" applyFont="1" applyAlignment="1">
      <alignment horizontal="center"/>
    </xf>
    <xf numFmtId="0" fontId="21" fillId="0" borderId="0" xfId="0" applyFont="1" applyFill="1" applyAlignment="1">
      <alignment horizontal="center"/>
    </xf>
    <xf numFmtId="0" fontId="21" fillId="17" borderId="0" xfId="0" applyFont="1" applyFill="1" applyAlignment="1">
      <alignment horizontal="center"/>
    </xf>
    <xf numFmtId="0" fontId="58" fillId="0" borderId="0" xfId="0" applyFont="1" applyFill="1"/>
    <xf numFmtId="164" fontId="2" fillId="18" borderId="0" xfId="0" applyNumberFormat="1" applyFont="1" applyFill="1" applyAlignment="1">
      <alignment horizontal="center"/>
    </xf>
    <xf numFmtId="164" fontId="2" fillId="0" borderId="0" xfId="0" applyNumberFormat="1" applyFont="1" applyFill="1" applyAlignment="1">
      <alignment horizontal="center"/>
    </xf>
    <xf numFmtId="164" fontId="2" fillId="18" borderId="0" xfId="61" applyNumberFormat="1" applyFont="1" applyFill="1" applyBorder="1" applyAlignment="1">
      <alignment horizontal="center"/>
    </xf>
    <xf numFmtId="164" fontId="2" fillId="17" borderId="0" xfId="0" applyNumberFormat="1" applyFont="1" applyFill="1" applyAlignment="1">
      <alignment horizontal="center"/>
    </xf>
    <xf numFmtId="167" fontId="2" fillId="18" borderId="0" xfId="0" applyNumberFormat="1" applyFont="1" applyFill="1" applyAlignment="1">
      <alignment horizontal="center"/>
    </xf>
    <xf numFmtId="167" fontId="29" fillId="18" borderId="0" xfId="0" applyNumberFormat="1" applyFont="1" applyFill="1" applyAlignment="1">
      <alignment horizontal="center"/>
    </xf>
    <xf numFmtId="167" fontId="29" fillId="0" borderId="0" xfId="0" applyNumberFormat="1" applyFont="1" applyFill="1" applyAlignment="1">
      <alignment horizontal="center"/>
    </xf>
    <xf numFmtId="167" fontId="28" fillId="17" borderId="0" xfId="0" applyNumberFormat="1" applyFont="1" applyFill="1" applyAlignment="1">
      <alignment horizontal="center"/>
    </xf>
    <xf numFmtId="164" fontId="21" fillId="0" borderId="0" xfId="61" applyNumberFormat="1" applyFont="1"/>
    <xf numFmtId="164" fontId="2" fillId="0" borderId="0" xfId="61" applyNumberFormat="1" applyFont="1" applyBorder="1"/>
    <xf numFmtId="164" fontId="21" fillId="0" borderId="0" xfId="61" applyNumberFormat="1" applyFont="1" applyBorder="1"/>
    <xf numFmtId="165" fontId="21" fillId="18" borderId="0" xfId="0" applyNumberFormat="1" applyFont="1" applyFill="1" applyAlignment="1">
      <alignment horizontal="center"/>
    </xf>
    <xf numFmtId="165" fontId="21" fillId="0" borderId="0" xfId="0" applyNumberFormat="1" applyFont="1" applyFill="1" applyAlignment="1">
      <alignment horizontal="center"/>
    </xf>
    <xf numFmtId="165" fontId="21" fillId="17" borderId="0" xfId="0" applyNumberFormat="1" applyFont="1" applyFill="1" applyAlignment="1">
      <alignment horizontal="center"/>
    </xf>
    <xf numFmtId="165" fontId="2" fillId="0" borderId="0" xfId="0" applyNumberFormat="1" applyFont="1" applyAlignment="1">
      <alignment horizontal="center"/>
    </xf>
    <xf numFmtId="167" fontId="21" fillId="0" borderId="0" xfId="0" applyNumberFormat="1" applyFont="1"/>
    <xf numFmtId="2" fontId="21" fillId="0" borderId="0" xfId="0" applyNumberFormat="1" applyFont="1" applyAlignment="1">
      <alignment horizontal="center"/>
    </xf>
    <xf numFmtId="43" fontId="15" fillId="0" borderId="0" xfId="39" applyFont="1" applyAlignment="1">
      <alignment horizontal="center"/>
    </xf>
    <xf numFmtId="165" fontId="28" fillId="18" borderId="0" xfId="0" applyNumberFormat="1" applyFont="1" applyFill="1" applyAlignment="1">
      <alignment horizontal="center"/>
    </xf>
    <xf numFmtId="9" fontId="21" fillId="0" borderId="0" xfId="61" applyFont="1" applyAlignment="1">
      <alignment horizontal="center"/>
    </xf>
    <xf numFmtId="2" fontId="28" fillId="18" borderId="0" xfId="0" applyNumberFormat="1" applyFont="1" applyFill="1" applyAlignment="1">
      <alignment horizontal="center"/>
    </xf>
    <xf numFmtId="43" fontId="21" fillId="0" borderId="0" xfId="39" applyNumberFormat="1" applyFont="1" applyAlignment="1">
      <alignment horizontal="center"/>
    </xf>
    <xf numFmtId="10" fontId="21" fillId="0" borderId="0" xfId="61" applyNumberFormat="1" applyFont="1" applyAlignment="1">
      <alignment horizontal="center"/>
    </xf>
    <xf numFmtId="165" fontId="2" fillId="0" borderId="0" xfId="0" applyNumberFormat="1" applyFont="1" applyFill="1" applyAlignment="1">
      <alignment horizontal="center"/>
    </xf>
    <xf numFmtId="167" fontId="29" fillId="17" borderId="0" xfId="0" applyNumberFormat="1" applyFont="1" applyFill="1" applyAlignment="1">
      <alignment horizontal="center"/>
    </xf>
    <xf numFmtId="165" fontId="2" fillId="18" borderId="0" xfId="0" applyNumberFormat="1" applyFont="1" applyFill="1" applyAlignment="1">
      <alignment horizontal="center"/>
    </xf>
    <xf numFmtId="165" fontId="29" fillId="18" borderId="0" xfId="0" applyNumberFormat="1" applyFont="1" applyFill="1" applyAlignment="1">
      <alignment horizontal="center"/>
    </xf>
    <xf numFmtId="165" fontId="29" fillId="0" borderId="0" xfId="0" applyNumberFormat="1" applyFont="1" applyAlignment="1">
      <alignment horizontal="center"/>
    </xf>
    <xf numFmtId="165" fontId="29" fillId="17" borderId="0" xfId="0" applyNumberFormat="1" applyFont="1" applyFill="1" applyAlignment="1">
      <alignment horizontal="center"/>
    </xf>
    <xf numFmtId="165" fontId="14" fillId="0" borderId="0" xfId="0" applyNumberFormat="1" applyFont="1" applyAlignment="1">
      <alignment horizontal="center"/>
    </xf>
    <xf numFmtId="167" fontId="28" fillId="0" borderId="0" xfId="0" applyNumberFormat="1" applyFont="1" applyAlignment="1">
      <alignment horizontal="center"/>
    </xf>
    <xf numFmtId="167" fontId="28" fillId="0" borderId="0" xfId="0" applyNumberFormat="1" applyFont="1" applyFill="1" applyAlignment="1">
      <alignment horizontal="center"/>
    </xf>
    <xf numFmtId="164" fontId="29" fillId="0" borderId="0" xfId="0" applyNumberFormat="1" applyFont="1" applyFill="1" applyAlignment="1">
      <alignment horizontal="center"/>
    </xf>
    <xf numFmtId="165" fontId="21" fillId="0" borderId="0" xfId="0" applyNumberFormat="1" applyFont="1" applyFill="1" applyBorder="1" applyAlignment="1">
      <alignment horizontal="center"/>
    </xf>
    <xf numFmtId="164" fontId="29" fillId="0" borderId="0" xfId="61" applyNumberFormat="1" applyFont="1" applyAlignment="1">
      <alignment horizontal="center"/>
    </xf>
    <xf numFmtId="4" fontId="14" fillId="18" borderId="0" xfId="0" applyNumberFormat="1" applyFont="1" applyFill="1" applyAlignment="1">
      <alignment horizontal="center"/>
    </xf>
    <xf numFmtId="4" fontId="14" fillId="0" borderId="0" xfId="0" applyNumberFormat="1" applyFont="1" applyFill="1" applyAlignment="1">
      <alignment horizontal="center"/>
    </xf>
    <xf numFmtId="8" fontId="58" fillId="0" borderId="0" xfId="0" applyNumberFormat="1" applyFont="1" applyFill="1" applyAlignment="1">
      <alignment horizontal="center"/>
    </xf>
    <xf numFmtId="187" fontId="58" fillId="0" borderId="0" xfId="0" applyNumberFormat="1" applyFont="1" applyFill="1" applyAlignment="1">
      <alignment horizontal="center"/>
    </xf>
    <xf numFmtId="8" fontId="14" fillId="17" borderId="0" xfId="0" applyNumberFormat="1" applyFont="1" applyFill="1" applyAlignment="1">
      <alignment horizontal="center"/>
    </xf>
    <xf numFmtId="8" fontId="36" fillId="0" borderId="0" xfId="0" applyNumberFormat="1" applyFont="1" applyFill="1" applyAlignment="1">
      <alignment horizontal="center"/>
    </xf>
    <xf numFmtId="8" fontId="36" fillId="17" borderId="0" xfId="0" applyNumberFormat="1" applyFont="1" applyFill="1" applyAlignment="1">
      <alignment horizontal="center"/>
    </xf>
    <xf numFmtId="8" fontId="74" fillId="0" borderId="0" xfId="0" applyNumberFormat="1" applyFont="1" applyAlignment="1">
      <alignment horizontal="center"/>
    </xf>
    <xf numFmtId="8" fontId="74" fillId="18" borderId="0" xfId="0" applyNumberFormat="1" applyFont="1" applyFill="1" applyAlignment="1">
      <alignment horizontal="center"/>
    </xf>
    <xf numFmtId="8" fontId="58" fillId="17" borderId="0" xfId="0" applyNumberFormat="1" applyFont="1" applyFill="1" applyAlignment="1">
      <alignment horizontal="center"/>
    </xf>
    <xf numFmtId="9" fontId="21" fillId="0" borderId="0" xfId="61" applyFont="1"/>
    <xf numFmtId="9" fontId="21" fillId="0" borderId="0" xfId="61" applyFont="1" applyBorder="1"/>
    <xf numFmtId="8" fontId="2" fillId="0" borderId="0" xfId="0" applyNumberFormat="1" applyFont="1" applyAlignment="1">
      <alignment horizontal="center"/>
    </xf>
    <xf numFmtId="8" fontId="21" fillId="0" borderId="0" xfId="0" applyNumberFormat="1" applyFont="1" applyAlignment="1">
      <alignment horizontal="center"/>
    </xf>
    <xf numFmtId="8" fontId="2" fillId="18" borderId="0" xfId="0" applyNumberFormat="1" applyFont="1" applyFill="1" applyAlignment="1">
      <alignment horizontal="center"/>
    </xf>
    <xf numFmtId="0" fontId="21" fillId="18" borderId="0" xfId="0" applyFont="1" applyFill="1"/>
    <xf numFmtId="8" fontId="21" fillId="0" borderId="0" xfId="0" applyNumberFormat="1" applyFont="1" applyFill="1" applyAlignment="1">
      <alignment horizontal="center"/>
    </xf>
    <xf numFmtId="8" fontId="21" fillId="18" borderId="0" xfId="0" applyNumberFormat="1" applyFont="1" applyFill="1" applyAlignment="1">
      <alignment horizontal="center"/>
    </xf>
    <xf numFmtId="164" fontId="72" fillId="0" borderId="0" xfId="0" applyNumberFormat="1" applyFont="1" applyAlignment="1">
      <alignment horizontal="center"/>
    </xf>
    <xf numFmtId="164" fontId="72" fillId="17" borderId="0" xfId="0" applyNumberFormat="1" applyFont="1" applyFill="1" applyAlignment="1">
      <alignment horizontal="center"/>
    </xf>
    <xf numFmtId="41" fontId="2" fillId="0" borderId="0" xfId="0" applyNumberFormat="1" applyFont="1"/>
    <xf numFmtId="1" fontId="2" fillId="0" borderId="0" xfId="0" applyNumberFormat="1" applyFont="1" applyFill="1" applyAlignment="1">
      <alignment horizontal="center"/>
    </xf>
    <xf numFmtId="1" fontId="21" fillId="18" borderId="0" xfId="0" applyNumberFormat="1" applyFont="1" applyFill="1" applyAlignment="1">
      <alignment horizontal="center"/>
    </xf>
    <xf numFmtId="167" fontId="2" fillId="17" borderId="0" xfId="0" applyNumberFormat="1" applyFont="1" applyFill="1" applyBorder="1" applyAlignment="1">
      <alignment horizontal="center"/>
    </xf>
    <xf numFmtId="8" fontId="21" fillId="17" borderId="0" xfId="0" applyNumberFormat="1" applyFont="1" applyFill="1" applyAlignment="1">
      <alignment horizontal="center"/>
    </xf>
    <xf numFmtId="8" fontId="14" fillId="0" borderId="0" xfId="0" applyNumberFormat="1" applyFont="1" applyFill="1" applyAlignment="1">
      <alignment horizontal="center"/>
    </xf>
    <xf numFmtId="3" fontId="2" fillId="0" borderId="0" xfId="0" applyNumberFormat="1" applyFont="1"/>
    <xf numFmtId="166" fontId="21" fillId="0" borderId="0" xfId="0" applyNumberFormat="1" applyFont="1" applyAlignment="1">
      <alignment horizontal="center"/>
    </xf>
    <xf numFmtId="167" fontId="29" fillId="0" borderId="0" xfId="0" applyNumberFormat="1" applyFont="1" applyAlignment="1">
      <alignment horizontal="center"/>
    </xf>
    <xf numFmtId="0" fontId="2" fillId="0" borderId="0" xfId="0" applyFont="1" applyBorder="1"/>
    <xf numFmtId="167" fontId="21" fillId="0" borderId="12" xfId="0" applyNumberFormat="1" applyFont="1" applyBorder="1" applyAlignment="1">
      <alignment horizontal="center"/>
    </xf>
    <xf numFmtId="167" fontId="21" fillId="18" borderId="12" xfId="0" applyNumberFormat="1" applyFont="1" applyFill="1" applyBorder="1" applyAlignment="1">
      <alignment horizontal="center"/>
    </xf>
    <xf numFmtId="167" fontId="2" fillId="0" borderId="12" xfId="0" applyNumberFormat="1" applyFont="1" applyFill="1" applyBorder="1" applyAlignment="1">
      <alignment horizontal="center"/>
    </xf>
    <xf numFmtId="167" fontId="21" fillId="0" borderId="12" xfId="0" applyNumberFormat="1" applyFont="1" applyFill="1" applyBorder="1" applyAlignment="1">
      <alignment horizontal="center"/>
    </xf>
    <xf numFmtId="167" fontId="21" fillId="17" borderId="12" xfId="0" applyNumberFormat="1" applyFont="1" applyFill="1" applyBorder="1" applyAlignment="1">
      <alignment horizontal="center"/>
    </xf>
    <xf numFmtId="164" fontId="21" fillId="0" borderId="0" xfId="61" applyNumberFormat="1" applyFont="1" applyFill="1" applyAlignment="1">
      <alignment horizontal="center"/>
    </xf>
    <xf numFmtId="0" fontId="21" fillId="0" borderId="0" xfId="0" applyFont="1" applyBorder="1"/>
    <xf numFmtId="167" fontId="2" fillId="18" borderId="12" xfId="0" applyNumberFormat="1" applyFont="1" applyFill="1" applyBorder="1" applyAlignment="1">
      <alignment horizontal="center"/>
    </xf>
    <xf numFmtId="167" fontId="29" fillId="0" borderId="12" xfId="0" applyNumberFormat="1" applyFont="1" applyBorder="1" applyAlignment="1">
      <alignment horizontal="center"/>
    </xf>
    <xf numFmtId="10" fontId="21" fillId="17" borderId="0" xfId="61" applyNumberFormat="1" applyFont="1" applyFill="1" applyAlignment="1">
      <alignment horizontal="center"/>
    </xf>
    <xf numFmtId="9" fontId="21" fillId="18" borderId="0" xfId="0" applyNumberFormat="1" applyFont="1" applyFill="1" applyAlignment="1">
      <alignment horizontal="center"/>
    </xf>
    <xf numFmtId="167" fontId="21" fillId="18" borderId="0" xfId="0" applyNumberFormat="1" applyFont="1" applyFill="1" applyBorder="1" applyAlignment="1">
      <alignment horizontal="center"/>
    </xf>
    <xf numFmtId="167" fontId="2" fillId="0" borderId="0" xfId="0" applyNumberFormat="1" applyFont="1" applyFill="1" applyBorder="1" applyAlignment="1">
      <alignment horizontal="center"/>
    </xf>
    <xf numFmtId="1" fontId="21" fillId="0" borderId="0" xfId="0" applyNumberFormat="1" applyFont="1" applyAlignment="1">
      <alignment horizontal="center"/>
    </xf>
    <xf numFmtId="1" fontId="21" fillId="0" borderId="0" xfId="0" applyNumberFormat="1" applyFont="1" applyFill="1" applyAlignment="1">
      <alignment horizontal="center"/>
    </xf>
    <xf numFmtId="1" fontId="21" fillId="17" borderId="0" xfId="0" applyNumberFormat="1" applyFont="1" applyFill="1" applyAlignment="1">
      <alignment horizontal="center"/>
    </xf>
    <xf numFmtId="165" fontId="21" fillId="0" borderId="0" xfId="0" applyNumberFormat="1" applyFont="1"/>
    <xf numFmtId="8" fontId="21" fillId="0" borderId="0" xfId="0" applyNumberFormat="1" applyFont="1"/>
    <xf numFmtId="0" fontId="21" fillId="0" borderId="0" xfId="69" applyFont="1" applyAlignment="1"/>
    <xf numFmtId="169" fontId="21" fillId="0" borderId="0" xfId="69" applyNumberFormat="1" applyFont="1" applyAlignment="1">
      <alignment horizontal="center"/>
    </xf>
    <xf numFmtId="164" fontId="28" fillId="0" borderId="0" xfId="69" applyNumberFormat="1" applyFont="1" applyAlignment="1">
      <alignment horizontal="center"/>
    </xf>
    <xf numFmtId="165" fontId="21" fillId="0" borderId="0" xfId="69" applyNumberFormat="1" applyFont="1" applyAlignment="1">
      <alignment horizontal="center"/>
    </xf>
    <xf numFmtId="9" fontId="21" fillId="18" borderId="0" xfId="61" applyNumberFormat="1" applyFont="1" applyFill="1" applyAlignment="1">
      <alignment horizontal="center"/>
    </xf>
    <xf numFmtId="8" fontId="28" fillId="0" borderId="0" xfId="69" applyNumberFormat="1" applyFont="1" applyAlignment="1">
      <alignment horizontal="center"/>
    </xf>
    <xf numFmtId="167" fontId="21" fillId="0" borderId="0" xfId="69" applyNumberFormat="1" applyFont="1" applyAlignment="1">
      <alignment horizontal="center"/>
    </xf>
    <xf numFmtId="170" fontId="21" fillId="0" borderId="0" xfId="0" applyNumberFormat="1" applyFont="1" applyAlignment="1">
      <alignment horizontal="center"/>
    </xf>
    <xf numFmtId="170" fontId="21" fillId="18" borderId="0" xfId="0" applyNumberFormat="1" applyFont="1" applyFill="1" applyAlignment="1">
      <alignment horizontal="center"/>
    </xf>
    <xf numFmtId="170" fontId="21" fillId="0" borderId="0" xfId="0" applyNumberFormat="1" applyFont="1" applyFill="1" applyAlignment="1">
      <alignment horizontal="center"/>
    </xf>
    <xf numFmtId="170" fontId="21" fillId="17" borderId="0" xfId="0" applyNumberFormat="1" applyFont="1" applyFill="1" applyAlignment="1">
      <alignment horizontal="center"/>
    </xf>
    <xf numFmtId="9" fontId="21" fillId="18" borderId="0" xfId="61" applyFont="1" applyFill="1" applyAlignment="1">
      <alignment horizontal="center"/>
    </xf>
    <xf numFmtId="9" fontId="21" fillId="0" borderId="0" xfId="61" applyFont="1" applyFill="1" applyAlignment="1">
      <alignment horizontal="center"/>
    </xf>
    <xf numFmtId="9" fontId="21" fillId="17" borderId="0" xfId="61" applyFont="1" applyFill="1" applyAlignment="1">
      <alignment horizontal="center"/>
    </xf>
    <xf numFmtId="8" fontId="21" fillId="0" borderId="0" xfId="69" applyNumberFormat="1" applyFont="1" applyAlignment="1">
      <alignment horizontal="center"/>
    </xf>
    <xf numFmtId="0" fontId="21" fillId="0" borderId="0" xfId="69" applyFont="1" applyBorder="1" applyAlignment="1"/>
    <xf numFmtId="0" fontId="21" fillId="0" borderId="14" xfId="0" applyFont="1" applyBorder="1"/>
    <xf numFmtId="10" fontId="21" fillId="0" borderId="0" xfId="0" applyNumberFormat="1" applyFont="1"/>
    <xf numFmtId="171" fontId="21" fillId="0" borderId="0" xfId="39" applyNumberFormat="1" applyFont="1"/>
    <xf numFmtId="165" fontId="21" fillId="0" borderId="0" xfId="39" applyNumberFormat="1" applyFont="1" applyAlignment="1">
      <alignment horizontal="center"/>
    </xf>
    <xf numFmtId="165" fontId="21" fillId="18" borderId="0" xfId="39" applyNumberFormat="1" applyFont="1" applyFill="1" applyAlignment="1">
      <alignment horizontal="center"/>
    </xf>
    <xf numFmtId="165" fontId="21" fillId="0" borderId="0" xfId="39" applyNumberFormat="1" applyFont="1" applyFill="1" applyAlignment="1">
      <alignment horizontal="center"/>
    </xf>
    <xf numFmtId="171" fontId="21" fillId="0" borderId="0" xfId="39" applyNumberFormat="1" applyFont="1" applyBorder="1"/>
    <xf numFmtId="1" fontId="21" fillId="0" borderId="0" xfId="0" applyNumberFormat="1" applyFont="1"/>
    <xf numFmtId="167" fontId="21" fillId="0" borderId="0" xfId="39" applyNumberFormat="1" applyFont="1" applyAlignment="1">
      <alignment horizontal="center"/>
    </xf>
    <xf numFmtId="167" fontId="21" fillId="18" borderId="0" xfId="39" applyNumberFormat="1" applyFont="1" applyFill="1" applyAlignment="1">
      <alignment horizontal="center"/>
    </xf>
    <xf numFmtId="167" fontId="21" fillId="0" borderId="0" xfId="39" applyNumberFormat="1" applyFont="1" applyFill="1" applyAlignment="1">
      <alignment horizontal="center"/>
    </xf>
    <xf numFmtId="170" fontId="2" fillId="0" borderId="0" xfId="40" applyNumberFormat="1" applyFont="1" applyAlignment="1">
      <alignment horizontal="center"/>
    </xf>
    <xf numFmtId="170" fontId="2" fillId="18" borderId="0" xfId="40" applyNumberFormat="1" applyFont="1" applyFill="1" applyAlignment="1">
      <alignment horizontal="center"/>
    </xf>
    <xf numFmtId="170" fontId="2" fillId="0" borderId="0" xfId="40" applyNumberFormat="1" applyFont="1" applyFill="1" applyAlignment="1">
      <alignment horizontal="center"/>
    </xf>
    <xf numFmtId="170" fontId="29" fillId="0" borderId="0" xfId="40" applyNumberFormat="1" applyFont="1" applyAlignment="1">
      <alignment horizontal="center"/>
    </xf>
    <xf numFmtId="164" fontId="2" fillId="0" borderId="0" xfId="40" applyNumberFormat="1" applyFont="1" applyFill="1" applyAlignment="1">
      <alignment horizontal="center"/>
    </xf>
    <xf numFmtId="164" fontId="2" fillId="18" borderId="0" xfId="40" applyNumberFormat="1" applyFont="1" applyFill="1" applyAlignment="1">
      <alignment horizontal="center"/>
    </xf>
    <xf numFmtId="165" fontId="2" fillId="17" borderId="0" xfId="0" applyNumberFormat="1" applyFont="1" applyFill="1" applyAlignment="1">
      <alignment horizontal="center"/>
    </xf>
    <xf numFmtId="172" fontId="2" fillId="0" borderId="0" xfId="39" applyNumberFormat="1" applyFont="1" applyBorder="1" applyAlignment="1">
      <alignment horizontal="center"/>
    </xf>
    <xf numFmtId="172" fontId="2" fillId="0" borderId="0" xfId="39" applyNumberFormat="1" applyFont="1" applyAlignment="1">
      <alignment horizontal="center"/>
    </xf>
    <xf numFmtId="172" fontId="2" fillId="18" borderId="0" xfId="39" applyNumberFormat="1" applyFont="1" applyFill="1" applyAlignment="1">
      <alignment horizontal="center"/>
    </xf>
    <xf numFmtId="172" fontId="2" fillId="17" borderId="0" xfId="39" applyNumberFormat="1" applyFont="1" applyFill="1" applyAlignment="1">
      <alignment horizontal="center"/>
    </xf>
    <xf numFmtId="172" fontId="29" fillId="0" borderId="0" xfId="39" applyNumberFormat="1" applyFont="1" applyFill="1" applyAlignment="1">
      <alignment horizontal="center"/>
    </xf>
    <xf numFmtId="165" fontId="21" fillId="0" borderId="0" xfId="39" applyNumberFormat="1" applyFont="1" applyBorder="1" applyAlignment="1">
      <alignment horizontal="center"/>
    </xf>
    <xf numFmtId="165" fontId="21" fillId="0" borderId="0" xfId="39" applyNumberFormat="1" applyFont="1" applyFill="1" applyBorder="1" applyAlignment="1">
      <alignment horizontal="center"/>
    </xf>
    <xf numFmtId="167" fontId="21" fillId="0" borderId="0" xfId="39" applyNumberFormat="1" applyFont="1" applyBorder="1"/>
    <xf numFmtId="167" fontId="21" fillId="0" borderId="0" xfId="39" applyNumberFormat="1" applyFont="1"/>
    <xf numFmtId="167" fontId="2" fillId="0" borderId="0" xfId="39" applyNumberFormat="1" applyFont="1" applyAlignment="1">
      <alignment horizontal="center"/>
    </xf>
    <xf numFmtId="167" fontId="2" fillId="0" borderId="0" xfId="39" applyNumberFormat="1" applyFont="1" applyFill="1" applyAlignment="1">
      <alignment horizontal="center"/>
    </xf>
    <xf numFmtId="173" fontId="21" fillId="0" borderId="0" xfId="0" applyNumberFormat="1" applyFont="1" applyAlignment="1">
      <alignment horizontal="center"/>
    </xf>
    <xf numFmtId="173" fontId="21" fillId="18" borderId="0" xfId="0" applyNumberFormat="1" applyFont="1" applyFill="1" applyAlignment="1">
      <alignment horizontal="center"/>
    </xf>
    <xf numFmtId="173" fontId="21" fillId="0" borderId="0" xfId="0" applyNumberFormat="1" applyFont="1" applyFill="1" applyAlignment="1">
      <alignment horizontal="center"/>
    </xf>
    <xf numFmtId="44" fontId="28" fillId="0" borderId="0" xfId="40" applyFont="1" applyAlignment="1">
      <alignment horizontal="center"/>
    </xf>
    <xf numFmtId="164" fontId="21" fillId="18" borderId="0" xfId="61" applyNumberFormat="1" applyFont="1" applyFill="1"/>
    <xf numFmtId="174" fontId="2" fillId="0" borderId="0" xfId="0" applyNumberFormat="1" applyFont="1" applyFill="1" applyAlignment="1"/>
    <xf numFmtId="174" fontId="2" fillId="0" borderId="0" xfId="0" applyNumberFormat="1" applyFont="1" applyFill="1" applyAlignment="1">
      <alignment horizontal="center"/>
    </xf>
    <xf numFmtId="0" fontId="2" fillId="0" borderId="0" xfId="0" applyFont="1" applyFill="1" applyAlignment="1">
      <alignment horizontal="center"/>
    </xf>
    <xf numFmtId="43" fontId="2" fillId="0" borderId="0" xfId="39" applyFont="1" applyFill="1" applyAlignment="1">
      <alignment horizontal="center"/>
    </xf>
    <xf numFmtId="43" fontId="2" fillId="0" borderId="0" xfId="39" applyFont="1" applyFill="1" applyBorder="1" applyAlignment="1">
      <alignment horizontal="center"/>
    </xf>
    <xf numFmtId="173" fontId="2" fillId="0" borderId="0" xfId="0" applyNumberFormat="1" applyFont="1" applyFill="1" applyAlignment="1">
      <alignment horizontal="center"/>
    </xf>
    <xf numFmtId="174" fontId="2" fillId="0" borderId="0" xfId="0" applyNumberFormat="1" applyFont="1" applyFill="1"/>
    <xf numFmtId="10" fontId="2" fillId="0" borderId="0" xfId="61" applyNumberFormat="1" applyFont="1" applyFill="1" applyAlignment="1">
      <alignment horizontal="center"/>
    </xf>
    <xf numFmtId="9" fontId="2" fillId="0" borderId="0" xfId="61" applyNumberFormat="1" applyFont="1" applyFill="1"/>
    <xf numFmtId="9" fontId="2" fillId="0" borderId="0" xfId="61" applyNumberFormat="1" applyFont="1"/>
    <xf numFmtId="0" fontId="2" fillId="17" borderId="0" xfId="55" applyFont="1" applyFill="1" applyBorder="1" applyAlignment="1">
      <alignment horizontal="left" vertical="center"/>
    </xf>
    <xf numFmtId="0" fontId="2" fillId="0" borderId="0" xfId="56" applyFont="1" applyBorder="1"/>
    <xf numFmtId="10" fontId="21" fillId="0" borderId="0" xfId="61" applyNumberFormat="1" applyFont="1" applyFill="1" applyAlignment="1">
      <alignment horizontal="center"/>
    </xf>
    <xf numFmtId="8" fontId="74" fillId="0" borderId="0" xfId="0" applyNumberFormat="1" applyFont="1" applyFill="1" applyAlignment="1">
      <alignment horizontal="center"/>
    </xf>
    <xf numFmtId="171" fontId="28" fillId="0" borderId="0" xfId="39" applyNumberFormat="1" applyFont="1" applyAlignment="1">
      <alignment horizontal="center"/>
    </xf>
    <xf numFmtId="1" fontId="2" fillId="0" borderId="0" xfId="0" applyNumberFormat="1" applyFont="1"/>
    <xf numFmtId="8" fontId="15" fillId="0" borderId="0" xfId="61" applyNumberFormat="1" applyFont="1" applyAlignment="1">
      <alignment horizontal="center"/>
    </xf>
    <xf numFmtId="9" fontId="15" fillId="0" borderId="0" xfId="0" applyNumberFormat="1" applyFont="1" applyAlignment="1">
      <alignment horizontal="center"/>
    </xf>
    <xf numFmtId="164" fontId="15" fillId="0" borderId="0" xfId="0" applyNumberFormat="1" applyFont="1" applyAlignment="1">
      <alignment horizontal="center"/>
    </xf>
    <xf numFmtId="8" fontId="4" fillId="0" borderId="0" xfId="61" applyNumberFormat="1" applyFont="1" applyBorder="1"/>
    <xf numFmtId="6" fontId="7" fillId="0" borderId="0" xfId="0" applyNumberFormat="1" applyFont="1"/>
    <xf numFmtId="165" fontId="75" fillId="0" borderId="0" xfId="0" applyNumberFormat="1" applyFont="1"/>
    <xf numFmtId="3" fontId="7" fillId="0" borderId="0" xfId="0" applyNumberFormat="1" applyFont="1"/>
    <xf numFmtId="9" fontId="4" fillId="0" borderId="0" xfId="0" applyNumberFormat="1" applyFont="1"/>
    <xf numFmtId="1" fontId="4" fillId="0" borderId="0" xfId="0" applyNumberFormat="1" applyFont="1"/>
    <xf numFmtId="0" fontId="56" fillId="0" borderId="0" xfId="0" applyFont="1" applyBorder="1" applyAlignment="1">
      <alignment horizontal="left"/>
    </xf>
    <xf numFmtId="164" fontId="2" fillId="18" borderId="0" xfId="61" applyNumberFormat="1" applyFont="1" applyFill="1"/>
    <xf numFmtId="164" fontId="2" fillId="17" borderId="0" xfId="61" applyNumberFormat="1" applyFont="1" applyFill="1"/>
    <xf numFmtId="164" fontId="2" fillId="18" borderId="0" xfId="61" applyNumberFormat="1" applyFont="1" applyFill="1" applyBorder="1"/>
    <xf numFmtId="164" fontId="2" fillId="17" borderId="0" xfId="61" applyNumberFormat="1" applyFont="1" applyFill="1" applyBorder="1"/>
    <xf numFmtId="164" fontId="2" fillId="17" borderId="12" xfId="61" applyNumberFormat="1" applyFont="1" applyFill="1" applyBorder="1"/>
    <xf numFmtId="10" fontId="7" fillId="0" borderId="0" xfId="61" applyNumberFormat="1" applyFont="1" applyFill="1" applyBorder="1"/>
    <xf numFmtId="164" fontId="2" fillId="18" borderId="12" xfId="61" applyNumberFormat="1" applyFont="1" applyFill="1" applyBorder="1"/>
    <xf numFmtId="187" fontId="4" fillId="0" borderId="0" xfId="61" applyNumberFormat="1" applyFont="1" applyBorder="1"/>
    <xf numFmtId="0" fontId="2" fillId="0" borderId="0" xfId="0" applyFont="1" applyAlignment="1">
      <alignment horizontal="left" indent="1"/>
    </xf>
    <xf numFmtId="164" fontId="29" fillId="0" borderId="0" xfId="61" applyNumberFormat="1" applyFont="1" applyFill="1" applyBorder="1"/>
    <xf numFmtId="164" fontId="29" fillId="18" borderId="0" xfId="61" applyNumberFormat="1" applyFont="1" applyFill="1" applyBorder="1"/>
    <xf numFmtId="0" fontId="2" fillId="0" borderId="12" xfId="0" applyFont="1" applyBorder="1" applyAlignment="1">
      <alignment horizontal="left" indent="1"/>
    </xf>
    <xf numFmtId="0" fontId="2" fillId="0" borderId="12" xfId="0" applyFont="1" applyBorder="1"/>
    <xf numFmtId="164" fontId="2" fillId="0" borderId="12" xfId="61" applyNumberFormat="1" applyFont="1" applyBorder="1"/>
    <xf numFmtId="1" fontId="2" fillId="18" borderId="0" xfId="61" applyNumberFormat="1" applyFont="1" applyFill="1" applyBorder="1"/>
    <xf numFmtId="1" fontId="2" fillId="0" borderId="0" xfId="61" applyNumberFormat="1" applyFont="1" applyBorder="1"/>
    <xf numFmtId="1" fontId="2" fillId="17" borderId="0" xfId="61" applyNumberFormat="1" applyFont="1" applyFill="1" applyBorder="1"/>
    <xf numFmtId="187" fontId="2" fillId="0" borderId="0" xfId="61" applyNumberFormat="1" applyFont="1" applyBorder="1"/>
    <xf numFmtId="8" fontId="2" fillId="0" borderId="0" xfId="61" applyNumberFormat="1" applyFont="1" applyBorder="1"/>
    <xf numFmtId="8" fontId="2" fillId="18" borderId="0" xfId="61" applyNumberFormat="1" applyFont="1" applyFill="1" applyBorder="1"/>
    <xf numFmtId="1" fontId="29" fillId="0" borderId="0" xfId="61" applyNumberFormat="1" applyFont="1" applyBorder="1"/>
    <xf numFmtId="0" fontId="4" fillId="0" borderId="0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164" fontId="76" fillId="0" borderId="0" xfId="61" applyNumberFormat="1" applyFont="1" applyFill="1" applyBorder="1"/>
    <xf numFmtId="0" fontId="2" fillId="20" borderId="0" xfId="0" applyFont="1" applyFill="1"/>
    <xf numFmtId="164" fontId="2" fillId="20" borderId="0" xfId="61" applyNumberFormat="1" applyFont="1" applyFill="1" applyAlignment="1">
      <alignment horizontal="center"/>
    </xf>
    <xf numFmtId="164" fontId="2" fillId="20" borderId="0" xfId="61" applyNumberFormat="1" applyFont="1" applyFill="1" applyBorder="1" applyAlignment="1">
      <alignment horizontal="center"/>
    </xf>
    <xf numFmtId="9" fontId="2" fillId="18" borderId="0" xfId="0" applyNumberFormat="1" applyFont="1" applyFill="1" applyAlignment="1">
      <alignment horizontal="center"/>
    </xf>
    <xf numFmtId="188" fontId="2" fillId="0" borderId="9" xfId="40" applyNumberFormat="1" applyFont="1" applyBorder="1" applyAlignment="1"/>
    <xf numFmtId="188" fontId="4" fillId="0" borderId="9" xfId="40" applyNumberFormat="1" applyFont="1" applyBorder="1" applyAlignment="1"/>
    <xf numFmtId="0" fontId="75" fillId="0" borderId="0" xfId="0" applyFont="1"/>
    <xf numFmtId="9" fontId="75" fillId="0" borderId="0" xfId="0" applyNumberFormat="1" applyFont="1"/>
    <xf numFmtId="3" fontId="75" fillId="0" borderId="0" xfId="0" applyNumberFormat="1" applyFont="1"/>
    <xf numFmtId="1" fontId="75" fillId="0" borderId="0" xfId="0" applyNumberFormat="1" applyFont="1"/>
    <xf numFmtId="164" fontId="75" fillId="0" borderId="0" xfId="0" applyNumberFormat="1" applyFont="1"/>
    <xf numFmtId="171" fontId="21" fillId="0" borderId="0" xfId="39" applyNumberFormat="1" applyFont="1" applyAlignment="1">
      <alignment horizontal="center"/>
    </xf>
    <xf numFmtId="0" fontId="1" fillId="19" borderId="0" xfId="69" applyFont="1" applyFill="1" applyAlignment="1"/>
    <xf numFmtId="8" fontId="2" fillId="0" borderId="0" xfId="0" applyNumberFormat="1" applyFont="1"/>
    <xf numFmtId="165" fontId="21" fillId="18" borderId="0" xfId="0" applyNumberFormat="1" applyFont="1" applyFill="1"/>
    <xf numFmtId="0" fontId="1" fillId="0" borderId="0" xfId="0" applyFont="1"/>
    <xf numFmtId="165" fontId="1" fillId="18" borderId="0" xfId="0" applyNumberFormat="1" applyFont="1" applyFill="1" applyAlignment="1">
      <alignment horizontal="center"/>
    </xf>
    <xf numFmtId="4" fontId="21" fillId="0" borderId="0" xfId="0" applyNumberFormat="1" applyFont="1" applyAlignment="1">
      <alignment horizontal="center"/>
    </xf>
    <xf numFmtId="4" fontId="21" fillId="18" borderId="0" xfId="0" applyNumberFormat="1" applyFont="1" applyFill="1" applyAlignment="1">
      <alignment horizontal="center"/>
    </xf>
    <xf numFmtId="0" fontId="1" fillId="0" borderId="0" xfId="74"/>
    <xf numFmtId="164" fontId="1" fillId="0" borderId="0" xfId="61" applyNumberFormat="1" applyFont="1" applyFill="1"/>
    <xf numFmtId="0" fontId="77" fillId="19" borderId="0" xfId="50" applyFont="1" applyFill="1" applyAlignment="1" applyProtection="1"/>
    <xf numFmtId="167" fontId="2" fillId="0" borderId="0" xfId="0" applyNumberFormat="1" applyFont="1"/>
    <xf numFmtId="3" fontId="1" fillId="0" borderId="0" xfId="0" applyNumberFormat="1" applyFont="1" applyAlignment="1">
      <alignment horizontal="center"/>
    </xf>
    <xf numFmtId="167" fontId="1" fillId="0" borderId="0" xfId="0" applyNumberFormat="1" applyFont="1" applyAlignment="1">
      <alignment horizontal="center"/>
    </xf>
    <xf numFmtId="167" fontId="1" fillId="0" borderId="12" xfId="0" applyNumberFormat="1" applyFont="1" applyBorder="1" applyAlignment="1">
      <alignment horizontal="center"/>
    </xf>
    <xf numFmtId="167" fontId="1" fillId="0" borderId="0" xfId="0" applyNumberFormat="1" applyFont="1" applyBorder="1" applyAlignment="1">
      <alignment horizontal="center"/>
    </xf>
    <xf numFmtId="167" fontId="1" fillId="0" borderId="0" xfId="0" applyNumberFormat="1" applyFont="1" applyFill="1" applyAlignment="1">
      <alignment horizontal="center"/>
    </xf>
    <xf numFmtId="165" fontId="78" fillId="0" borderId="0" xfId="0" applyNumberFormat="1" applyFont="1" applyFill="1" applyAlignment="1">
      <alignment horizontal="center"/>
    </xf>
    <xf numFmtId="172" fontId="78" fillId="0" borderId="0" xfId="39" applyNumberFormat="1" applyFont="1" applyFill="1" applyAlignment="1">
      <alignment horizontal="center"/>
    </xf>
    <xf numFmtId="164" fontId="74" fillId="18" borderId="0" xfId="0" applyNumberFormat="1" applyFont="1" applyFill="1" applyAlignment="1">
      <alignment horizontal="center"/>
    </xf>
    <xf numFmtId="164" fontId="1" fillId="0" borderId="0" xfId="61" applyNumberFormat="1" applyFont="1" applyBorder="1"/>
    <xf numFmtId="167" fontId="29" fillId="20" borderId="0" xfId="0" applyNumberFormat="1" applyFont="1" applyFill="1" applyAlignment="1">
      <alignment horizontal="center"/>
    </xf>
    <xf numFmtId="167" fontId="21" fillId="20" borderId="0" xfId="0" applyNumberFormat="1" applyFont="1" applyFill="1" applyAlignment="1">
      <alignment horizontal="center"/>
    </xf>
    <xf numFmtId="165" fontId="2" fillId="20" borderId="0" xfId="0" applyNumberFormat="1" applyFont="1" applyFill="1" applyAlignment="1">
      <alignment horizontal="center"/>
    </xf>
    <xf numFmtId="164" fontId="21" fillId="20" borderId="0" xfId="0" applyNumberFormat="1" applyFont="1" applyFill="1" applyAlignment="1">
      <alignment horizontal="center"/>
    </xf>
    <xf numFmtId="164" fontId="1" fillId="0" borderId="0" xfId="61" applyNumberFormat="1" applyFont="1" applyFill="1" applyBorder="1"/>
    <xf numFmtId="167" fontId="1" fillId="18" borderId="0" xfId="0" applyNumberFormat="1" applyFont="1" applyFill="1" applyAlignment="1">
      <alignment horizontal="center"/>
    </xf>
    <xf numFmtId="3" fontId="2" fillId="20" borderId="0" xfId="0" applyNumberFormat="1" applyFont="1" applyFill="1" applyAlignment="1">
      <alignment horizontal="center"/>
    </xf>
    <xf numFmtId="3" fontId="74" fillId="0" borderId="0" xfId="0" applyNumberFormat="1" applyFont="1" applyAlignment="1">
      <alignment horizontal="center"/>
    </xf>
    <xf numFmtId="164" fontId="7" fillId="0" borderId="0" xfId="61" applyNumberFormat="1" applyFont="1" applyAlignment="1">
      <alignment horizontal="right"/>
    </xf>
    <xf numFmtId="164" fontId="7" fillId="20" borderId="0" xfId="61" applyNumberFormat="1" applyFont="1" applyFill="1" applyBorder="1"/>
    <xf numFmtId="167" fontId="58" fillId="20" borderId="0" xfId="0" applyNumberFormat="1" applyFont="1" applyFill="1" applyAlignment="1">
      <alignment horizontal="center"/>
    </xf>
    <xf numFmtId="164" fontId="21" fillId="20" borderId="0" xfId="0" applyNumberFormat="1" applyFont="1" applyFill="1" applyAlignment="1">
      <alignment horizontal="center" vertical="top"/>
    </xf>
    <xf numFmtId="3" fontId="21" fillId="20" borderId="0" xfId="0" applyNumberFormat="1" applyFont="1" applyFill="1" applyAlignment="1">
      <alignment horizontal="center"/>
    </xf>
    <xf numFmtId="9" fontId="21" fillId="20" borderId="0" xfId="0" applyNumberFormat="1" applyFont="1" applyFill="1" applyAlignment="1">
      <alignment horizontal="center"/>
    </xf>
    <xf numFmtId="3" fontId="74" fillId="20" borderId="0" xfId="0" applyNumberFormat="1" applyFont="1" applyFill="1" applyAlignment="1">
      <alignment horizontal="center"/>
    </xf>
    <xf numFmtId="0" fontId="21" fillId="20" borderId="0" xfId="0" applyFont="1" applyFill="1" applyAlignment="1">
      <alignment horizontal="center"/>
    </xf>
    <xf numFmtId="165" fontId="21" fillId="20" borderId="0" xfId="0" applyNumberFormat="1" applyFont="1" applyFill="1" applyAlignment="1">
      <alignment horizontal="center"/>
    </xf>
    <xf numFmtId="167" fontId="28" fillId="20" borderId="0" xfId="0" applyNumberFormat="1" applyFont="1" applyFill="1" applyAlignment="1">
      <alignment horizontal="center"/>
    </xf>
    <xf numFmtId="164" fontId="2" fillId="20" borderId="0" xfId="0" applyNumberFormat="1" applyFont="1" applyFill="1" applyAlignment="1">
      <alignment horizontal="center"/>
    </xf>
    <xf numFmtId="167" fontId="2" fillId="20" borderId="0" xfId="0" applyNumberFormat="1" applyFont="1" applyFill="1" applyAlignment="1">
      <alignment horizontal="center"/>
    </xf>
    <xf numFmtId="8" fontId="58" fillId="20" borderId="0" xfId="0" applyNumberFormat="1" applyFont="1" applyFill="1" applyAlignment="1">
      <alignment horizontal="center"/>
    </xf>
    <xf numFmtId="198" fontId="21" fillId="20" borderId="0" xfId="0" applyNumberFormat="1" applyFont="1" applyFill="1" applyAlignment="1">
      <alignment horizontal="center"/>
    </xf>
    <xf numFmtId="9" fontId="15" fillId="20" borderId="0" xfId="0" applyNumberFormat="1" applyFont="1" applyFill="1" applyAlignment="1">
      <alignment horizontal="center"/>
    </xf>
    <xf numFmtId="8" fontId="21" fillId="20" borderId="0" xfId="0" applyNumberFormat="1" applyFont="1" applyFill="1" applyAlignment="1">
      <alignment horizontal="center"/>
    </xf>
    <xf numFmtId="17" fontId="4" fillId="20" borderId="13" xfId="0" applyNumberFormat="1" applyFont="1" applyFill="1" applyBorder="1" applyAlignment="1">
      <alignment horizontal="center"/>
    </xf>
    <xf numFmtId="165" fontId="58" fillId="20" borderId="0" xfId="0" applyNumberFormat="1" applyFont="1" applyFill="1" applyAlignment="1">
      <alignment horizontal="center"/>
    </xf>
    <xf numFmtId="167" fontId="2" fillId="20" borderId="12" xfId="0" applyNumberFormat="1" applyFont="1" applyFill="1" applyBorder="1" applyAlignment="1">
      <alignment horizontal="center"/>
    </xf>
    <xf numFmtId="167" fontId="21" fillId="20" borderId="0" xfId="0" applyNumberFormat="1" applyFont="1" applyFill="1" applyBorder="1" applyAlignment="1">
      <alignment horizontal="center"/>
    </xf>
    <xf numFmtId="167" fontId="58" fillId="20" borderId="11" xfId="0" applyNumberFormat="1" applyFont="1" applyFill="1" applyBorder="1" applyAlignment="1">
      <alignment horizontal="center"/>
    </xf>
    <xf numFmtId="167" fontId="20" fillId="20" borderId="0" xfId="0" applyNumberFormat="1" applyFont="1" applyFill="1" applyAlignment="1">
      <alignment horizontal="center"/>
    </xf>
    <xf numFmtId="1" fontId="21" fillId="20" borderId="0" xfId="0" applyNumberFormat="1" applyFont="1" applyFill="1" applyAlignment="1">
      <alignment horizontal="center"/>
    </xf>
    <xf numFmtId="167" fontId="21" fillId="20" borderId="12" xfId="0" applyNumberFormat="1" applyFont="1" applyFill="1" applyBorder="1" applyAlignment="1">
      <alignment horizontal="center"/>
    </xf>
    <xf numFmtId="167" fontId="14" fillId="20" borderId="0" xfId="0" applyNumberFormat="1" applyFont="1" applyFill="1" applyAlignment="1">
      <alignment horizontal="center"/>
    </xf>
    <xf numFmtId="167" fontId="36" fillId="20" borderId="0" xfId="0" applyNumberFormat="1" applyFont="1" applyFill="1" applyAlignment="1">
      <alignment horizontal="center"/>
    </xf>
    <xf numFmtId="167" fontId="61" fillId="20" borderId="0" xfId="0" applyNumberFormat="1" applyFont="1" applyFill="1" applyAlignment="1">
      <alignment horizontal="center"/>
    </xf>
    <xf numFmtId="170" fontId="21" fillId="20" borderId="0" xfId="0" applyNumberFormat="1" applyFont="1" applyFill="1" applyAlignment="1">
      <alignment horizontal="center"/>
    </xf>
    <xf numFmtId="9" fontId="21" fillId="20" borderId="0" xfId="61" applyFont="1" applyFill="1" applyAlignment="1">
      <alignment horizontal="center"/>
    </xf>
    <xf numFmtId="17" fontId="58" fillId="20" borderId="14" xfId="0" applyNumberFormat="1" applyFont="1" applyFill="1" applyBorder="1" applyAlignment="1">
      <alignment horizontal="center"/>
    </xf>
    <xf numFmtId="165" fontId="21" fillId="20" borderId="0" xfId="39" applyNumberFormat="1" applyFont="1" applyFill="1" applyAlignment="1">
      <alignment horizontal="center"/>
    </xf>
    <xf numFmtId="165" fontId="21" fillId="20" borderId="0" xfId="39" applyNumberFormat="1" applyFont="1" applyFill="1" applyBorder="1" applyAlignment="1">
      <alignment horizontal="center"/>
    </xf>
    <xf numFmtId="167" fontId="2" fillId="20" borderId="0" xfId="39" applyNumberFormat="1" applyFont="1" applyFill="1" applyAlignment="1">
      <alignment horizontal="center"/>
    </xf>
    <xf numFmtId="173" fontId="21" fillId="20" borderId="0" xfId="0" applyNumberFormat="1" applyFont="1" applyFill="1" applyAlignment="1">
      <alignment horizontal="center"/>
    </xf>
    <xf numFmtId="164" fontId="28" fillId="20" borderId="0" xfId="0" applyNumberFormat="1" applyFont="1" applyFill="1" applyAlignment="1">
      <alignment horizontal="center"/>
    </xf>
    <xf numFmtId="0" fontId="21" fillId="20" borderId="0" xfId="0" applyFont="1" applyFill="1"/>
    <xf numFmtId="43" fontId="2" fillId="20" borderId="0" xfId="39" applyFont="1" applyFill="1" applyAlignment="1">
      <alignment horizontal="center"/>
    </xf>
    <xf numFmtId="174" fontId="2" fillId="20" borderId="0" xfId="0" applyNumberFormat="1" applyFont="1" applyFill="1" applyAlignment="1">
      <alignment horizontal="center"/>
    </xf>
    <xf numFmtId="0" fontId="2" fillId="20" borderId="0" xfId="0" applyFont="1" applyFill="1" applyAlignment="1">
      <alignment horizontal="center"/>
    </xf>
    <xf numFmtId="3" fontId="1" fillId="20" borderId="0" xfId="0" applyNumberFormat="1" applyFont="1" applyFill="1" applyAlignment="1">
      <alignment horizontal="center"/>
    </xf>
    <xf numFmtId="164" fontId="1" fillId="18" borderId="0" xfId="61" applyNumberFormat="1" applyFont="1" applyFill="1" applyBorder="1"/>
    <xf numFmtId="164" fontId="75" fillId="0" borderId="0" xfId="61" applyNumberFormat="1" applyFont="1"/>
    <xf numFmtId="0" fontId="1" fillId="0" borderId="0" xfId="0" applyFont="1" applyAlignment="1">
      <alignment horizontal="center"/>
    </xf>
    <xf numFmtId="164" fontId="1" fillId="0" borderId="12" xfId="61" applyNumberFormat="1" applyFont="1" applyFill="1" applyBorder="1"/>
    <xf numFmtId="164" fontId="1" fillId="17" borderId="0" xfId="61" applyNumberFormat="1" applyFont="1" applyFill="1" applyBorder="1"/>
    <xf numFmtId="164" fontId="1" fillId="17" borderId="0" xfId="61" applyNumberFormat="1" applyFont="1" applyFill="1"/>
    <xf numFmtId="164" fontId="1" fillId="0" borderId="0" xfId="0" applyNumberFormat="1" applyFont="1" applyAlignment="1">
      <alignment horizontal="center"/>
    </xf>
    <xf numFmtId="164" fontId="1" fillId="0" borderId="0" xfId="0" applyNumberFormat="1" applyFont="1" applyFill="1" applyAlignment="1">
      <alignment horizontal="center"/>
    </xf>
    <xf numFmtId="165" fontId="1" fillId="0" borderId="0" xfId="39" applyNumberFormat="1" applyFont="1" applyAlignment="1">
      <alignment horizontal="center"/>
    </xf>
    <xf numFmtId="170" fontId="1" fillId="0" borderId="0" xfId="40" applyNumberFormat="1" applyFont="1" applyFill="1" applyAlignment="1">
      <alignment horizontal="center"/>
    </xf>
    <xf numFmtId="164" fontId="1" fillId="0" borderId="0" xfId="40" applyNumberFormat="1" applyFont="1" applyFill="1" applyAlignment="1">
      <alignment horizontal="center"/>
    </xf>
    <xf numFmtId="17" fontId="4" fillId="0" borderId="14" xfId="0" applyNumberFormat="1" applyFont="1" applyBorder="1" applyAlignment="1">
      <alignment horizontal="center"/>
    </xf>
    <xf numFmtId="165" fontId="1" fillId="0" borderId="0" xfId="0" applyNumberFormat="1" applyFont="1" applyFill="1" applyAlignment="1">
      <alignment horizontal="center"/>
    </xf>
    <xf numFmtId="172" fontId="1" fillId="0" borderId="0" xfId="39" applyNumberFormat="1" applyFont="1" applyFill="1" applyAlignment="1">
      <alignment horizontal="center"/>
    </xf>
    <xf numFmtId="164" fontId="7" fillId="20" borderId="0" xfId="61" applyNumberFormat="1" applyFont="1" applyFill="1"/>
    <xf numFmtId="44" fontId="7" fillId="0" borderId="0" xfId="40" applyFont="1" applyBorder="1"/>
    <xf numFmtId="164" fontId="36" fillId="0" borderId="14" xfId="61" applyNumberFormat="1" applyFont="1" applyFill="1" applyBorder="1" applyAlignment="1">
      <alignment horizontal="center"/>
    </xf>
    <xf numFmtId="170" fontId="36" fillId="0" borderId="14" xfId="61" applyNumberFormat="1" applyFont="1" applyFill="1" applyBorder="1" applyAlignment="1">
      <alignment horizontal="center"/>
    </xf>
    <xf numFmtId="164" fontId="36" fillId="0" borderId="14" xfId="39" applyNumberFormat="1" applyFont="1" applyFill="1" applyBorder="1" applyAlignment="1">
      <alignment horizontal="center"/>
    </xf>
    <xf numFmtId="44" fontId="21" fillId="0" borderId="0" xfId="40" applyFont="1" applyAlignment="1">
      <alignment horizontal="center"/>
    </xf>
    <xf numFmtId="196" fontId="21" fillId="0" borderId="0" xfId="0" applyNumberFormat="1" applyFont="1" applyAlignment="1">
      <alignment horizontal="center"/>
    </xf>
    <xf numFmtId="164" fontId="15" fillId="0" borderId="12" xfId="61" applyNumberFormat="1" applyFont="1" applyBorder="1"/>
    <xf numFmtId="44" fontId="7" fillId="18" borderId="0" xfId="40" applyFont="1" applyFill="1" applyBorder="1"/>
    <xf numFmtId="4" fontId="15" fillId="0" borderId="0" xfId="0" applyNumberFormat="1" applyFont="1" applyAlignment="1">
      <alignment horizontal="center"/>
    </xf>
    <xf numFmtId="0" fontId="1" fillId="21" borderId="0" xfId="77" applyFont="1" applyFill="1" applyAlignment="1">
      <alignment vertical="top"/>
    </xf>
    <xf numFmtId="0" fontId="1" fillId="21" borderId="0" xfId="74" applyFill="1" applyAlignment="1">
      <alignment vertical="top"/>
    </xf>
    <xf numFmtId="0" fontId="1" fillId="21" borderId="0" xfId="74" applyFill="1"/>
    <xf numFmtId="0" fontId="17" fillId="21" borderId="0" xfId="77" applyFont="1" applyFill="1" applyAlignment="1">
      <alignment horizontal="left" vertical="top"/>
    </xf>
    <xf numFmtId="0" fontId="1" fillId="21" borderId="0" xfId="74" applyFont="1" applyFill="1" applyAlignment="1">
      <alignment vertical="top"/>
    </xf>
    <xf numFmtId="0" fontId="32" fillId="21" borderId="0" xfId="77" applyFont="1" applyFill="1" applyAlignment="1">
      <alignment vertical="top"/>
    </xf>
    <xf numFmtId="0" fontId="0" fillId="21" borderId="0" xfId="0" applyFill="1" applyAlignment="1">
      <alignment vertical="top"/>
    </xf>
    <xf numFmtId="0" fontId="80" fillId="21" borderId="0" xfId="0" applyFont="1" applyFill="1" applyAlignment="1">
      <alignment vertical="top"/>
    </xf>
    <xf numFmtId="0" fontId="81" fillId="21" borderId="0" xfId="0" applyFont="1" applyFill="1" applyAlignment="1">
      <alignment vertical="top"/>
    </xf>
    <xf numFmtId="0" fontId="81" fillId="21" borderId="0" xfId="0" applyFont="1" applyFill="1" applyAlignment="1">
      <alignment vertical="top"/>
    </xf>
    <xf numFmtId="0" fontId="80" fillId="21" borderId="0" xfId="0" applyFont="1" applyFill="1" applyAlignment="1">
      <alignment vertical="top"/>
    </xf>
    <xf numFmtId="0" fontId="0" fillId="21" borderId="0" xfId="0" applyFill="1" applyAlignment="1">
      <alignment vertical="top"/>
    </xf>
    <xf numFmtId="0" fontId="0" fillId="21" borderId="19" xfId="0" applyFill="1" applyBorder="1" applyAlignment="1">
      <alignment vertical="top"/>
    </xf>
    <xf numFmtId="0" fontId="80" fillId="21" borderId="15" xfId="0" applyFont="1" applyFill="1" applyBorder="1" applyAlignment="1">
      <alignment vertical="top"/>
    </xf>
    <xf numFmtId="0" fontId="80" fillId="21" borderId="16" xfId="0" applyFont="1" applyFill="1" applyBorder="1" applyAlignment="1">
      <alignment vertical="top"/>
    </xf>
    <xf numFmtId="0" fontId="80" fillId="21" borderId="17" xfId="0" applyFont="1" applyFill="1" applyBorder="1" applyAlignment="1">
      <alignment vertical="top"/>
    </xf>
    <xf numFmtId="0" fontId="80" fillId="21" borderId="18" xfId="0" applyFont="1" applyFill="1" applyBorder="1" applyAlignment="1">
      <alignment vertical="top"/>
    </xf>
    <xf numFmtId="9" fontId="80" fillId="21" borderId="15" xfId="0" applyNumberFormat="1" applyFont="1" applyFill="1" applyBorder="1" applyAlignment="1">
      <alignment vertical="top"/>
    </xf>
    <xf numFmtId="3" fontId="80" fillId="21" borderId="15" xfId="0" applyNumberFormat="1" applyFont="1" applyFill="1" applyBorder="1" applyAlignment="1">
      <alignment vertical="top"/>
    </xf>
    <xf numFmtId="0" fontId="0" fillId="21" borderId="20" xfId="0" applyFill="1" applyBorder="1" applyAlignment="1">
      <alignment vertical="top"/>
    </xf>
    <xf numFmtId="2" fontId="1" fillId="0" borderId="0" xfId="74" applyNumberFormat="1" applyAlignment="1">
      <alignment horizontal="left"/>
    </xf>
    <xf numFmtId="0" fontId="1" fillId="0" borderId="0" xfId="74" applyNumberFormat="1" applyAlignment="1">
      <alignment horizontal="left"/>
    </xf>
    <xf numFmtId="1" fontId="1" fillId="0" borderId="0" xfId="74" applyNumberFormat="1" applyAlignment="1">
      <alignment horizontal="left"/>
    </xf>
    <xf numFmtId="0" fontId="1" fillId="0" borderId="0" xfId="74" applyFont="1"/>
    <xf numFmtId="205" fontId="1" fillId="0" borderId="0" xfId="74" applyNumberFormat="1" applyAlignment="1">
      <alignment horizontal="left"/>
    </xf>
    <xf numFmtId="49" fontId="1" fillId="0" borderId="0" xfId="74" applyNumberFormat="1"/>
    <xf numFmtId="0" fontId="82" fillId="0" borderId="0" xfId="74" applyFont="1" applyAlignment="1">
      <alignment wrapText="1"/>
    </xf>
    <xf numFmtId="0" fontId="82" fillId="0" borderId="0" xfId="74" applyFont="1" applyAlignment="1">
      <alignment horizontal="left" wrapText="1" indent="3"/>
    </xf>
    <xf numFmtId="0" fontId="82" fillId="0" borderId="0" xfId="74" applyFont="1" applyAlignment="1">
      <alignment horizontal="left" wrapText="1" indent="1"/>
    </xf>
    <xf numFmtId="0" fontId="84" fillId="0" borderId="0" xfId="74" applyFont="1" applyAlignment="1">
      <alignment wrapText="1"/>
    </xf>
  </cellXfs>
  <cellStyles count="78">
    <cellStyle name="%" xfId="1"/>
    <cellStyle name="******************************************" xfId="2"/>
    <cellStyle name="_RRS1" xfId="3"/>
    <cellStyle name="_SUMMARY " xfId="4"/>
    <cellStyle name="=C:\WINNT35\SYSTEM32\COMMAND.COM" xfId="5"/>
    <cellStyle name="0_Capex &amp; Depreciation " xfId="6"/>
    <cellStyle name="0_Capex &amp; Depreciation _RRST1" xfId="7"/>
    <cellStyle name="0_Valuing BP " xfId="8"/>
    <cellStyle name="0_Valuing BP _RRST1" xfId="9"/>
    <cellStyle name="20% - Accent1" xfId="10" builtinId="30" customBuiltin="1"/>
    <cellStyle name="20% - Accent2" xfId="11" builtinId="34" customBuiltin="1"/>
    <cellStyle name="20% - Accent3" xfId="12" builtinId="38" customBuiltin="1"/>
    <cellStyle name="20% - Accent4" xfId="13" builtinId="42" customBuiltin="1"/>
    <cellStyle name="20% - Accent5" xfId="14" builtinId="46" customBuiltin="1"/>
    <cellStyle name="20% - Accent6" xfId="15" builtinId="50" customBuiltin="1"/>
    <cellStyle name="40% - Accent1" xfId="16" builtinId="31" customBuiltin="1"/>
    <cellStyle name="40% - Accent2" xfId="17" builtinId="35" customBuiltin="1"/>
    <cellStyle name="40% - Accent3" xfId="18" builtinId="39" customBuiltin="1"/>
    <cellStyle name="40% - Accent4" xfId="19" builtinId="43" customBuiltin="1"/>
    <cellStyle name="40% - Accent5" xfId="20" builtinId="47" customBuiltin="1"/>
    <cellStyle name="40% - Accent6" xfId="21" builtinId="51" customBuiltin="1"/>
    <cellStyle name="60% - Accent1" xfId="22" builtinId="32" customBuiltin="1"/>
    <cellStyle name="60% - Accent2" xfId="23" builtinId="36" customBuiltin="1"/>
    <cellStyle name="60% - Accent3" xfId="24" builtinId="40" customBuiltin="1"/>
    <cellStyle name="60% - Accent4" xfId="25" builtinId="44" customBuiltin="1"/>
    <cellStyle name="60% - Accent5" xfId="26" builtinId="48" customBuiltin="1"/>
    <cellStyle name="60% - Accent6" xfId="27" builtinId="52" customBuiltin="1"/>
    <cellStyle name="Accent1" xfId="28" builtinId="29" customBuiltin="1"/>
    <cellStyle name="Accent2" xfId="29" builtinId="33" customBuiltin="1"/>
    <cellStyle name="Accent3" xfId="30" builtinId="37" customBuiltin="1"/>
    <cellStyle name="Accent4" xfId="31" builtinId="41" customBuiltin="1"/>
    <cellStyle name="Accent5" xfId="32" builtinId="45" customBuiltin="1"/>
    <cellStyle name="Accent6" xfId="33" builtinId="49" customBuiltin="1"/>
    <cellStyle name="Bad" xfId="34" builtinId="27" customBuiltin="1"/>
    <cellStyle name="c_HardInc " xfId="35"/>
    <cellStyle name="c_HardInc _RRST1" xfId="36"/>
    <cellStyle name="Calculation" xfId="37" builtinId="22" customBuiltin="1"/>
    <cellStyle name="Check Cell" xfId="38" builtinId="23" customBuiltin="1"/>
    <cellStyle name="Comma" xfId="39" builtinId="3"/>
    <cellStyle name="Currency" xfId="40" builtinId="4"/>
    <cellStyle name="Currency 2" xfId="41"/>
    <cellStyle name="Currency 3" xfId="76"/>
    <cellStyle name="Euro" xfId="42"/>
    <cellStyle name="Explanatory Text" xfId="43" builtinId="53" customBuiltin="1"/>
    <cellStyle name="Formula" xfId="44"/>
    <cellStyle name="Good" xfId="45" builtinId="26" customBuiltin="1"/>
    <cellStyle name="Heading 1" xfId="46" builtinId="16" customBuiltin="1"/>
    <cellStyle name="Heading 2" xfId="47" builtinId="17" customBuiltin="1"/>
    <cellStyle name="Heading 3" xfId="48" builtinId="18" customBuiltin="1"/>
    <cellStyle name="Heading 4" xfId="49" builtinId="19" customBuiltin="1"/>
    <cellStyle name="Hyperlink" xfId="50" builtinId="8"/>
    <cellStyle name="Input" xfId="51" builtinId="20" customBuiltin="1"/>
    <cellStyle name="Linked Cell" xfId="52" builtinId="24" customBuiltin="1"/>
    <cellStyle name="Neutral" xfId="53" builtinId="28" customBuiltin="1"/>
    <cellStyle name="Normal" xfId="0" builtinId="0"/>
    <cellStyle name="Normal 2" xfId="54"/>
    <cellStyle name="Normal 3" xfId="74"/>
    <cellStyle name="Normal_DisclaimerSheet Samples" xfId="77"/>
    <cellStyle name="Normal_DPS" xfId="55"/>
    <cellStyle name="Normal_ETM LBO Model" xfId="56"/>
    <cellStyle name="Normal_Morgan Stanley_Global Wireless Comps" xfId="57"/>
    <cellStyle name="Note" xfId="58" builtinId="10" customBuiltin="1"/>
    <cellStyle name="Output" xfId="59" builtinId="21" customBuiltin="1"/>
    <cellStyle name="p " xfId="60"/>
    <cellStyle name="Percent" xfId="61" builtinId="5"/>
    <cellStyle name="RRSInstruction" xfId="62"/>
    <cellStyle name="RRSInstruction 2" xfId="63"/>
    <cellStyle name="RRSInstruction 3" xfId="75"/>
    <cellStyle name="s_HardInc " xfId="64"/>
    <cellStyle name="s_HardInc _RRST1" xfId="65"/>
    <cellStyle name="s_Valuation " xfId="66"/>
    <cellStyle name="s_Valuation _RRST1" xfId="67"/>
    <cellStyle name="ssp " xfId="68"/>
    <cellStyle name="Style 1" xfId="69"/>
    <cellStyle name="Style 2" xfId="70"/>
    <cellStyle name="Title" xfId="71" builtinId="15" customBuiltin="1"/>
    <cellStyle name="Total" xfId="72" builtinId="25" customBuiltin="1"/>
    <cellStyle name="Warning Text" xfId="73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32C464"/>
      <rgbColor rgb="00CCFFFF"/>
      <rgbColor rgb="00660066"/>
      <rgbColor rgb="00F37B53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3399FF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
<Relationships xmlns="http://schemas.openxmlformats.org/package/2006/relationships">
<Relationship Id="rId1" Target="worksheets/sheet1.xml" Type="http://schemas.openxmlformats.org/officeDocument/2006/relationships/worksheet"/>
<Relationship Id="rId10" Target="worksheets/sheet10.xml" Type="http://schemas.openxmlformats.org/officeDocument/2006/relationships/worksheet"/>
<Relationship Id="rId11" Target="externalLinks/externalLink1.xml" Type="http://schemas.openxmlformats.org/officeDocument/2006/relationships/externalLink"/>
<Relationship Id="rId12" Target="externalLinks/externalLink2.xml" Type="http://schemas.openxmlformats.org/officeDocument/2006/relationships/externalLink"/>
<Relationship Id="rId13" Target="externalLinks/externalLink3.xml" Type="http://schemas.openxmlformats.org/officeDocument/2006/relationships/externalLink"/>
<Relationship Id="rId14" Target="theme/theme1.xml" Type="http://schemas.openxmlformats.org/officeDocument/2006/relationships/theme"/>
<Relationship Id="rId15" Target="styles.xml" Type="http://schemas.openxmlformats.org/officeDocument/2006/relationships/styles"/>
<Relationship Id="rId16" Target="sharedStrings.xml" Type="http://schemas.openxmlformats.org/officeDocument/2006/relationships/sharedStrings"/>
<Relationship Id="rId17" Target="calcChain.xml" Type="http://schemas.openxmlformats.org/officeDocument/2006/relationships/calcChain"/>
<Relationship Id="rId18" Target="../customXml/item1.xml" Type="http://schemas.openxmlformats.org/officeDocument/2006/relationships/customXml"/>
<Relationship Id="rId19" Target="../customXml/item2.xml" Type="http://schemas.openxmlformats.org/officeDocument/2006/relationships/customXml"/>
<Relationship Id="rId2" Target="worksheets/sheet2.xml" Type="http://schemas.openxmlformats.org/officeDocument/2006/relationships/worksheet"/>
<Relationship Id="rId20" Target="vbaProject.bin" Type="http://schemas.microsoft.com/office/2006/relationships/vbaProject"/>
<Relationship Id="rId3" Target="worksheets/sheet3.xml" Type="http://schemas.openxmlformats.org/officeDocument/2006/relationships/worksheet"/>
<Relationship Id="rId4" Target="worksheets/sheet4.xml" Type="http://schemas.openxmlformats.org/officeDocument/2006/relationships/worksheet"/>
<Relationship Id="rId5" Target="worksheets/sheet5.xml" Type="http://schemas.openxmlformats.org/officeDocument/2006/relationships/worksheet"/>
<Relationship Id="rId6" Target="worksheets/sheet6.xml" Type="http://schemas.openxmlformats.org/officeDocument/2006/relationships/worksheet"/>
<Relationship Id="rId7" Target="worksheets/sheet7.xml" Type="http://schemas.openxmlformats.org/officeDocument/2006/relationships/worksheet"/>
<Relationship Id="rId8" Target="worksheets/sheet8.xml" Type="http://schemas.openxmlformats.org/officeDocument/2006/relationships/worksheet"/>
<Relationship Id="rId9" Target="worksheets/sheet9.xml" Type="http://schemas.openxmlformats.org/officeDocument/2006/relationships/worksheet"/>
</Relationships>

</file>

<file path=xl/charts/_rels/chart3.xml.rels><?xml version="1.0" encoding="UTF-8" standalone="yes"?>
<Relationships xmlns="http://schemas.openxmlformats.org/package/2006/relationships">
<Relationship Id="rId1" Target="../drawings/drawing6.xml" Type="http://schemas.openxmlformats.org/officeDocument/2006/relationships/chartUserShapes"/>
</Relationships>

</file>

<file path=xl/charts/_rels/chart6.xml.rels><?xml version="1.0" encoding="UTF-8" standalone="yes"?>
<Relationships xmlns="http://schemas.openxmlformats.org/package/2006/relationships">
<Relationship Id="rId1" Target="../drawings/drawing7.xml" Type="http://schemas.openxmlformats.org/officeDocument/2006/relationships/chartUserShapes"/>
</Relationships>

</file>

<file path=xl/charts/_rels/chart11.xml.rels><?xml version="1.0" encoding="UTF-8" standalone="yes"?>
<Relationships xmlns="http://schemas.openxmlformats.org/package/2006/relationships">
<Relationship Id="rId1" Target="../drawings/drawing8.xml" Type="http://schemas.openxmlformats.org/officeDocument/2006/relationships/chartUserShapes"/>
</Relationships>

</file>

<file path=xl/charts/_rels/chart15.xml.rels><?xml version="1.0" encoding="UTF-8" standalone="yes"?>
<Relationships xmlns="http://schemas.openxmlformats.org/package/2006/relationships">
<Relationship Id="rId1" Target="../drawings/drawing9.xml" Type="http://schemas.openxmlformats.org/officeDocument/2006/relationships/chartUserShapes"/>
</Relationships>

</file>

<file path=xl/charts/_rels/chart19.xml.rels><?xml version="1.0" encoding="UTF-8" standalone="yes"?>
<Relationships xmlns="http://schemas.openxmlformats.org/package/2006/relationships">
<Relationship Id="rId1" Target="../drawings/drawing10.xml" Type="http://schemas.openxmlformats.org/officeDocument/2006/relationships/chartUserShapes"/>
</Relationships>

</file>

<file path=xl/charts/_rels/chart23.xml.rels><?xml version="1.0" encoding="UTF-8" standalone="yes"?>
<Relationships xmlns="http://schemas.openxmlformats.org/package/2006/relationships">
<Relationship Id="rId1" Target="../drawings/drawing11.xml" Type="http://schemas.openxmlformats.org/officeDocument/2006/relationships/chartUserShapes"/>
</Relationships>

</file>

<file path=xl/charts/_rels/chart27.xml.rels><?xml version="1.0" encoding="UTF-8" standalone="yes"?>
<Relationships xmlns="http://schemas.openxmlformats.org/package/2006/relationships">
<Relationship Id="rId1" Target="../drawings/drawing12.xml" Type="http://schemas.openxmlformats.org/officeDocument/2006/relationships/chartUserShapes"/>
</Relationships>

</file>

<file path=xl/charts/_rels/chart31.xml.rels><?xml version="1.0" encoding="UTF-8" standalone="yes"?>
<Relationships xmlns="http://schemas.openxmlformats.org/package/2006/relationships">
<Relationship Id="rId1" Target="../drawings/drawing13.xml" Type="http://schemas.openxmlformats.org/officeDocument/2006/relationships/chartUserShapes"/>
</Relationships>

</file>

<file path=xl/charts/_rels/chart35.xml.rels><?xml version="1.0" encoding="UTF-8" standalone="yes"?>
<Relationships xmlns="http://schemas.openxmlformats.org/package/2006/relationships">
<Relationship Id="rId1" Target="../drawings/drawing14.xml" Type="http://schemas.openxmlformats.org/officeDocument/2006/relationships/chartUserShapes"/>
</Relationships>

</file>

<file path=xl/charts/_rels/chart39.xml.rels><?xml version="1.0" encoding="UTF-8" standalone="yes"?>
<Relationships xmlns="http://schemas.openxmlformats.org/package/2006/relationships">
<Relationship Id="rId1" Target="../drawings/drawing15.xml" Type="http://schemas.openxmlformats.org/officeDocument/2006/relationships/chartUserShapes"/>
</Relationships>

</file>

<file path=xl/charts/_rels/chart43.xml.rels><?xml version="1.0" encoding="UTF-8" standalone="yes"?>
<Relationships xmlns="http://schemas.openxmlformats.org/package/2006/relationships">
<Relationship Id="rId1" Target="../drawings/drawing16.xml" Type="http://schemas.openxmlformats.org/officeDocument/2006/relationships/chartUserShapes"/>
</Relationships>
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651014528"/>
        <c:axId val="651016448"/>
      </c:barChart>
      <c:catAx>
        <c:axId val="651014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10164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1016448"/>
        <c:scaling>
          <c:orientation val="minMax"/>
          <c:max val="0.4"/>
          <c:min val="-0.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1014528"/>
        <c:crosses val="autoZero"/>
        <c:crossBetween val="between"/>
        <c:majorUnit val="0.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2801408"/>
        <c:axId val="683717376"/>
      </c:barChart>
      <c:catAx>
        <c:axId val="682801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37173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83717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280140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3"/>
          <c:order val="2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4"/>
          <c:order val="3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5"/>
          <c:order val="4"/>
          <c:spPr>
            <a:solidFill>
              <a:srgbClr val="F37B5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6"/>
          <c:order val="5"/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2"/>
          <c:order val="6"/>
          <c:spPr>
            <a:solidFill>
              <a:srgbClr val="32C464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9334400"/>
        <c:axId val="589335936"/>
      </c:barChart>
      <c:catAx>
        <c:axId val="589334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5893359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893359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58933440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" r="0.75" t="1" header="0.5" footer="0.5"/>
    <c:pageSetup orientation="portrait"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9385728"/>
        <c:axId val="589387264"/>
      </c:barChart>
      <c:catAx>
        <c:axId val="589385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589387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893872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58938572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" r="0.75" t="1" header="0.5" footer="0.5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9411840"/>
        <c:axId val="589413376"/>
      </c:barChart>
      <c:catAx>
        <c:axId val="589411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5894133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89413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58941184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" r="0.75" t="1" header="0.5" footer="0.5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2"/>
          <c:order val="2"/>
          <c:spPr>
            <a:solidFill>
              <a:srgbClr val="32C464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3117824"/>
        <c:axId val="623119360"/>
      </c:barChart>
      <c:catAx>
        <c:axId val="623117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2311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31193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23117824"/>
        <c:crosses val="autoZero"/>
        <c:crossBetween val="between"/>
        <c:majorUnit val="0.02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"/>
          <c:y val="0"/>
          <c:w val="0"/>
          <c:h val="0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00" b="0" i="0" u="none" strike="noStrike" baseline="0">
                        <a:solidFill>
                          <a:srgbClr val="000000"/>
                        </a:solidFill>
                        <a:latin typeface="Times New Roman"/>
                        <a:ea typeface="Times New Roman"/>
                        <a:cs typeface="Times New Roman"/>
                      </a:defRPr>
                    </a:pPr>
                    <a:r>
                      <a:rPr lang="en-US"/>
                      <a:t>Wine-Spirits
74%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</c:dLbl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2"/>
          <c:order val="2"/>
          <c:spPr>
            <a:solidFill>
              <a:srgbClr val="32C464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3226240"/>
        <c:axId val="623236224"/>
      </c:barChart>
      <c:catAx>
        <c:axId val="623226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23236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32362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2322624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" r="0.75" t="1" header="0.5" footer="0.5"/>
    <c:pageSetup orientation="portrait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50" b="0" i="0" u="none" strike="noStrike" baseline="0">
                        <a:solidFill>
                          <a:srgbClr val="000000"/>
                        </a:solidFill>
                        <a:latin typeface="Times New Roman"/>
                        <a:ea typeface="Times New Roman"/>
                        <a:cs typeface="Times New Roman"/>
                      </a:defRPr>
                    </a:pPr>
                    <a:r>
                      <a:rPr lang="en-US"/>
                      <a:t>Wine-Spirits
74%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</c:dLbl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portrait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00" b="0" i="0" u="none" strike="noStrike" baseline="0">
                        <a:solidFill>
                          <a:srgbClr val="000000"/>
                        </a:solidFill>
                        <a:latin typeface="Times New Roman"/>
                        <a:ea typeface="Times New Roman"/>
                        <a:cs typeface="Times New Roman"/>
                      </a:defRPr>
                    </a:pPr>
                    <a:r>
                      <a:rPr lang="en-US"/>
                      <a:t>Wine-Spirits
74%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</c:dLbl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portrait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3"/>
          <c:order val="2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4"/>
          <c:order val="3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5"/>
          <c:order val="4"/>
          <c:spPr>
            <a:solidFill>
              <a:srgbClr val="F37B5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6"/>
          <c:order val="5"/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2"/>
          <c:order val="6"/>
          <c:spPr>
            <a:solidFill>
              <a:srgbClr val="32C464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4307200"/>
        <c:axId val="624329472"/>
      </c:barChart>
      <c:catAx>
        <c:axId val="624307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243294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43294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2430720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"/>
          <c:y val="0"/>
          <c:w val="0"/>
          <c:h val="0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" r="0.75" t="1" header="0.5" footer="0.5"/>
    <c:pageSetup orientation="portrait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4768128"/>
        <c:axId val="624769664"/>
      </c:barChart>
      <c:catAx>
        <c:axId val="624768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24769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47696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2476812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" r="0.75" t="1" header="0.5" footer="0.5"/>
    <c:pageSetup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4802432"/>
        <c:axId val="624808320"/>
      </c:barChart>
      <c:catAx>
        <c:axId val="624802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24808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4808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2480243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"/>
          <c:y val="0"/>
          <c:w val="0"/>
          <c:h val="0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" r="0.75" t="1" header="0.5" footer="0.5"/>
    <c:pageSetup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2"/>
          <c:order val="2"/>
          <c:spPr>
            <a:solidFill>
              <a:srgbClr val="32C464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31854592"/>
        <c:axId val="631856128"/>
      </c:barChart>
      <c:catAx>
        <c:axId val="631854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31856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318561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318545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"/>
          <c:y val="0"/>
          <c:w val="0"/>
          <c:h val="0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" r="0.75" t="1" header="0.5" footer="0.5"/>
    <c:pageSetup orientation="portrait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3"/>
          <c:order val="2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4"/>
          <c:order val="3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5"/>
          <c:order val="4"/>
          <c:spPr>
            <a:solidFill>
              <a:srgbClr val="F37B5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6"/>
          <c:order val="5"/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2"/>
          <c:order val="6"/>
          <c:spPr>
            <a:solidFill>
              <a:srgbClr val="32C464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33503104"/>
        <c:axId val="633504896"/>
      </c:barChart>
      <c:catAx>
        <c:axId val="633503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33504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335048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3350310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" r="0.75" t="1" header="0.5" footer="0.5"/>
    <c:pageSetup orientation="portrait"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7898624"/>
        <c:axId val="647900160"/>
      </c:barChart>
      <c:catAx>
        <c:axId val="647898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479001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479001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47898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" r="0.75" t="1" header="0.5" footer="0.5"/>
    <c:pageSetup orientation="portrait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7920640"/>
        <c:axId val="648299264"/>
      </c:barChart>
      <c:catAx>
        <c:axId val="647920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48299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482992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4792064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" r="0.75" t="1" header="0.5" footer="0.5"/>
    <c:pageSetup orientation="portrait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2"/>
          <c:order val="2"/>
          <c:spPr>
            <a:solidFill>
              <a:srgbClr val="32C464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8316800"/>
        <c:axId val="648318336"/>
      </c:barChart>
      <c:catAx>
        <c:axId val="648316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483183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483183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4831680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" r="0.75" t="1" header="0.5" footer="0.5"/>
    <c:pageSetup orientation="portrait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3"/>
          <c:order val="2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4"/>
          <c:order val="3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5"/>
          <c:order val="4"/>
          <c:spPr>
            <a:solidFill>
              <a:srgbClr val="F37B5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6"/>
          <c:order val="5"/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2"/>
          <c:order val="6"/>
          <c:spPr>
            <a:solidFill>
              <a:srgbClr val="32C464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8634368"/>
        <c:axId val="648635904"/>
      </c:barChart>
      <c:catAx>
        <c:axId val="648634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48635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48635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486343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" r="0.75" t="1" header="0.5" footer="0.5"/>
    <c:pageSetup orientation="portrait"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8656768"/>
        <c:axId val="648658304"/>
      </c:barChart>
      <c:catAx>
        <c:axId val="648656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486583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486583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486567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" r="0.75" t="1" header="0.5" footer="0.5"/>
    <c:pageSetup orientation="portrait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8957312"/>
        <c:axId val="648991872"/>
      </c:barChart>
      <c:catAx>
        <c:axId val="648957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48991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489918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4895731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" r="0.75" t="1" header="0.5" footer="0.5"/>
    <c:pageSetup orientation="portrait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2"/>
          <c:order val="2"/>
          <c:spPr>
            <a:solidFill>
              <a:srgbClr val="32C464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9046272"/>
        <c:axId val="649076736"/>
      </c:barChart>
      <c:catAx>
        <c:axId val="649046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49076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490767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4904627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" r="0.75" t="1" header="0.5" footer="0.5"/>
    <c:pageSetup orientation="portrait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3"/>
          <c:order val="2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4"/>
          <c:order val="3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5"/>
          <c:order val="4"/>
          <c:spPr>
            <a:solidFill>
              <a:srgbClr val="F37B5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6"/>
          <c:order val="5"/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2"/>
          <c:order val="6"/>
          <c:spPr>
            <a:solidFill>
              <a:srgbClr val="32C464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9113984"/>
        <c:axId val="649115520"/>
      </c:barChart>
      <c:catAx>
        <c:axId val="649113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491155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491155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4911398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" r="0.75" t="1" header="0.5" footer="0.5"/>
    <c:pageSetup orientation="portrait"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9132288"/>
        <c:axId val="649596928"/>
      </c:barChart>
      <c:catAx>
        <c:axId val="649132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49596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495969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4913228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" r="0.75" t="1" header="0.5" footer="0.5"/>
    <c:pageSetup orientation="portrait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9621504"/>
        <c:axId val="649623040"/>
      </c:barChart>
      <c:catAx>
        <c:axId val="649621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49623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496230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4962150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" r="0.75" t="1" header="0.5" footer="0.5"/>
    <c:pageSetup orientation="portrait"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2"/>
          <c:order val="2"/>
          <c:spPr>
            <a:solidFill>
              <a:srgbClr val="32C464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9677440"/>
        <c:axId val="649707904"/>
      </c:barChart>
      <c:catAx>
        <c:axId val="649677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49707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49707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4967744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" r="0.75" t="1" header="0.5" footer="0.5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3"/>
          <c:order val="2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4"/>
          <c:order val="3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5"/>
          <c:order val="4"/>
          <c:spPr>
            <a:solidFill>
              <a:srgbClr val="F37B5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6"/>
          <c:order val="5"/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2"/>
          <c:order val="6"/>
          <c:spPr>
            <a:solidFill>
              <a:srgbClr val="32C464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9839360"/>
        <c:axId val="649840896"/>
      </c:barChart>
      <c:catAx>
        <c:axId val="649839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49840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498408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4983936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" r="0.75" t="1" header="0.5" footer="0.5"/>
    <c:pageSetup orientation="portrait"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9869952"/>
        <c:axId val="649912704"/>
      </c:barChart>
      <c:catAx>
        <c:axId val="649869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499127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499127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4986995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5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" r="0.75" t="1" header="0.5" footer="0.5"/>
    <c:pageSetup orientation="portrait"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0006912"/>
        <c:axId val="650008448"/>
      </c:barChart>
      <c:catAx>
        <c:axId val="650006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500084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00084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5000691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" r="0.75" t="1" header="0.5" footer="0.5"/>
    <c:pageSetup orientation="portrait"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2"/>
          <c:order val="2"/>
          <c:spPr>
            <a:solidFill>
              <a:srgbClr val="32C464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0017792"/>
        <c:axId val="650068736"/>
      </c:barChart>
      <c:catAx>
        <c:axId val="650017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50068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00687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500177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" r="0.75" t="1" header="0.5" footer="0.5"/>
    <c:pageSetup orientation="portrait"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3"/>
          <c:order val="2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4"/>
          <c:order val="3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5"/>
          <c:order val="4"/>
          <c:spPr>
            <a:solidFill>
              <a:srgbClr val="F37B5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6"/>
          <c:order val="5"/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2"/>
          <c:order val="6"/>
          <c:spPr>
            <a:solidFill>
              <a:srgbClr val="32C464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0105984"/>
        <c:axId val="650107520"/>
      </c:barChart>
      <c:catAx>
        <c:axId val="650105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501075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01075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5010598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"/>
          <c:y val="0"/>
          <c:w val="0"/>
          <c:h val="0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" r="0.75" t="1" header="0.5" footer="0.5"/>
    <c:pageSetup orientation="portrait"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0144768"/>
        <c:axId val="650154752"/>
      </c:barChart>
      <c:catAx>
        <c:axId val="650144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501547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01547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501447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" r="0.75" t="1" header="0.5" footer="0.5"/>
    <c:pageSetup orientation="portrait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0261248"/>
        <c:axId val="650262784"/>
      </c:barChart>
      <c:catAx>
        <c:axId val="650261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502627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02627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502612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"/>
          <c:y val="0"/>
          <c:w val="0"/>
          <c:h val="0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" r="0.75" t="1" header="0.5" footer="0.5"/>
    <c:pageSetup orientation="portrait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2"/>
          <c:order val="2"/>
          <c:spPr>
            <a:solidFill>
              <a:srgbClr val="32C464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0300800"/>
        <c:axId val="650306688"/>
      </c:barChart>
      <c:catAx>
        <c:axId val="650300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503066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03066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5030080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"/>
          <c:y val="0"/>
          <c:w val="0"/>
          <c:h val="0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" r="0.75" t="1" header="0.5" footer="0.5"/>
    <c:pageSetup orientation="portrait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3"/>
          <c:order val="2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4"/>
          <c:order val="3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5"/>
          <c:order val="4"/>
          <c:spPr>
            <a:solidFill>
              <a:srgbClr val="F37B5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6"/>
          <c:order val="5"/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2"/>
          <c:order val="6"/>
          <c:spPr>
            <a:solidFill>
              <a:srgbClr val="32C464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0352128"/>
        <c:axId val="650353664"/>
      </c:barChart>
      <c:catAx>
        <c:axId val="650352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5035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03536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5035212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"/>
          <c:y val="0"/>
          <c:w val="0"/>
          <c:h val="0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" r="0.75" t="1" header="0.5" footer="0.5"/>
    <c:pageSetup orientation="portrait"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0378624"/>
        <c:axId val="650384512"/>
      </c:barChart>
      <c:catAx>
        <c:axId val="650378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503845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03845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50378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" r="0.75" t="1" header="0.5" footer="0.5"/>
    <c:pageSetup orientation="portrait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0413184"/>
        <c:axId val="650414720"/>
      </c:barChart>
      <c:catAx>
        <c:axId val="650413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504147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04147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5041318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"/>
          <c:y val="0"/>
          <c:w val="0"/>
          <c:h val="0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" r="0.75" t="1" header="0.5" footer="0.5"/>
    <c:pageSetup orientation="portrait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2"/>
          <c:order val="2"/>
          <c:spPr>
            <a:solidFill>
              <a:srgbClr val="32C464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0461184"/>
        <c:axId val="650462720"/>
      </c:barChart>
      <c:catAx>
        <c:axId val="650461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504627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04627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5046118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"/>
          <c:y val="0"/>
          <c:w val="0"/>
          <c:h val="0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" r="0.75" t="1" header="0.5" footer="0.5"/>
    <c:pageSetup orientation="portrait"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3"/>
          <c:order val="2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4"/>
          <c:order val="3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5"/>
          <c:order val="4"/>
          <c:spPr>
            <a:solidFill>
              <a:srgbClr val="F37B5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6"/>
          <c:order val="5"/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2"/>
          <c:order val="6"/>
          <c:spPr>
            <a:solidFill>
              <a:srgbClr val="32C464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0504448"/>
        <c:axId val="650989568"/>
      </c:barChart>
      <c:catAx>
        <c:axId val="650504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50989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09895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5050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"/>
          <c:y val="0"/>
          <c:w val="0"/>
          <c:h val="0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" r="0.75" t="1" header="0.5" footer="0.5"/>
    <c:pageSetup orientation="portrait"/>
  </c:printSettings>
  <c:userShapes r:id="rId1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1276672"/>
        <c:axId val="651278208"/>
      </c:barChart>
      <c:catAx>
        <c:axId val="65127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51278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12782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5127667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" r="0.75" t="1" header="0.5" footer="0.5"/>
    <c:pageSetup orientation="portrait"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1290496"/>
        <c:axId val="651292032"/>
      </c:barChart>
      <c:catAx>
        <c:axId val="651290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51292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1292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51290496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"/>
          <c:y val="0"/>
          <c:w val="0"/>
          <c:h val="0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" r="0.75" t="1" header="0.5" footer="0.5"/>
    <c:pageSetup orientation="portrait"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2"/>
          <c:order val="2"/>
          <c:spPr>
            <a:solidFill>
              <a:srgbClr val="32C464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3976320"/>
        <c:axId val="653977856"/>
      </c:barChart>
      <c:catAx>
        <c:axId val="653976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53977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39778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53976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"/>
          <c:y val="0"/>
          <c:w val="0"/>
          <c:h val="0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" r="0.75" t="1" header="0.5" footer="0.5"/>
    <c:pageSetup orientation="portrait"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3"/>
          <c:order val="2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4"/>
          <c:order val="3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5"/>
          <c:order val="4"/>
          <c:spPr>
            <a:solidFill>
              <a:srgbClr val="F37B5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6"/>
          <c:order val="5"/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2"/>
          <c:order val="6"/>
          <c:spPr>
            <a:solidFill>
              <a:srgbClr val="32C464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4043776"/>
        <c:axId val="654045568"/>
      </c:barChart>
      <c:catAx>
        <c:axId val="654043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54045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40455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54043776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4074624"/>
        <c:axId val="654076160"/>
      </c:barChart>
      <c:catAx>
        <c:axId val="654074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540761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40761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54074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5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4113024"/>
        <c:axId val="655097856"/>
      </c:barChart>
      <c:catAx>
        <c:axId val="654113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55097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50978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541130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2"/>
          <c:order val="2"/>
          <c:spPr>
            <a:solidFill>
              <a:srgbClr val="32C464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5144064"/>
        <c:axId val="655145600"/>
      </c:barChart>
      <c:catAx>
        <c:axId val="655144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551456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51456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5514406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
<Relationships xmlns="http://schemas.openxmlformats.org/package/2006/relationships">
<Relationship Id="rId1" Target="../media/image1.png" Type="http://schemas.openxmlformats.org/officeDocument/2006/relationships/image"/>
<Relationship Id="rId2" Target="../media/image2.jpeg" Type="http://schemas.openxmlformats.org/officeDocument/2006/relationships/image"/>
<Relationship Id="rId3" Target="../media/image3.gif" Type="http://schemas.openxmlformats.org/officeDocument/2006/relationships/image"/>
</Relationships>

</file>

<file path=xl/drawings/_rels/drawing3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/Relationships>

</file>

<file path=xl/drawings/_rels/drawing4.xml.rels><?xml version="1.0" encoding="UTF-8" standalone="yes"?>
<Relationships xmlns="http://schemas.openxmlformats.org/package/2006/relationships">
<Relationship Id="rId1" Target="../charts/chart1.xml" Type="http://schemas.openxmlformats.org/officeDocument/2006/relationships/chart"/>
<Relationship Id="rId2" Target="../charts/chart2.xml" Type="http://schemas.openxmlformats.org/officeDocument/2006/relationships/chart"/>
</Relationships>

</file>

<file path=xl/drawings/_rels/drawing5.xml.rels><?xml version="1.0" encoding="UTF-8" standalone="yes"?>
<Relationships xmlns="http://schemas.openxmlformats.org/package/2006/relationships">
<Relationship Id="rId1" Target="../charts/chart3.xml" Type="http://schemas.openxmlformats.org/officeDocument/2006/relationships/chart"/>
<Relationship Id="rId10" Target="../charts/chart12.xml" Type="http://schemas.openxmlformats.org/officeDocument/2006/relationships/chart"/>
<Relationship Id="rId11" Target="../charts/chart13.xml" Type="http://schemas.openxmlformats.org/officeDocument/2006/relationships/chart"/>
<Relationship Id="rId12" Target="../charts/chart14.xml" Type="http://schemas.openxmlformats.org/officeDocument/2006/relationships/chart"/>
<Relationship Id="rId13" Target="../charts/chart15.xml" Type="http://schemas.openxmlformats.org/officeDocument/2006/relationships/chart"/>
<Relationship Id="rId14" Target="../charts/chart16.xml" Type="http://schemas.openxmlformats.org/officeDocument/2006/relationships/chart"/>
<Relationship Id="rId15" Target="../charts/chart17.xml" Type="http://schemas.openxmlformats.org/officeDocument/2006/relationships/chart"/>
<Relationship Id="rId16" Target="../charts/chart18.xml" Type="http://schemas.openxmlformats.org/officeDocument/2006/relationships/chart"/>
<Relationship Id="rId17" Target="../charts/chart19.xml" Type="http://schemas.openxmlformats.org/officeDocument/2006/relationships/chart"/>
<Relationship Id="rId18" Target="../charts/chart20.xml" Type="http://schemas.openxmlformats.org/officeDocument/2006/relationships/chart"/>
<Relationship Id="rId19" Target="../charts/chart21.xml" Type="http://schemas.openxmlformats.org/officeDocument/2006/relationships/chart"/>
<Relationship Id="rId2" Target="../charts/chart4.xml" Type="http://schemas.openxmlformats.org/officeDocument/2006/relationships/chart"/>
<Relationship Id="rId20" Target="../charts/chart22.xml" Type="http://schemas.openxmlformats.org/officeDocument/2006/relationships/chart"/>
<Relationship Id="rId21" Target="../charts/chart23.xml" Type="http://schemas.openxmlformats.org/officeDocument/2006/relationships/chart"/>
<Relationship Id="rId22" Target="../charts/chart24.xml" Type="http://schemas.openxmlformats.org/officeDocument/2006/relationships/chart"/>
<Relationship Id="rId23" Target="../charts/chart25.xml" Type="http://schemas.openxmlformats.org/officeDocument/2006/relationships/chart"/>
<Relationship Id="rId24" Target="../charts/chart26.xml" Type="http://schemas.openxmlformats.org/officeDocument/2006/relationships/chart"/>
<Relationship Id="rId25" Target="../charts/chart27.xml" Type="http://schemas.openxmlformats.org/officeDocument/2006/relationships/chart"/>
<Relationship Id="rId26" Target="../charts/chart28.xml" Type="http://schemas.openxmlformats.org/officeDocument/2006/relationships/chart"/>
<Relationship Id="rId27" Target="../charts/chart29.xml" Type="http://schemas.openxmlformats.org/officeDocument/2006/relationships/chart"/>
<Relationship Id="rId28" Target="../charts/chart30.xml" Type="http://schemas.openxmlformats.org/officeDocument/2006/relationships/chart"/>
<Relationship Id="rId29" Target="../charts/chart31.xml" Type="http://schemas.openxmlformats.org/officeDocument/2006/relationships/chart"/>
<Relationship Id="rId3" Target="../charts/chart5.xml" Type="http://schemas.openxmlformats.org/officeDocument/2006/relationships/chart"/>
<Relationship Id="rId30" Target="../charts/chart32.xml" Type="http://schemas.openxmlformats.org/officeDocument/2006/relationships/chart"/>
<Relationship Id="rId31" Target="../charts/chart33.xml" Type="http://schemas.openxmlformats.org/officeDocument/2006/relationships/chart"/>
<Relationship Id="rId32" Target="../charts/chart34.xml" Type="http://schemas.openxmlformats.org/officeDocument/2006/relationships/chart"/>
<Relationship Id="rId33" Target="../charts/chart35.xml" Type="http://schemas.openxmlformats.org/officeDocument/2006/relationships/chart"/>
<Relationship Id="rId34" Target="../charts/chart36.xml" Type="http://schemas.openxmlformats.org/officeDocument/2006/relationships/chart"/>
<Relationship Id="rId35" Target="../charts/chart37.xml" Type="http://schemas.openxmlformats.org/officeDocument/2006/relationships/chart"/>
<Relationship Id="rId36" Target="../charts/chart38.xml" Type="http://schemas.openxmlformats.org/officeDocument/2006/relationships/chart"/>
<Relationship Id="rId37" Target="../charts/chart39.xml" Type="http://schemas.openxmlformats.org/officeDocument/2006/relationships/chart"/>
<Relationship Id="rId38" Target="../charts/chart40.xml" Type="http://schemas.openxmlformats.org/officeDocument/2006/relationships/chart"/>
<Relationship Id="rId39" Target="../charts/chart41.xml" Type="http://schemas.openxmlformats.org/officeDocument/2006/relationships/chart"/>
<Relationship Id="rId4" Target="../charts/chart6.xml" Type="http://schemas.openxmlformats.org/officeDocument/2006/relationships/chart"/>
<Relationship Id="rId40" Target="../charts/chart42.xml" Type="http://schemas.openxmlformats.org/officeDocument/2006/relationships/chart"/>
<Relationship Id="rId41" Target="../charts/chart43.xml" Type="http://schemas.openxmlformats.org/officeDocument/2006/relationships/chart"/>
<Relationship Id="rId42" Target="../charts/chart44.xml" Type="http://schemas.openxmlformats.org/officeDocument/2006/relationships/chart"/>
<Relationship Id="rId43" Target="../charts/chart45.xml" Type="http://schemas.openxmlformats.org/officeDocument/2006/relationships/chart"/>
<Relationship Id="rId44" Target="../charts/chart46.xml" Type="http://schemas.openxmlformats.org/officeDocument/2006/relationships/chart"/>
<Relationship Id="rId5" Target="../charts/chart7.xml" Type="http://schemas.openxmlformats.org/officeDocument/2006/relationships/chart"/>
<Relationship Id="rId6" Target="../charts/chart8.xml" Type="http://schemas.openxmlformats.org/officeDocument/2006/relationships/chart"/>
<Relationship Id="rId7" Target="../charts/chart9.xml" Type="http://schemas.openxmlformats.org/officeDocument/2006/relationships/chart"/>
<Relationship Id="rId8" Target="../charts/chart10.xml" Type="http://schemas.openxmlformats.org/officeDocument/2006/relationships/chart"/>
<Relationship Id="rId9" Target="../charts/chart11.xml" Type="http://schemas.openxmlformats.org/officeDocument/2006/relationships/chart"/>
</Relationships>
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28575</xdr:rowOff>
    </xdr:from>
    <xdr:to>
      <xdr:col>0</xdr:col>
      <xdr:colOff>1581150</xdr:colOff>
      <xdr:row>0</xdr:row>
      <xdr:rowOff>323850</xdr:rowOff>
    </xdr:to>
    <xdr:pic>
      <xdr:nvPicPr>
        <xdr:cNvPr id="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5621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95250</xdr:rowOff>
    </xdr:from>
    <xdr:to>
      <xdr:col>1</xdr:col>
      <xdr:colOff>523875</xdr:colOff>
      <xdr:row>0</xdr:row>
      <xdr:rowOff>314325</xdr:rowOff>
    </xdr:to>
    <xdr:pic>
      <xdr:nvPicPr>
        <xdr:cNvPr id="3" name="Picture 6" descr="MSMS_logo_3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5250"/>
          <a:ext cx="2219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183</xdr:row>
      <xdr:rowOff>0</xdr:rowOff>
    </xdr:from>
    <xdr:to>
      <xdr:col>7</xdr:col>
      <xdr:colOff>390525</xdr:colOff>
      <xdr:row>206</xdr:row>
      <xdr:rowOff>104775</xdr:rowOff>
    </xdr:to>
    <xdr:pic>
      <xdr:nvPicPr>
        <xdr:cNvPr id="66608129" name="Picture 1" descr="C:\Users\filipf\AppData\Local\Temp\MercuryPriceRatingHistoryChart\PEP.O_2018_04_03_18_37_09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260675"/>
          <a:ext cx="6400800" cy="382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152400</xdr:rowOff>
        </xdr:from>
        <xdr:to>
          <xdr:col>1</xdr:col>
          <xdr:colOff>2819400</xdr:colOff>
          <xdr:row>14</xdr:row>
          <xdr:rowOff>152400</xdr:rowOff>
        </xdr:to>
        <xdr:sp macro="" textlink="">
          <xdr:nvSpPr>
            <xdr:cNvPr id="66609153" name="Button 1" hidden="1">
              <a:extLst>
                <a:ext uri="{63B3BB69-23CF-44E3-9099-C40C66FF867C}">
                  <a14:compatExt spid="_x0000_s66609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Apply Circular 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3067050</xdr:colOff>
          <xdr:row>11</xdr:row>
          <xdr:rowOff>152400</xdr:rowOff>
        </xdr:from>
        <xdr:to>
          <xdr:col>2</xdr:col>
          <xdr:colOff>0</xdr:colOff>
          <xdr:row>14</xdr:row>
          <xdr:rowOff>152400</xdr:rowOff>
        </xdr:to>
        <xdr:sp macro="" textlink="">
          <xdr:nvSpPr>
            <xdr:cNvPr id="66609154" name="Button 2" hidden="1">
              <a:extLst>
                <a:ext uri="{63B3BB69-23CF-44E3-9099-C40C66FF867C}">
                  <a14:compatExt spid="_x0000_s666091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Just Display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561975</xdr:colOff>
      <xdr:row>2</xdr:row>
      <xdr:rowOff>9525</xdr:rowOff>
    </xdr:from>
    <xdr:to>
      <xdr:col>4</xdr:col>
      <xdr:colOff>333375</xdr:colOff>
      <xdr:row>10</xdr:row>
      <xdr:rowOff>0</xdr:rowOff>
    </xdr:to>
    <xdr:pic>
      <xdr:nvPicPr>
        <xdr:cNvPr id="53754474" name="Picture 1" descr="banner0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333375"/>
          <a:ext cx="2228850" cy="1285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193</xdr:row>
      <xdr:rowOff>0</xdr:rowOff>
    </xdr:from>
    <xdr:to>
      <xdr:col>3</xdr:col>
      <xdr:colOff>0</xdr:colOff>
      <xdr:row>193</xdr:row>
      <xdr:rowOff>0</xdr:rowOff>
    </xdr:to>
    <xdr:graphicFrame macro="">
      <xdr:nvGraphicFramePr>
        <xdr:cNvPr id="5841381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13</xdr:col>
      <xdr:colOff>0</xdr:colOff>
      <xdr:row>44</xdr:row>
      <xdr:rowOff>0</xdr:rowOff>
    </xdr:to>
    <xdr:graphicFrame macro="">
      <xdr:nvGraphicFramePr>
        <xdr:cNvPr id="5841381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19</xdr:row>
      <xdr:rowOff>0</xdr:rowOff>
    </xdr:from>
    <xdr:to>
      <xdr:col>4</xdr:col>
      <xdr:colOff>0</xdr:colOff>
      <xdr:row>26</xdr:row>
      <xdr:rowOff>0</xdr:rowOff>
    </xdr:to>
    <xdr:graphicFrame macro="">
      <xdr:nvGraphicFramePr>
        <xdr:cNvPr id="66553944" name="Chart 1 (1)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19</xdr:row>
      <xdr:rowOff>0</xdr:rowOff>
    </xdr:from>
    <xdr:to>
      <xdr:col>4</xdr:col>
      <xdr:colOff>0</xdr:colOff>
      <xdr:row>26</xdr:row>
      <xdr:rowOff>0</xdr:rowOff>
    </xdr:to>
    <xdr:graphicFrame macro="">
      <xdr:nvGraphicFramePr>
        <xdr:cNvPr id="66553945" name="Chart 2 (1)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19</xdr:row>
      <xdr:rowOff>0</xdr:rowOff>
    </xdr:from>
    <xdr:to>
      <xdr:col>4</xdr:col>
      <xdr:colOff>0</xdr:colOff>
      <xdr:row>26</xdr:row>
      <xdr:rowOff>0</xdr:rowOff>
    </xdr:to>
    <xdr:graphicFrame macro="">
      <xdr:nvGraphicFramePr>
        <xdr:cNvPr id="66553946" name="Chart 3 (1)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26</xdr:row>
      <xdr:rowOff>0</xdr:rowOff>
    </xdr:from>
    <xdr:to>
      <xdr:col>4</xdr:col>
      <xdr:colOff>0</xdr:colOff>
      <xdr:row>26</xdr:row>
      <xdr:rowOff>0</xdr:rowOff>
    </xdr:to>
    <xdr:graphicFrame macro="">
      <xdr:nvGraphicFramePr>
        <xdr:cNvPr id="66553947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0</xdr:colOff>
      <xdr:row>12</xdr:row>
      <xdr:rowOff>0</xdr:rowOff>
    </xdr:from>
    <xdr:to>
      <xdr:col>4</xdr:col>
      <xdr:colOff>0</xdr:colOff>
      <xdr:row>26</xdr:row>
      <xdr:rowOff>0</xdr:rowOff>
    </xdr:to>
    <xdr:graphicFrame macro="">
      <xdr:nvGraphicFramePr>
        <xdr:cNvPr id="66553948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0</xdr:colOff>
      <xdr:row>19</xdr:row>
      <xdr:rowOff>0</xdr:rowOff>
    </xdr:from>
    <xdr:to>
      <xdr:col>4</xdr:col>
      <xdr:colOff>0</xdr:colOff>
      <xdr:row>26</xdr:row>
      <xdr:rowOff>0</xdr:rowOff>
    </xdr:to>
    <xdr:graphicFrame macro="">
      <xdr:nvGraphicFramePr>
        <xdr:cNvPr id="66553949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0</xdr:colOff>
      <xdr:row>26</xdr:row>
      <xdr:rowOff>0</xdr:rowOff>
    </xdr:from>
    <xdr:to>
      <xdr:col>4</xdr:col>
      <xdr:colOff>0</xdr:colOff>
      <xdr:row>26</xdr:row>
      <xdr:rowOff>0</xdr:rowOff>
    </xdr:to>
    <xdr:graphicFrame macro="">
      <xdr:nvGraphicFramePr>
        <xdr:cNvPr id="66553950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0</xdr:colOff>
      <xdr:row>12</xdr:row>
      <xdr:rowOff>0</xdr:rowOff>
    </xdr:from>
    <xdr:to>
      <xdr:col>4</xdr:col>
      <xdr:colOff>0</xdr:colOff>
      <xdr:row>26</xdr:row>
      <xdr:rowOff>0</xdr:rowOff>
    </xdr:to>
    <xdr:graphicFrame macro="">
      <xdr:nvGraphicFramePr>
        <xdr:cNvPr id="66553951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0</xdr:colOff>
      <xdr:row>91</xdr:row>
      <xdr:rowOff>0</xdr:rowOff>
    </xdr:from>
    <xdr:to>
      <xdr:col>4</xdr:col>
      <xdr:colOff>0</xdr:colOff>
      <xdr:row>91</xdr:row>
      <xdr:rowOff>0</xdr:rowOff>
    </xdr:to>
    <xdr:graphicFrame macro="">
      <xdr:nvGraphicFramePr>
        <xdr:cNvPr id="66553952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0</xdr:colOff>
      <xdr:row>91</xdr:row>
      <xdr:rowOff>0</xdr:rowOff>
    </xdr:from>
    <xdr:to>
      <xdr:col>4</xdr:col>
      <xdr:colOff>0</xdr:colOff>
      <xdr:row>91</xdr:row>
      <xdr:rowOff>0</xdr:rowOff>
    </xdr:to>
    <xdr:graphicFrame macro="">
      <xdr:nvGraphicFramePr>
        <xdr:cNvPr id="66553953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</xdr:col>
      <xdr:colOff>0</xdr:colOff>
      <xdr:row>91</xdr:row>
      <xdr:rowOff>0</xdr:rowOff>
    </xdr:from>
    <xdr:to>
      <xdr:col>4</xdr:col>
      <xdr:colOff>0</xdr:colOff>
      <xdr:row>91</xdr:row>
      <xdr:rowOff>0</xdr:rowOff>
    </xdr:to>
    <xdr:graphicFrame macro="">
      <xdr:nvGraphicFramePr>
        <xdr:cNvPr id="66553954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0</xdr:colOff>
      <xdr:row>91</xdr:row>
      <xdr:rowOff>0</xdr:rowOff>
    </xdr:from>
    <xdr:to>
      <xdr:col>4</xdr:col>
      <xdr:colOff>0</xdr:colOff>
      <xdr:row>91</xdr:row>
      <xdr:rowOff>0</xdr:rowOff>
    </xdr:to>
    <xdr:graphicFrame macro="">
      <xdr:nvGraphicFramePr>
        <xdr:cNvPr id="66553955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</xdr:col>
      <xdr:colOff>0</xdr:colOff>
      <xdr:row>26</xdr:row>
      <xdr:rowOff>0</xdr:rowOff>
    </xdr:from>
    <xdr:to>
      <xdr:col>4</xdr:col>
      <xdr:colOff>0</xdr:colOff>
      <xdr:row>33</xdr:row>
      <xdr:rowOff>0</xdr:rowOff>
    </xdr:to>
    <xdr:graphicFrame macro="">
      <xdr:nvGraphicFramePr>
        <xdr:cNvPr id="66553956" name="Chart 6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0</xdr:colOff>
      <xdr:row>26</xdr:row>
      <xdr:rowOff>0</xdr:rowOff>
    </xdr:from>
    <xdr:to>
      <xdr:col>4</xdr:col>
      <xdr:colOff>0</xdr:colOff>
      <xdr:row>33</xdr:row>
      <xdr:rowOff>0</xdr:rowOff>
    </xdr:to>
    <xdr:graphicFrame macro="">
      <xdr:nvGraphicFramePr>
        <xdr:cNvPr id="66553957" name="Chart 6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</xdr:col>
      <xdr:colOff>0</xdr:colOff>
      <xdr:row>26</xdr:row>
      <xdr:rowOff>0</xdr:rowOff>
    </xdr:from>
    <xdr:to>
      <xdr:col>4</xdr:col>
      <xdr:colOff>0</xdr:colOff>
      <xdr:row>33</xdr:row>
      <xdr:rowOff>0</xdr:rowOff>
    </xdr:to>
    <xdr:graphicFrame macro="">
      <xdr:nvGraphicFramePr>
        <xdr:cNvPr id="66553958" name="Chart 6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</xdr:col>
      <xdr:colOff>0</xdr:colOff>
      <xdr:row>26</xdr:row>
      <xdr:rowOff>0</xdr:rowOff>
    </xdr:from>
    <xdr:to>
      <xdr:col>4</xdr:col>
      <xdr:colOff>0</xdr:colOff>
      <xdr:row>33</xdr:row>
      <xdr:rowOff>0</xdr:rowOff>
    </xdr:to>
    <xdr:graphicFrame macro="">
      <xdr:nvGraphicFramePr>
        <xdr:cNvPr id="66553959" name="Chart 6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4</xdr:col>
      <xdr:colOff>0</xdr:colOff>
      <xdr:row>68</xdr:row>
      <xdr:rowOff>0</xdr:rowOff>
    </xdr:from>
    <xdr:to>
      <xdr:col>4</xdr:col>
      <xdr:colOff>0</xdr:colOff>
      <xdr:row>75</xdr:row>
      <xdr:rowOff>0</xdr:rowOff>
    </xdr:to>
    <xdr:graphicFrame macro="">
      <xdr:nvGraphicFramePr>
        <xdr:cNvPr id="66553960" name="Chart 6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4</xdr:col>
      <xdr:colOff>0</xdr:colOff>
      <xdr:row>68</xdr:row>
      <xdr:rowOff>0</xdr:rowOff>
    </xdr:from>
    <xdr:to>
      <xdr:col>4</xdr:col>
      <xdr:colOff>0</xdr:colOff>
      <xdr:row>75</xdr:row>
      <xdr:rowOff>0</xdr:rowOff>
    </xdr:to>
    <xdr:graphicFrame macro="">
      <xdr:nvGraphicFramePr>
        <xdr:cNvPr id="66553961" name="Chart 7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</xdr:col>
      <xdr:colOff>0</xdr:colOff>
      <xdr:row>68</xdr:row>
      <xdr:rowOff>0</xdr:rowOff>
    </xdr:from>
    <xdr:to>
      <xdr:col>4</xdr:col>
      <xdr:colOff>0</xdr:colOff>
      <xdr:row>75</xdr:row>
      <xdr:rowOff>0</xdr:rowOff>
    </xdr:to>
    <xdr:graphicFrame macro="">
      <xdr:nvGraphicFramePr>
        <xdr:cNvPr id="66553962" name="Chart 7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4</xdr:col>
      <xdr:colOff>0</xdr:colOff>
      <xdr:row>68</xdr:row>
      <xdr:rowOff>0</xdr:rowOff>
    </xdr:from>
    <xdr:to>
      <xdr:col>4</xdr:col>
      <xdr:colOff>0</xdr:colOff>
      <xdr:row>75</xdr:row>
      <xdr:rowOff>0</xdr:rowOff>
    </xdr:to>
    <xdr:graphicFrame macro="">
      <xdr:nvGraphicFramePr>
        <xdr:cNvPr id="66553963" name="Chart 7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4</xdr:col>
      <xdr:colOff>0</xdr:colOff>
      <xdr:row>75</xdr:row>
      <xdr:rowOff>0</xdr:rowOff>
    </xdr:from>
    <xdr:to>
      <xdr:col>4</xdr:col>
      <xdr:colOff>0</xdr:colOff>
      <xdr:row>82</xdr:row>
      <xdr:rowOff>0</xdr:rowOff>
    </xdr:to>
    <xdr:graphicFrame macro="">
      <xdr:nvGraphicFramePr>
        <xdr:cNvPr id="66553964" name="Chart 7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</xdr:col>
      <xdr:colOff>0</xdr:colOff>
      <xdr:row>75</xdr:row>
      <xdr:rowOff>0</xdr:rowOff>
    </xdr:from>
    <xdr:to>
      <xdr:col>4</xdr:col>
      <xdr:colOff>0</xdr:colOff>
      <xdr:row>82</xdr:row>
      <xdr:rowOff>0</xdr:rowOff>
    </xdr:to>
    <xdr:graphicFrame macro="">
      <xdr:nvGraphicFramePr>
        <xdr:cNvPr id="66553965" name="Chart 7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4</xdr:col>
      <xdr:colOff>0</xdr:colOff>
      <xdr:row>75</xdr:row>
      <xdr:rowOff>0</xdr:rowOff>
    </xdr:from>
    <xdr:to>
      <xdr:col>4</xdr:col>
      <xdr:colOff>0</xdr:colOff>
      <xdr:row>82</xdr:row>
      <xdr:rowOff>0</xdr:rowOff>
    </xdr:to>
    <xdr:graphicFrame macro="">
      <xdr:nvGraphicFramePr>
        <xdr:cNvPr id="66553966" name="Chart 7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0</xdr:colOff>
      <xdr:row>75</xdr:row>
      <xdr:rowOff>0</xdr:rowOff>
    </xdr:from>
    <xdr:to>
      <xdr:col>4</xdr:col>
      <xdr:colOff>0</xdr:colOff>
      <xdr:row>82</xdr:row>
      <xdr:rowOff>0</xdr:rowOff>
    </xdr:to>
    <xdr:graphicFrame macro="">
      <xdr:nvGraphicFramePr>
        <xdr:cNvPr id="66553967" name="Chart 7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4</xdr:col>
      <xdr:colOff>0</xdr:colOff>
      <xdr:row>82</xdr:row>
      <xdr:rowOff>0</xdr:rowOff>
    </xdr:from>
    <xdr:to>
      <xdr:col>4</xdr:col>
      <xdr:colOff>0</xdr:colOff>
      <xdr:row>91</xdr:row>
      <xdr:rowOff>0</xdr:rowOff>
    </xdr:to>
    <xdr:graphicFrame macro="">
      <xdr:nvGraphicFramePr>
        <xdr:cNvPr id="66553968" name="Chart 7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4</xdr:col>
      <xdr:colOff>0</xdr:colOff>
      <xdr:row>82</xdr:row>
      <xdr:rowOff>0</xdr:rowOff>
    </xdr:from>
    <xdr:to>
      <xdr:col>4</xdr:col>
      <xdr:colOff>0</xdr:colOff>
      <xdr:row>91</xdr:row>
      <xdr:rowOff>0</xdr:rowOff>
    </xdr:to>
    <xdr:graphicFrame macro="">
      <xdr:nvGraphicFramePr>
        <xdr:cNvPr id="66553969" name="Chart 7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4</xdr:col>
      <xdr:colOff>0</xdr:colOff>
      <xdr:row>82</xdr:row>
      <xdr:rowOff>0</xdr:rowOff>
    </xdr:from>
    <xdr:to>
      <xdr:col>4</xdr:col>
      <xdr:colOff>0</xdr:colOff>
      <xdr:row>91</xdr:row>
      <xdr:rowOff>0</xdr:rowOff>
    </xdr:to>
    <xdr:graphicFrame macro="">
      <xdr:nvGraphicFramePr>
        <xdr:cNvPr id="66553970" name="Chart 7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4</xdr:col>
      <xdr:colOff>0</xdr:colOff>
      <xdr:row>82</xdr:row>
      <xdr:rowOff>0</xdr:rowOff>
    </xdr:from>
    <xdr:to>
      <xdr:col>4</xdr:col>
      <xdr:colOff>0</xdr:colOff>
      <xdr:row>91</xdr:row>
      <xdr:rowOff>0</xdr:rowOff>
    </xdr:to>
    <xdr:graphicFrame macro="">
      <xdr:nvGraphicFramePr>
        <xdr:cNvPr id="66553971" name="Chart 8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4</xdr:col>
      <xdr:colOff>0</xdr:colOff>
      <xdr:row>75</xdr:row>
      <xdr:rowOff>0</xdr:rowOff>
    </xdr:from>
    <xdr:to>
      <xdr:col>4</xdr:col>
      <xdr:colOff>0</xdr:colOff>
      <xdr:row>75</xdr:row>
      <xdr:rowOff>0</xdr:rowOff>
    </xdr:to>
    <xdr:graphicFrame macro="">
      <xdr:nvGraphicFramePr>
        <xdr:cNvPr id="66553972" name="Chart 10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4</xdr:col>
      <xdr:colOff>0</xdr:colOff>
      <xdr:row>75</xdr:row>
      <xdr:rowOff>0</xdr:rowOff>
    </xdr:from>
    <xdr:to>
      <xdr:col>4</xdr:col>
      <xdr:colOff>0</xdr:colOff>
      <xdr:row>75</xdr:row>
      <xdr:rowOff>0</xdr:rowOff>
    </xdr:to>
    <xdr:graphicFrame macro="">
      <xdr:nvGraphicFramePr>
        <xdr:cNvPr id="66553973" name="Chart 10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4</xdr:col>
      <xdr:colOff>0</xdr:colOff>
      <xdr:row>75</xdr:row>
      <xdr:rowOff>0</xdr:rowOff>
    </xdr:from>
    <xdr:to>
      <xdr:col>4</xdr:col>
      <xdr:colOff>0</xdr:colOff>
      <xdr:row>75</xdr:row>
      <xdr:rowOff>0</xdr:rowOff>
    </xdr:to>
    <xdr:graphicFrame macro="">
      <xdr:nvGraphicFramePr>
        <xdr:cNvPr id="66553974" name="Chart 10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4</xdr:col>
      <xdr:colOff>0</xdr:colOff>
      <xdr:row>75</xdr:row>
      <xdr:rowOff>0</xdr:rowOff>
    </xdr:from>
    <xdr:to>
      <xdr:col>4</xdr:col>
      <xdr:colOff>0</xdr:colOff>
      <xdr:row>75</xdr:row>
      <xdr:rowOff>0</xdr:rowOff>
    </xdr:to>
    <xdr:graphicFrame macro="">
      <xdr:nvGraphicFramePr>
        <xdr:cNvPr id="66553975" name="Chart 10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4</xdr:col>
      <xdr:colOff>0</xdr:colOff>
      <xdr:row>82</xdr:row>
      <xdr:rowOff>0</xdr:rowOff>
    </xdr:from>
    <xdr:to>
      <xdr:col>4</xdr:col>
      <xdr:colOff>0</xdr:colOff>
      <xdr:row>82</xdr:row>
      <xdr:rowOff>0</xdr:rowOff>
    </xdr:to>
    <xdr:graphicFrame macro="">
      <xdr:nvGraphicFramePr>
        <xdr:cNvPr id="66553976" name="Chart 10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4</xdr:col>
      <xdr:colOff>0</xdr:colOff>
      <xdr:row>82</xdr:row>
      <xdr:rowOff>0</xdr:rowOff>
    </xdr:from>
    <xdr:to>
      <xdr:col>4</xdr:col>
      <xdr:colOff>0</xdr:colOff>
      <xdr:row>82</xdr:row>
      <xdr:rowOff>0</xdr:rowOff>
    </xdr:to>
    <xdr:graphicFrame macro="">
      <xdr:nvGraphicFramePr>
        <xdr:cNvPr id="66553977" name="Chart 10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4</xdr:col>
      <xdr:colOff>0</xdr:colOff>
      <xdr:row>82</xdr:row>
      <xdr:rowOff>0</xdr:rowOff>
    </xdr:from>
    <xdr:to>
      <xdr:col>4</xdr:col>
      <xdr:colOff>0</xdr:colOff>
      <xdr:row>82</xdr:row>
      <xdr:rowOff>0</xdr:rowOff>
    </xdr:to>
    <xdr:graphicFrame macro="">
      <xdr:nvGraphicFramePr>
        <xdr:cNvPr id="66553978" name="Chart 10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4</xdr:col>
      <xdr:colOff>0</xdr:colOff>
      <xdr:row>82</xdr:row>
      <xdr:rowOff>0</xdr:rowOff>
    </xdr:from>
    <xdr:to>
      <xdr:col>4</xdr:col>
      <xdr:colOff>0</xdr:colOff>
      <xdr:row>82</xdr:row>
      <xdr:rowOff>0</xdr:rowOff>
    </xdr:to>
    <xdr:graphicFrame macro="">
      <xdr:nvGraphicFramePr>
        <xdr:cNvPr id="66553979" name="Chart 10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4</xdr:col>
      <xdr:colOff>0</xdr:colOff>
      <xdr:row>82</xdr:row>
      <xdr:rowOff>0</xdr:rowOff>
    </xdr:from>
    <xdr:to>
      <xdr:col>4</xdr:col>
      <xdr:colOff>0</xdr:colOff>
      <xdr:row>82</xdr:row>
      <xdr:rowOff>0</xdr:rowOff>
    </xdr:to>
    <xdr:graphicFrame macro="">
      <xdr:nvGraphicFramePr>
        <xdr:cNvPr id="66553980" name="Chart 1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4</xdr:col>
      <xdr:colOff>0</xdr:colOff>
      <xdr:row>82</xdr:row>
      <xdr:rowOff>0</xdr:rowOff>
    </xdr:from>
    <xdr:to>
      <xdr:col>4</xdr:col>
      <xdr:colOff>0</xdr:colOff>
      <xdr:row>82</xdr:row>
      <xdr:rowOff>0</xdr:rowOff>
    </xdr:to>
    <xdr:graphicFrame macro="">
      <xdr:nvGraphicFramePr>
        <xdr:cNvPr id="66553981" name="Chart 1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4</xdr:col>
      <xdr:colOff>0</xdr:colOff>
      <xdr:row>82</xdr:row>
      <xdr:rowOff>0</xdr:rowOff>
    </xdr:from>
    <xdr:to>
      <xdr:col>4</xdr:col>
      <xdr:colOff>0</xdr:colOff>
      <xdr:row>82</xdr:row>
      <xdr:rowOff>0</xdr:rowOff>
    </xdr:to>
    <xdr:graphicFrame macro="">
      <xdr:nvGraphicFramePr>
        <xdr:cNvPr id="66553982" name="Chart 1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0</xdr:colOff>
      <xdr:row>82</xdr:row>
      <xdr:rowOff>0</xdr:rowOff>
    </xdr:from>
    <xdr:to>
      <xdr:col>4</xdr:col>
      <xdr:colOff>0</xdr:colOff>
      <xdr:row>82</xdr:row>
      <xdr:rowOff>0</xdr:rowOff>
    </xdr:to>
    <xdr:graphicFrame macro="">
      <xdr:nvGraphicFramePr>
        <xdr:cNvPr id="66553983" name="Chart 1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4</xdr:col>
      <xdr:colOff>0</xdr:colOff>
      <xdr:row>91</xdr:row>
      <xdr:rowOff>0</xdr:rowOff>
    </xdr:from>
    <xdr:to>
      <xdr:col>4</xdr:col>
      <xdr:colOff>0</xdr:colOff>
      <xdr:row>100</xdr:row>
      <xdr:rowOff>0</xdr:rowOff>
    </xdr:to>
    <xdr:graphicFrame macro="">
      <xdr:nvGraphicFramePr>
        <xdr:cNvPr id="66553984" name="Chart 79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4</xdr:col>
      <xdr:colOff>0</xdr:colOff>
      <xdr:row>91</xdr:row>
      <xdr:rowOff>0</xdr:rowOff>
    </xdr:from>
    <xdr:to>
      <xdr:col>4</xdr:col>
      <xdr:colOff>0</xdr:colOff>
      <xdr:row>100</xdr:row>
      <xdr:rowOff>0</xdr:rowOff>
    </xdr:to>
    <xdr:graphicFrame macro="">
      <xdr:nvGraphicFramePr>
        <xdr:cNvPr id="66553985" name="Chart 80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4</xdr:col>
      <xdr:colOff>0</xdr:colOff>
      <xdr:row>91</xdr:row>
      <xdr:rowOff>0</xdr:rowOff>
    </xdr:from>
    <xdr:to>
      <xdr:col>4</xdr:col>
      <xdr:colOff>0</xdr:colOff>
      <xdr:row>100</xdr:row>
      <xdr:rowOff>0</xdr:rowOff>
    </xdr:to>
    <xdr:graphicFrame macro="">
      <xdr:nvGraphicFramePr>
        <xdr:cNvPr id="66553986" name="Chart 80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0</xdr:colOff>
      <xdr:row>91</xdr:row>
      <xdr:rowOff>0</xdr:rowOff>
    </xdr:from>
    <xdr:to>
      <xdr:col>4</xdr:col>
      <xdr:colOff>0</xdr:colOff>
      <xdr:row>100</xdr:row>
      <xdr:rowOff>0</xdr:rowOff>
    </xdr:to>
    <xdr:graphicFrame macro="">
      <xdr:nvGraphicFramePr>
        <xdr:cNvPr id="66553987" name="Chart 80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0.59484</cdr:x>
      <cdr:y>0.16517</cdr:y>
    </cdr:from>
    <cdr:to>
      <cdr:x>0.69621</cdr:x>
      <cdr:y>0.19246</cdr:y>
    </cdr:to>
    <cdr:sp macro="" textlink="">
      <cdr:nvSpPr>
        <cdr:cNvPr id="307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39449" y="193532"/>
          <a:ext cx="74347" cy="3145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18288" tIns="18288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Next Quarterly Comp</a:t>
          </a:r>
        </a:p>
      </cdr:txBody>
    </cdr:sp>
  </cdr:relSizeAnchor>
  <cdr:relSizeAnchor xmlns:cdr="http://schemas.openxmlformats.org/drawingml/2006/chartDrawing">
    <cdr:from>
      <cdr:x>0.57396</cdr:x>
      <cdr:y>0.20874</cdr:y>
    </cdr:from>
    <cdr:to>
      <cdr:x>0.63422</cdr:x>
      <cdr:y>0.31286</cdr:y>
    </cdr:to>
    <cdr:sp macro="" textlink="">
      <cdr:nvSpPr>
        <cdr:cNvPr id="3074" name="Line 2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>
          <a:off x="424132" y="243753"/>
          <a:ext cx="44194" cy="120000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arrow" w="sm" len="sm"/>
        </a:ln>
        <a:extLst xmlns:a="http://schemas.openxmlformats.org/drawingml/2006/main">
          <a:ext uri="{909E8E84-426E-40DD-AFC4-6F175D3DCCD1}">
            <a14:hiddenFill xmlns:a14="http://schemas.microsoft.com/office/drawing/2010/main">
              <a:noFill/>
            </a14:hiddenFill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0.54503</cdr:x>
      <cdr:y>0.35817</cdr:y>
    </cdr:from>
    <cdr:to>
      <cdr:x>0.55438</cdr:x>
      <cdr:y>0.36948</cdr:y>
    </cdr:to>
    <cdr:sp macro="" textlink="">
      <cdr:nvSpPr>
        <cdr:cNvPr id="409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02913" y="265865"/>
          <a:ext cx="6860" cy="829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`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0.58962</cdr:x>
      <cdr:y>0.22069</cdr:y>
    </cdr:from>
    <cdr:to>
      <cdr:x>0.69339</cdr:x>
      <cdr:y>0.227</cdr:y>
    </cdr:to>
    <cdr:sp macro="" textlink="">
      <cdr:nvSpPr>
        <cdr:cNvPr id="512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35620" y="165033"/>
          <a:ext cx="76102" cy="46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18288" tIns="18288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Next Quarterly Comp</a:t>
          </a:r>
        </a:p>
      </cdr:txBody>
    </cdr:sp>
  </cdr:relSizeAnchor>
  <cdr:relSizeAnchor xmlns:cdr="http://schemas.openxmlformats.org/drawingml/2006/chartDrawing">
    <cdr:from>
      <cdr:x>0.56831</cdr:x>
      <cdr:y>0.23048</cdr:y>
    </cdr:from>
    <cdr:to>
      <cdr:x>0.63008</cdr:x>
      <cdr:y>0.25462</cdr:y>
    </cdr:to>
    <cdr:sp macro="" textlink="">
      <cdr:nvSpPr>
        <cdr:cNvPr id="5122" name="Line 2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>
          <a:off x="419984" y="172213"/>
          <a:ext cx="45311" cy="17709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arrow" w="sm" len="sm"/>
        </a:ln>
        <a:extLst xmlns:a="http://schemas.openxmlformats.org/drawingml/2006/main">
          <a:ext uri="{909E8E84-426E-40DD-AFC4-6F175D3DCCD1}">
            <a14:hiddenFill xmlns:a14="http://schemas.microsoft.com/office/drawing/2010/main">
              <a:noFill/>
            </a14:hiddenFill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0.59484</cdr:x>
      <cdr:y>0.16517</cdr:y>
    </cdr:from>
    <cdr:to>
      <cdr:x>0.69621</cdr:x>
      <cdr:y>0.19246</cdr:y>
    </cdr:to>
    <cdr:sp macro="" textlink="">
      <cdr:nvSpPr>
        <cdr:cNvPr id="4710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39449" y="193532"/>
          <a:ext cx="74347" cy="3145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18288" tIns="18288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Next Quarterly Comp</a:t>
          </a:r>
        </a:p>
      </cdr:txBody>
    </cdr:sp>
  </cdr:relSizeAnchor>
  <cdr:relSizeAnchor xmlns:cdr="http://schemas.openxmlformats.org/drawingml/2006/chartDrawing">
    <cdr:from>
      <cdr:x>0.57396</cdr:x>
      <cdr:y>0.20874</cdr:y>
    </cdr:from>
    <cdr:to>
      <cdr:x>0.63422</cdr:x>
      <cdr:y>0.31286</cdr:y>
    </cdr:to>
    <cdr:sp macro="" textlink="">
      <cdr:nvSpPr>
        <cdr:cNvPr id="47106" name="Line 2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>
          <a:off x="424132" y="243753"/>
          <a:ext cx="44194" cy="120000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arrow" w="sm" len="sm"/>
        </a:ln>
        <a:extLst xmlns:a="http://schemas.openxmlformats.org/drawingml/2006/main">
          <a:ext uri="{909E8E84-426E-40DD-AFC4-6F175D3DCCD1}">
            <a14:hiddenFill xmlns:a14="http://schemas.microsoft.com/office/drawing/2010/main">
              <a:noFill/>
            </a14:hiddenFill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0.59484</cdr:x>
      <cdr:y>0.16517</cdr:y>
    </cdr:from>
    <cdr:to>
      <cdr:x>0.69621</cdr:x>
      <cdr:y>0.19246</cdr:y>
    </cdr:to>
    <cdr:sp macro="" textlink="">
      <cdr:nvSpPr>
        <cdr:cNvPr id="4812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39449" y="193532"/>
          <a:ext cx="74347" cy="3145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18288" tIns="18288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Next Quarterly Comp</a:t>
          </a:r>
        </a:p>
      </cdr:txBody>
    </cdr:sp>
  </cdr:relSizeAnchor>
  <cdr:relSizeAnchor xmlns:cdr="http://schemas.openxmlformats.org/drawingml/2006/chartDrawing">
    <cdr:from>
      <cdr:x>0.57396</cdr:x>
      <cdr:y>0.20874</cdr:y>
    </cdr:from>
    <cdr:to>
      <cdr:x>0.63422</cdr:x>
      <cdr:y>0.31286</cdr:y>
    </cdr:to>
    <cdr:sp macro="" textlink="">
      <cdr:nvSpPr>
        <cdr:cNvPr id="48130" name="Line 2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>
          <a:off x="424132" y="243753"/>
          <a:ext cx="44194" cy="120000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arrow" w="sm" len="sm"/>
        </a:ln>
        <a:extLst xmlns:a="http://schemas.openxmlformats.org/drawingml/2006/main">
          <a:ext uri="{909E8E84-426E-40DD-AFC4-6F175D3DCCD1}">
            <a14:hiddenFill xmlns:a14="http://schemas.microsoft.com/office/drawing/2010/main">
              <a:noFill/>
            </a14:hiddenFill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0.59484</cdr:x>
      <cdr:y>0.16517</cdr:y>
    </cdr:from>
    <cdr:to>
      <cdr:x>0.69621</cdr:x>
      <cdr:y>0.19246</cdr:y>
    </cdr:to>
    <cdr:sp macro="" textlink="">
      <cdr:nvSpPr>
        <cdr:cNvPr id="4915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39449" y="193532"/>
          <a:ext cx="74347" cy="3145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18288" tIns="18288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Next Quarterly Comp</a:t>
          </a:r>
        </a:p>
      </cdr:txBody>
    </cdr:sp>
  </cdr:relSizeAnchor>
  <cdr:relSizeAnchor xmlns:cdr="http://schemas.openxmlformats.org/drawingml/2006/chartDrawing">
    <cdr:from>
      <cdr:x>0.57396</cdr:x>
      <cdr:y>0.20874</cdr:y>
    </cdr:from>
    <cdr:to>
      <cdr:x>0.63422</cdr:x>
      <cdr:y>0.31286</cdr:y>
    </cdr:to>
    <cdr:sp macro="" textlink="">
      <cdr:nvSpPr>
        <cdr:cNvPr id="49154" name="Line 2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>
          <a:off x="424132" y="243753"/>
          <a:ext cx="44194" cy="120000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arrow" w="sm" len="sm"/>
        </a:ln>
        <a:extLst xmlns:a="http://schemas.openxmlformats.org/drawingml/2006/main">
          <a:ext uri="{909E8E84-426E-40DD-AFC4-6F175D3DCCD1}">
            <a14:hiddenFill xmlns:a14="http://schemas.microsoft.com/office/drawing/2010/main">
              <a:noFill/>
            </a14:hiddenFill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0.59484</cdr:x>
      <cdr:y>0.12995</cdr:y>
    </cdr:from>
    <cdr:to>
      <cdr:x>0.69621</cdr:x>
      <cdr:y>0.16618</cdr:y>
    </cdr:to>
    <cdr:sp macro="" textlink="">
      <cdr:nvSpPr>
        <cdr:cNvPr id="5017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39449" y="193789"/>
          <a:ext cx="74347" cy="5315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18288" tIns="18288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Next Quarterly Comp</a:t>
          </a:r>
        </a:p>
      </cdr:txBody>
    </cdr:sp>
  </cdr:relSizeAnchor>
  <cdr:relSizeAnchor xmlns:cdr="http://schemas.openxmlformats.org/drawingml/2006/chartDrawing">
    <cdr:from>
      <cdr:x>0.57396</cdr:x>
      <cdr:y>0.18769</cdr:y>
    </cdr:from>
    <cdr:to>
      <cdr:x>0.63422</cdr:x>
      <cdr:y>0.32561</cdr:y>
    </cdr:to>
    <cdr:sp macro="" textlink="">
      <cdr:nvSpPr>
        <cdr:cNvPr id="50178" name="Line 2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>
          <a:off x="424132" y="278486"/>
          <a:ext cx="44194" cy="202311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arrow" w="sm" len="sm"/>
        </a:ln>
        <a:extLst xmlns:a="http://schemas.openxmlformats.org/drawingml/2006/main">
          <a:ext uri="{909E8E84-426E-40DD-AFC4-6F175D3DCCD1}">
            <a14:hiddenFill xmlns:a14="http://schemas.microsoft.com/office/drawing/2010/main">
              <a:noFill/>
            </a14:hiddenFill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0.58962</cdr:x>
      <cdr:y>0.22069</cdr:y>
    </cdr:from>
    <cdr:to>
      <cdr:x>0.69339</cdr:x>
      <cdr:y>0.227</cdr:y>
    </cdr:to>
    <cdr:sp macro="" textlink="">
      <cdr:nvSpPr>
        <cdr:cNvPr id="6041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35620" y="165033"/>
          <a:ext cx="76102" cy="46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18288" tIns="18288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Next Quarterly Comp</a:t>
          </a:r>
        </a:p>
      </cdr:txBody>
    </cdr:sp>
  </cdr:relSizeAnchor>
  <cdr:relSizeAnchor xmlns:cdr="http://schemas.openxmlformats.org/drawingml/2006/chartDrawing">
    <cdr:from>
      <cdr:x>0.56831</cdr:x>
      <cdr:y>0.23048</cdr:y>
    </cdr:from>
    <cdr:to>
      <cdr:x>0.63008</cdr:x>
      <cdr:y>0.25419</cdr:y>
    </cdr:to>
    <cdr:sp macro="" textlink="">
      <cdr:nvSpPr>
        <cdr:cNvPr id="60418" name="Line 2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>
          <a:off x="419984" y="172213"/>
          <a:ext cx="45311" cy="17390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arrow" w="sm" len="sm"/>
        </a:ln>
        <a:extLst xmlns:a="http://schemas.openxmlformats.org/drawingml/2006/main">
          <a:ext uri="{909E8E84-426E-40DD-AFC4-6F175D3DCCD1}">
            <a14:hiddenFill xmlns:a14="http://schemas.microsoft.com/office/drawing/2010/main">
              <a:noFill/>
            </a14:hiddenFill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0.58962</cdr:x>
      <cdr:y>0.22069</cdr:y>
    </cdr:from>
    <cdr:to>
      <cdr:x>0.69339</cdr:x>
      <cdr:y>0.227</cdr:y>
    </cdr:to>
    <cdr:sp macro="" textlink="">
      <cdr:nvSpPr>
        <cdr:cNvPr id="614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35620" y="165033"/>
          <a:ext cx="76102" cy="46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18288" tIns="18288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Next Quarterly Comp</a:t>
          </a:r>
        </a:p>
      </cdr:txBody>
    </cdr:sp>
  </cdr:relSizeAnchor>
  <cdr:relSizeAnchor xmlns:cdr="http://schemas.openxmlformats.org/drawingml/2006/chartDrawing">
    <cdr:from>
      <cdr:x>0.56831</cdr:x>
      <cdr:y>0.23048</cdr:y>
    </cdr:from>
    <cdr:to>
      <cdr:x>0.63008</cdr:x>
      <cdr:y>0.25462</cdr:y>
    </cdr:to>
    <cdr:sp macro="" textlink="">
      <cdr:nvSpPr>
        <cdr:cNvPr id="61442" name="Line 2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>
          <a:off x="419984" y="172213"/>
          <a:ext cx="45311" cy="17709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arrow" w="sm" len="sm"/>
        </a:ln>
        <a:extLst xmlns:a="http://schemas.openxmlformats.org/drawingml/2006/main">
          <a:ext uri="{909E8E84-426E-40DD-AFC4-6F175D3DCCD1}">
            <a14:hiddenFill xmlns:a14="http://schemas.microsoft.com/office/drawing/2010/main">
              <a:noFill/>
            </a14:hiddenFill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0.58962</cdr:x>
      <cdr:y>0.22069</cdr:y>
    </cdr:from>
    <cdr:to>
      <cdr:x>0.69339</cdr:x>
      <cdr:y>0.227</cdr:y>
    </cdr:to>
    <cdr:sp macro="" textlink="">
      <cdr:nvSpPr>
        <cdr:cNvPr id="624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35620" y="165033"/>
          <a:ext cx="76102" cy="46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18288" tIns="18288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Next Quarterly Comp</a:t>
          </a:r>
        </a:p>
      </cdr:txBody>
    </cdr:sp>
  </cdr:relSizeAnchor>
  <cdr:relSizeAnchor xmlns:cdr="http://schemas.openxmlformats.org/drawingml/2006/chartDrawing">
    <cdr:from>
      <cdr:x>0.56831</cdr:x>
      <cdr:y>0.23048</cdr:y>
    </cdr:from>
    <cdr:to>
      <cdr:x>0.63008</cdr:x>
      <cdr:y>0.25462</cdr:y>
    </cdr:to>
    <cdr:sp macro="" textlink="">
      <cdr:nvSpPr>
        <cdr:cNvPr id="62466" name="Line 2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>
          <a:off x="419984" y="172213"/>
          <a:ext cx="45311" cy="17709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arrow" w="sm" len="sm"/>
        </a:ln>
        <a:extLst xmlns:a="http://schemas.openxmlformats.org/drawingml/2006/main">
          <a:ext uri="{909E8E84-426E-40DD-AFC4-6F175D3DCCD1}">
            <a14:hiddenFill xmlns:a14="http://schemas.microsoft.com/office/drawing/2010/main">
              <a:noFill/>
            </a14:hiddenFill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0.59484</cdr:x>
      <cdr:y>0.12995</cdr:y>
    </cdr:from>
    <cdr:to>
      <cdr:x>0.69621</cdr:x>
      <cdr:y>0.16618</cdr:y>
    </cdr:to>
    <cdr:sp macro="" textlink="">
      <cdr:nvSpPr>
        <cdr:cNvPr id="21913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39449" y="193789"/>
          <a:ext cx="74347" cy="5315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18288" tIns="18288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Next Quarterly Comp</a:t>
          </a:r>
        </a:p>
      </cdr:txBody>
    </cdr:sp>
  </cdr:relSizeAnchor>
  <cdr:relSizeAnchor xmlns:cdr="http://schemas.openxmlformats.org/drawingml/2006/chartDrawing">
    <cdr:from>
      <cdr:x>0.57396</cdr:x>
      <cdr:y>0.18769</cdr:y>
    </cdr:from>
    <cdr:to>
      <cdr:x>0.63422</cdr:x>
      <cdr:y>0.32561</cdr:y>
    </cdr:to>
    <cdr:sp macro="" textlink="">
      <cdr:nvSpPr>
        <cdr:cNvPr id="219138" name="Line 2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>
          <a:off x="424132" y="278486"/>
          <a:ext cx="44194" cy="202311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arrow" w="sm" len="sm"/>
        </a:ln>
        <a:extLst xmlns:a="http://schemas.openxmlformats.org/drawingml/2006/main">
          <a:ext uri="{909E8E84-426E-40DD-AFC4-6F175D3DCCD1}">
            <a14:hiddenFill xmlns:a14="http://schemas.microsoft.com/office/drawing/2010/main">
              <a:noFill/>
            </a14:hiddenFill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externalLinks/_rels/externalLink1.xml.rels><?xml version="1.0" encoding="UTF-8" standalone="yes"?>
<Relationships xmlns="http://schemas.openxmlformats.org/package/2006/relationships">
<Relationship Id="rId1" Target="RecoveredExternalLink1" TargetMode="External" Type="http://schemas.microsoft.com/office/2006/relationships/xlExternalLinkPath/xlPathMissing"/>
</Relationships>

</file>

<file path=xl/externalLinks/_rels/externalLink2.xml.rels><?xml version="1.0" encoding="UTF-8" standalone="yes"?>
<Relationships xmlns="http://schemas.openxmlformats.org/package/2006/relationships">
<Relationship Id="rId1" Target="c1" TargetMode="External" Type="http://schemas.microsoft.com/office/2006/relationships/xlExternalLinkPath/xlPathMissing"/>
</Relationships>

</file>

<file path=xl/externalLinks/_rels/externalLink3.xml.rels><?xml version="1.0" encoding="UTF-8" standalone="yes"?>
<Relationships xmlns="http://schemas.openxmlformats.org/package/2006/relationships">
<Relationship Id="rId1" Target="CONSUMER/CHD/Model/Church&amp;Dwight_Model_BASE.xls" TargetMode="External" Type="http://schemas.microsoft.com/office/2006/relationships/xlExternalLinkPath/xlStartup"/>
</Relationships>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Financial Statements"/>
      <sheetName val="Regis"/>
      <sheetName val="Segment-Divisionwise"/>
      <sheetName val="NewACV_Financial Statements"/>
      <sheetName val="Consumer-Segment"/>
      <sheetName val="ConsumerP&amp;L"/>
      <sheetName val="Sally_Financial Statements"/>
      <sheetName val="Sally-Segment"/>
      <sheetName val="Sheet2"/>
      <sheetName val="Consumer Brands"/>
      <sheetName val="Value"/>
      <sheetName val="Misc"/>
      <sheetName val="Industry_NetDebt_EBITDA"/>
      <sheetName val="Valuation-DCF"/>
      <sheetName val="Sally - Stores"/>
      <sheetName val="Sally (Data required in red)"/>
      <sheetName val="CosmoProf"/>
      <sheetName val="Print"/>
      <sheetName val="Front"/>
      <sheetName val="Overview"/>
      <sheetName val="Assumptions"/>
      <sheetName val="Industry,Company Overview"/>
      <sheetName val="Income statement"/>
      <sheetName val="Balance sheet"/>
      <sheetName val="Cashflows"/>
      <sheetName val="Valuation"/>
      <sheetName val="Outputs"/>
      <sheetName val="Company specific"/>
      <sheetName val="Segment Information"/>
      <sheetName val="Report"/>
      <sheetName val="Chart1"/>
      <sheetName val="Chart2"/>
      <sheetName val="Sheet1 (2)"/>
      <sheetName val="Questions"/>
      <sheetName val="RatingsRatios"/>
      <sheetName val="Quarter"/>
      <sheetName val="annual"/>
      <sheetName val="EPS Growth Composition"/>
      <sheetName val="Quarter Print"/>
      <sheetName val="Sheet1"/>
      <sheetName val="Sheet3"/>
      <sheetName val="Sheet4"/>
      <sheetName val="0_ Contents"/>
      <sheetName val="WPTT"/>
      <sheetName val="WPGH "/>
      <sheetName val="Macros"/>
      <sheetName val="Summary"/>
      <sheetName val="Variance"/>
      <sheetName val="Actuals-Forecast by Cost Driver"/>
      <sheetName val="Headcount"/>
      <sheetName val="BVAR - Detailed"/>
      <sheetName val="BVAR - Prior Year Detailed"/>
      <sheetName val="Prior Forecast"/>
      <sheetName val="NHSI Stations - model 2001"/>
      <sheetName val="NHSI Stations - 2002"/>
      <sheetName val="station renewals"/>
      <sheetName val="contracted revenue"/>
      <sheetName val="total M+"/>
      <sheetName val="summary by dept"/>
      <sheetName val="202457"/>
      <sheetName val="202557"/>
      <sheetName val="202657"/>
      <sheetName val="203557"/>
      <sheetName val="203757"/>
      <sheetName val="203857"/>
      <sheetName val="206557"/>
      <sheetName val="208057"/>
      <sheetName val="new hires"/>
      <sheetName val="205202"/>
      <sheetName val="B107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>
        <row r="12">
          <cell r="A12" t="str">
            <v>Alberto-Culver</v>
          </cell>
        </row>
        <row r="13">
          <cell r="A13" t="str">
            <v>American Greetings</v>
          </cell>
        </row>
        <row r="14">
          <cell r="A14" t="str">
            <v>Central Garden &amp; Pet</v>
          </cell>
        </row>
        <row r="15">
          <cell r="A15" t="str">
            <v>Chattem</v>
          </cell>
        </row>
        <row r="16">
          <cell r="A16" t="str">
            <v>Church &amp; Dwight</v>
          </cell>
        </row>
        <row r="17">
          <cell r="A17" t="str">
            <v>Elizabeth Arden</v>
          </cell>
        </row>
        <row r="18">
          <cell r="A18" t="str">
            <v>Energizer</v>
          </cell>
        </row>
        <row r="19">
          <cell r="A19" t="str">
            <v>Helen of Troy</v>
          </cell>
        </row>
        <row r="20">
          <cell r="A20" t="str">
            <v>Newell-Rubbermaid</v>
          </cell>
        </row>
        <row r="21">
          <cell r="A21" t="str">
            <v>Prestige Brands</v>
          </cell>
        </row>
        <row r="22">
          <cell r="A22" t="str">
            <v>Spectrum Brands</v>
          </cell>
        </row>
        <row r="23">
          <cell r="A23" t="str">
            <v>Scotts Miracle-Gro</v>
          </cell>
        </row>
        <row r="24">
          <cell r="A24" t="str">
            <v>Tupperware</v>
          </cell>
        </row>
        <row r="25">
          <cell r="A25" t="str">
            <v>Weight Watchers</v>
          </cell>
        </row>
      </sheetData>
      <sheetData sheetId="14" refreshError="1">
        <row r="31">
          <cell r="L31">
            <v>0.06</v>
          </cell>
        </row>
        <row r="32">
          <cell r="G32">
            <v>2.5000000000000001E-2</v>
          </cell>
        </row>
        <row r="34">
          <cell r="C34">
            <v>0.35</v>
          </cell>
        </row>
        <row r="35">
          <cell r="C35">
            <v>2.5610000000000001E-2</v>
          </cell>
        </row>
        <row r="36">
          <cell r="C36">
            <v>4.74</v>
          </cell>
        </row>
        <row r="37">
          <cell r="C37">
            <v>0.53</v>
          </cell>
        </row>
        <row r="38">
          <cell r="C38">
            <v>6.4521999999999996E-2</v>
          </cell>
        </row>
        <row r="39">
          <cell r="C39">
            <v>0</v>
          </cell>
        </row>
        <row r="40">
          <cell r="C40">
            <v>3726.1559999999995</v>
          </cell>
        </row>
        <row r="41">
          <cell r="C41">
            <v>0</v>
          </cell>
        </row>
        <row r="44">
          <cell r="C44">
            <v>1.0133988234622195</v>
          </cell>
        </row>
        <row r="45">
          <cell r="C45">
            <v>0</v>
          </cell>
          <cell r="G45">
            <v>58.8</v>
          </cell>
        </row>
        <row r="46">
          <cell r="C46">
            <v>-1.3398823462219437E-2</v>
          </cell>
          <cell r="G46">
            <v>-49.26600000000002</v>
          </cell>
        </row>
        <row r="56">
          <cell r="G56">
            <v>3676.8899999999994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1"/>
      <sheetName val="ImportantDisclosures"/>
      <sheetName val="IndexInformation"/>
      <sheetName val="Income"/>
      <sheetName val="Sheet1"/>
      <sheetName val="Scenario"/>
      <sheetName val="MS_IRI_Methodology"/>
      <sheetName val="MARKET_SHARE ($)_RAW_DATA"/>
      <sheetName val="NEXXUS_RAW_DATA"/>
      <sheetName val="HAIR_CARE_MARKET SHARE ROLL-UP"/>
      <sheetName val="TOTAL_ACV_DOLLAR_SALES"/>
      <sheetName val="Euro vs. PM"/>
      <sheetName val="Ruble"/>
      <sheetName val="GWP"/>
      <sheetName val="Income Statement"/>
      <sheetName val="Margins"/>
      <sheetName val="SSB Nielsen Sales"/>
      <sheetName val="Comps"/>
      <sheetName val="Switches"/>
      <sheetName val="EBITDA"/>
      <sheetName val="TimeSeries"/>
      <sheetName val="Valuation Analyzer"/>
      <sheetName val="GWP-WLine"/>
      <sheetName val="TS_Stnd_Dev_Band"/>
      <sheetName val="Print "/>
      <sheetName val="Lookup"/>
      <sheetName val="Input"/>
      <sheetName val="99 cons YTD"/>
      <sheetName val="KPN"/>
      <sheetName val="B"/>
      <sheetName val="Ratios"/>
      <sheetName val="C"/>
      <sheetName val="summary"/>
      <sheetName val="rev change analysis"/>
      <sheetName val="Realizations vs Average"/>
      <sheetName val="O1000"/>
      <sheetName val="Oil Consumption – barrel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ncials"/>
      <sheetName val="SegmentBreakdown"/>
      <sheetName val="OldSegmentBreakdown"/>
      <sheetName val="SpinBrush&amp;OrangeGlo"/>
      <sheetName val="Orajel_Assumptions"/>
      <sheetName val="2009_AnalystDay"/>
      <sheetName val="c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
<Relationship Id="rId1" Target="../printerSettings/printerSettings1.bin" Type="http://schemas.openxmlformats.org/officeDocument/2006/relationships/printerSettings"/>
<Relationship Id="rId2" Target="../drawings/drawing1.xml" Type="http://schemas.openxmlformats.org/officeDocument/2006/relationships/drawing"/>
</Relationships>

</file>

<file path=xl/worksheets/_rels/sheet3.xml.rels><?xml version="1.0" encoding="UTF-8" standalone="yes"?>
<Relationships xmlns="http://schemas.openxmlformats.org/package/2006/relationships">
<Relationship Id="rId1" Target="../printerSettings/printerSettings2.bin" Type="http://schemas.openxmlformats.org/officeDocument/2006/relationships/printerSettings"/>
<Relationship Id="rId2" Target="../drawings/drawing2.xml" Type="http://schemas.openxmlformats.org/officeDocument/2006/relationships/drawing"/>
<Relationship Id="rId3" Target="../drawings/vmlDrawing1.vml" Type="http://schemas.openxmlformats.org/officeDocument/2006/relationships/vmlDrawing"/>
<Relationship Id="rId4" Target="../ctrlProps/ctrlProp1.xml" Type="http://schemas.openxmlformats.org/officeDocument/2006/relationships/ctrlProp"/>
<Relationship Id="rId5" Target="../ctrlProps/ctrlProp2.xml" Type="http://schemas.openxmlformats.org/officeDocument/2006/relationships/ctrlProp"/>
</Relationships>

</file>

<file path=xl/worksheets/_rels/sheet4.xml.rels><?xml version="1.0" encoding="UTF-8" standalone="yes"?>
<Relationships xmlns="http://schemas.openxmlformats.org/package/2006/relationships">
<Relationship Id="rId1" Target="mailto:brandon.hoffman@morganstanley.com" TargetMode="External" Type="http://schemas.openxmlformats.org/officeDocument/2006/relationships/hyperlink"/>
<Relationship Id="rId2" Target="mailto:scott.rotondi@morganstanley.com" TargetMode="External" Type="http://schemas.openxmlformats.org/officeDocument/2006/relationships/hyperlink"/>
<Relationship Id="rId3" Target="../printerSettings/printerSettings3.bin" Type="http://schemas.openxmlformats.org/officeDocument/2006/relationships/printerSettings"/>
<Relationship Id="rId4" Target="../drawings/drawing3.xml" Type="http://schemas.openxmlformats.org/officeDocument/2006/relationships/drawing"/>
</Relationships>

</file>

<file path=xl/worksheets/_rels/sheet5.xml.rels><?xml version="1.0" encoding="UTF-8" standalone="yes"?>
<Relationships xmlns="http://schemas.openxmlformats.org/package/2006/relationships">
<Relationship Id="rId1" Target="../printerSettings/printerSettings4.bin" Type="http://schemas.openxmlformats.org/officeDocument/2006/relationships/printerSettings"/>
<Relationship Id="rId2" Target="../drawings/drawing4.xml" Type="http://schemas.openxmlformats.org/officeDocument/2006/relationships/drawing"/>
<Relationship Id="rId3" Target="../drawings/vmlDrawing2.vml" Type="http://schemas.openxmlformats.org/officeDocument/2006/relationships/vmlDrawing"/>
<Relationship Id="rId4" Target="../comments1.xml" Type="http://schemas.openxmlformats.org/officeDocument/2006/relationships/comments"/>
</Relationships>

</file>

<file path=xl/worksheets/_rels/sheet6.xml.rels><?xml version="1.0" encoding="UTF-8" standalone="yes"?>
<Relationships xmlns="http://schemas.openxmlformats.org/package/2006/relationships">
<Relationship Id="rId1" Target="../printerSettings/printerSettings5.bin" Type="http://schemas.openxmlformats.org/officeDocument/2006/relationships/printerSettings"/>
<Relationship Id="rId2" Target="../drawings/drawing5.xml" Type="http://schemas.openxmlformats.org/officeDocument/2006/relationships/drawing"/>
<Relationship Id="rId3" Target="../drawings/vmlDrawing3.vml" Type="http://schemas.openxmlformats.org/officeDocument/2006/relationships/vmlDrawing"/>
<Relationship Id="rId4" Target="../comments2.xml" Type="http://schemas.openxmlformats.org/officeDocument/2006/relationships/comments"/>
</Relationships>

</file>

<file path=xl/worksheets/_rels/sheet7.xml.rels><?xml version="1.0" encoding="UTF-8" standalone="yes"?>
<Relationships xmlns="http://schemas.openxmlformats.org/package/2006/relationships">
<Relationship Id="rId1" Target="../printerSettings/printerSettings6.bin" Type="http://schemas.openxmlformats.org/officeDocument/2006/relationships/printerSettings"/>
</Relationships>

</file>

<file path=xl/worksheets/_rels/sheet9.xml.rels><?xml version="1.0" encoding="UTF-8" standalone="yes"?>
<Relationships xmlns="http://schemas.openxmlformats.org/package/2006/relationships">
<Relationship Id="rId1" Target="../printerSettings/printerSettings7.bin" Type="http://schemas.openxmlformats.org/officeDocument/2006/relationships/printerSettings"/>
<Relationship Id="rId2" Target="../drawings/vmlDrawing4.vml" Type="http://schemas.openxmlformats.org/officeDocument/2006/relationships/vmlDrawing"/>
<Relationship Id="rId3" Target="../comments3.xml" Type="http://schemas.openxmlformats.org/officeDocument/2006/relationships/comments"/>
</Relationships>

</file>

<file path=xl/worksheets/_rels/sheet10.xml.rels><?xml version="1.0" encoding="UTF-8" standalone="yes"?>
<Relationships xmlns="http://schemas.openxmlformats.org/package/2006/relationships">
<Relationship Id="rId1" Target="../printerSettings/printerSettings8.bin" Type="http://schemas.openxmlformats.org/officeDocument/2006/relationships/printerSettings"/>
</Relationships>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400"/>
  <sheetViews>
    <sheetView showGridLines="0" tabSelected="1" workbookViewId="0">
      <selection activeCell="Z1" sqref="Z1"/>
    </sheetView>
  </sheetViews>
  <sheetFormatPr defaultRowHeight="12.75" x14ac:dyDescent="0.2"/>
  <cols>
    <col min="1" max="1" width="25.7109375" style="651" customWidth="1"/>
    <col min="2" max="5" width="9.140625" style="651"/>
    <col min="6" max="6" width="18.7109375" style="651" customWidth="1"/>
    <col min="7" max="256" width="9.140625" style="651"/>
    <col min="257" max="257" width="100.7109375" style="651" customWidth="1"/>
    <col min="258" max="512" width="9.140625" style="651"/>
    <col min="513" max="513" width="100.7109375" style="651" customWidth="1"/>
    <col min="514" max="768" width="9.140625" style="651"/>
    <col min="769" max="769" width="100.7109375" style="651" customWidth="1"/>
    <col min="770" max="1024" width="9.140625" style="651"/>
    <col min="1025" max="1025" width="100.7109375" style="651" customWidth="1"/>
    <col min="1026" max="1280" width="9.140625" style="651"/>
    <col min="1281" max="1281" width="100.7109375" style="651" customWidth="1"/>
    <col min="1282" max="1536" width="9.140625" style="651"/>
    <col min="1537" max="1537" width="100.7109375" style="651" customWidth="1"/>
    <col min="1538" max="1792" width="9.140625" style="651"/>
    <col min="1793" max="1793" width="100.7109375" style="651" customWidth="1"/>
    <col min="1794" max="2048" width="9.140625" style="651"/>
    <col min="2049" max="2049" width="100.7109375" style="651" customWidth="1"/>
    <col min="2050" max="2304" width="9.140625" style="651"/>
    <col min="2305" max="2305" width="100.7109375" style="651" customWidth="1"/>
    <col min="2306" max="2560" width="9.140625" style="651"/>
    <col min="2561" max="2561" width="100.7109375" style="651" customWidth="1"/>
    <col min="2562" max="2816" width="9.140625" style="651"/>
    <col min="2817" max="2817" width="100.7109375" style="651" customWidth="1"/>
    <col min="2818" max="3072" width="9.140625" style="651"/>
    <col min="3073" max="3073" width="100.7109375" style="651" customWidth="1"/>
    <col min="3074" max="3328" width="9.140625" style="651"/>
    <col min="3329" max="3329" width="100.7109375" style="651" customWidth="1"/>
    <col min="3330" max="3584" width="9.140625" style="651"/>
    <col min="3585" max="3585" width="100.7109375" style="651" customWidth="1"/>
    <col min="3586" max="3840" width="9.140625" style="651"/>
    <col min="3841" max="3841" width="100.7109375" style="651" customWidth="1"/>
    <col min="3842" max="4096" width="9.140625" style="651"/>
    <col min="4097" max="4097" width="100.7109375" style="651" customWidth="1"/>
    <col min="4098" max="4352" width="9.140625" style="651"/>
    <col min="4353" max="4353" width="100.7109375" style="651" customWidth="1"/>
    <col min="4354" max="4608" width="9.140625" style="651"/>
    <col min="4609" max="4609" width="100.7109375" style="651" customWidth="1"/>
    <col min="4610" max="4864" width="9.140625" style="651"/>
    <col min="4865" max="4865" width="100.7109375" style="651" customWidth="1"/>
    <col min="4866" max="5120" width="9.140625" style="651"/>
    <col min="5121" max="5121" width="100.7109375" style="651" customWidth="1"/>
    <col min="5122" max="5376" width="9.140625" style="651"/>
    <col min="5377" max="5377" width="100.7109375" style="651" customWidth="1"/>
    <col min="5378" max="5632" width="9.140625" style="651"/>
    <col min="5633" max="5633" width="100.7109375" style="651" customWidth="1"/>
    <col min="5634" max="5888" width="9.140625" style="651"/>
    <col min="5889" max="5889" width="100.7109375" style="651" customWidth="1"/>
    <col min="5890" max="6144" width="9.140625" style="651"/>
    <col min="6145" max="6145" width="100.7109375" style="651" customWidth="1"/>
    <col min="6146" max="6400" width="9.140625" style="651"/>
    <col min="6401" max="6401" width="100.7109375" style="651" customWidth="1"/>
    <col min="6402" max="6656" width="9.140625" style="651"/>
    <col min="6657" max="6657" width="100.7109375" style="651" customWidth="1"/>
    <col min="6658" max="6912" width="9.140625" style="651"/>
    <col min="6913" max="6913" width="100.7109375" style="651" customWidth="1"/>
    <col min="6914" max="7168" width="9.140625" style="651"/>
    <col min="7169" max="7169" width="100.7109375" style="651" customWidth="1"/>
    <col min="7170" max="7424" width="9.140625" style="651"/>
    <col min="7425" max="7425" width="100.7109375" style="651" customWidth="1"/>
    <col min="7426" max="7680" width="9.140625" style="651"/>
    <col min="7681" max="7681" width="100.7109375" style="651" customWidth="1"/>
    <col min="7682" max="7936" width="9.140625" style="651"/>
    <col min="7937" max="7937" width="100.7109375" style="651" customWidth="1"/>
    <col min="7938" max="8192" width="9.140625" style="651"/>
    <col min="8193" max="8193" width="100.7109375" style="651" customWidth="1"/>
    <col min="8194" max="8448" width="9.140625" style="651"/>
    <col min="8449" max="8449" width="100.7109375" style="651" customWidth="1"/>
    <col min="8450" max="8704" width="9.140625" style="651"/>
    <col min="8705" max="8705" width="100.7109375" style="651" customWidth="1"/>
    <col min="8706" max="8960" width="9.140625" style="651"/>
    <col min="8961" max="8961" width="100.7109375" style="651" customWidth="1"/>
    <col min="8962" max="9216" width="9.140625" style="651"/>
    <col min="9217" max="9217" width="100.7109375" style="651" customWidth="1"/>
    <col min="9218" max="9472" width="9.140625" style="651"/>
    <col min="9473" max="9473" width="100.7109375" style="651" customWidth="1"/>
    <col min="9474" max="9728" width="9.140625" style="651"/>
    <col min="9729" max="9729" width="100.7109375" style="651" customWidth="1"/>
    <col min="9730" max="9984" width="9.140625" style="651"/>
    <col min="9985" max="9985" width="100.7109375" style="651" customWidth="1"/>
    <col min="9986" max="10240" width="9.140625" style="651"/>
    <col min="10241" max="10241" width="100.7109375" style="651" customWidth="1"/>
    <col min="10242" max="10496" width="9.140625" style="651"/>
    <col min="10497" max="10497" width="100.7109375" style="651" customWidth="1"/>
    <col min="10498" max="10752" width="9.140625" style="651"/>
    <col min="10753" max="10753" width="100.7109375" style="651" customWidth="1"/>
    <col min="10754" max="11008" width="9.140625" style="651"/>
    <col min="11009" max="11009" width="100.7109375" style="651" customWidth="1"/>
    <col min="11010" max="11264" width="9.140625" style="651"/>
    <col min="11265" max="11265" width="100.7109375" style="651" customWidth="1"/>
    <col min="11266" max="11520" width="9.140625" style="651"/>
    <col min="11521" max="11521" width="100.7109375" style="651" customWidth="1"/>
    <col min="11522" max="11776" width="9.140625" style="651"/>
    <col min="11777" max="11777" width="100.7109375" style="651" customWidth="1"/>
    <col min="11778" max="12032" width="9.140625" style="651"/>
    <col min="12033" max="12033" width="100.7109375" style="651" customWidth="1"/>
    <col min="12034" max="12288" width="9.140625" style="651"/>
    <col min="12289" max="12289" width="100.7109375" style="651" customWidth="1"/>
    <col min="12290" max="12544" width="9.140625" style="651"/>
    <col min="12545" max="12545" width="100.7109375" style="651" customWidth="1"/>
    <col min="12546" max="12800" width="9.140625" style="651"/>
    <col min="12801" max="12801" width="100.7109375" style="651" customWidth="1"/>
    <col min="12802" max="13056" width="9.140625" style="651"/>
    <col min="13057" max="13057" width="100.7109375" style="651" customWidth="1"/>
    <col min="13058" max="13312" width="9.140625" style="651"/>
    <col min="13313" max="13313" width="100.7109375" style="651" customWidth="1"/>
    <col min="13314" max="13568" width="9.140625" style="651"/>
    <col min="13569" max="13569" width="100.7109375" style="651" customWidth="1"/>
    <col min="13570" max="13824" width="9.140625" style="651"/>
    <col min="13825" max="13825" width="100.7109375" style="651" customWidth="1"/>
    <col min="13826" max="14080" width="9.140625" style="651"/>
    <col min="14081" max="14081" width="100.7109375" style="651" customWidth="1"/>
    <col min="14082" max="14336" width="9.140625" style="651"/>
    <col min="14337" max="14337" width="100.7109375" style="651" customWidth="1"/>
    <col min="14338" max="14592" width="9.140625" style="651"/>
    <col min="14593" max="14593" width="100.7109375" style="651" customWidth="1"/>
    <col min="14594" max="14848" width="9.140625" style="651"/>
    <col min="14849" max="14849" width="100.7109375" style="651" customWidth="1"/>
    <col min="14850" max="15104" width="9.140625" style="651"/>
    <col min="15105" max="15105" width="100.7109375" style="651" customWidth="1"/>
    <col min="15106" max="15360" width="9.140625" style="651"/>
    <col min="15361" max="15361" width="100.7109375" style="651" customWidth="1"/>
    <col min="15362" max="15616" width="9.140625" style="651"/>
    <col min="15617" max="15617" width="100.7109375" style="651" customWidth="1"/>
    <col min="15618" max="15872" width="9.140625" style="651"/>
    <col min="15873" max="15873" width="100.7109375" style="651" customWidth="1"/>
    <col min="15874" max="16128" width="9.140625" style="651"/>
    <col min="16129" max="16129" width="100.7109375" style="651" customWidth="1"/>
    <col min="16130" max="16384" width="9.140625" style="651"/>
  </cols>
  <sheetData>
    <row r="1" spans="1:8" ht="30" customHeight="1" x14ac:dyDescent="0.2">
      <c r="A1" s="649"/>
      <c r="B1" s="650"/>
      <c r="C1" s="650"/>
      <c r="D1" s="650"/>
      <c r="E1" s="650"/>
      <c r="F1" s="650"/>
      <c r="G1" s="650"/>
      <c r="H1" s="650"/>
    </row>
    <row r="2" spans="1:8" ht="14.25" x14ac:dyDescent="0.2">
      <c r="A2" s="652" t="s">
        <v>342</v>
      </c>
      <c r="B2" s="650"/>
      <c r="C2" s="650"/>
      <c r="D2" s="650"/>
      <c r="E2" s="650"/>
      <c r="F2" s="650"/>
      <c r="G2" s="650"/>
      <c r="H2" s="650"/>
    </row>
    <row r="3" spans="1:8" ht="14.25" x14ac:dyDescent="0.2">
      <c r="A3" s="652" t="s">
        <v>343</v>
      </c>
      <c r="B3" s="650"/>
      <c r="C3" s="650"/>
      <c r="D3" s="650"/>
      <c r="E3" s="650"/>
      <c r="F3" s="650"/>
      <c r="G3" s="650"/>
      <c r="H3" s="650"/>
    </row>
    <row r="4" spans="1:8" ht="14.25" x14ac:dyDescent="0.2">
      <c r="A4" s="652" t="s">
        <v>344</v>
      </c>
      <c r="B4" s="650"/>
      <c r="C4" s="650"/>
      <c r="D4" s="650"/>
      <c r="E4" s="650"/>
      <c r="F4" s="650"/>
      <c r="G4" s="650"/>
      <c r="H4" s="650"/>
    </row>
    <row r="5" spans="1:8" ht="14.25" x14ac:dyDescent="0.2">
      <c r="A5" s="652" t="s">
        <v>345</v>
      </c>
      <c r="B5" s="650"/>
      <c r="C5" s="650"/>
      <c r="D5" s="650"/>
      <c r="E5" s="650"/>
      <c r="F5" s="650"/>
      <c r="G5" s="650"/>
      <c r="H5" s="650"/>
    </row>
    <row r="6" spans="1:8" ht="14.25" x14ac:dyDescent="0.2">
      <c r="A6" s="652"/>
      <c r="B6" s="650"/>
      <c r="C6" s="650"/>
      <c r="D6" s="650"/>
      <c r="E6" s="650"/>
      <c r="F6" s="650"/>
      <c r="G6" s="650"/>
      <c r="H6" s="650"/>
    </row>
    <row r="7" spans="1:8" x14ac:dyDescent="0.2">
      <c r="A7" s="649" t="s">
        <v>346</v>
      </c>
      <c r="B7" s="650"/>
      <c r="C7" s="650"/>
      <c r="D7" s="650"/>
      <c r="E7" s="650"/>
      <c r="F7" s="650"/>
      <c r="G7" s="650"/>
      <c r="H7" s="650"/>
    </row>
    <row r="8" spans="1:8" x14ac:dyDescent="0.2">
      <c r="A8" s="649" t="s">
        <v>347</v>
      </c>
      <c r="B8" s="650"/>
      <c r="C8" s="650"/>
      <c r="D8" s="650"/>
      <c r="E8" s="650"/>
      <c r="F8" s="650"/>
      <c r="G8" s="650"/>
      <c r="H8" s="650"/>
    </row>
    <row r="9" spans="1:8" x14ac:dyDescent="0.2">
      <c r="A9" s="649"/>
      <c r="B9" s="650"/>
      <c r="C9" s="650"/>
      <c r="D9" s="650"/>
      <c r="E9" s="650"/>
      <c r="F9" s="650"/>
      <c r="G9" s="650"/>
      <c r="H9" s="650"/>
    </row>
    <row r="10" spans="1:8" x14ac:dyDescent="0.2">
      <c r="A10" s="653" t="s">
        <v>348</v>
      </c>
      <c r="B10" s="650"/>
      <c r="C10" s="650"/>
      <c r="D10" s="650"/>
      <c r="E10" s="650"/>
      <c r="F10" s="650"/>
      <c r="G10" s="650"/>
      <c r="H10" s="650"/>
    </row>
    <row r="11" spans="1:8" x14ac:dyDescent="0.2">
      <c r="A11" s="653" t="s">
        <v>349</v>
      </c>
      <c r="B11" s="650"/>
      <c r="C11" s="650"/>
      <c r="D11" s="650"/>
      <c r="E11" s="650"/>
      <c r="F11" s="650"/>
      <c r="G11" s="650"/>
      <c r="H11" s="650"/>
    </row>
    <row r="12" spans="1:8" x14ac:dyDescent="0.2">
      <c r="A12" s="653" t="s">
        <v>350</v>
      </c>
      <c r="B12" s="650"/>
      <c r="C12" s="650"/>
      <c r="D12" s="650"/>
      <c r="E12" s="650"/>
      <c r="F12" s="650"/>
      <c r="G12" s="650"/>
      <c r="H12" s="650"/>
    </row>
    <row r="13" spans="1:8" x14ac:dyDescent="0.2">
      <c r="A13" s="653" t="s">
        <v>351</v>
      </c>
      <c r="B13" s="650"/>
      <c r="C13" s="650"/>
      <c r="D13" s="650"/>
      <c r="E13" s="650"/>
      <c r="F13" s="650"/>
      <c r="G13" s="650"/>
      <c r="H13" s="650"/>
    </row>
    <row r="14" spans="1:8" x14ac:dyDescent="0.2">
      <c r="A14" s="653" t="s">
        <v>352</v>
      </c>
      <c r="B14" s="650"/>
      <c r="C14" s="650"/>
      <c r="D14" s="650"/>
      <c r="E14" s="650"/>
      <c r="F14" s="650"/>
      <c r="G14" s="650"/>
      <c r="H14" s="650"/>
    </row>
    <row r="15" spans="1:8" x14ac:dyDescent="0.2">
      <c r="A15" s="653" t="s">
        <v>353</v>
      </c>
      <c r="B15" s="650"/>
      <c r="C15" s="650"/>
      <c r="D15" s="650"/>
      <c r="E15" s="650"/>
      <c r="F15" s="650"/>
      <c r="G15" s="650"/>
      <c r="H15" s="650"/>
    </row>
    <row r="16" spans="1:8" x14ac:dyDescent="0.2">
      <c r="A16" s="653"/>
      <c r="B16" s="650"/>
      <c r="C16" s="650"/>
      <c r="D16" s="650"/>
      <c r="E16" s="650"/>
      <c r="F16" s="650"/>
      <c r="G16" s="650"/>
      <c r="H16" s="650"/>
    </row>
    <row r="17" spans="1:8" x14ac:dyDescent="0.2">
      <c r="A17" s="653" t="s">
        <v>339</v>
      </c>
      <c r="B17" s="650"/>
      <c r="C17" s="650"/>
      <c r="D17" s="650"/>
      <c r="E17" s="650"/>
      <c r="F17" s="650"/>
      <c r="G17" s="650"/>
      <c r="H17" s="650"/>
    </row>
    <row r="18" spans="1:8" x14ac:dyDescent="0.2">
      <c r="A18" s="653"/>
      <c r="B18" s="650"/>
      <c r="C18" s="650"/>
      <c r="D18" s="650"/>
      <c r="E18" s="650"/>
      <c r="F18" s="650"/>
      <c r="G18" s="650"/>
      <c r="H18" s="650"/>
    </row>
    <row r="19" spans="1:8" x14ac:dyDescent="0.2">
      <c r="A19" s="653" t="s">
        <v>340</v>
      </c>
      <c r="B19" s="650"/>
      <c r="C19" s="650"/>
      <c r="D19" s="650"/>
      <c r="E19" s="650"/>
      <c r="F19" s="650"/>
      <c r="G19" s="650"/>
      <c r="H19" s="650"/>
    </row>
    <row r="20" spans="1:8" x14ac:dyDescent="0.2">
      <c r="A20" s="649"/>
      <c r="B20" s="650"/>
      <c r="C20" s="650"/>
      <c r="D20" s="650"/>
      <c r="E20" s="650"/>
      <c r="F20" s="650"/>
      <c r="G20" s="650"/>
      <c r="H20" s="650"/>
    </row>
    <row r="21" spans="1:8" x14ac:dyDescent="0.2">
      <c r="A21" s="654" t="s">
        <v>341</v>
      </c>
      <c r="B21" s="650"/>
      <c r="C21" s="650"/>
      <c r="D21" s="650"/>
      <c r="E21" s="650"/>
      <c r="F21" s="650"/>
      <c r="G21" s="650"/>
      <c r="H21" s="650"/>
    </row>
    <row r="22" spans="1:8" x14ac:dyDescent="0.2">
      <c r="A22" s="655"/>
      <c r="B22" s="655"/>
      <c r="C22" s="655"/>
      <c r="D22" s="655"/>
      <c r="E22" s="655"/>
      <c r="F22" s="655"/>
      <c r="G22" s="655"/>
      <c r="H22" s="655"/>
    </row>
    <row r="23" spans="1:8" x14ac:dyDescent="0.2">
      <c r="A23" s="656" t="s">
        <v>638</v>
      </c>
      <c r="B23" s="655"/>
      <c r="C23" s="655"/>
      <c r="D23" s="655"/>
      <c r="E23" s="655"/>
      <c r="F23" s="655"/>
      <c r="G23" s="655"/>
      <c r="H23" s="655"/>
    </row>
    <row r="24" spans="1:8" x14ac:dyDescent="0.2">
      <c r="A24" s="656" t="s">
        <v>639</v>
      </c>
      <c r="B24" s="655"/>
      <c r="C24" s="655"/>
      <c r="D24" s="655"/>
      <c r="E24" s="655"/>
      <c r="F24" s="655"/>
      <c r="G24" s="655"/>
      <c r="H24" s="655"/>
    </row>
    <row r="25" spans="1:8" x14ac:dyDescent="0.2">
      <c r="A25" s="656" t="s">
        <v>640</v>
      </c>
      <c r="B25" s="655"/>
      <c r="C25" s="655"/>
      <c r="D25" s="655"/>
      <c r="E25" s="655"/>
      <c r="F25" s="655"/>
      <c r="G25" s="655"/>
      <c r="H25" s="655"/>
    </row>
    <row r="26" spans="1:8" x14ac:dyDescent="0.2">
      <c r="A26" s="656" t="s">
        <v>641</v>
      </c>
      <c r="B26" s="655"/>
      <c r="C26" s="655"/>
      <c r="D26" s="655"/>
      <c r="E26" s="655"/>
      <c r="F26" s="655"/>
      <c r="G26" s="655"/>
      <c r="H26" s="655"/>
    </row>
    <row r="27" spans="1:8" x14ac:dyDescent="0.2">
      <c r="A27" s="655"/>
      <c r="B27" s="655"/>
      <c r="C27" s="655"/>
      <c r="D27" s="655"/>
      <c r="E27" s="655"/>
      <c r="F27" s="655"/>
      <c r="G27" s="655"/>
      <c r="H27" s="655"/>
    </row>
    <row r="28" spans="1:8" x14ac:dyDescent="0.2">
      <c r="A28" s="655"/>
      <c r="B28" s="655"/>
      <c r="C28" s="655"/>
      <c r="D28" s="655"/>
      <c r="E28" s="655"/>
      <c r="F28" s="655"/>
      <c r="G28" s="655"/>
      <c r="H28" s="655"/>
    </row>
    <row r="29" spans="1:8" x14ac:dyDescent="0.2">
      <c r="A29" s="656" t="s">
        <v>633</v>
      </c>
      <c r="B29" s="655"/>
      <c r="C29" s="655"/>
      <c r="D29" s="655"/>
      <c r="E29" s="655"/>
      <c r="F29" s="655"/>
      <c r="G29" s="655"/>
      <c r="H29" s="655"/>
    </row>
    <row r="30" spans="1:8" x14ac:dyDescent="0.2">
      <c r="A30" s="656" t="s">
        <v>634</v>
      </c>
      <c r="B30" s="655"/>
      <c r="C30" s="655"/>
      <c r="D30" s="655"/>
      <c r="E30" s="655"/>
      <c r="F30" s="655"/>
      <c r="G30" s="655"/>
      <c r="H30" s="655"/>
    </row>
    <row r="31" spans="1:8" x14ac:dyDescent="0.2">
      <c r="A31" s="656" t="s">
        <v>635</v>
      </c>
      <c r="B31" s="655"/>
      <c r="C31" s="655"/>
      <c r="D31" s="655"/>
      <c r="E31" s="655"/>
      <c r="F31" s="655"/>
      <c r="G31" s="655"/>
      <c r="H31" s="655"/>
    </row>
    <row r="32" spans="1:8" x14ac:dyDescent="0.2">
      <c r="A32" s="656" t="s">
        <v>636</v>
      </c>
      <c r="B32" s="655"/>
      <c r="C32" s="655"/>
      <c r="D32" s="655"/>
      <c r="E32" s="655"/>
      <c r="F32" s="655"/>
      <c r="G32" s="655"/>
      <c r="H32" s="655"/>
    </row>
    <row r="33" spans="1:8" x14ac:dyDescent="0.2">
      <c r="A33" s="656" t="s">
        <v>637</v>
      </c>
      <c r="B33" s="655"/>
      <c r="C33" s="655"/>
      <c r="D33" s="655"/>
      <c r="E33" s="655"/>
      <c r="F33" s="655"/>
      <c r="G33" s="655"/>
      <c r="H33" s="655"/>
    </row>
    <row r="34" spans="1:8" x14ac:dyDescent="0.2">
      <c r="A34" s="655"/>
      <c r="B34" s="655"/>
      <c r="C34" s="655"/>
      <c r="D34" s="655"/>
      <c r="E34" s="655"/>
      <c r="F34" s="655"/>
      <c r="G34" s="655"/>
      <c r="H34" s="655"/>
    </row>
    <row r="35" spans="1:8" x14ac:dyDescent="0.2">
      <c r="A35" s="656" t="s">
        <v>629</v>
      </c>
      <c r="B35" s="655"/>
      <c r="C35" s="655"/>
      <c r="D35" s="655"/>
      <c r="E35" s="655"/>
      <c r="F35" s="655"/>
      <c r="G35" s="655"/>
      <c r="H35" s="655"/>
    </row>
    <row r="36" spans="1:8" x14ac:dyDescent="0.2">
      <c r="A36" s="656" t="s">
        <v>630</v>
      </c>
      <c r="B36" s="655"/>
      <c r="C36" s="655"/>
      <c r="D36" s="655"/>
      <c r="E36" s="655"/>
      <c r="F36" s="655"/>
      <c r="G36" s="655"/>
      <c r="H36" s="655"/>
    </row>
    <row r="37" spans="1:8" x14ac:dyDescent="0.2">
      <c r="A37" s="656" t="s">
        <v>631</v>
      </c>
      <c r="B37" s="655"/>
      <c r="C37" s="655"/>
      <c r="D37" s="655"/>
      <c r="E37" s="655"/>
      <c r="F37" s="655"/>
      <c r="G37" s="655"/>
      <c r="H37" s="655"/>
    </row>
    <row r="38" spans="1:8" x14ac:dyDescent="0.2">
      <c r="A38" s="656" t="s">
        <v>632</v>
      </c>
      <c r="B38" s="655"/>
      <c r="C38" s="655"/>
      <c r="D38" s="655"/>
      <c r="E38" s="655"/>
      <c r="F38" s="655"/>
      <c r="G38" s="655"/>
      <c r="H38" s="655"/>
    </row>
    <row r="39" spans="1:8" x14ac:dyDescent="0.2">
      <c r="A39" s="655"/>
      <c r="B39" s="655"/>
      <c r="C39" s="655"/>
      <c r="D39" s="655"/>
      <c r="E39" s="655"/>
      <c r="F39" s="655"/>
      <c r="G39" s="655"/>
      <c r="H39" s="655"/>
    </row>
    <row r="40" spans="1:8" x14ac:dyDescent="0.2">
      <c r="A40" s="656" t="s">
        <v>623</v>
      </c>
      <c r="B40" s="655"/>
      <c r="C40" s="655"/>
      <c r="D40" s="655"/>
      <c r="E40" s="655"/>
      <c r="F40" s="655"/>
      <c r="G40" s="655"/>
      <c r="H40" s="655"/>
    </row>
    <row r="41" spans="1:8" x14ac:dyDescent="0.2">
      <c r="A41" s="656" t="s">
        <v>624</v>
      </c>
      <c r="B41" s="655"/>
      <c r="C41" s="655"/>
      <c r="D41" s="655"/>
      <c r="E41" s="655"/>
      <c r="F41" s="655"/>
      <c r="G41" s="655"/>
      <c r="H41" s="655"/>
    </row>
    <row r="42" spans="1:8" x14ac:dyDescent="0.2">
      <c r="A42" s="656" t="s">
        <v>625</v>
      </c>
      <c r="B42" s="655"/>
      <c r="C42" s="655"/>
      <c r="D42" s="655"/>
      <c r="E42" s="655"/>
      <c r="F42" s="655"/>
      <c r="G42" s="655"/>
      <c r="H42" s="655"/>
    </row>
    <row r="43" spans="1:8" x14ac:dyDescent="0.2">
      <c r="A43" s="656" t="s">
        <v>626</v>
      </c>
      <c r="B43" s="655"/>
      <c r="C43" s="655"/>
      <c r="D43" s="655"/>
      <c r="E43" s="655"/>
      <c r="F43" s="655"/>
      <c r="G43" s="655"/>
      <c r="H43" s="655"/>
    </row>
    <row r="44" spans="1:8" x14ac:dyDescent="0.2">
      <c r="A44" s="656" t="s">
        <v>627</v>
      </c>
      <c r="B44" s="655"/>
      <c r="C44" s="655"/>
      <c r="D44" s="655"/>
      <c r="E44" s="655"/>
      <c r="F44" s="655"/>
      <c r="G44" s="655"/>
      <c r="H44" s="655"/>
    </row>
    <row r="45" spans="1:8" x14ac:dyDescent="0.2">
      <c r="A45" s="656" t="s">
        <v>628</v>
      </c>
      <c r="B45" s="655"/>
      <c r="C45" s="655"/>
      <c r="D45" s="655"/>
      <c r="E45" s="655"/>
      <c r="F45" s="655"/>
      <c r="G45" s="655"/>
      <c r="H45" s="655"/>
    </row>
    <row r="46" spans="1:8" x14ac:dyDescent="0.2">
      <c r="A46" s="655"/>
      <c r="B46" s="655"/>
      <c r="C46" s="655"/>
      <c r="D46" s="655"/>
      <c r="E46" s="655"/>
      <c r="F46" s="655"/>
      <c r="G46" s="655"/>
      <c r="H46" s="655"/>
    </row>
    <row r="47" spans="1:8" ht="15.75" x14ac:dyDescent="0.2">
      <c r="A47" s="657" t="s">
        <v>354</v>
      </c>
      <c r="B47" s="655"/>
      <c r="C47" s="655"/>
      <c r="D47" s="655"/>
      <c r="E47" s="655"/>
      <c r="F47" s="655"/>
      <c r="G47" s="655"/>
      <c r="H47" s="655"/>
    </row>
    <row r="48" spans="1:8" x14ac:dyDescent="0.2">
      <c r="A48" s="655"/>
      <c r="B48" s="655"/>
      <c r="C48" s="655"/>
      <c r="D48" s="655"/>
      <c r="E48" s="655"/>
      <c r="F48" s="655"/>
      <c r="G48" s="655"/>
      <c r="H48" s="655"/>
    </row>
    <row r="49" spans="1:8" x14ac:dyDescent="0.2">
      <c r="A49" s="656" t="s">
        <v>619</v>
      </c>
      <c r="B49" s="655"/>
      <c r="C49" s="655"/>
      <c r="D49" s="655"/>
      <c r="E49" s="655"/>
      <c r="F49" s="655"/>
      <c r="G49" s="655"/>
      <c r="H49" s="655"/>
    </row>
    <row r="50" spans="1:8" x14ac:dyDescent="0.2">
      <c r="A50" s="656" t="s">
        <v>620</v>
      </c>
      <c r="B50" s="655"/>
      <c r="C50" s="655"/>
      <c r="D50" s="655"/>
      <c r="E50" s="655"/>
      <c r="F50" s="655"/>
      <c r="G50" s="655"/>
      <c r="H50" s="655"/>
    </row>
    <row r="51" spans="1:8" x14ac:dyDescent="0.2">
      <c r="A51" s="656" t="s">
        <v>621</v>
      </c>
      <c r="B51" s="655"/>
      <c r="C51" s="655"/>
      <c r="D51" s="655"/>
      <c r="E51" s="655"/>
      <c r="F51" s="655"/>
      <c r="G51" s="655"/>
      <c r="H51" s="655"/>
    </row>
    <row r="52" spans="1:8" x14ac:dyDescent="0.2">
      <c r="A52" s="656" t="s">
        <v>622</v>
      </c>
      <c r="B52" s="655"/>
      <c r="C52" s="655"/>
      <c r="D52" s="655"/>
      <c r="E52" s="655"/>
      <c r="F52" s="655"/>
      <c r="G52" s="655"/>
      <c r="H52" s="655"/>
    </row>
    <row r="53" spans="1:8" x14ac:dyDescent="0.2">
      <c r="A53" s="655"/>
      <c r="B53" s="655"/>
      <c r="C53" s="655"/>
      <c r="D53" s="655"/>
      <c r="E53" s="655"/>
      <c r="F53" s="655"/>
      <c r="G53" s="655"/>
      <c r="H53" s="655"/>
    </row>
    <row r="54" spans="1:8" x14ac:dyDescent="0.2">
      <c r="A54" s="656" t="s">
        <v>355</v>
      </c>
      <c r="B54" s="655"/>
      <c r="C54" s="655"/>
      <c r="D54" s="655"/>
      <c r="E54" s="655"/>
      <c r="F54" s="655"/>
      <c r="G54" s="655"/>
      <c r="H54" s="655"/>
    </row>
    <row r="55" spans="1:8" x14ac:dyDescent="0.2">
      <c r="A55" s="655"/>
      <c r="B55" s="655"/>
      <c r="C55" s="655"/>
      <c r="D55" s="655"/>
      <c r="E55" s="655"/>
      <c r="F55" s="655"/>
      <c r="G55" s="655"/>
      <c r="H55" s="655"/>
    </row>
    <row r="56" spans="1:8" ht="15.75" x14ac:dyDescent="0.2">
      <c r="A56" s="657" t="s">
        <v>356</v>
      </c>
      <c r="B56" s="655"/>
      <c r="C56" s="655"/>
      <c r="D56" s="655"/>
      <c r="E56" s="655"/>
      <c r="F56" s="655"/>
      <c r="G56" s="655"/>
      <c r="H56" s="655"/>
    </row>
    <row r="57" spans="1:8" x14ac:dyDescent="0.2">
      <c r="A57" s="655"/>
      <c r="B57" s="655"/>
      <c r="C57" s="655"/>
      <c r="D57" s="655"/>
      <c r="E57" s="655"/>
      <c r="F57" s="655"/>
      <c r="G57" s="655"/>
      <c r="H57" s="655"/>
    </row>
    <row r="58" spans="1:8" x14ac:dyDescent="0.2">
      <c r="A58" s="656" t="s">
        <v>617</v>
      </c>
      <c r="B58" s="655"/>
      <c r="C58" s="655"/>
      <c r="D58" s="655"/>
      <c r="E58" s="655"/>
      <c r="F58" s="655"/>
      <c r="G58" s="655"/>
      <c r="H58" s="655"/>
    </row>
    <row r="59" spans="1:8" x14ac:dyDescent="0.2">
      <c r="A59" s="656" t="s">
        <v>618</v>
      </c>
      <c r="B59" s="655"/>
      <c r="C59" s="655"/>
      <c r="D59" s="655"/>
      <c r="E59" s="655"/>
      <c r="F59" s="655"/>
      <c r="G59" s="655"/>
      <c r="H59" s="655"/>
    </row>
    <row r="60" spans="1:8" x14ac:dyDescent="0.2">
      <c r="A60" s="655"/>
      <c r="B60" s="655"/>
      <c r="C60" s="655"/>
      <c r="D60" s="655"/>
      <c r="E60" s="655"/>
      <c r="F60" s="655"/>
      <c r="G60" s="655"/>
      <c r="H60" s="655"/>
    </row>
    <row r="61" spans="1:8" ht="15.75" x14ac:dyDescent="0.2">
      <c r="A61" s="657" t="s">
        <v>357</v>
      </c>
      <c r="B61" s="655"/>
      <c r="C61" s="655"/>
      <c r="D61" s="655"/>
      <c r="E61" s="655"/>
      <c r="F61" s="655"/>
      <c r="G61" s="655"/>
      <c r="H61" s="655"/>
    </row>
    <row r="62" spans="1:8" x14ac:dyDescent="0.2">
      <c r="A62" s="655"/>
      <c r="B62" s="655"/>
      <c r="C62" s="655"/>
      <c r="D62" s="655"/>
      <c r="E62" s="655"/>
      <c r="F62" s="655"/>
      <c r="G62" s="655"/>
      <c r="H62" s="655"/>
    </row>
    <row r="63" spans="1:8" x14ac:dyDescent="0.2">
      <c r="A63" s="656" t="s">
        <v>615</v>
      </c>
      <c r="B63" s="655"/>
      <c r="C63" s="655"/>
      <c r="D63" s="655"/>
      <c r="E63" s="655"/>
      <c r="F63" s="655"/>
      <c r="G63" s="655"/>
      <c r="H63" s="655"/>
    </row>
    <row r="64" spans="1:8" x14ac:dyDescent="0.2">
      <c r="A64" s="656" t="s">
        <v>616</v>
      </c>
      <c r="B64" s="655"/>
      <c r="C64" s="655"/>
      <c r="D64" s="655"/>
      <c r="E64" s="655"/>
      <c r="F64" s="655"/>
      <c r="G64" s="655"/>
      <c r="H64" s="655"/>
    </row>
    <row r="65" spans="1:8" x14ac:dyDescent="0.2">
      <c r="A65" s="655"/>
      <c r="B65" s="655"/>
      <c r="C65" s="655"/>
      <c r="D65" s="655"/>
      <c r="E65" s="655"/>
      <c r="F65" s="655"/>
      <c r="G65" s="655"/>
      <c r="H65" s="655"/>
    </row>
    <row r="66" spans="1:8" x14ac:dyDescent="0.2">
      <c r="A66" s="656" t="s">
        <v>613</v>
      </c>
      <c r="B66" s="655"/>
      <c r="C66" s="655"/>
      <c r="D66" s="655"/>
      <c r="E66" s="655"/>
      <c r="F66" s="655"/>
      <c r="G66" s="655"/>
      <c r="H66" s="655"/>
    </row>
    <row r="67" spans="1:8" x14ac:dyDescent="0.2">
      <c r="A67" s="656" t="s">
        <v>614</v>
      </c>
      <c r="B67" s="655"/>
      <c r="C67" s="655"/>
      <c r="D67" s="655"/>
      <c r="E67" s="655"/>
      <c r="F67" s="655"/>
      <c r="G67" s="655"/>
      <c r="H67" s="655"/>
    </row>
    <row r="68" spans="1:8" x14ac:dyDescent="0.2">
      <c r="A68" s="655"/>
      <c r="B68" s="655"/>
      <c r="C68" s="655"/>
      <c r="D68" s="655"/>
      <c r="E68" s="655"/>
      <c r="F68" s="655"/>
      <c r="G68" s="655"/>
      <c r="H68" s="655"/>
    </row>
    <row r="69" spans="1:8" x14ac:dyDescent="0.2">
      <c r="A69" s="656" t="s">
        <v>611</v>
      </c>
      <c r="B69" s="655"/>
      <c r="C69" s="655"/>
      <c r="D69" s="655"/>
      <c r="E69" s="655"/>
      <c r="F69" s="655"/>
      <c r="G69" s="655"/>
      <c r="H69" s="655"/>
    </row>
    <row r="70" spans="1:8" x14ac:dyDescent="0.2">
      <c r="A70" s="656" t="s">
        <v>612</v>
      </c>
      <c r="B70" s="655"/>
      <c r="C70" s="655"/>
      <c r="D70" s="655"/>
      <c r="E70" s="655"/>
      <c r="F70" s="655"/>
      <c r="G70" s="655"/>
      <c r="H70" s="655"/>
    </row>
    <row r="71" spans="1:8" x14ac:dyDescent="0.2">
      <c r="A71" s="655"/>
      <c r="B71" s="655"/>
      <c r="C71" s="655"/>
      <c r="D71" s="655"/>
      <c r="E71" s="655"/>
      <c r="F71" s="655"/>
      <c r="G71" s="655"/>
      <c r="H71" s="655"/>
    </row>
    <row r="72" spans="1:8" x14ac:dyDescent="0.2">
      <c r="A72" s="656" t="s">
        <v>609</v>
      </c>
      <c r="B72" s="655"/>
      <c r="C72" s="655"/>
      <c r="D72" s="655"/>
      <c r="E72" s="655"/>
      <c r="F72" s="655"/>
      <c r="G72" s="655"/>
      <c r="H72" s="655"/>
    </row>
    <row r="73" spans="1:8" x14ac:dyDescent="0.2">
      <c r="A73" s="656" t="s">
        <v>610</v>
      </c>
      <c r="B73" s="655"/>
      <c r="C73" s="655"/>
      <c r="D73" s="655"/>
      <c r="E73" s="655"/>
      <c r="F73" s="655"/>
      <c r="G73" s="655"/>
      <c r="H73" s="655"/>
    </row>
    <row r="74" spans="1:8" x14ac:dyDescent="0.2">
      <c r="A74" s="655"/>
      <c r="B74" s="655"/>
      <c r="C74" s="655"/>
      <c r="D74" s="655"/>
      <c r="E74" s="655"/>
      <c r="F74" s="655"/>
      <c r="G74" s="655"/>
      <c r="H74" s="655"/>
    </row>
    <row r="75" spans="1:8" x14ac:dyDescent="0.2">
      <c r="A75" s="656" t="s">
        <v>607</v>
      </c>
      <c r="B75" s="655"/>
      <c r="C75" s="655"/>
      <c r="D75" s="655"/>
      <c r="E75" s="655"/>
      <c r="F75" s="655"/>
      <c r="G75" s="655"/>
      <c r="H75" s="655"/>
    </row>
    <row r="76" spans="1:8" x14ac:dyDescent="0.2">
      <c r="A76" s="656" t="s">
        <v>608</v>
      </c>
      <c r="B76" s="655"/>
      <c r="C76" s="655"/>
      <c r="D76" s="655"/>
      <c r="E76" s="655"/>
      <c r="F76" s="655"/>
      <c r="G76" s="655"/>
      <c r="H76" s="655"/>
    </row>
    <row r="77" spans="1:8" x14ac:dyDescent="0.2">
      <c r="A77" s="655"/>
      <c r="B77" s="655"/>
      <c r="C77" s="655"/>
      <c r="D77" s="655"/>
      <c r="E77" s="655"/>
      <c r="F77" s="655"/>
      <c r="G77" s="655"/>
      <c r="H77" s="655"/>
    </row>
    <row r="78" spans="1:8" x14ac:dyDescent="0.2">
      <c r="A78" s="656" t="s">
        <v>605</v>
      </c>
      <c r="B78" s="655"/>
      <c r="C78" s="655"/>
      <c r="D78" s="655"/>
      <c r="E78" s="655"/>
      <c r="F78" s="655"/>
      <c r="G78" s="655"/>
      <c r="H78" s="655"/>
    </row>
    <row r="79" spans="1:8" x14ac:dyDescent="0.2">
      <c r="A79" s="656" t="s">
        <v>606</v>
      </c>
      <c r="B79" s="655"/>
      <c r="C79" s="655"/>
      <c r="D79" s="655"/>
      <c r="E79" s="655"/>
      <c r="F79" s="655"/>
      <c r="G79" s="655"/>
      <c r="H79" s="655"/>
    </row>
    <row r="80" spans="1:8" x14ac:dyDescent="0.2">
      <c r="A80" s="655"/>
      <c r="B80" s="655"/>
      <c r="C80" s="655"/>
      <c r="D80" s="655"/>
      <c r="E80" s="655"/>
      <c r="F80" s="655"/>
      <c r="G80" s="655"/>
      <c r="H80" s="655"/>
    </row>
    <row r="81" spans="1:8" x14ac:dyDescent="0.2">
      <c r="A81" s="656" t="s">
        <v>602</v>
      </c>
      <c r="B81" s="655"/>
      <c r="C81" s="655"/>
      <c r="D81" s="655"/>
      <c r="E81" s="655"/>
      <c r="F81" s="655"/>
      <c r="G81" s="655"/>
      <c r="H81" s="655"/>
    </row>
    <row r="82" spans="1:8" x14ac:dyDescent="0.2">
      <c r="A82" s="656" t="s">
        <v>603</v>
      </c>
      <c r="B82" s="655"/>
      <c r="C82" s="655"/>
      <c r="D82" s="655"/>
      <c r="E82" s="655"/>
      <c r="F82" s="655"/>
      <c r="G82" s="655"/>
      <c r="H82" s="655"/>
    </row>
    <row r="83" spans="1:8" x14ac:dyDescent="0.2">
      <c r="A83" s="656" t="s">
        <v>604</v>
      </c>
      <c r="B83" s="655"/>
      <c r="C83" s="655"/>
      <c r="D83" s="655"/>
      <c r="E83" s="655"/>
      <c r="F83" s="655"/>
      <c r="G83" s="655"/>
      <c r="H83" s="655"/>
    </row>
    <row r="84" spans="1:8" x14ac:dyDescent="0.2">
      <c r="A84" s="655"/>
      <c r="B84" s="655"/>
      <c r="C84" s="655"/>
      <c r="D84" s="655"/>
      <c r="E84" s="655"/>
      <c r="F84" s="655"/>
      <c r="G84" s="655"/>
      <c r="H84" s="655"/>
    </row>
    <row r="85" spans="1:8" x14ac:dyDescent="0.2">
      <c r="A85" s="656" t="s">
        <v>358</v>
      </c>
      <c r="B85" s="655"/>
      <c r="C85" s="655"/>
      <c r="D85" s="655"/>
      <c r="E85" s="655"/>
      <c r="F85" s="655"/>
      <c r="G85" s="655"/>
      <c r="H85" s="655"/>
    </row>
    <row r="86" spans="1:8" x14ac:dyDescent="0.2">
      <c r="A86" s="655"/>
      <c r="B86" s="655"/>
      <c r="C86" s="655"/>
      <c r="D86" s="655"/>
      <c r="E86" s="655"/>
      <c r="F86" s="655"/>
      <c r="G86" s="655"/>
      <c r="H86" s="655"/>
    </row>
    <row r="87" spans="1:8" x14ac:dyDescent="0.2">
      <c r="A87" s="656" t="s">
        <v>597</v>
      </c>
      <c r="B87" s="655"/>
      <c r="C87" s="655"/>
      <c r="D87" s="655"/>
      <c r="E87" s="655"/>
      <c r="F87" s="655"/>
      <c r="G87" s="655"/>
      <c r="H87" s="655"/>
    </row>
    <row r="88" spans="1:8" x14ac:dyDescent="0.2">
      <c r="A88" s="656" t="s">
        <v>598</v>
      </c>
      <c r="B88" s="655"/>
      <c r="C88" s="655"/>
      <c r="D88" s="655"/>
      <c r="E88" s="655"/>
      <c r="F88" s="655"/>
      <c r="G88" s="655"/>
      <c r="H88" s="655"/>
    </row>
    <row r="89" spans="1:8" x14ac:dyDescent="0.2">
      <c r="A89" s="656" t="s">
        <v>599</v>
      </c>
      <c r="B89" s="655"/>
      <c r="C89" s="655"/>
      <c r="D89" s="655"/>
      <c r="E89" s="655"/>
      <c r="F89" s="655"/>
      <c r="G89" s="655"/>
      <c r="H89" s="655"/>
    </row>
    <row r="90" spans="1:8" x14ac:dyDescent="0.2">
      <c r="A90" s="656" t="s">
        <v>600</v>
      </c>
      <c r="B90" s="655"/>
      <c r="C90" s="655"/>
      <c r="D90" s="655"/>
      <c r="E90" s="655"/>
      <c r="F90" s="655"/>
      <c r="G90" s="655"/>
      <c r="H90" s="655"/>
    </row>
    <row r="91" spans="1:8" x14ac:dyDescent="0.2">
      <c r="A91" s="656" t="s">
        <v>601</v>
      </c>
      <c r="B91" s="655"/>
      <c r="C91" s="655"/>
      <c r="D91" s="655"/>
      <c r="E91" s="655"/>
      <c r="F91" s="655"/>
      <c r="G91" s="655"/>
      <c r="H91" s="655"/>
    </row>
    <row r="92" spans="1:8" x14ac:dyDescent="0.2">
      <c r="A92" s="656" t="s">
        <v>484</v>
      </c>
      <c r="B92" s="655"/>
      <c r="C92" s="655"/>
      <c r="D92" s="655"/>
      <c r="E92" s="655"/>
      <c r="F92" s="655"/>
      <c r="G92" s="655"/>
      <c r="H92" s="655"/>
    </row>
    <row r="93" spans="1:8" x14ac:dyDescent="0.2">
      <c r="A93" s="655"/>
      <c r="B93" s="655"/>
      <c r="C93" s="655"/>
      <c r="D93" s="655"/>
      <c r="E93" s="655"/>
      <c r="F93" s="655"/>
      <c r="G93" s="655"/>
      <c r="H93" s="655"/>
    </row>
    <row r="94" spans="1:8" x14ac:dyDescent="0.2">
      <c r="A94" s="656" t="s">
        <v>590</v>
      </c>
      <c r="B94" s="655"/>
      <c r="C94" s="655"/>
      <c r="D94" s="655"/>
      <c r="E94" s="655"/>
      <c r="F94" s="655"/>
      <c r="G94" s="655"/>
      <c r="H94" s="655"/>
    </row>
    <row r="95" spans="1:8" x14ac:dyDescent="0.2">
      <c r="A95" s="656" t="s">
        <v>591</v>
      </c>
      <c r="B95" s="655"/>
      <c r="C95" s="655"/>
      <c r="D95" s="655"/>
      <c r="E95" s="655"/>
      <c r="F95" s="655"/>
      <c r="G95" s="655"/>
      <c r="H95" s="655"/>
    </row>
    <row r="96" spans="1:8" x14ac:dyDescent="0.2">
      <c r="A96" s="656" t="s">
        <v>592</v>
      </c>
      <c r="B96" s="655"/>
      <c r="C96" s="655"/>
      <c r="D96" s="655"/>
      <c r="E96" s="655"/>
      <c r="F96" s="655"/>
      <c r="G96" s="655"/>
      <c r="H96" s="655"/>
    </row>
    <row r="97" spans="1:8" x14ac:dyDescent="0.2">
      <c r="A97" s="656" t="s">
        <v>593</v>
      </c>
      <c r="B97" s="655"/>
      <c r="C97" s="655"/>
      <c r="D97" s="655"/>
      <c r="E97" s="655"/>
      <c r="F97" s="655"/>
      <c r="G97" s="655"/>
      <c r="H97" s="655"/>
    </row>
    <row r="98" spans="1:8" x14ac:dyDescent="0.2">
      <c r="A98" s="656" t="s">
        <v>594</v>
      </c>
      <c r="B98" s="655"/>
      <c r="C98" s="655"/>
      <c r="D98" s="655"/>
      <c r="E98" s="655"/>
      <c r="F98" s="655"/>
      <c r="G98" s="655"/>
      <c r="H98" s="655"/>
    </row>
    <row r="99" spans="1:8" x14ac:dyDescent="0.2">
      <c r="A99" s="656" t="s">
        <v>595</v>
      </c>
      <c r="B99" s="655"/>
      <c r="C99" s="655"/>
      <c r="D99" s="655"/>
      <c r="E99" s="655"/>
      <c r="F99" s="655"/>
      <c r="G99" s="655"/>
      <c r="H99" s="655"/>
    </row>
    <row r="100" spans="1:8" x14ac:dyDescent="0.2">
      <c r="A100" s="656" t="s">
        <v>596</v>
      </c>
      <c r="B100" s="655"/>
      <c r="C100" s="655"/>
      <c r="D100" s="655"/>
      <c r="E100" s="655"/>
      <c r="F100" s="655"/>
      <c r="G100" s="655"/>
      <c r="H100" s="655"/>
    </row>
    <row r="101" spans="1:8" x14ac:dyDescent="0.2">
      <c r="A101" s="655"/>
      <c r="B101" s="655"/>
      <c r="C101" s="655"/>
      <c r="D101" s="655"/>
      <c r="E101" s="655"/>
      <c r="F101" s="655"/>
      <c r="G101" s="655"/>
      <c r="H101" s="655"/>
    </row>
    <row r="102" spans="1:8" x14ac:dyDescent="0.2">
      <c r="A102" s="656" t="s">
        <v>588</v>
      </c>
      <c r="B102" s="655"/>
      <c r="C102" s="655"/>
      <c r="D102" s="655"/>
      <c r="E102" s="655"/>
      <c r="F102" s="655"/>
      <c r="G102" s="655"/>
      <c r="H102" s="655"/>
    </row>
    <row r="103" spans="1:8" x14ac:dyDescent="0.2">
      <c r="A103" s="656" t="s">
        <v>589</v>
      </c>
      <c r="B103" s="655"/>
      <c r="C103" s="655"/>
      <c r="D103" s="655"/>
      <c r="E103" s="655"/>
      <c r="F103" s="655"/>
      <c r="G103" s="655"/>
      <c r="H103" s="655"/>
    </row>
    <row r="104" spans="1:8" x14ac:dyDescent="0.2">
      <c r="A104" s="655"/>
      <c r="B104" s="655"/>
      <c r="C104" s="655"/>
      <c r="D104" s="655"/>
      <c r="E104" s="655"/>
      <c r="F104" s="655"/>
      <c r="G104" s="655"/>
      <c r="H104" s="655"/>
    </row>
    <row r="105" spans="1:8" ht="15.75" x14ac:dyDescent="0.2">
      <c r="A105" s="657" t="s">
        <v>359</v>
      </c>
      <c r="B105" s="655"/>
      <c r="C105" s="655"/>
      <c r="D105" s="655"/>
      <c r="E105" s="655"/>
      <c r="F105" s="655"/>
      <c r="G105" s="655"/>
      <c r="H105" s="655"/>
    </row>
    <row r="106" spans="1:8" x14ac:dyDescent="0.2">
      <c r="A106" s="655"/>
      <c r="B106" s="655"/>
      <c r="C106" s="655"/>
      <c r="D106" s="655"/>
      <c r="E106" s="655"/>
      <c r="F106" s="655"/>
      <c r="G106" s="655"/>
      <c r="H106" s="655"/>
    </row>
    <row r="107" spans="1:8" x14ac:dyDescent="0.2">
      <c r="A107" s="656" t="s">
        <v>579</v>
      </c>
      <c r="B107" s="655"/>
      <c r="C107" s="655"/>
      <c r="D107" s="655"/>
      <c r="E107" s="655"/>
      <c r="F107" s="655"/>
      <c r="G107" s="655"/>
      <c r="H107" s="655"/>
    </row>
    <row r="108" spans="1:8" x14ac:dyDescent="0.2">
      <c r="A108" s="656" t="s">
        <v>580</v>
      </c>
      <c r="B108" s="655"/>
      <c r="C108" s="655"/>
      <c r="D108" s="655"/>
      <c r="E108" s="655"/>
      <c r="F108" s="655"/>
      <c r="G108" s="655"/>
      <c r="H108" s="655"/>
    </row>
    <row r="109" spans="1:8" x14ac:dyDescent="0.2">
      <c r="A109" s="656" t="s">
        <v>581</v>
      </c>
      <c r="B109" s="655"/>
      <c r="C109" s="655"/>
      <c r="D109" s="655"/>
      <c r="E109" s="655"/>
      <c r="F109" s="655"/>
      <c r="G109" s="655"/>
      <c r="H109" s="655"/>
    </row>
    <row r="110" spans="1:8" x14ac:dyDescent="0.2">
      <c r="A110" s="656" t="s">
        <v>582</v>
      </c>
      <c r="B110" s="655"/>
      <c r="C110" s="655"/>
      <c r="D110" s="655"/>
      <c r="E110" s="655"/>
      <c r="F110" s="655"/>
      <c r="G110" s="655"/>
      <c r="H110" s="655"/>
    </row>
    <row r="111" spans="1:8" x14ac:dyDescent="0.2">
      <c r="A111" s="656" t="s">
        <v>583</v>
      </c>
      <c r="B111" s="655"/>
      <c r="C111" s="655"/>
      <c r="D111" s="655"/>
      <c r="E111" s="655"/>
      <c r="F111" s="655"/>
      <c r="G111" s="655"/>
      <c r="H111" s="655"/>
    </row>
    <row r="112" spans="1:8" x14ac:dyDescent="0.2">
      <c r="A112" s="656" t="s">
        <v>584</v>
      </c>
      <c r="B112" s="655"/>
      <c r="C112" s="655"/>
      <c r="D112" s="655"/>
      <c r="E112" s="655"/>
      <c r="F112" s="655"/>
      <c r="G112" s="655"/>
      <c r="H112" s="655"/>
    </row>
    <row r="113" spans="1:8" x14ac:dyDescent="0.2">
      <c r="A113" s="656" t="s">
        <v>585</v>
      </c>
      <c r="B113" s="655"/>
      <c r="C113" s="655"/>
      <c r="D113" s="655"/>
      <c r="E113" s="655"/>
      <c r="F113" s="655"/>
      <c r="G113" s="655"/>
      <c r="H113" s="655"/>
    </row>
    <row r="114" spans="1:8" x14ac:dyDescent="0.2">
      <c r="A114" s="656" t="s">
        <v>586</v>
      </c>
      <c r="B114" s="655"/>
      <c r="C114" s="655"/>
      <c r="D114" s="655"/>
      <c r="E114" s="655"/>
      <c r="F114" s="655"/>
      <c r="G114" s="655"/>
      <c r="H114" s="655"/>
    </row>
    <row r="115" spans="1:8" x14ac:dyDescent="0.2">
      <c r="A115" s="656" t="s">
        <v>587</v>
      </c>
      <c r="B115" s="655"/>
      <c r="C115" s="655"/>
      <c r="D115" s="655"/>
      <c r="E115" s="655"/>
      <c r="F115" s="655"/>
      <c r="G115" s="655"/>
      <c r="H115" s="655"/>
    </row>
    <row r="116" spans="1:8" x14ac:dyDescent="0.2">
      <c r="A116" s="655"/>
      <c r="B116" s="655"/>
      <c r="C116" s="655"/>
      <c r="D116" s="655"/>
      <c r="E116" s="655"/>
      <c r="F116" s="655"/>
      <c r="G116" s="655"/>
      <c r="H116" s="655"/>
    </row>
    <row r="117" spans="1:8" ht="15.75" x14ac:dyDescent="0.2">
      <c r="A117" s="658" t="s">
        <v>360</v>
      </c>
      <c r="B117" s="658"/>
      <c r="C117" s="658"/>
      <c r="D117" s="658"/>
      <c r="E117" s="658"/>
      <c r="F117" s="658"/>
      <c r="G117" s="658"/>
      <c r="H117" s="658"/>
    </row>
    <row r="118" spans="1:8" x14ac:dyDescent="0.2">
      <c r="A118" s="659" t="s">
        <v>361</v>
      </c>
      <c r="B118" s="659"/>
      <c r="C118" s="659"/>
      <c r="D118" s="659"/>
      <c r="E118" s="659"/>
      <c r="F118" s="659"/>
      <c r="G118" s="659"/>
      <c r="H118" s="659"/>
    </row>
    <row r="119" spans="1:8" x14ac:dyDescent="0.2">
      <c r="A119" s="660"/>
      <c r="B119" s="660"/>
      <c r="C119" s="660"/>
      <c r="D119" s="660"/>
      <c r="E119" s="660"/>
      <c r="F119" s="660"/>
      <c r="G119" s="660"/>
      <c r="H119" s="660"/>
    </row>
    <row r="120" spans="1:8" x14ac:dyDescent="0.2">
      <c r="A120" s="659" t="s">
        <v>577</v>
      </c>
      <c r="B120" s="659"/>
      <c r="C120" s="659"/>
      <c r="D120" s="659"/>
      <c r="E120" s="659"/>
      <c r="F120" s="659"/>
      <c r="G120" s="659"/>
      <c r="H120" s="659"/>
    </row>
    <row r="121" spans="1:8" x14ac:dyDescent="0.2">
      <c r="A121" s="656" t="s">
        <v>578</v>
      </c>
      <c r="B121" s="656"/>
      <c r="C121" s="656"/>
      <c r="D121" s="656"/>
      <c r="E121" s="656"/>
      <c r="F121" s="656"/>
      <c r="G121" s="656"/>
      <c r="H121" s="656"/>
    </row>
    <row r="122" spans="1:8" x14ac:dyDescent="0.2">
      <c r="A122" s="660"/>
      <c r="B122" s="660"/>
      <c r="C122" s="660"/>
      <c r="D122" s="660"/>
      <c r="E122" s="660"/>
      <c r="F122" s="660"/>
      <c r="G122" s="660"/>
      <c r="H122" s="660"/>
    </row>
    <row r="123" spans="1:8" x14ac:dyDescent="0.2">
      <c r="A123" s="659" t="s">
        <v>570</v>
      </c>
      <c r="B123" s="659"/>
      <c r="C123" s="659"/>
      <c r="D123" s="659"/>
      <c r="E123" s="659"/>
      <c r="F123" s="659"/>
      <c r="G123" s="659"/>
      <c r="H123" s="659"/>
    </row>
    <row r="124" spans="1:8" x14ac:dyDescent="0.2">
      <c r="A124" s="656" t="s">
        <v>571</v>
      </c>
      <c r="B124" s="656"/>
      <c r="C124" s="656"/>
      <c r="D124" s="656"/>
      <c r="E124" s="656"/>
      <c r="F124" s="656"/>
      <c r="G124" s="656"/>
      <c r="H124" s="656"/>
    </row>
    <row r="125" spans="1:8" x14ac:dyDescent="0.2">
      <c r="A125" s="656" t="s">
        <v>572</v>
      </c>
      <c r="B125" s="656"/>
      <c r="C125" s="656"/>
      <c r="D125" s="656"/>
      <c r="E125" s="656"/>
      <c r="F125" s="656"/>
      <c r="G125" s="656"/>
      <c r="H125" s="656"/>
    </row>
    <row r="126" spans="1:8" x14ac:dyDescent="0.2">
      <c r="A126" s="656" t="s">
        <v>573</v>
      </c>
      <c r="B126" s="656"/>
      <c r="C126" s="656"/>
      <c r="D126" s="656"/>
      <c r="E126" s="656"/>
      <c r="F126" s="656"/>
      <c r="G126" s="656"/>
      <c r="H126" s="656"/>
    </row>
    <row r="127" spans="1:8" x14ac:dyDescent="0.2">
      <c r="A127" s="656" t="s">
        <v>574</v>
      </c>
      <c r="B127" s="656"/>
      <c r="C127" s="656"/>
      <c r="D127" s="656"/>
      <c r="E127" s="656"/>
      <c r="F127" s="656"/>
      <c r="G127" s="656"/>
      <c r="H127" s="656"/>
    </row>
    <row r="128" spans="1:8" x14ac:dyDescent="0.2">
      <c r="A128" s="656" t="s">
        <v>575</v>
      </c>
      <c r="B128" s="656"/>
      <c r="C128" s="656"/>
      <c r="D128" s="656"/>
      <c r="E128" s="656"/>
      <c r="F128" s="656"/>
      <c r="G128" s="656"/>
      <c r="H128" s="656"/>
    </row>
    <row r="129" spans="1:8" x14ac:dyDescent="0.2">
      <c r="A129" s="656" t="s">
        <v>576</v>
      </c>
      <c r="B129" s="656"/>
      <c r="C129" s="656"/>
      <c r="D129" s="656"/>
      <c r="E129" s="656"/>
      <c r="F129" s="656"/>
      <c r="G129" s="656"/>
      <c r="H129" s="656"/>
    </row>
    <row r="130" spans="1:8" x14ac:dyDescent="0.2">
      <c r="A130" s="661"/>
      <c r="B130" s="661"/>
      <c r="C130" s="661"/>
      <c r="D130" s="661"/>
      <c r="E130" s="661"/>
      <c r="F130" s="661"/>
      <c r="G130" s="661"/>
      <c r="H130" s="661"/>
    </row>
    <row r="131" spans="1:8" x14ac:dyDescent="0.2">
      <c r="A131" s="662"/>
      <c r="B131" s="663" t="s">
        <v>362</v>
      </c>
      <c r="C131" s="664"/>
      <c r="D131" s="663" t="s">
        <v>363</v>
      </c>
      <c r="E131" s="665"/>
      <c r="F131" s="664"/>
      <c r="G131" s="663" t="s">
        <v>364</v>
      </c>
      <c r="H131" s="664"/>
    </row>
    <row r="132" spans="1:8" x14ac:dyDescent="0.2">
      <c r="A132" s="662" t="s">
        <v>365</v>
      </c>
      <c r="B132" s="662" t="s">
        <v>214</v>
      </c>
      <c r="C132" s="662" t="s">
        <v>366</v>
      </c>
      <c r="D132" s="662" t="s">
        <v>214</v>
      </c>
      <c r="E132" s="662" t="s">
        <v>367</v>
      </c>
      <c r="F132" s="662" t="s">
        <v>368</v>
      </c>
      <c r="G132" s="662" t="s">
        <v>214</v>
      </c>
      <c r="H132" s="662" t="s">
        <v>369</v>
      </c>
    </row>
    <row r="133" spans="1:8" x14ac:dyDescent="0.2">
      <c r="A133" s="662" t="s">
        <v>370</v>
      </c>
      <c r="B133" s="662">
        <v>1189</v>
      </c>
      <c r="C133" s="666">
        <v>0.38</v>
      </c>
      <c r="D133" s="662">
        <v>315</v>
      </c>
      <c r="E133" s="666">
        <v>0.41</v>
      </c>
      <c r="F133" s="666">
        <v>0.26</v>
      </c>
      <c r="G133" s="662">
        <v>555</v>
      </c>
      <c r="H133" s="666">
        <v>0.39</v>
      </c>
    </row>
    <row r="134" spans="1:8" x14ac:dyDescent="0.2">
      <c r="A134" s="662" t="s">
        <v>371</v>
      </c>
      <c r="B134" s="662">
        <v>1355</v>
      </c>
      <c r="C134" s="666">
        <v>0.43</v>
      </c>
      <c r="D134" s="662">
        <v>364</v>
      </c>
      <c r="E134" s="666">
        <v>0.47</v>
      </c>
      <c r="F134" s="666">
        <v>0.27</v>
      </c>
      <c r="G134" s="662">
        <v>644</v>
      </c>
      <c r="H134" s="666">
        <v>0.45</v>
      </c>
    </row>
    <row r="135" spans="1:8" x14ac:dyDescent="0.2">
      <c r="A135" s="662" t="s">
        <v>372</v>
      </c>
      <c r="B135" s="662">
        <v>53</v>
      </c>
      <c r="C135" s="666">
        <v>0.02</v>
      </c>
      <c r="D135" s="662">
        <v>4</v>
      </c>
      <c r="E135" s="666">
        <v>0.01</v>
      </c>
      <c r="F135" s="666">
        <v>0.08</v>
      </c>
      <c r="G135" s="662">
        <v>7</v>
      </c>
      <c r="H135" s="666">
        <v>0</v>
      </c>
    </row>
    <row r="136" spans="1:8" x14ac:dyDescent="0.2">
      <c r="A136" s="662" t="s">
        <v>373</v>
      </c>
      <c r="B136" s="662">
        <v>545</v>
      </c>
      <c r="C136" s="666">
        <v>0.17</v>
      </c>
      <c r="D136" s="662">
        <v>84</v>
      </c>
      <c r="E136" s="666">
        <v>0.11</v>
      </c>
      <c r="F136" s="666">
        <v>0.15</v>
      </c>
      <c r="G136" s="662">
        <v>214</v>
      </c>
      <c r="H136" s="666">
        <v>0.15</v>
      </c>
    </row>
    <row r="137" spans="1:8" x14ac:dyDescent="0.2">
      <c r="A137" s="662" t="s">
        <v>205</v>
      </c>
      <c r="B137" s="667">
        <v>3142</v>
      </c>
      <c r="C137" s="662"/>
      <c r="D137" s="662">
        <v>767</v>
      </c>
      <c r="E137" s="662"/>
      <c r="F137" s="662"/>
      <c r="G137" s="662">
        <v>1420</v>
      </c>
      <c r="H137" s="662"/>
    </row>
    <row r="138" spans="1:8" x14ac:dyDescent="0.2">
      <c r="A138" s="668"/>
      <c r="B138" s="668"/>
      <c r="C138" s="668"/>
      <c r="D138" s="668"/>
      <c r="E138" s="668"/>
      <c r="F138" s="668"/>
      <c r="G138" s="668"/>
      <c r="H138" s="668"/>
    </row>
    <row r="139" spans="1:8" x14ac:dyDescent="0.2">
      <c r="A139" s="659" t="s">
        <v>566</v>
      </c>
      <c r="B139" s="659"/>
      <c r="C139" s="659"/>
      <c r="D139" s="659"/>
      <c r="E139" s="659"/>
      <c r="F139" s="659"/>
      <c r="G139" s="659"/>
      <c r="H139" s="659"/>
    </row>
    <row r="140" spans="1:8" x14ac:dyDescent="0.2">
      <c r="A140" s="656" t="s">
        <v>567</v>
      </c>
      <c r="B140" s="656"/>
      <c r="C140" s="656"/>
      <c r="D140" s="656"/>
      <c r="E140" s="656"/>
      <c r="F140" s="656"/>
      <c r="G140" s="656"/>
      <c r="H140" s="656"/>
    </row>
    <row r="141" spans="1:8" x14ac:dyDescent="0.2">
      <c r="A141" s="656" t="s">
        <v>568</v>
      </c>
      <c r="B141" s="656"/>
      <c r="C141" s="656"/>
      <c r="D141" s="656"/>
      <c r="E141" s="656"/>
      <c r="F141" s="656"/>
      <c r="G141" s="656"/>
      <c r="H141" s="656"/>
    </row>
    <row r="142" spans="1:8" x14ac:dyDescent="0.2">
      <c r="A142" s="656" t="s">
        <v>569</v>
      </c>
      <c r="B142" s="656"/>
      <c r="C142" s="656"/>
      <c r="D142" s="656"/>
      <c r="E142" s="656"/>
      <c r="F142" s="656"/>
      <c r="G142" s="656"/>
      <c r="H142" s="656"/>
    </row>
    <row r="143" spans="1:8" x14ac:dyDescent="0.2">
      <c r="A143" s="655"/>
      <c r="B143" s="655"/>
      <c r="C143" s="655"/>
      <c r="D143" s="655"/>
      <c r="E143" s="655"/>
      <c r="F143" s="655"/>
      <c r="G143" s="655"/>
      <c r="H143" s="655"/>
    </row>
    <row r="144" spans="1:8" ht="15.75" x14ac:dyDescent="0.2">
      <c r="A144" s="657" t="s">
        <v>374</v>
      </c>
      <c r="B144" s="655"/>
      <c r="C144" s="655"/>
      <c r="D144" s="655"/>
      <c r="E144" s="655"/>
      <c r="F144" s="655"/>
      <c r="G144" s="655"/>
      <c r="H144" s="655"/>
    </row>
    <row r="145" spans="1:8" x14ac:dyDescent="0.2">
      <c r="A145" s="655"/>
      <c r="B145" s="655"/>
      <c r="C145" s="655"/>
      <c r="D145" s="655"/>
      <c r="E145" s="655"/>
      <c r="F145" s="655"/>
      <c r="G145" s="655"/>
      <c r="H145" s="655"/>
    </row>
    <row r="146" spans="1:8" x14ac:dyDescent="0.2">
      <c r="A146" s="656" t="s">
        <v>564</v>
      </c>
      <c r="B146" s="655"/>
      <c r="C146" s="655"/>
      <c r="D146" s="655"/>
      <c r="E146" s="655"/>
      <c r="F146" s="655"/>
      <c r="G146" s="655"/>
      <c r="H146" s="655"/>
    </row>
    <row r="147" spans="1:8" x14ac:dyDescent="0.2">
      <c r="A147" s="656" t="s">
        <v>565</v>
      </c>
      <c r="B147" s="655"/>
      <c r="C147" s="655"/>
      <c r="D147" s="655"/>
      <c r="E147" s="655"/>
      <c r="F147" s="655"/>
      <c r="G147" s="655"/>
      <c r="H147" s="655"/>
    </row>
    <row r="148" spans="1:8" x14ac:dyDescent="0.2">
      <c r="A148" s="655"/>
      <c r="B148" s="655"/>
      <c r="C148" s="655"/>
      <c r="D148" s="655"/>
      <c r="E148" s="655"/>
      <c r="F148" s="655"/>
      <c r="G148" s="655"/>
      <c r="H148" s="655"/>
    </row>
    <row r="149" spans="1:8" x14ac:dyDescent="0.2">
      <c r="A149" s="656" t="s">
        <v>561</v>
      </c>
      <c r="B149" s="655"/>
      <c r="C149" s="655"/>
      <c r="D149" s="655"/>
      <c r="E149" s="655"/>
      <c r="F149" s="655"/>
      <c r="G149" s="655"/>
      <c r="H149" s="655"/>
    </row>
    <row r="150" spans="1:8" x14ac:dyDescent="0.2">
      <c r="A150" s="656" t="s">
        <v>562</v>
      </c>
      <c r="B150" s="655"/>
      <c r="C150" s="655"/>
      <c r="D150" s="655"/>
      <c r="E150" s="655"/>
      <c r="F150" s="655"/>
      <c r="G150" s="655"/>
      <c r="H150" s="655"/>
    </row>
    <row r="151" spans="1:8" x14ac:dyDescent="0.2">
      <c r="A151" s="656" t="s">
        <v>563</v>
      </c>
      <c r="B151" s="655"/>
      <c r="C151" s="655"/>
      <c r="D151" s="655"/>
      <c r="E151" s="655"/>
      <c r="F151" s="655"/>
      <c r="G151" s="655"/>
      <c r="H151" s="655"/>
    </row>
    <row r="152" spans="1:8" x14ac:dyDescent="0.2">
      <c r="A152" s="655"/>
      <c r="B152" s="655"/>
      <c r="C152" s="655"/>
      <c r="D152" s="655"/>
      <c r="E152" s="655"/>
      <c r="F152" s="655"/>
      <c r="G152" s="655"/>
      <c r="H152" s="655"/>
    </row>
    <row r="153" spans="1:8" x14ac:dyDescent="0.2">
      <c r="A153" s="656" t="s">
        <v>558</v>
      </c>
      <c r="B153" s="655"/>
      <c r="C153" s="655"/>
      <c r="D153" s="655"/>
      <c r="E153" s="655"/>
      <c r="F153" s="655"/>
      <c r="G153" s="655"/>
      <c r="H153" s="655"/>
    </row>
    <row r="154" spans="1:8" x14ac:dyDescent="0.2">
      <c r="A154" s="656" t="s">
        <v>559</v>
      </c>
      <c r="B154" s="655"/>
      <c r="C154" s="655"/>
      <c r="D154" s="655"/>
      <c r="E154" s="655"/>
      <c r="F154" s="655"/>
      <c r="G154" s="655"/>
      <c r="H154" s="655"/>
    </row>
    <row r="155" spans="1:8" x14ac:dyDescent="0.2">
      <c r="A155" s="656" t="s">
        <v>560</v>
      </c>
      <c r="B155" s="655"/>
      <c r="C155" s="655"/>
      <c r="D155" s="655"/>
      <c r="E155" s="655"/>
      <c r="F155" s="655"/>
      <c r="G155" s="655"/>
      <c r="H155" s="655"/>
    </row>
    <row r="156" spans="1:8" x14ac:dyDescent="0.2">
      <c r="A156" s="655"/>
      <c r="B156" s="655"/>
      <c r="C156" s="655"/>
      <c r="D156" s="655"/>
      <c r="E156" s="655"/>
      <c r="F156" s="655"/>
      <c r="G156" s="655"/>
      <c r="H156" s="655"/>
    </row>
    <row r="157" spans="1:8" x14ac:dyDescent="0.2">
      <c r="A157" s="656" t="s">
        <v>555</v>
      </c>
      <c r="B157" s="655"/>
      <c r="C157" s="655"/>
      <c r="D157" s="655"/>
      <c r="E157" s="655"/>
      <c r="F157" s="655"/>
      <c r="G157" s="655"/>
      <c r="H157" s="655"/>
    </row>
    <row r="158" spans="1:8" x14ac:dyDescent="0.2">
      <c r="A158" s="656" t="s">
        <v>556</v>
      </c>
      <c r="B158" s="655"/>
      <c r="C158" s="655"/>
      <c r="D158" s="655"/>
      <c r="E158" s="655"/>
      <c r="F158" s="655"/>
      <c r="G158" s="655"/>
      <c r="H158" s="655"/>
    </row>
    <row r="159" spans="1:8" x14ac:dyDescent="0.2">
      <c r="A159" s="656" t="s">
        <v>557</v>
      </c>
      <c r="B159" s="655"/>
      <c r="C159" s="655"/>
      <c r="D159" s="655"/>
      <c r="E159" s="655"/>
      <c r="F159" s="655"/>
      <c r="G159" s="655"/>
      <c r="H159" s="655"/>
    </row>
    <row r="160" spans="1:8" x14ac:dyDescent="0.2">
      <c r="A160" s="655"/>
      <c r="B160" s="655"/>
      <c r="C160" s="655"/>
      <c r="D160" s="655"/>
      <c r="E160" s="655"/>
      <c r="F160" s="655"/>
      <c r="G160" s="655"/>
      <c r="H160" s="655"/>
    </row>
    <row r="161" spans="1:8" x14ac:dyDescent="0.2">
      <c r="A161" s="656" t="s">
        <v>553</v>
      </c>
      <c r="B161" s="655"/>
      <c r="C161" s="655"/>
      <c r="D161" s="655"/>
      <c r="E161" s="655"/>
      <c r="F161" s="655"/>
      <c r="G161" s="655"/>
      <c r="H161" s="655"/>
    </row>
    <row r="162" spans="1:8" x14ac:dyDescent="0.2">
      <c r="A162" s="656" t="s">
        <v>554</v>
      </c>
      <c r="B162" s="655"/>
      <c r="C162" s="655"/>
      <c r="D162" s="655"/>
      <c r="E162" s="655"/>
      <c r="F162" s="655"/>
      <c r="G162" s="655"/>
      <c r="H162" s="655"/>
    </row>
    <row r="163" spans="1:8" x14ac:dyDescent="0.2">
      <c r="A163" s="655"/>
      <c r="B163" s="655"/>
      <c r="C163" s="655"/>
      <c r="D163" s="655"/>
      <c r="E163" s="655"/>
      <c r="F163" s="655"/>
      <c r="G163" s="655"/>
      <c r="H163" s="655"/>
    </row>
    <row r="164" spans="1:8" ht="15.75" x14ac:dyDescent="0.2">
      <c r="A164" s="657" t="s">
        <v>375</v>
      </c>
      <c r="B164" s="655"/>
      <c r="C164" s="655"/>
      <c r="D164" s="655"/>
      <c r="E164" s="655"/>
      <c r="F164" s="655"/>
      <c r="G164" s="655"/>
      <c r="H164" s="655"/>
    </row>
    <row r="165" spans="1:8" x14ac:dyDescent="0.2">
      <c r="A165" s="655"/>
      <c r="B165" s="655"/>
      <c r="C165" s="655"/>
      <c r="D165" s="655"/>
      <c r="E165" s="655"/>
      <c r="F165" s="655"/>
      <c r="G165" s="655"/>
      <c r="H165" s="655"/>
    </row>
    <row r="166" spans="1:8" x14ac:dyDescent="0.2">
      <c r="A166" s="656" t="s">
        <v>551</v>
      </c>
      <c r="B166" s="655"/>
      <c r="C166" s="655"/>
      <c r="D166" s="655"/>
      <c r="E166" s="655"/>
      <c r="F166" s="655"/>
      <c r="G166" s="655"/>
      <c r="H166" s="655"/>
    </row>
    <row r="167" spans="1:8" x14ac:dyDescent="0.2">
      <c r="A167" s="656" t="s">
        <v>552</v>
      </c>
      <c r="B167" s="655"/>
      <c r="C167" s="655"/>
      <c r="D167" s="655"/>
      <c r="E167" s="655"/>
      <c r="F167" s="655"/>
      <c r="G167" s="655"/>
      <c r="H167" s="655"/>
    </row>
    <row r="168" spans="1:8" x14ac:dyDescent="0.2">
      <c r="A168" s="655"/>
      <c r="B168" s="655"/>
      <c r="C168" s="655"/>
      <c r="D168" s="655"/>
      <c r="E168" s="655"/>
      <c r="F168" s="655"/>
      <c r="G168" s="655"/>
      <c r="H168" s="655"/>
    </row>
    <row r="169" spans="1:8" x14ac:dyDescent="0.2">
      <c r="A169" s="656" t="s">
        <v>549</v>
      </c>
      <c r="B169" s="655"/>
      <c r="C169" s="655"/>
      <c r="D169" s="655"/>
      <c r="E169" s="655"/>
      <c r="F169" s="655"/>
      <c r="G169" s="655"/>
      <c r="H169" s="655"/>
    </row>
    <row r="170" spans="1:8" x14ac:dyDescent="0.2">
      <c r="A170" s="656" t="s">
        <v>550</v>
      </c>
      <c r="B170" s="655"/>
      <c r="C170" s="655"/>
      <c r="D170" s="655"/>
      <c r="E170" s="655"/>
      <c r="F170" s="655"/>
      <c r="G170" s="655"/>
      <c r="H170" s="655"/>
    </row>
    <row r="171" spans="1:8" x14ac:dyDescent="0.2">
      <c r="A171" s="655"/>
      <c r="B171" s="655"/>
      <c r="C171" s="655"/>
      <c r="D171" s="655"/>
      <c r="E171" s="655"/>
      <c r="F171" s="655"/>
      <c r="G171" s="655"/>
      <c r="H171" s="655"/>
    </row>
    <row r="172" spans="1:8" x14ac:dyDescent="0.2">
      <c r="A172" s="656" t="s">
        <v>547</v>
      </c>
      <c r="B172" s="655"/>
      <c r="C172" s="655"/>
      <c r="D172" s="655"/>
      <c r="E172" s="655"/>
      <c r="F172" s="655"/>
      <c r="G172" s="655"/>
      <c r="H172" s="655"/>
    </row>
    <row r="173" spans="1:8" x14ac:dyDescent="0.2">
      <c r="A173" s="656" t="s">
        <v>548</v>
      </c>
      <c r="B173" s="655"/>
      <c r="C173" s="655"/>
      <c r="D173" s="655"/>
      <c r="E173" s="655"/>
      <c r="F173" s="655"/>
      <c r="G173" s="655"/>
      <c r="H173" s="655"/>
    </row>
    <row r="174" spans="1:8" x14ac:dyDescent="0.2">
      <c r="A174" s="655"/>
      <c r="B174" s="655"/>
      <c r="C174" s="655"/>
      <c r="D174" s="655"/>
      <c r="E174" s="655"/>
      <c r="F174" s="655"/>
      <c r="G174" s="655"/>
      <c r="H174" s="655"/>
    </row>
    <row r="175" spans="1:8" x14ac:dyDescent="0.2">
      <c r="A175" s="656" t="s">
        <v>544</v>
      </c>
      <c r="B175" s="655"/>
      <c r="C175" s="655"/>
      <c r="D175" s="655"/>
      <c r="E175" s="655"/>
      <c r="F175" s="655"/>
      <c r="G175" s="655"/>
      <c r="H175" s="655"/>
    </row>
    <row r="176" spans="1:8" x14ac:dyDescent="0.2">
      <c r="A176" s="656" t="s">
        <v>545</v>
      </c>
      <c r="B176" s="655"/>
      <c r="C176" s="655"/>
      <c r="D176" s="655"/>
      <c r="E176" s="655"/>
      <c r="F176" s="655"/>
      <c r="G176" s="655"/>
      <c r="H176" s="655"/>
    </row>
    <row r="177" spans="1:8" x14ac:dyDescent="0.2">
      <c r="A177" s="656" t="s">
        <v>546</v>
      </c>
      <c r="B177" s="655"/>
      <c r="C177" s="655"/>
      <c r="D177" s="655"/>
      <c r="E177" s="655"/>
      <c r="F177" s="655"/>
      <c r="G177" s="655"/>
      <c r="H177" s="655"/>
    </row>
    <row r="178" spans="1:8" x14ac:dyDescent="0.2">
      <c r="A178" s="655"/>
      <c r="B178" s="655"/>
      <c r="C178" s="655"/>
      <c r="D178" s="655"/>
      <c r="E178" s="655"/>
      <c r="F178" s="655"/>
      <c r="G178" s="655"/>
      <c r="H178" s="655"/>
    </row>
    <row r="179" spans="1:8" x14ac:dyDescent="0.2">
      <c r="A179" s="655"/>
      <c r="B179" s="655"/>
      <c r="C179" s="655"/>
      <c r="D179" s="655"/>
      <c r="E179" s="655"/>
      <c r="F179" s="655"/>
      <c r="G179" s="655"/>
      <c r="H179" s="655"/>
    </row>
    <row r="180" spans="1:8" x14ac:dyDescent="0.2">
      <c r="A180" s="656" t="s">
        <v>376</v>
      </c>
      <c r="B180" s="655"/>
      <c r="C180" s="655"/>
      <c r="D180" s="655"/>
      <c r="E180" s="655"/>
      <c r="F180" s="655"/>
      <c r="G180" s="655"/>
      <c r="H180" s="655"/>
    </row>
    <row r="181" spans="1:8" x14ac:dyDescent="0.2">
      <c r="A181" s="655"/>
      <c r="B181" s="655"/>
      <c r="C181" s="655"/>
      <c r="D181" s="655"/>
      <c r="E181" s="655"/>
      <c r="F181" s="655"/>
      <c r="G181" s="655"/>
      <c r="H181" s="655"/>
    </row>
    <row r="182" spans="1:8" ht="15.75" x14ac:dyDescent="0.2">
      <c r="A182" s="657" t="s">
        <v>377</v>
      </c>
      <c r="B182" s="655"/>
      <c r="C182" s="655"/>
      <c r="D182" s="655"/>
      <c r="E182" s="655"/>
      <c r="F182" s="655"/>
      <c r="G182" s="655"/>
      <c r="H182" s="655"/>
    </row>
    <row r="183" spans="1:8" x14ac:dyDescent="0.2">
      <c r="A183" s="655"/>
      <c r="B183" s="655"/>
      <c r="C183" s="655"/>
      <c r="D183" s="655"/>
      <c r="E183" s="655"/>
      <c r="F183" s="655"/>
      <c r="G183" s="655"/>
      <c r="H183" s="655"/>
    </row>
    <row r="184" spans="1:8" x14ac:dyDescent="0.2">
      <c r="A184" s="655"/>
      <c r="B184" s="655"/>
      <c r="C184" s="655"/>
      <c r="D184" s="655"/>
      <c r="E184" s="655"/>
      <c r="F184" s="655"/>
      <c r="G184" s="655"/>
      <c r="H184" s="655"/>
    </row>
    <row r="185" spans="1:8" x14ac:dyDescent="0.2">
      <c r="A185" s="655"/>
      <c r="B185" s="655"/>
      <c r="C185" s="655"/>
      <c r="D185" s="655"/>
      <c r="E185" s="655"/>
      <c r="F185" s="655"/>
      <c r="G185" s="655"/>
      <c r="H185" s="655"/>
    </row>
    <row r="186" spans="1:8" x14ac:dyDescent="0.2">
      <c r="A186" s="655"/>
      <c r="B186" s="655"/>
      <c r="C186" s="655"/>
      <c r="D186" s="655"/>
      <c r="E186" s="655"/>
      <c r="F186" s="655"/>
      <c r="G186" s="655"/>
      <c r="H186" s="655"/>
    </row>
    <row r="187" spans="1:8" x14ac:dyDescent="0.2">
      <c r="A187" s="655"/>
      <c r="B187" s="655"/>
      <c r="C187" s="655"/>
      <c r="D187" s="655"/>
      <c r="E187" s="655"/>
      <c r="F187" s="655"/>
      <c r="G187" s="655"/>
      <c r="H187" s="655"/>
    </row>
    <row r="188" spans="1:8" x14ac:dyDescent="0.2">
      <c r="A188" s="655"/>
      <c r="B188" s="655"/>
      <c r="C188" s="655"/>
      <c r="D188" s="655"/>
      <c r="E188" s="655"/>
      <c r="F188" s="655"/>
      <c r="G188" s="655"/>
      <c r="H188" s="655"/>
    </row>
    <row r="189" spans="1:8" x14ac:dyDescent="0.2">
      <c r="A189" s="655"/>
      <c r="B189" s="655"/>
      <c r="C189" s="655"/>
      <c r="D189" s="655"/>
      <c r="E189" s="655"/>
      <c r="F189" s="655"/>
      <c r="G189" s="655"/>
      <c r="H189" s="655"/>
    </row>
    <row r="190" spans="1:8" x14ac:dyDescent="0.2">
      <c r="A190" s="655"/>
      <c r="B190" s="655"/>
      <c r="C190" s="655"/>
      <c r="D190" s="655"/>
      <c r="E190" s="655"/>
      <c r="F190" s="655"/>
      <c r="G190" s="655"/>
      <c r="H190" s="655"/>
    </row>
    <row r="191" spans="1:8" x14ac:dyDescent="0.2">
      <c r="A191" s="655"/>
      <c r="B191" s="655"/>
      <c r="C191" s="655"/>
      <c r="D191" s="655"/>
      <c r="E191" s="655"/>
      <c r="F191" s="655"/>
      <c r="G191" s="655"/>
      <c r="H191" s="655"/>
    </row>
    <row r="192" spans="1:8" x14ac:dyDescent="0.2">
      <c r="A192" s="655"/>
      <c r="B192" s="655"/>
      <c r="C192" s="655"/>
      <c r="D192" s="655"/>
      <c r="E192" s="655"/>
      <c r="F192" s="655"/>
      <c r="G192" s="655"/>
      <c r="H192" s="655"/>
    </row>
    <row r="193" spans="1:8" x14ac:dyDescent="0.2">
      <c r="A193" s="655"/>
      <c r="B193" s="655"/>
      <c r="C193" s="655"/>
      <c r="D193" s="655"/>
      <c r="E193" s="655"/>
      <c r="F193" s="655"/>
      <c r="G193" s="655"/>
      <c r="H193" s="655"/>
    </row>
    <row r="194" spans="1:8" x14ac:dyDescent="0.2">
      <c r="A194" s="655"/>
      <c r="B194" s="655"/>
      <c r="C194" s="655"/>
      <c r="D194" s="655"/>
      <c r="E194" s="655"/>
      <c r="F194" s="655"/>
      <c r="G194" s="655"/>
      <c r="H194" s="655"/>
    </row>
    <row r="195" spans="1:8" x14ac:dyDescent="0.2">
      <c r="A195" s="655"/>
      <c r="B195" s="655"/>
      <c r="C195" s="655"/>
      <c r="D195" s="655"/>
      <c r="E195" s="655"/>
      <c r="F195" s="655"/>
      <c r="G195" s="655"/>
      <c r="H195" s="655"/>
    </row>
    <row r="196" spans="1:8" x14ac:dyDescent="0.2">
      <c r="A196" s="655"/>
      <c r="B196" s="655"/>
      <c r="C196" s="655"/>
      <c r="D196" s="655"/>
      <c r="E196" s="655"/>
      <c r="F196" s="655"/>
      <c r="G196" s="655"/>
      <c r="H196" s="655"/>
    </row>
    <row r="197" spans="1:8" x14ac:dyDescent="0.2">
      <c r="A197" s="655"/>
      <c r="B197" s="655"/>
      <c r="C197" s="655"/>
      <c r="D197" s="655"/>
      <c r="E197" s="655"/>
      <c r="F197" s="655"/>
      <c r="G197" s="655"/>
      <c r="H197" s="655"/>
    </row>
    <row r="198" spans="1:8" x14ac:dyDescent="0.2">
      <c r="A198" s="655"/>
      <c r="B198" s="655"/>
      <c r="C198" s="655"/>
      <c r="D198" s="655"/>
      <c r="E198" s="655"/>
      <c r="F198" s="655"/>
      <c r="G198" s="655"/>
      <c r="H198" s="655"/>
    </row>
    <row r="199" spans="1:8" x14ac:dyDescent="0.2">
      <c r="A199" s="655"/>
      <c r="B199" s="655"/>
      <c r="C199" s="655"/>
      <c r="D199" s="655"/>
      <c r="E199" s="655"/>
      <c r="F199" s="655"/>
      <c r="G199" s="655"/>
      <c r="H199" s="655"/>
    </row>
    <row r="200" spans="1:8" x14ac:dyDescent="0.2">
      <c r="A200" s="655"/>
      <c r="B200" s="655"/>
      <c r="C200" s="655"/>
      <c r="D200" s="655"/>
      <c r="E200" s="655"/>
      <c r="F200" s="655"/>
      <c r="G200" s="655"/>
      <c r="H200" s="655"/>
    </row>
    <row r="201" spans="1:8" x14ac:dyDescent="0.2">
      <c r="A201" s="655"/>
      <c r="B201" s="655"/>
      <c r="C201" s="655"/>
      <c r="D201" s="655"/>
      <c r="E201" s="655"/>
      <c r="F201" s="655"/>
      <c r="G201" s="655"/>
      <c r="H201" s="655"/>
    </row>
    <row r="202" spans="1:8" x14ac:dyDescent="0.2">
      <c r="A202" s="655"/>
      <c r="B202" s="655"/>
      <c r="C202" s="655"/>
      <c r="D202" s="655"/>
      <c r="E202" s="655"/>
      <c r="F202" s="655"/>
      <c r="G202" s="655"/>
      <c r="H202" s="655"/>
    </row>
    <row r="203" spans="1:8" x14ac:dyDescent="0.2">
      <c r="A203" s="655"/>
      <c r="B203" s="655"/>
      <c r="C203" s="655"/>
      <c r="D203" s="655"/>
      <c r="E203" s="655"/>
      <c r="F203" s="655"/>
      <c r="G203" s="655"/>
      <c r="H203" s="655"/>
    </row>
    <row r="204" spans="1:8" x14ac:dyDescent="0.2">
      <c r="A204" s="655"/>
      <c r="B204" s="655"/>
      <c r="C204" s="655"/>
      <c r="D204" s="655"/>
      <c r="E204" s="655"/>
      <c r="F204" s="655"/>
      <c r="G204" s="655"/>
      <c r="H204" s="655"/>
    </row>
    <row r="205" spans="1:8" x14ac:dyDescent="0.2">
      <c r="A205" s="655"/>
      <c r="B205" s="655"/>
      <c r="C205" s="655"/>
      <c r="D205" s="655"/>
      <c r="E205" s="655"/>
      <c r="F205" s="655"/>
      <c r="G205" s="655"/>
      <c r="H205" s="655"/>
    </row>
    <row r="206" spans="1:8" x14ac:dyDescent="0.2">
      <c r="A206" s="655"/>
      <c r="B206" s="655"/>
      <c r="C206" s="655"/>
      <c r="D206" s="655"/>
      <c r="E206" s="655"/>
      <c r="F206" s="655"/>
      <c r="G206" s="655"/>
      <c r="H206" s="655"/>
    </row>
    <row r="207" spans="1:8" x14ac:dyDescent="0.2">
      <c r="A207" s="655"/>
      <c r="B207" s="655"/>
      <c r="C207" s="655"/>
      <c r="D207" s="655"/>
      <c r="E207" s="655"/>
      <c r="F207" s="655"/>
      <c r="G207" s="655"/>
      <c r="H207" s="655"/>
    </row>
    <row r="208" spans="1:8" x14ac:dyDescent="0.2">
      <c r="A208" s="655"/>
      <c r="B208" s="655"/>
      <c r="C208" s="655"/>
      <c r="D208" s="655"/>
      <c r="E208" s="655"/>
      <c r="F208" s="655"/>
      <c r="G208" s="655"/>
      <c r="H208" s="655"/>
    </row>
    <row r="209" spans="1:8" ht="15.75" x14ac:dyDescent="0.2">
      <c r="A209" s="657" t="s">
        <v>378</v>
      </c>
      <c r="B209" s="655"/>
      <c r="C209" s="655"/>
      <c r="D209" s="655"/>
      <c r="E209" s="655"/>
      <c r="F209" s="655"/>
      <c r="G209" s="655"/>
      <c r="H209" s="655"/>
    </row>
    <row r="210" spans="1:8" x14ac:dyDescent="0.2">
      <c r="A210" s="655"/>
      <c r="B210" s="655"/>
      <c r="C210" s="655"/>
      <c r="D210" s="655"/>
      <c r="E210" s="655"/>
      <c r="F210" s="655"/>
      <c r="G210" s="655"/>
      <c r="H210" s="655"/>
    </row>
    <row r="211" spans="1:8" x14ac:dyDescent="0.2">
      <c r="A211" s="656" t="s">
        <v>539</v>
      </c>
      <c r="B211" s="655"/>
      <c r="C211" s="655"/>
      <c r="D211" s="655"/>
      <c r="E211" s="655"/>
      <c r="F211" s="655"/>
      <c r="G211" s="655"/>
      <c r="H211" s="655"/>
    </row>
    <row r="212" spans="1:8" x14ac:dyDescent="0.2">
      <c r="A212" s="656" t="s">
        <v>540</v>
      </c>
      <c r="B212" s="655"/>
      <c r="C212" s="655"/>
      <c r="D212" s="655"/>
      <c r="E212" s="655"/>
      <c r="F212" s="655"/>
      <c r="G212" s="655"/>
      <c r="H212" s="655"/>
    </row>
    <row r="213" spans="1:8" x14ac:dyDescent="0.2">
      <c r="A213" s="656" t="s">
        <v>541</v>
      </c>
      <c r="B213" s="655"/>
      <c r="C213" s="655"/>
      <c r="D213" s="655"/>
      <c r="E213" s="655"/>
      <c r="F213" s="655"/>
      <c r="G213" s="655"/>
      <c r="H213" s="655"/>
    </row>
    <row r="214" spans="1:8" x14ac:dyDescent="0.2">
      <c r="A214" s="656" t="s">
        <v>542</v>
      </c>
      <c r="B214" s="655"/>
      <c r="C214" s="655"/>
      <c r="D214" s="655"/>
      <c r="E214" s="655"/>
      <c r="F214" s="655"/>
      <c r="G214" s="655"/>
      <c r="H214" s="655"/>
    </row>
    <row r="215" spans="1:8" x14ac:dyDescent="0.2">
      <c r="A215" s="656" t="s">
        <v>543</v>
      </c>
      <c r="B215" s="655"/>
      <c r="C215" s="655"/>
      <c r="D215" s="655"/>
      <c r="E215" s="655"/>
      <c r="F215" s="655"/>
      <c r="G215" s="655"/>
      <c r="H215" s="655"/>
    </row>
    <row r="216" spans="1:8" x14ac:dyDescent="0.2">
      <c r="A216" s="655"/>
      <c r="B216" s="655"/>
      <c r="C216" s="655"/>
      <c r="D216" s="655"/>
      <c r="E216" s="655"/>
      <c r="F216" s="655"/>
      <c r="G216" s="655"/>
      <c r="H216" s="655"/>
    </row>
    <row r="217" spans="1:8" x14ac:dyDescent="0.2">
      <c r="A217" s="656" t="s">
        <v>536</v>
      </c>
      <c r="B217" s="655"/>
      <c r="C217" s="655"/>
      <c r="D217" s="655"/>
      <c r="E217" s="655"/>
      <c r="F217" s="655"/>
      <c r="G217" s="655"/>
      <c r="H217" s="655"/>
    </row>
    <row r="218" spans="1:8" x14ac:dyDescent="0.2">
      <c r="A218" s="656" t="s">
        <v>537</v>
      </c>
      <c r="B218" s="655"/>
      <c r="C218" s="655"/>
      <c r="D218" s="655"/>
      <c r="E218" s="655"/>
      <c r="F218" s="655"/>
      <c r="G218" s="655"/>
      <c r="H218" s="655"/>
    </row>
    <row r="219" spans="1:8" x14ac:dyDescent="0.2">
      <c r="A219" s="656" t="s">
        <v>538</v>
      </c>
      <c r="B219" s="655"/>
      <c r="C219" s="655"/>
      <c r="D219" s="655"/>
      <c r="E219" s="655"/>
      <c r="F219" s="655"/>
      <c r="G219" s="655"/>
      <c r="H219" s="655"/>
    </row>
    <row r="220" spans="1:8" ht="15.75" x14ac:dyDescent="0.2">
      <c r="A220" s="657" t="s">
        <v>379</v>
      </c>
      <c r="B220" s="655"/>
      <c r="C220" s="655"/>
      <c r="D220" s="655"/>
      <c r="E220" s="655"/>
      <c r="F220" s="655"/>
      <c r="G220" s="655"/>
      <c r="H220" s="655"/>
    </row>
    <row r="221" spans="1:8" x14ac:dyDescent="0.2">
      <c r="A221" s="655"/>
      <c r="B221" s="655"/>
      <c r="C221" s="655"/>
      <c r="D221" s="655"/>
      <c r="E221" s="655"/>
      <c r="F221" s="655"/>
      <c r="G221" s="655"/>
      <c r="H221" s="655"/>
    </row>
    <row r="222" spans="1:8" x14ac:dyDescent="0.2">
      <c r="A222" s="656" t="s">
        <v>534</v>
      </c>
      <c r="B222" s="655"/>
      <c r="C222" s="655"/>
      <c r="D222" s="655"/>
      <c r="E222" s="655"/>
      <c r="F222" s="655"/>
      <c r="G222" s="655"/>
      <c r="H222" s="655"/>
    </row>
    <row r="223" spans="1:8" x14ac:dyDescent="0.2">
      <c r="A223" s="656" t="s">
        <v>535</v>
      </c>
      <c r="B223" s="655"/>
      <c r="C223" s="655"/>
      <c r="D223" s="655"/>
      <c r="E223" s="655"/>
      <c r="F223" s="655"/>
      <c r="G223" s="655"/>
      <c r="H223" s="655"/>
    </row>
    <row r="224" spans="1:8" x14ac:dyDescent="0.2">
      <c r="A224" s="655"/>
      <c r="B224" s="655"/>
      <c r="C224" s="655"/>
      <c r="D224" s="655"/>
      <c r="E224" s="655"/>
      <c r="F224" s="655"/>
      <c r="G224" s="655"/>
      <c r="H224" s="655"/>
    </row>
    <row r="225" spans="1:8" x14ac:dyDescent="0.2">
      <c r="A225" s="656" t="s">
        <v>527</v>
      </c>
      <c r="B225" s="655"/>
      <c r="C225" s="655"/>
      <c r="D225" s="655"/>
      <c r="E225" s="655"/>
      <c r="F225" s="655"/>
      <c r="G225" s="655"/>
      <c r="H225" s="655"/>
    </row>
    <row r="226" spans="1:8" x14ac:dyDescent="0.2">
      <c r="A226" s="656" t="s">
        <v>528</v>
      </c>
      <c r="B226" s="655"/>
      <c r="C226" s="655"/>
      <c r="D226" s="655"/>
      <c r="E226" s="655"/>
      <c r="F226" s="655"/>
      <c r="G226" s="655"/>
      <c r="H226" s="655"/>
    </row>
    <row r="227" spans="1:8" x14ac:dyDescent="0.2">
      <c r="A227" s="656" t="s">
        <v>529</v>
      </c>
      <c r="B227" s="655"/>
      <c r="C227" s="655"/>
      <c r="D227" s="655"/>
      <c r="E227" s="655"/>
      <c r="F227" s="655"/>
      <c r="G227" s="655"/>
      <c r="H227" s="655"/>
    </row>
    <row r="228" spans="1:8" x14ac:dyDescent="0.2">
      <c r="A228" s="656" t="s">
        <v>530</v>
      </c>
      <c r="B228" s="655"/>
      <c r="C228" s="655"/>
      <c r="D228" s="655"/>
      <c r="E228" s="655"/>
      <c r="F228" s="655"/>
      <c r="G228" s="655"/>
      <c r="H228" s="655"/>
    </row>
    <row r="229" spans="1:8" x14ac:dyDescent="0.2">
      <c r="A229" s="656" t="s">
        <v>531</v>
      </c>
      <c r="B229" s="655"/>
      <c r="C229" s="655"/>
      <c r="D229" s="655"/>
      <c r="E229" s="655"/>
      <c r="F229" s="655"/>
      <c r="G229" s="655"/>
      <c r="H229" s="655"/>
    </row>
    <row r="230" spans="1:8" x14ac:dyDescent="0.2">
      <c r="A230" s="656" t="s">
        <v>532</v>
      </c>
      <c r="B230" s="655"/>
      <c r="C230" s="655"/>
      <c r="D230" s="655"/>
      <c r="E230" s="655"/>
      <c r="F230" s="655"/>
      <c r="G230" s="655"/>
      <c r="H230" s="655"/>
    </row>
    <row r="231" spans="1:8" x14ac:dyDescent="0.2">
      <c r="A231" s="656" t="s">
        <v>533</v>
      </c>
      <c r="B231" s="655"/>
      <c r="C231" s="655"/>
      <c r="D231" s="655"/>
      <c r="E231" s="655"/>
      <c r="F231" s="655"/>
      <c r="G231" s="655"/>
      <c r="H231" s="655"/>
    </row>
    <row r="232" spans="1:8" x14ac:dyDescent="0.2">
      <c r="A232" s="655"/>
      <c r="B232" s="655"/>
      <c r="C232" s="655"/>
      <c r="D232" s="655"/>
      <c r="E232" s="655"/>
      <c r="F232" s="655"/>
      <c r="G232" s="655"/>
      <c r="H232" s="655"/>
    </row>
    <row r="233" spans="1:8" x14ac:dyDescent="0.2">
      <c r="A233" s="656" t="s">
        <v>524</v>
      </c>
      <c r="B233" s="655"/>
      <c r="C233" s="655"/>
      <c r="D233" s="655"/>
      <c r="E233" s="655"/>
      <c r="F233" s="655"/>
      <c r="G233" s="655"/>
      <c r="H233" s="655"/>
    </row>
    <row r="234" spans="1:8" x14ac:dyDescent="0.2">
      <c r="A234" s="656" t="s">
        <v>525</v>
      </c>
      <c r="B234" s="655"/>
      <c r="C234" s="655"/>
      <c r="D234" s="655"/>
      <c r="E234" s="655"/>
      <c r="F234" s="655"/>
      <c r="G234" s="655"/>
      <c r="H234" s="655"/>
    </row>
    <row r="235" spans="1:8" x14ac:dyDescent="0.2">
      <c r="A235" s="656" t="s">
        <v>526</v>
      </c>
      <c r="B235" s="655"/>
      <c r="C235" s="655"/>
      <c r="D235" s="655"/>
      <c r="E235" s="655"/>
      <c r="F235" s="655"/>
      <c r="G235" s="655"/>
      <c r="H235" s="655"/>
    </row>
    <row r="236" spans="1:8" x14ac:dyDescent="0.2">
      <c r="A236" s="655"/>
      <c r="B236" s="655"/>
      <c r="C236" s="655"/>
      <c r="D236" s="655"/>
      <c r="E236" s="655"/>
      <c r="F236" s="655"/>
      <c r="G236" s="655"/>
      <c r="H236" s="655"/>
    </row>
    <row r="237" spans="1:8" x14ac:dyDescent="0.2">
      <c r="A237" s="656" t="s">
        <v>519</v>
      </c>
      <c r="B237" s="655"/>
      <c r="C237" s="655"/>
      <c r="D237" s="655"/>
      <c r="E237" s="655"/>
      <c r="F237" s="655"/>
      <c r="G237" s="655"/>
      <c r="H237" s="655"/>
    </row>
    <row r="238" spans="1:8" x14ac:dyDescent="0.2">
      <c r="A238" s="656" t="s">
        <v>520</v>
      </c>
      <c r="B238" s="655"/>
      <c r="C238" s="655"/>
      <c r="D238" s="655"/>
      <c r="E238" s="655"/>
      <c r="F238" s="655"/>
      <c r="G238" s="655"/>
      <c r="H238" s="655"/>
    </row>
    <row r="239" spans="1:8" x14ac:dyDescent="0.2">
      <c r="A239" s="656" t="s">
        <v>521</v>
      </c>
      <c r="B239" s="655"/>
      <c r="C239" s="655"/>
      <c r="D239" s="655"/>
      <c r="E239" s="655"/>
      <c r="F239" s="655"/>
      <c r="G239" s="655"/>
      <c r="H239" s="655"/>
    </row>
    <row r="240" spans="1:8" x14ac:dyDescent="0.2">
      <c r="A240" s="656" t="s">
        <v>522</v>
      </c>
      <c r="B240" s="655"/>
      <c r="C240" s="655"/>
      <c r="D240" s="655"/>
      <c r="E240" s="655"/>
      <c r="F240" s="655"/>
      <c r="G240" s="655"/>
      <c r="H240" s="655"/>
    </row>
    <row r="241" spans="1:8" x14ac:dyDescent="0.2">
      <c r="A241" s="656" t="s">
        <v>523</v>
      </c>
      <c r="B241" s="655"/>
      <c r="C241" s="655"/>
      <c r="D241" s="655"/>
      <c r="E241" s="655"/>
      <c r="F241" s="655"/>
      <c r="G241" s="655"/>
      <c r="H241" s="655"/>
    </row>
    <row r="242" spans="1:8" x14ac:dyDescent="0.2">
      <c r="A242" s="655"/>
      <c r="B242" s="655"/>
      <c r="C242" s="655"/>
      <c r="D242" s="655"/>
      <c r="E242" s="655"/>
      <c r="F242" s="655"/>
      <c r="G242" s="655"/>
      <c r="H242" s="655"/>
    </row>
    <row r="243" spans="1:8" x14ac:dyDescent="0.2">
      <c r="A243" s="656" t="s">
        <v>513</v>
      </c>
      <c r="B243" s="655"/>
      <c r="C243" s="655"/>
      <c r="D243" s="655"/>
      <c r="E243" s="655"/>
      <c r="F243" s="655"/>
      <c r="G243" s="655"/>
      <c r="H243" s="655"/>
    </row>
    <row r="244" spans="1:8" x14ac:dyDescent="0.2">
      <c r="A244" s="656" t="s">
        <v>514</v>
      </c>
      <c r="B244" s="655"/>
      <c r="C244" s="655"/>
      <c r="D244" s="655"/>
      <c r="E244" s="655"/>
      <c r="F244" s="655"/>
      <c r="G244" s="655"/>
      <c r="H244" s="655"/>
    </row>
    <row r="245" spans="1:8" x14ac:dyDescent="0.2">
      <c r="A245" s="656" t="s">
        <v>515</v>
      </c>
      <c r="B245" s="655"/>
      <c r="C245" s="655"/>
      <c r="D245" s="655"/>
      <c r="E245" s="655"/>
      <c r="F245" s="655"/>
      <c r="G245" s="655"/>
      <c r="H245" s="655"/>
    </row>
    <row r="246" spans="1:8" x14ac:dyDescent="0.2">
      <c r="A246" s="656" t="s">
        <v>516</v>
      </c>
      <c r="B246" s="655"/>
      <c r="C246" s="655"/>
      <c r="D246" s="655"/>
      <c r="E246" s="655"/>
      <c r="F246" s="655"/>
      <c r="G246" s="655"/>
      <c r="H246" s="655"/>
    </row>
    <row r="247" spans="1:8" x14ac:dyDescent="0.2">
      <c r="A247" s="656" t="s">
        <v>517</v>
      </c>
      <c r="B247" s="655"/>
      <c r="C247" s="655"/>
      <c r="D247" s="655"/>
      <c r="E247" s="655"/>
      <c r="F247" s="655"/>
      <c r="G247" s="655"/>
      <c r="H247" s="655"/>
    </row>
    <row r="248" spans="1:8" x14ac:dyDescent="0.2">
      <c r="A248" s="656" t="s">
        <v>518</v>
      </c>
      <c r="B248" s="655"/>
      <c r="C248" s="655"/>
      <c r="D248" s="655"/>
      <c r="E248" s="655"/>
      <c r="F248" s="655"/>
      <c r="G248" s="655"/>
      <c r="H248" s="655"/>
    </row>
    <row r="249" spans="1:8" x14ac:dyDescent="0.2">
      <c r="A249" s="655"/>
      <c r="B249" s="655"/>
      <c r="C249" s="655"/>
      <c r="D249" s="655"/>
      <c r="E249" s="655"/>
      <c r="F249" s="655"/>
      <c r="G249" s="655"/>
      <c r="H249" s="655"/>
    </row>
    <row r="250" spans="1:8" x14ac:dyDescent="0.2">
      <c r="A250" s="656" t="s">
        <v>503</v>
      </c>
      <c r="B250" s="655"/>
      <c r="C250" s="655"/>
      <c r="D250" s="655"/>
      <c r="E250" s="655"/>
      <c r="F250" s="655"/>
      <c r="G250" s="655"/>
      <c r="H250" s="655"/>
    </row>
    <row r="251" spans="1:8" x14ac:dyDescent="0.2">
      <c r="A251" s="656" t="s">
        <v>504</v>
      </c>
      <c r="B251" s="655"/>
      <c r="C251" s="655"/>
      <c r="D251" s="655"/>
      <c r="E251" s="655"/>
      <c r="F251" s="655"/>
      <c r="G251" s="655"/>
      <c r="H251" s="655"/>
    </row>
    <row r="252" spans="1:8" x14ac:dyDescent="0.2">
      <c r="A252" s="656" t="s">
        <v>505</v>
      </c>
      <c r="B252" s="655"/>
      <c r="C252" s="655"/>
      <c r="D252" s="655"/>
      <c r="E252" s="655"/>
      <c r="F252" s="655"/>
      <c r="G252" s="655"/>
      <c r="H252" s="655"/>
    </row>
    <row r="253" spans="1:8" x14ac:dyDescent="0.2">
      <c r="A253" s="656" t="s">
        <v>506</v>
      </c>
      <c r="B253" s="655"/>
      <c r="C253" s="655"/>
      <c r="D253" s="655"/>
      <c r="E253" s="655"/>
      <c r="F253" s="655"/>
      <c r="G253" s="655"/>
      <c r="H253" s="655"/>
    </row>
    <row r="254" spans="1:8" x14ac:dyDescent="0.2">
      <c r="A254" s="656" t="s">
        <v>507</v>
      </c>
      <c r="B254" s="655"/>
      <c r="C254" s="655"/>
      <c r="D254" s="655"/>
      <c r="E254" s="655"/>
      <c r="F254" s="655"/>
      <c r="G254" s="655"/>
      <c r="H254" s="655"/>
    </row>
    <row r="255" spans="1:8" x14ac:dyDescent="0.2">
      <c r="A255" s="656" t="s">
        <v>508</v>
      </c>
      <c r="B255" s="655"/>
      <c r="C255" s="655"/>
      <c r="D255" s="655"/>
      <c r="E255" s="655"/>
      <c r="F255" s="655"/>
      <c r="G255" s="655"/>
      <c r="H255" s="655"/>
    </row>
    <row r="256" spans="1:8" x14ac:dyDescent="0.2">
      <c r="A256" s="656" t="s">
        <v>509</v>
      </c>
      <c r="B256" s="655"/>
      <c r="C256" s="655"/>
      <c r="D256" s="655"/>
      <c r="E256" s="655"/>
      <c r="F256" s="655"/>
      <c r="G256" s="655"/>
      <c r="H256" s="655"/>
    </row>
    <row r="257" spans="1:8" x14ac:dyDescent="0.2">
      <c r="A257" s="656" t="s">
        <v>510</v>
      </c>
      <c r="B257" s="655"/>
      <c r="C257" s="655"/>
      <c r="D257" s="655"/>
      <c r="E257" s="655"/>
      <c r="F257" s="655"/>
      <c r="G257" s="655"/>
      <c r="H257" s="655"/>
    </row>
    <row r="258" spans="1:8" x14ac:dyDescent="0.2">
      <c r="A258" s="656" t="s">
        <v>511</v>
      </c>
      <c r="B258" s="655"/>
      <c r="C258" s="655"/>
      <c r="D258" s="655"/>
      <c r="E258" s="655"/>
      <c r="F258" s="655"/>
      <c r="G258" s="655"/>
      <c r="H258" s="655"/>
    </row>
    <row r="259" spans="1:8" x14ac:dyDescent="0.2">
      <c r="A259" s="656" t="s">
        <v>512</v>
      </c>
      <c r="B259" s="655"/>
      <c r="C259" s="655"/>
      <c r="D259" s="655"/>
      <c r="E259" s="655"/>
      <c r="F259" s="655"/>
      <c r="G259" s="655"/>
      <c r="H259" s="655"/>
    </row>
    <row r="260" spans="1:8" x14ac:dyDescent="0.2">
      <c r="A260" s="655"/>
      <c r="B260" s="655"/>
      <c r="C260" s="655"/>
      <c r="D260" s="655"/>
      <c r="E260" s="655"/>
      <c r="F260" s="655"/>
      <c r="G260" s="655"/>
      <c r="H260" s="655"/>
    </row>
    <row r="261" spans="1:8" x14ac:dyDescent="0.2">
      <c r="A261" s="656" t="s">
        <v>501</v>
      </c>
      <c r="B261" s="655"/>
      <c r="C261" s="655"/>
      <c r="D261" s="655"/>
      <c r="E261" s="655"/>
      <c r="F261" s="655"/>
      <c r="G261" s="655"/>
      <c r="H261" s="655"/>
    </row>
    <row r="262" spans="1:8" x14ac:dyDescent="0.2">
      <c r="A262" s="656" t="s">
        <v>502</v>
      </c>
      <c r="B262" s="655"/>
      <c r="C262" s="655"/>
      <c r="D262" s="655"/>
      <c r="E262" s="655"/>
      <c r="F262" s="655"/>
      <c r="G262" s="655"/>
      <c r="H262" s="655"/>
    </row>
    <row r="263" spans="1:8" x14ac:dyDescent="0.2">
      <c r="A263" s="655"/>
      <c r="B263" s="655"/>
      <c r="C263" s="655"/>
      <c r="D263" s="655"/>
      <c r="E263" s="655"/>
      <c r="F263" s="655"/>
      <c r="G263" s="655"/>
      <c r="H263" s="655"/>
    </row>
    <row r="264" spans="1:8" x14ac:dyDescent="0.2">
      <c r="A264" s="656" t="s">
        <v>485</v>
      </c>
      <c r="B264" s="655"/>
      <c r="C264" s="655"/>
      <c r="D264" s="655"/>
      <c r="E264" s="655"/>
      <c r="F264" s="655"/>
      <c r="G264" s="655"/>
      <c r="H264" s="655"/>
    </row>
    <row r="265" spans="1:8" x14ac:dyDescent="0.2">
      <c r="A265" s="656" t="s">
        <v>486</v>
      </c>
      <c r="B265" s="655"/>
      <c r="C265" s="655"/>
      <c r="D265" s="655"/>
      <c r="E265" s="655"/>
      <c r="F265" s="655"/>
      <c r="G265" s="655"/>
      <c r="H265" s="655"/>
    </row>
    <row r="266" spans="1:8" x14ac:dyDescent="0.2">
      <c r="A266" s="656" t="s">
        <v>487</v>
      </c>
      <c r="B266" s="655"/>
      <c r="C266" s="655"/>
      <c r="D266" s="655"/>
      <c r="E266" s="655"/>
      <c r="F266" s="655"/>
      <c r="G266" s="655"/>
      <c r="H266" s="655"/>
    </row>
    <row r="267" spans="1:8" x14ac:dyDescent="0.2">
      <c r="A267" s="656" t="s">
        <v>488</v>
      </c>
      <c r="B267" s="655"/>
      <c r="C267" s="655"/>
      <c r="D267" s="655"/>
      <c r="E267" s="655"/>
      <c r="F267" s="655"/>
      <c r="G267" s="655"/>
      <c r="H267" s="655"/>
    </row>
    <row r="268" spans="1:8" x14ac:dyDescent="0.2">
      <c r="A268" s="656" t="s">
        <v>489</v>
      </c>
      <c r="B268" s="655"/>
      <c r="C268" s="655"/>
      <c r="D268" s="655"/>
      <c r="E268" s="655"/>
      <c r="F268" s="655"/>
      <c r="G268" s="655"/>
      <c r="H268" s="655"/>
    </row>
    <row r="269" spans="1:8" x14ac:dyDescent="0.2">
      <c r="A269" s="656" t="s">
        <v>490</v>
      </c>
      <c r="B269" s="655"/>
      <c r="C269" s="655"/>
      <c r="D269" s="655"/>
      <c r="E269" s="655"/>
      <c r="F269" s="655"/>
      <c r="G269" s="655"/>
      <c r="H269" s="655"/>
    </row>
    <row r="270" spans="1:8" x14ac:dyDescent="0.2">
      <c r="A270" s="656" t="s">
        <v>491</v>
      </c>
      <c r="B270" s="655"/>
      <c r="C270" s="655"/>
      <c r="D270" s="655"/>
      <c r="E270" s="655"/>
      <c r="F270" s="655"/>
      <c r="G270" s="655"/>
      <c r="H270" s="655"/>
    </row>
    <row r="271" spans="1:8" x14ac:dyDescent="0.2">
      <c r="A271" s="656" t="s">
        <v>492</v>
      </c>
      <c r="B271" s="655"/>
      <c r="C271" s="655"/>
      <c r="D271" s="655"/>
      <c r="E271" s="655"/>
      <c r="F271" s="655"/>
      <c r="G271" s="655"/>
      <c r="H271" s="655"/>
    </row>
    <row r="272" spans="1:8" x14ac:dyDescent="0.2">
      <c r="A272" s="656" t="s">
        <v>493</v>
      </c>
      <c r="B272" s="655"/>
      <c r="C272" s="655"/>
      <c r="D272" s="655"/>
      <c r="E272" s="655"/>
      <c r="F272" s="655"/>
      <c r="G272" s="655"/>
      <c r="H272" s="655"/>
    </row>
    <row r="273" spans="1:8" x14ac:dyDescent="0.2">
      <c r="A273" s="656" t="s">
        <v>494</v>
      </c>
      <c r="B273" s="655"/>
      <c r="C273" s="655"/>
      <c r="D273" s="655"/>
      <c r="E273" s="655"/>
      <c r="F273" s="655"/>
      <c r="G273" s="655"/>
      <c r="H273" s="655"/>
    </row>
    <row r="274" spans="1:8" x14ac:dyDescent="0.2">
      <c r="A274" s="656" t="s">
        <v>495</v>
      </c>
      <c r="B274" s="655"/>
      <c r="C274" s="655"/>
      <c r="D274" s="655"/>
      <c r="E274" s="655"/>
      <c r="F274" s="655"/>
      <c r="G274" s="655"/>
      <c r="H274" s="655"/>
    </row>
    <row r="275" spans="1:8" x14ac:dyDescent="0.2">
      <c r="A275" s="656" t="s">
        <v>496</v>
      </c>
      <c r="B275" s="655"/>
      <c r="C275" s="655"/>
      <c r="D275" s="655"/>
      <c r="E275" s="655"/>
      <c r="F275" s="655"/>
      <c r="G275" s="655"/>
      <c r="H275" s="655"/>
    </row>
    <row r="276" spans="1:8" x14ac:dyDescent="0.2">
      <c r="A276" s="656" t="s">
        <v>497</v>
      </c>
      <c r="B276" s="655"/>
      <c r="C276" s="655"/>
      <c r="D276" s="655"/>
      <c r="E276" s="655"/>
      <c r="F276" s="655"/>
      <c r="G276" s="655"/>
      <c r="H276" s="655"/>
    </row>
    <row r="277" spans="1:8" x14ac:dyDescent="0.2">
      <c r="A277" s="656" t="s">
        <v>498</v>
      </c>
      <c r="B277" s="655"/>
      <c r="C277" s="655"/>
      <c r="D277" s="655"/>
      <c r="E277" s="655"/>
      <c r="F277" s="655"/>
      <c r="G277" s="655"/>
      <c r="H277" s="655"/>
    </row>
    <row r="278" spans="1:8" x14ac:dyDescent="0.2">
      <c r="A278" s="656" t="s">
        <v>499</v>
      </c>
      <c r="B278" s="655"/>
      <c r="C278" s="655"/>
      <c r="D278" s="655"/>
      <c r="E278" s="655"/>
      <c r="F278" s="655"/>
      <c r="G278" s="655"/>
      <c r="H278" s="655"/>
    </row>
    <row r="279" spans="1:8" x14ac:dyDescent="0.2">
      <c r="A279" s="656" t="s">
        <v>500</v>
      </c>
      <c r="B279" s="655"/>
      <c r="C279" s="655"/>
      <c r="D279" s="655"/>
      <c r="E279" s="655"/>
      <c r="F279" s="655"/>
      <c r="G279" s="655"/>
      <c r="H279" s="655"/>
    </row>
    <row r="280" spans="1:8" x14ac:dyDescent="0.2">
      <c r="A280" s="655"/>
      <c r="B280" s="655"/>
      <c r="C280" s="655"/>
      <c r="D280" s="655"/>
      <c r="E280" s="655"/>
      <c r="F280" s="655"/>
      <c r="G280" s="655"/>
      <c r="H280" s="655"/>
    </row>
    <row r="281" spans="1:8" x14ac:dyDescent="0.2">
      <c r="A281" s="656" t="s">
        <v>478</v>
      </c>
      <c r="B281" s="655"/>
      <c r="C281" s="655"/>
      <c r="D281" s="655"/>
      <c r="E281" s="655"/>
      <c r="F281" s="655"/>
      <c r="G281" s="655"/>
      <c r="H281" s="655"/>
    </row>
    <row r="282" spans="1:8" x14ac:dyDescent="0.2">
      <c r="A282" s="656" t="s">
        <v>479</v>
      </c>
      <c r="B282" s="655"/>
      <c r="C282" s="655"/>
      <c r="D282" s="655"/>
      <c r="E282" s="655"/>
      <c r="F282" s="655"/>
      <c r="G282" s="655"/>
      <c r="H282" s="655"/>
    </row>
    <row r="283" spans="1:8" x14ac:dyDescent="0.2">
      <c r="A283" s="656" t="s">
        <v>480</v>
      </c>
      <c r="B283" s="655"/>
      <c r="C283" s="655"/>
      <c r="D283" s="655"/>
      <c r="E283" s="655"/>
      <c r="F283" s="655"/>
      <c r="G283" s="655"/>
      <c r="H283" s="655"/>
    </row>
    <row r="284" spans="1:8" x14ac:dyDescent="0.2">
      <c r="A284" s="656" t="s">
        <v>481</v>
      </c>
      <c r="B284" s="655"/>
      <c r="C284" s="655"/>
      <c r="D284" s="655"/>
      <c r="E284" s="655"/>
      <c r="F284" s="655"/>
      <c r="G284" s="655"/>
      <c r="H284" s="655"/>
    </row>
    <row r="285" spans="1:8" x14ac:dyDescent="0.2">
      <c r="A285" s="656" t="s">
        <v>482</v>
      </c>
      <c r="B285" s="655"/>
      <c r="C285" s="655"/>
      <c r="D285" s="655"/>
      <c r="E285" s="655"/>
      <c r="F285" s="655"/>
      <c r="G285" s="655"/>
      <c r="H285" s="655"/>
    </row>
    <row r="286" spans="1:8" x14ac:dyDescent="0.2">
      <c r="A286" s="656" t="s">
        <v>483</v>
      </c>
      <c r="B286" s="655"/>
      <c r="C286" s="655"/>
      <c r="D286" s="655"/>
      <c r="E286" s="655"/>
      <c r="F286" s="655"/>
      <c r="G286" s="655"/>
      <c r="H286" s="655"/>
    </row>
    <row r="287" spans="1:8" x14ac:dyDescent="0.2">
      <c r="A287" s="656" t="s">
        <v>484</v>
      </c>
      <c r="B287" s="655"/>
      <c r="C287" s="655"/>
      <c r="D287" s="655"/>
      <c r="E287" s="655"/>
      <c r="F287" s="655"/>
      <c r="G287" s="655"/>
      <c r="H287" s="655"/>
    </row>
    <row r="288" spans="1:8" x14ac:dyDescent="0.2">
      <c r="A288" s="655"/>
      <c r="B288" s="655"/>
      <c r="C288" s="655"/>
      <c r="D288" s="655"/>
      <c r="E288" s="655"/>
      <c r="F288" s="655"/>
      <c r="G288" s="655"/>
      <c r="H288" s="655"/>
    </row>
    <row r="289" spans="1:8" x14ac:dyDescent="0.2">
      <c r="A289" s="656" t="s">
        <v>469</v>
      </c>
      <c r="B289" s="655"/>
      <c r="C289" s="655"/>
      <c r="D289" s="655"/>
      <c r="E289" s="655"/>
      <c r="F289" s="655"/>
      <c r="G289" s="655"/>
      <c r="H289" s="655"/>
    </row>
    <row r="290" spans="1:8" x14ac:dyDescent="0.2">
      <c r="A290" s="656" t="s">
        <v>470</v>
      </c>
      <c r="B290" s="655"/>
      <c r="C290" s="655"/>
      <c r="D290" s="655"/>
      <c r="E290" s="655"/>
      <c r="F290" s="655"/>
      <c r="G290" s="655"/>
      <c r="H290" s="655"/>
    </row>
    <row r="291" spans="1:8" x14ac:dyDescent="0.2">
      <c r="A291" s="656" t="s">
        <v>471</v>
      </c>
      <c r="B291" s="655"/>
      <c r="C291" s="655"/>
      <c r="D291" s="655"/>
      <c r="E291" s="655"/>
      <c r="F291" s="655"/>
      <c r="G291" s="655"/>
      <c r="H291" s="655"/>
    </row>
    <row r="292" spans="1:8" x14ac:dyDescent="0.2">
      <c r="A292" s="656" t="s">
        <v>472</v>
      </c>
      <c r="B292" s="655"/>
      <c r="C292" s="655"/>
      <c r="D292" s="655"/>
      <c r="E292" s="655"/>
      <c r="F292" s="655"/>
      <c r="G292" s="655"/>
      <c r="H292" s="655"/>
    </row>
    <row r="293" spans="1:8" x14ac:dyDescent="0.2">
      <c r="A293" s="656" t="s">
        <v>473</v>
      </c>
      <c r="B293" s="655"/>
      <c r="C293" s="655"/>
      <c r="D293" s="655"/>
      <c r="E293" s="655"/>
      <c r="F293" s="655"/>
      <c r="G293" s="655"/>
      <c r="H293" s="655"/>
    </row>
    <row r="294" spans="1:8" x14ac:dyDescent="0.2">
      <c r="A294" s="656" t="s">
        <v>474</v>
      </c>
      <c r="B294" s="655"/>
      <c r="C294" s="655"/>
      <c r="D294" s="655"/>
      <c r="E294" s="655"/>
      <c r="F294" s="655"/>
      <c r="G294" s="655"/>
      <c r="H294" s="655"/>
    </row>
    <row r="295" spans="1:8" x14ac:dyDescent="0.2">
      <c r="A295" s="656" t="s">
        <v>475</v>
      </c>
      <c r="B295" s="655"/>
      <c r="C295" s="655"/>
      <c r="D295" s="655"/>
      <c r="E295" s="655"/>
      <c r="F295" s="655"/>
      <c r="G295" s="655"/>
      <c r="H295" s="655"/>
    </row>
    <row r="296" spans="1:8" x14ac:dyDescent="0.2">
      <c r="A296" s="656" t="s">
        <v>476</v>
      </c>
      <c r="B296" s="655"/>
      <c r="C296" s="655"/>
      <c r="D296" s="655"/>
      <c r="E296" s="655"/>
      <c r="F296" s="655"/>
      <c r="G296" s="655"/>
      <c r="H296" s="655"/>
    </row>
    <row r="297" spans="1:8" x14ac:dyDescent="0.2">
      <c r="A297" s="656" t="s">
        <v>477</v>
      </c>
      <c r="B297" s="655"/>
      <c r="C297" s="655"/>
      <c r="D297" s="655"/>
      <c r="E297" s="655"/>
      <c r="F297" s="655"/>
      <c r="G297" s="655"/>
      <c r="H297" s="655"/>
    </row>
    <row r="298" spans="1:8" x14ac:dyDescent="0.2">
      <c r="A298" s="655"/>
      <c r="B298" s="655"/>
      <c r="C298" s="655"/>
      <c r="D298" s="655"/>
      <c r="E298" s="655"/>
      <c r="F298" s="655"/>
      <c r="G298" s="655"/>
      <c r="H298" s="655"/>
    </row>
    <row r="299" spans="1:8" x14ac:dyDescent="0.2">
      <c r="A299" s="656" t="s">
        <v>462</v>
      </c>
      <c r="B299" s="655"/>
      <c r="C299" s="655"/>
      <c r="D299" s="655"/>
      <c r="E299" s="655"/>
      <c r="F299" s="655"/>
      <c r="G299" s="655"/>
      <c r="H299" s="655"/>
    </row>
    <row r="300" spans="1:8" x14ac:dyDescent="0.2">
      <c r="A300" s="656" t="s">
        <v>463</v>
      </c>
      <c r="B300" s="655"/>
      <c r="C300" s="655"/>
      <c r="D300" s="655"/>
      <c r="E300" s="655"/>
      <c r="F300" s="655"/>
      <c r="G300" s="655"/>
      <c r="H300" s="655"/>
    </row>
    <row r="301" spans="1:8" x14ac:dyDescent="0.2">
      <c r="A301" s="656" t="s">
        <v>464</v>
      </c>
      <c r="B301" s="655"/>
      <c r="C301" s="655"/>
      <c r="D301" s="655"/>
      <c r="E301" s="655"/>
      <c r="F301" s="655"/>
      <c r="G301" s="655"/>
      <c r="H301" s="655"/>
    </row>
    <row r="302" spans="1:8" x14ac:dyDescent="0.2">
      <c r="A302" s="656" t="s">
        <v>465</v>
      </c>
      <c r="B302" s="655"/>
      <c r="C302" s="655"/>
      <c r="D302" s="655"/>
      <c r="E302" s="655"/>
      <c r="F302" s="655"/>
      <c r="G302" s="655"/>
      <c r="H302" s="655"/>
    </row>
    <row r="303" spans="1:8" x14ac:dyDescent="0.2">
      <c r="A303" s="656" t="s">
        <v>466</v>
      </c>
      <c r="B303" s="655"/>
      <c r="C303" s="655"/>
      <c r="D303" s="655"/>
      <c r="E303" s="655"/>
      <c r="F303" s="655"/>
      <c r="G303" s="655"/>
      <c r="H303" s="655"/>
    </row>
    <row r="304" spans="1:8" x14ac:dyDescent="0.2">
      <c r="A304" s="656" t="s">
        <v>467</v>
      </c>
      <c r="B304" s="655"/>
      <c r="C304" s="655"/>
      <c r="D304" s="655"/>
      <c r="E304" s="655"/>
      <c r="F304" s="655"/>
      <c r="G304" s="655"/>
      <c r="H304" s="655"/>
    </row>
    <row r="305" spans="1:8" x14ac:dyDescent="0.2">
      <c r="A305" s="656" t="s">
        <v>468</v>
      </c>
      <c r="B305" s="655"/>
      <c r="C305" s="655"/>
      <c r="D305" s="655"/>
      <c r="E305" s="655"/>
      <c r="F305" s="655"/>
      <c r="G305" s="655"/>
      <c r="H305" s="655"/>
    </row>
    <row r="306" spans="1:8" x14ac:dyDescent="0.2">
      <c r="A306" s="655"/>
      <c r="B306" s="655"/>
      <c r="C306" s="655"/>
      <c r="D306" s="655"/>
      <c r="E306" s="655"/>
      <c r="F306" s="655"/>
      <c r="G306" s="655"/>
      <c r="H306" s="655"/>
    </row>
    <row r="307" spans="1:8" x14ac:dyDescent="0.2">
      <c r="A307" s="656" t="s">
        <v>459</v>
      </c>
      <c r="B307" s="655"/>
      <c r="C307" s="655"/>
      <c r="D307" s="655"/>
      <c r="E307" s="655"/>
      <c r="F307" s="655"/>
      <c r="G307" s="655"/>
      <c r="H307" s="655"/>
    </row>
    <row r="308" spans="1:8" x14ac:dyDescent="0.2">
      <c r="A308" s="656" t="s">
        <v>460</v>
      </c>
      <c r="B308" s="655"/>
      <c r="C308" s="655"/>
      <c r="D308" s="655"/>
      <c r="E308" s="655"/>
      <c r="F308" s="655"/>
      <c r="G308" s="655"/>
      <c r="H308" s="655"/>
    </row>
    <row r="309" spans="1:8" x14ac:dyDescent="0.2">
      <c r="A309" s="656" t="s">
        <v>461</v>
      </c>
      <c r="B309" s="655"/>
      <c r="C309" s="655"/>
      <c r="D309" s="655"/>
      <c r="E309" s="655"/>
      <c r="F309" s="655"/>
      <c r="G309" s="655"/>
      <c r="H309" s="655"/>
    </row>
    <row r="310" spans="1:8" x14ac:dyDescent="0.2">
      <c r="A310" s="655"/>
      <c r="B310" s="655"/>
      <c r="C310" s="655"/>
      <c r="D310" s="655"/>
      <c r="E310" s="655"/>
      <c r="F310" s="655"/>
      <c r="G310" s="655"/>
      <c r="H310" s="655"/>
    </row>
    <row r="311" spans="1:8" x14ac:dyDescent="0.2">
      <c r="A311" s="656" t="s">
        <v>457</v>
      </c>
      <c r="B311" s="655"/>
      <c r="C311" s="655"/>
      <c r="D311" s="655"/>
      <c r="E311" s="655"/>
      <c r="F311" s="655"/>
      <c r="G311" s="655"/>
      <c r="H311" s="655"/>
    </row>
    <row r="312" spans="1:8" x14ac:dyDescent="0.2">
      <c r="A312" s="656" t="s">
        <v>458</v>
      </c>
      <c r="B312" s="655"/>
      <c r="C312" s="655"/>
      <c r="D312" s="655"/>
      <c r="E312" s="655"/>
      <c r="F312" s="655"/>
      <c r="G312" s="655"/>
      <c r="H312" s="655"/>
    </row>
    <row r="313" spans="1:8" x14ac:dyDescent="0.2">
      <c r="A313" s="655"/>
      <c r="B313" s="655"/>
      <c r="C313" s="655"/>
      <c r="D313" s="655"/>
      <c r="E313" s="655"/>
      <c r="F313" s="655"/>
      <c r="G313" s="655"/>
      <c r="H313" s="655"/>
    </row>
    <row r="314" spans="1:8" x14ac:dyDescent="0.2">
      <c r="A314" s="656" t="s">
        <v>444</v>
      </c>
      <c r="B314" s="655"/>
      <c r="C314" s="655"/>
      <c r="D314" s="655"/>
      <c r="E314" s="655"/>
      <c r="F314" s="655"/>
      <c r="G314" s="655"/>
      <c r="H314" s="655"/>
    </row>
    <row r="315" spans="1:8" x14ac:dyDescent="0.2">
      <c r="A315" s="656" t="s">
        <v>445</v>
      </c>
      <c r="B315" s="655"/>
      <c r="C315" s="655"/>
      <c r="D315" s="655"/>
      <c r="E315" s="655"/>
      <c r="F315" s="655"/>
      <c r="G315" s="655"/>
      <c r="H315" s="655"/>
    </row>
    <row r="316" spans="1:8" x14ac:dyDescent="0.2">
      <c r="A316" s="656" t="s">
        <v>446</v>
      </c>
      <c r="B316" s="655"/>
      <c r="C316" s="655"/>
      <c r="D316" s="655"/>
      <c r="E316" s="655"/>
      <c r="F316" s="655"/>
      <c r="G316" s="655"/>
      <c r="H316" s="655"/>
    </row>
    <row r="317" spans="1:8" x14ac:dyDescent="0.2">
      <c r="A317" s="656" t="s">
        <v>447</v>
      </c>
      <c r="B317" s="655"/>
      <c r="C317" s="655"/>
      <c r="D317" s="655"/>
      <c r="E317" s="655"/>
      <c r="F317" s="655"/>
      <c r="G317" s="655"/>
      <c r="H317" s="655"/>
    </row>
    <row r="318" spans="1:8" x14ac:dyDescent="0.2">
      <c r="A318" s="656" t="s">
        <v>448</v>
      </c>
      <c r="B318" s="655"/>
      <c r="C318" s="655"/>
      <c r="D318" s="655"/>
      <c r="E318" s="655"/>
      <c r="F318" s="655"/>
      <c r="G318" s="655"/>
      <c r="H318" s="655"/>
    </row>
    <row r="319" spans="1:8" x14ac:dyDescent="0.2">
      <c r="A319" s="656" t="s">
        <v>449</v>
      </c>
      <c r="B319" s="655"/>
      <c r="C319" s="655"/>
      <c r="D319" s="655"/>
      <c r="E319" s="655"/>
      <c r="F319" s="655"/>
      <c r="G319" s="655"/>
      <c r="H319" s="655"/>
    </row>
    <row r="320" spans="1:8" x14ac:dyDescent="0.2">
      <c r="A320" s="656" t="s">
        <v>450</v>
      </c>
      <c r="B320" s="655"/>
      <c r="C320" s="655"/>
      <c r="D320" s="655"/>
      <c r="E320" s="655"/>
      <c r="F320" s="655"/>
      <c r="G320" s="655"/>
      <c r="H320" s="655"/>
    </row>
    <row r="321" spans="1:8" x14ac:dyDescent="0.2">
      <c r="A321" s="656" t="s">
        <v>451</v>
      </c>
      <c r="B321" s="655"/>
      <c r="C321" s="655"/>
      <c r="D321" s="655"/>
      <c r="E321" s="655"/>
      <c r="F321" s="655"/>
      <c r="G321" s="655"/>
      <c r="H321" s="655"/>
    </row>
    <row r="322" spans="1:8" x14ac:dyDescent="0.2">
      <c r="A322" s="656" t="s">
        <v>452</v>
      </c>
      <c r="B322" s="655"/>
      <c r="C322" s="655"/>
      <c r="D322" s="655"/>
      <c r="E322" s="655"/>
      <c r="F322" s="655"/>
      <c r="G322" s="655"/>
      <c r="H322" s="655"/>
    </row>
    <row r="323" spans="1:8" x14ac:dyDescent="0.2">
      <c r="A323" s="656" t="s">
        <v>453</v>
      </c>
      <c r="B323" s="655"/>
      <c r="C323" s="655"/>
      <c r="D323" s="655"/>
      <c r="E323" s="655"/>
      <c r="F323" s="655"/>
      <c r="G323" s="655"/>
      <c r="H323" s="655"/>
    </row>
    <row r="324" spans="1:8" x14ac:dyDescent="0.2">
      <c r="A324" s="656" t="s">
        <v>454</v>
      </c>
      <c r="B324" s="655"/>
      <c r="C324" s="655"/>
      <c r="D324" s="655"/>
      <c r="E324" s="655"/>
      <c r="F324" s="655"/>
      <c r="G324" s="655"/>
      <c r="H324" s="655"/>
    </row>
    <row r="325" spans="1:8" x14ac:dyDescent="0.2">
      <c r="A325" s="656" t="s">
        <v>455</v>
      </c>
      <c r="B325" s="655"/>
      <c r="C325" s="655"/>
      <c r="D325" s="655"/>
      <c r="E325" s="655"/>
      <c r="F325" s="655"/>
      <c r="G325" s="655"/>
      <c r="H325" s="655"/>
    </row>
    <row r="326" spans="1:8" x14ac:dyDescent="0.2">
      <c r="A326" s="656" t="s">
        <v>456</v>
      </c>
      <c r="B326" s="655"/>
      <c r="C326" s="655"/>
      <c r="D326" s="655"/>
      <c r="E326" s="655"/>
      <c r="F326" s="655"/>
      <c r="G326" s="655"/>
      <c r="H326" s="655"/>
    </row>
    <row r="327" spans="1:8" x14ac:dyDescent="0.2">
      <c r="A327" s="655"/>
      <c r="B327" s="655"/>
      <c r="C327" s="655"/>
      <c r="D327" s="655"/>
      <c r="E327" s="655"/>
      <c r="F327" s="655"/>
      <c r="G327" s="655"/>
      <c r="H327" s="655"/>
    </row>
    <row r="328" spans="1:8" x14ac:dyDescent="0.2">
      <c r="A328" s="656" t="s">
        <v>436</v>
      </c>
      <c r="B328" s="655"/>
      <c r="C328" s="655"/>
      <c r="D328" s="655"/>
      <c r="E328" s="655"/>
      <c r="F328" s="655"/>
      <c r="G328" s="655"/>
      <c r="H328" s="655"/>
    </row>
    <row r="329" spans="1:8" x14ac:dyDescent="0.2">
      <c r="A329" s="656" t="s">
        <v>437</v>
      </c>
      <c r="B329" s="655"/>
      <c r="C329" s="655"/>
      <c r="D329" s="655"/>
      <c r="E329" s="655"/>
      <c r="F329" s="655"/>
      <c r="G329" s="655"/>
      <c r="H329" s="655"/>
    </row>
    <row r="330" spans="1:8" x14ac:dyDescent="0.2">
      <c r="A330" s="656" t="s">
        <v>438</v>
      </c>
      <c r="B330" s="655"/>
      <c r="C330" s="655"/>
      <c r="D330" s="655"/>
      <c r="E330" s="655"/>
      <c r="F330" s="655"/>
      <c r="G330" s="655"/>
      <c r="H330" s="655"/>
    </row>
    <row r="331" spans="1:8" x14ac:dyDescent="0.2">
      <c r="A331" s="656" t="s">
        <v>439</v>
      </c>
      <c r="B331" s="655"/>
      <c r="C331" s="655"/>
      <c r="D331" s="655"/>
      <c r="E331" s="655"/>
      <c r="F331" s="655"/>
      <c r="G331" s="655"/>
      <c r="H331" s="655"/>
    </row>
    <row r="332" spans="1:8" x14ac:dyDescent="0.2">
      <c r="A332" s="656" t="s">
        <v>440</v>
      </c>
      <c r="B332" s="655"/>
      <c r="C332" s="655"/>
      <c r="D332" s="655"/>
      <c r="E332" s="655"/>
      <c r="F332" s="655"/>
      <c r="G332" s="655"/>
      <c r="H332" s="655"/>
    </row>
    <row r="333" spans="1:8" x14ac:dyDescent="0.2">
      <c r="A333" s="656" t="s">
        <v>441</v>
      </c>
      <c r="B333" s="655"/>
      <c r="C333" s="655"/>
      <c r="D333" s="655"/>
      <c r="E333" s="655"/>
      <c r="F333" s="655"/>
      <c r="G333" s="655"/>
      <c r="H333" s="655"/>
    </row>
    <row r="334" spans="1:8" x14ac:dyDescent="0.2">
      <c r="A334" s="656" t="s">
        <v>442</v>
      </c>
      <c r="B334" s="655"/>
      <c r="C334" s="655"/>
      <c r="D334" s="655"/>
      <c r="E334" s="655"/>
      <c r="F334" s="655"/>
      <c r="G334" s="655"/>
      <c r="H334" s="655"/>
    </row>
    <row r="335" spans="1:8" x14ac:dyDescent="0.2">
      <c r="A335" s="656" t="s">
        <v>443</v>
      </c>
      <c r="B335" s="655"/>
      <c r="C335" s="655"/>
      <c r="D335" s="655"/>
      <c r="E335" s="655"/>
      <c r="F335" s="655"/>
      <c r="G335" s="655"/>
      <c r="H335" s="655"/>
    </row>
    <row r="336" spans="1:8" x14ac:dyDescent="0.2">
      <c r="A336" s="655"/>
      <c r="B336" s="655"/>
      <c r="C336" s="655"/>
      <c r="D336" s="655"/>
      <c r="E336" s="655"/>
      <c r="F336" s="655"/>
      <c r="G336" s="655"/>
      <c r="H336" s="655"/>
    </row>
    <row r="337" spans="1:8" x14ac:dyDescent="0.2">
      <c r="A337" s="656" t="s">
        <v>401</v>
      </c>
      <c r="B337" s="655"/>
      <c r="C337" s="655"/>
      <c r="D337" s="655"/>
      <c r="E337" s="655"/>
      <c r="F337" s="655"/>
      <c r="G337" s="655"/>
      <c r="H337" s="655"/>
    </row>
    <row r="338" spans="1:8" x14ac:dyDescent="0.2">
      <c r="A338" s="656" t="s">
        <v>402</v>
      </c>
      <c r="B338" s="655"/>
      <c r="C338" s="655"/>
      <c r="D338" s="655"/>
      <c r="E338" s="655"/>
      <c r="F338" s="655"/>
      <c r="G338" s="655"/>
      <c r="H338" s="655"/>
    </row>
    <row r="339" spans="1:8" x14ac:dyDescent="0.2">
      <c r="A339" s="656" t="s">
        <v>403</v>
      </c>
      <c r="B339" s="655"/>
      <c r="C339" s="655"/>
      <c r="D339" s="655"/>
      <c r="E339" s="655"/>
      <c r="F339" s="655"/>
      <c r="G339" s="655"/>
      <c r="H339" s="655"/>
    </row>
    <row r="340" spans="1:8" x14ac:dyDescent="0.2">
      <c r="A340" s="656" t="s">
        <v>404</v>
      </c>
      <c r="B340" s="655"/>
      <c r="C340" s="655"/>
      <c r="D340" s="655"/>
      <c r="E340" s="655"/>
      <c r="F340" s="655"/>
      <c r="G340" s="655"/>
      <c r="H340" s="655"/>
    </row>
    <row r="341" spans="1:8" x14ac:dyDescent="0.2">
      <c r="A341" s="656" t="s">
        <v>405</v>
      </c>
      <c r="B341" s="655"/>
      <c r="C341" s="655"/>
      <c r="D341" s="655"/>
      <c r="E341" s="655"/>
      <c r="F341" s="655"/>
      <c r="G341" s="655"/>
      <c r="H341" s="655"/>
    </row>
    <row r="342" spans="1:8" x14ac:dyDescent="0.2">
      <c r="A342" s="656" t="s">
        <v>406</v>
      </c>
      <c r="B342" s="655"/>
      <c r="C342" s="655"/>
      <c r="D342" s="655"/>
      <c r="E342" s="655"/>
      <c r="F342" s="655"/>
      <c r="G342" s="655"/>
      <c r="H342" s="655"/>
    </row>
    <row r="343" spans="1:8" x14ac:dyDescent="0.2">
      <c r="A343" s="656" t="s">
        <v>407</v>
      </c>
      <c r="B343" s="655"/>
      <c r="C343" s="655"/>
      <c r="D343" s="655"/>
      <c r="E343" s="655"/>
      <c r="F343" s="655"/>
      <c r="G343" s="655"/>
      <c r="H343" s="655"/>
    </row>
    <row r="344" spans="1:8" x14ac:dyDescent="0.2">
      <c r="A344" s="656" t="s">
        <v>408</v>
      </c>
      <c r="B344" s="655"/>
      <c r="C344" s="655"/>
      <c r="D344" s="655"/>
      <c r="E344" s="655"/>
      <c r="F344" s="655"/>
      <c r="G344" s="655"/>
      <c r="H344" s="655"/>
    </row>
    <row r="345" spans="1:8" x14ac:dyDescent="0.2">
      <c r="A345" s="656" t="s">
        <v>409</v>
      </c>
      <c r="B345" s="655"/>
      <c r="C345" s="655"/>
      <c r="D345" s="655"/>
      <c r="E345" s="655"/>
      <c r="F345" s="655"/>
      <c r="G345" s="655"/>
      <c r="H345" s="655"/>
    </row>
    <row r="346" spans="1:8" x14ac:dyDescent="0.2">
      <c r="A346" s="656" t="s">
        <v>410</v>
      </c>
      <c r="B346" s="655"/>
      <c r="C346" s="655"/>
      <c r="D346" s="655"/>
      <c r="E346" s="655"/>
      <c r="F346" s="655"/>
      <c r="G346" s="655"/>
      <c r="H346" s="655"/>
    </row>
    <row r="347" spans="1:8" x14ac:dyDescent="0.2">
      <c r="A347" s="656" t="s">
        <v>411</v>
      </c>
      <c r="B347" s="655"/>
      <c r="C347" s="655"/>
      <c r="D347" s="655"/>
      <c r="E347" s="655"/>
      <c r="F347" s="655"/>
      <c r="G347" s="655"/>
      <c r="H347" s="655"/>
    </row>
    <row r="348" spans="1:8" x14ac:dyDescent="0.2">
      <c r="A348" s="656" t="s">
        <v>412</v>
      </c>
      <c r="B348" s="655"/>
      <c r="C348" s="655"/>
      <c r="D348" s="655"/>
      <c r="E348" s="655"/>
      <c r="F348" s="655"/>
      <c r="G348" s="655"/>
      <c r="H348" s="655"/>
    </row>
    <row r="349" spans="1:8" x14ac:dyDescent="0.2">
      <c r="A349" s="656" t="s">
        <v>413</v>
      </c>
      <c r="B349" s="655"/>
      <c r="C349" s="655"/>
      <c r="D349" s="655"/>
      <c r="E349" s="655"/>
      <c r="F349" s="655"/>
      <c r="G349" s="655"/>
      <c r="H349" s="655"/>
    </row>
    <row r="350" spans="1:8" x14ac:dyDescent="0.2">
      <c r="A350" s="656" t="s">
        <v>414</v>
      </c>
      <c r="B350" s="655"/>
      <c r="C350" s="655"/>
      <c r="D350" s="655"/>
      <c r="E350" s="655"/>
      <c r="F350" s="655"/>
      <c r="G350" s="655"/>
      <c r="H350" s="655"/>
    </row>
    <row r="351" spans="1:8" x14ac:dyDescent="0.2">
      <c r="A351" s="656" t="s">
        <v>415</v>
      </c>
      <c r="B351" s="655"/>
      <c r="C351" s="655"/>
      <c r="D351" s="655"/>
      <c r="E351" s="655"/>
      <c r="F351" s="655"/>
      <c r="G351" s="655"/>
      <c r="H351" s="655"/>
    </row>
    <row r="352" spans="1:8" x14ac:dyDescent="0.2">
      <c r="A352" s="656" t="s">
        <v>416</v>
      </c>
      <c r="B352" s="655"/>
      <c r="C352" s="655"/>
      <c r="D352" s="655"/>
      <c r="E352" s="655"/>
      <c r="F352" s="655"/>
      <c r="G352" s="655"/>
      <c r="H352" s="655"/>
    </row>
    <row r="353" spans="1:8" x14ac:dyDescent="0.2">
      <c r="A353" s="656" t="s">
        <v>417</v>
      </c>
      <c r="B353" s="655"/>
      <c r="C353" s="655"/>
      <c r="D353" s="655"/>
      <c r="E353" s="655"/>
      <c r="F353" s="655"/>
      <c r="G353" s="655"/>
      <c r="H353" s="655"/>
    </row>
    <row r="354" spans="1:8" x14ac:dyDescent="0.2">
      <c r="A354" s="656" t="s">
        <v>418</v>
      </c>
      <c r="B354" s="655"/>
      <c r="C354" s="655"/>
      <c r="D354" s="655"/>
      <c r="E354" s="655"/>
      <c r="F354" s="655"/>
      <c r="G354" s="655"/>
      <c r="H354" s="655"/>
    </row>
    <row r="355" spans="1:8" x14ac:dyDescent="0.2">
      <c r="A355" s="656" t="s">
        <v>419</v>
      </c>
      <c r="B355" s="655"/>
      <c r="C355" s="655"/>
      <c r="D355" s="655"/>
      <c r="E355" s="655"/>
      <c r="F355" s="655"/>
      <c r="G355" s="655"/>
      <c r="H355" s="655"/>
    </row>
    <row r="356" spans="1:8" x14ac:dyDescent="0.2">
      <c r="A356" s="656" t="s">
        <v>420</v>
      </c>
      <c r="B356" s="655"/>
      <c r="C356" s="655"/>
      <c r="D356" s="655"/>
      <c r="E356" s="655"/>
      <c r="F356" s="655"/>
      <c r="G356" s="655"/>
      <c r="H356" s="655"/>
    </row>
    <row r="357" spans="1:8" x14ac:dyDescent="0.2">
      <c r="A357" s="656" t="s">
        <v>421</v>
      </c>
      <c r="B357" s="655"/>
      <c r="C357" s="655"/>
      <c r="D357" s="655"/>
      <c r="E357" s="655"/>
      <c r="F357" s="655"/>
      <c r="G357" s="655"/>
      <c r="H357" s="655"/>
    </row>
    <row r="358" spans="1:8" x14ac:dyDescent="0.2">
      <c r="A358" s="656" t="s">
        <v>422</v>
      </c>
      <c r="B358" s="655"/>
      <c r="C358" s="655"/>
      <c r="D358" s="655"/>
      <c r="E358" s="655"/>
      <c r="F358" s="655"/>
      <c r="G358" s="655"/>
      <c r="H358" s="655"/>
    </row>
    <row r="359" spans="1:8" x14ac:dyDescent="0.2">
      <c r="A359" s="656" t="s">
        <v>423</v>
      </c>
      <c r="B359" s="655"/>
      <c r="C359" s="655"/>
      <c r="D359" s="655"/>
      <c r="E359" s="655"/>
      <c r="F359" s="655"/>
      <c r="G359" s="655"/>
      <c r="H359" s="655"/>
    </row>
    <row r="360" spans="1:8" x14ac:dyDescent="0.2">
      <c r="A360" s="656" t="s">
        <v>424</v>
      </c>
      <c r="B360" s="655"/>
      <c r="C360" s="655"/>
      <c r="D360" s="655"/>
      <c r="E360" s="655"/>
      <c r="F360" s="655"/>
      <c r="G360" s="655"/>
      <c r="H360" s="655"/>
    </row>
    <row r="361" spans="1:8" x14ac:dyDescent="0.2">
      <c r="A361" s="656" t="s">
        <v>425</v>
      </c>
      <c r="B361" s="655"/>
      <c r="C361" s="655"/>
      <c r="D361" s="655"/>
      <c r="E361" s="655"/>
      <c r="F361" s="655"/>
      <c r="G361" s="655"/>
      <c r="H361" s="655"/>
    </row>
    <row r="362" spans="1:8" x14ac:dyDescent="0.2">
      <c r="A362" s="656" t="s">
        <v>426</v>
      </c>
      <c r="B362" s="655"/>
      <c r="C362" s="655"/>
      <c r="D362" s="655"/>
      <c r="E362" s="655"/>
      <c r="F362" s="655"/>
      <c r="G362" s="655"/>
      <c r="H362" s="655"/>
    </row>
    <row r="363" spans="1:8" x14ac:dyDescent="0.2">
      <c r="A363" s="656" t="s">
        <v>427</v>
      </c>
      <c r="B363" s="655"/>
      <c r="C363" s="655"/>
      <c r="D363" s="655"/>
      <c r="E363" s="655"/>
      <c r="F363" s="655"/>
      <c r="G363" s="655"/>
      <c r="H363" s="655"/>
    </row>
    <row r="364" spans="1:8" x14ac:dyDescent="0.2">
      <c r="A364" s="656" t="s">
        <v>428</v>
      </c>
      <c r="B364" s="655"/>
      <c r="C364" s="655"/>
      <c r="D364" s="655"/>
      <c r="E364" s="655"/>
      <c r="F364" s="655"/>
      <c r="G364" s="655"/>
      <c r="H364" s="655"/>
    </row>
    <row r="365" spans="1:8" x14ac:dyDescent="0.2">
      <c r="A365" s="656" t="s">
        <v>429</v>
      </c>
      <c r="B365" s="655"/>
      <c r="C365" s="655"/>
      <c r="D365" s="655"/>
      <c r="E365" s="655"/>
      <c r="F365" s="655"/>
      <c r="G365" s="655"/>
      <c r="H365" s="655"/>
    </row>
    <row r="366" spans="1:8" x14ac:dyDescent="0.2">
      <c r="A366" s="656" t="s">
        <v>430</v>
      </c>
      <c r="B366" s="655"/>
      <c r="C366" s="655"/>
      <c r="D366" s="655"/>
      <c r="E366" s="655"/>
      <c r="F366" s="655"/>
      <c r="G366" s="655"/>
      <c r="H366" s="655"/>
    </row>
    <row r="367" spans="1:8" x14ac:dyDescent="0.2">
      <c r="A367" s="656" t="s">
        <v>431</v>
      </c>
      <c r="B367" s="655"/>
      <c r="C367" s="655"/>
      <c r="D367" s="655"/>
      <c r="E367" s="655"/>
      <c r="F367" s="655"/>
      <c r="G367" s="655"/>
      <c r="H367" s="655"/>
    </row>
    <row r="368" spans="1:8" x14ac:dyDescent="0.2">
      <c r="A368" s="656" t="s">
        <v>432</v>
      </c>
      <c r="B368" s="655"/>
      <c r="C368" s="655"/>
      <c r="D368" s="655"/>
      <c r="E368" s="655"/>
      <c r="F368" s="655"/>
      <c r="G368" s="655"/>
      <c r="H368" s="655"/>
    </row>
    <row r="369" spans="1:8" x14ac:dyDescent="0.2">
      <c r="A369" s="656" t="s">
        <v>433</v>
      </c>
      <c r="B369" s="655"/>
      <c r="C369" s="655"/>
      <c r="D369" s="655"/>
      <c r="E369" s="655"/>
      <c r="F369" s="655"/>
      <c r="G369" s="655"/>
      <c r="H369" s="655"/>
    </row>
    <row r="370" spans="1:8" x14ac:dyDescent="0.2">
      <c r="A370" s="656" t="s">
        <v>434</v>
      </c>
      <c r="B370" s="655"/>
      <c r="C370" s="655"/>
      <c r="D370" s="655"/>
      <c r="E370" s="655"/>
      <c r="F370" s="655"/>
      <c r="G370" s="655"/>
      <c r="H370" s="655"/>
    </row>
    <row r="371" spans="1:8" x14ac:dyDescent="0.2">
      <c r="A371" s="656" t="s">
        <v>435</v>
      </c>
      <c r="B371" s="655"/>
      <c r="C371" s="655"/>
      <c r="D371" s="655"/>
      <c r="E371" s="655"/>
      <c r="F371" s="655"/>
      <c r="G371" s="655"/>
      <c r="H371" s="655"/>
    </row>
    <row r="372" spans="1:8" x14ac:dyDescent="0.2">
      <c r="A372" s="655"/>
      <c r="B372" s="655"/>
      <c r="C372" s="655"/>
      <c r="D372" s="655"/>
      <c r="E372" s="655"/>
      <c r="F372" s="655"/>
      <c r="G372" s="655"/>
      <c r="H372" s="655"/>
    </row>
    <row r="373" spans="1:8" x14ac:dyDescent="0.2">
      <c r="A373" s="656" t="s">
        <v>393</v>
      </c>
      <c r="B373" s="655"/>
      <c r="C373" s="655"/>
      <c r="D373" s="655"/>
      <c r="E373" s="655"/>
      <c r="F373" s="655"/>
      <c r="G373" s="655"/>
      <c r="H373" s="655"/>
    </row>
    <row r="374" spans="1:8" x14ac:dyDescent="0.2">
      <c r="A374" s="656" t="s">
        <v>397</v>
      </c>
      <c r="B374" s="655"/>
      <c r="C374" s="655"/>
      <c r="D374" s="655"/>
      <c r="E374" s="655"/>
      <c r="F374" s="655"/>
      <c r="G374" s="655"/>
      <c r="H374" s="655"/>
    </row>
    <row r="375" spans="1:8" x14ac:dyDescent="0.2">
      <c r="A375" s="656" t="s">
        <v>398</v>
      </c>
      <c r="B375" s="655"/>
      <c r="C375" s="655"/>
      <c r="D375" s="655"/>
      <c r="E375" s="655"/>
      <c r="F375" s="655"/>
      <c r="G375" s="655"/>
      <c r="H375" s="655"/>
    </row>
    <row r="376" spans="1:8" x14ac:dyDescent="0.2">
      <c r="A376" s="656" t="s">
        <v>399</v>
      </c>
      <c r="B376" s="655"/>
      <c r="C376" s="655"/>
      <c r="D376" s="655"/>
      <c r="E376" s="655"/>
      <c r="F376" s="655"/>
      <c r="G376" s="655"/>
      <c r="H376" s="655"/>
    </row>
    <row r="377" spans="1:8" x14ac:dyDescent="0.2">
      <c r="A377" s="656" t="s">
        <v>400</v>
      </c>
      <c r="B377" s="655"/>
      <c r="C377" s="655"/>
      <c r="D377" s="655"/>
      <c r="E377" s="655"/>
      <c r="F377" s="655"/>
      <c r="G377" s="655"/>
      <c r="H377" s="655"/>
    </row>
    <row r="378" spans="1:8" x14ac:dyDescent="0.2">
      <c r="A378" s="655"/>
      <c r="B378" s="655"/>
      <c r="C378" s="655"/>
      <c r="D378" s="655"/>
      <c r="E378" s="655"/>
      <c r="F378" s="655"/>
      <c r="G378" s="655"/>
      <c r="H378" s="655"/>
    </row>
    <row r="379" spans="1:8" x14ac:dyDescent="0.2">
      <c r="A379" s="656" t="s">
        <v>393</v>
      </c>
      <c r="B379" s="655"/>
      <c r="C379" s="655"/>
      <c r="D379" s="655"/>
      <c r="E379" s="655"/>
      <c r="F379" s="655"/>
      <c r="G379" s="655"/>
      <c r="H379" s="655"/>
    </row>
    <row r="380" spans="1:8" x14ac:dyDescent="0.2">
      <c r="A380" s="656" t="s">
        <v>394</v>
      </c>
      <c r="B380" s="655"/>
      <c r="C380" s="655"/>
      <c r="D380" s="655"/>
      <c r="E380" s="655"/>
      <c r="F380" s="655"/>
      <c r="G380" s="655"/>
      <c r="H380" s="655"/>
    </row>
    <row r="381" spans="1:8" x14ac:dyDescent="0.2">
      <c r="A381" s="656" t="s">
        <v>395</v>
      </c>
      <c r="B381" s="655"/>
      <c r="C381" s="655"/>
      <c r="D381" s="655"/>
      <c r="E381" s="655"/>
      <c r="F381" s="655"/>
      <c r="G381" s="655"/>
      <c r="H381" s="655"/>
    </row>
    <row r="382" spans="1:8" x14ac:dyDescent="0.2">
      <c r="A382" s="656" t="s">
        <v>396</v>
      </c>
      <c r="B382" s="655"/>
      <c r="C382" s="655"/>
      <c r="D382" s="655"/>
      <c r="E382" s="655"/>
      <c r="F382" s="655"/>
      <c r="G382" s="655"/>
      <c r="H382" s="655"/>
    </row>
    <row r="383" spans="1:8" x14ac:dyDescent="0.2">
      <c r="A383" s="655"/>
      <c r="B383" s="655"/>
      <c r="C383" s="655"/>
      <c r="D383" s="655"/>
      <c r="E383" s="655"/>
      <c r="F383" s="655"/>
      <c r="G383" s="655"/>
      <c r="H383" s="655"/>
    </row>
    <row r="384" spans="1:8" x14ac:dyDescent="0.2">
      <c r="A384" s="656" t="s">
        <v>387</v>
      </c>
      <c r="B384" s="655"/>
      <c r="C384" s="655"/>
      <c r="D384" s="655"/>
      <c r="E384" s="655"/>
      <c r="F384" s="655"/>
      <c r="G384" s="655"/>
      <c r="H384" s="655"/>
    </row>
    <row r="385" spans="1:8" x14ac:dyDescent="0.2">
      <c r="A385" s="656" t="s">
        <v>388</v>
      </c>
      <c r="B385" s="655"/>
      <c r="C385" s="655"/>
      <c r="D385" s="655"/>
      <c r="E385" s="655"/>
      <c r="F385" s="655"/>
      <c r="G385" s="655"/>
      <c r="H385" s="655"/>
    </row>
    <row r="386" spans="1:8" x14ac:dyDescent="0.2">
      <c r="A386" s="656" t="s">
        <v>389</v>
      </c>
      <c r="B386" s="655"/>
      <c r="C386" s="655"/>
      <c r="D386" s="655"/>
      <c r="E386" s="655"/>
      <c r="F386" s="655"/>
      <c r="G386" s="655"/>
      <c r="H386" s="655"/>
    </row>
    <row r="387" spans="1:8" x14ac:dyDescent="0.2">
      <c r="A387" s="656" t="s">
        <v>390</v>
      </c>
      <c r="B387" s="655"/>
      <c r="C387" s="655"/>
      <c r="D387" s="655"/>
      <c r="E387" s="655"/>
      <c r="F387" s="655"/>
      <c r="G387" s="655"/>
      <c r="H387" s="655"/>
    </row>
    <row r="388" spans="1:8" x14ac:dyDescent="0.2">
      <c r="A388" s="656" t="s">
        <v>391</v>
      </c>
      <c r="B388" s="655"/>
      <c r="C388" s="655"/>
      <c r="D388" s="655"/>
      <c r="E388" s="655"/>
      <c r="F388" s="655"/>
      <c r="G388" s="655"/>
      <c r="H388" s="655"/>
    </row>
    <row r="389" spans="1:8" x14ac:dyDescent="0.2">
      <c r="A389" s="656" t="s">
        <v>392</v>
      </c>
      <c r="B389" s="655"/>
      <c r="C389" s="655"/>
      <c r="D389" s="655"/>
      <c r="E389" s="655"/>
      <c r="F389" s="655"/>
      <c r="G389" s="655"/>
      <c r="H389" s="655"/>
    </row>
    <row r="390" spans="1:8" x14ac:dyDescent="0.2">
      <c r="A390" s="655"/>
      <c r="B390" s="655"/>
      <c r="C390" s="655"/>
      <c r="D390" s="655"/>
      <c r="E390" s="655"/>
      <c r="F390" s="655"/>
      <c r="G390" s="655"/>
      <c r="H390" s="655"/>
    </row>
    <row r="391" spans="1:8" x14ac:dyDescent="0.2">
      <c r="A391" s="656" t="s">
        <v>382</v>
      </c>
      <c r="B391" s="655"/>
      <c r="C391" s="655"/>
      <c r="D391" s="655"/>
      <c r="E391" s="655"/>
      <c r="F391" s="655"/>
      <c r="G391" s="655"/>
      <c r="H391" s="655"/>
    </row>
    <row r="392" spans="1:8" x14ac:dyDescent="0.2">
      <c r="A392" s="656" t="s">
        <v>383</v>
      </c>
      <c r="B392" s="655"/>
      <c r="C392" s="655"/>
      <c r="D392" s="655"/>
      <c r="E392" s="655"/>
      <c r="F392" s="655"/>
      <c r="G392" s="655"/>
      <c r="H392" s="655"/>
    </row>
    <row r="393" spans="1:8" x14ac:dyDescent="0.2">
      <c r="A393" s="656" t="s">
        <v>384</v>
      </c>
      <c r="B393" s="655"/>
      <c r="C393" s="655"/>
      <c r="D393" s="655"/>
      <c r="E393" s="655"/>
      <c r="F393" s="655"/>
      <c r="G393" s="655"/>
      <c r="H393" s="655"/>
    </row>
    <row r="394" spans="1:8" x14ac:dyDescent="0.2">
      <c r="A394" s="656" t="s">
        <v>385</v>
      </c>
      <c r="B394" s="655"/>
      <c r="C394" s="655"/>
      <c r="D394" s="655"/>
      <c r="E394" s="655"/>
      <c r="F394" s="655"/>
      <c r="G394" s="655"/>
      <c r="H394" s="655"/>
    </row>
    <row r="395" spans="1:8" x14ac:dyDescent="0.2">
      <c r="A395" s="656" t="s">
        <v>386</v>
      </c>
      <c r="B395" s="655"/>
      <c r="C395" s="655"/>
      <c r="D395" s="655"/>
      <c r="E395" s="655"/>
      <c r="F395" s="655"/>
      <c r="G395" s="655"/>
      <c r="H395" s="655"/>
    </row>
    <row r="396" spans="1:8" x14ac:dyDescent="0.2">
      <c r="A396" s="655"/>
      <c r="B396" s="655"/>
      <c r="C396" s="655"/>
      <c r="D396" s="655"/>
      <c r="E396" s="655"/>
      <c r="F396" s="655"/>
      <c r="G396" s="655"/>
      <c r="H396" s="655"/>
    </row>
    <row r="397" spans="1:8" x14ac:dyDescent="0.2">
      <c r="A397" s="656" t="s">
        <v>380</v>
      </c>
      <c r="B397" s="655"/>
      <c r="C397" s="655"/>
      <c r="D397" s="655"/>
      <c r="E397" s="655"/>
      <c r="F397" s="655"/>
      <c r="G397" s="655"/>
      <c r="H397" s="655"/>
    </row>
    <row r="398" spans="1:8" x14ac:dyDescent="0.2">
      <c r="A398" s="656" t="s">
        <v>381</v>
      </c>
      <c r="B398" s="655"/>
      <c r="C398" s="655"/>
      <c r="D398" s="655"/>
      <c r="E398" s="655"/>
      <c r="F398" s="655"/>
      <c r="G398" s="655"/>
      <c r="H398" s="655"/>
    </row>
    <row r="400" spans="1:8" x14ac:dyDescent="0.2">
      <c r="A400" s="651" t="s">
        <v>642</v>
      </c>
    </row>
  </sheetData>
  <mergeCells count="12">
    <mergeCell ref="A138:H138"/>
    <mergeCell ref="A139:H139"/>
    <mergeCell ref="B131:C131"/>
    <mergeCell ref="D131:F131"/>
    <mergeCell ref="G131:H131"/>
    <mergeCell ref="A117:H117"/>
    <mergeCell ref="A118:H118"/>
    <mergeCell ref="A119:H119"/>
    <mergeCell ref="A120:H120"/>
    <mergeCell ref="A122:H122"/>
    <mergeCell ref="A123:H123"/>
    <mergeCell ref="A130:H130"/>
  </mergeCells>
  <pageMargins left="0.5" right="0.5" top="0.5" bottom="0.5" header="0.5" footer="0.5"/>
  <pageSetup orientation="portrait" horizontalDpi="300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11"/>
  <sheetViews>
    <sheetView workbookViewId="0"/>
  </sheetViews>
  <sheetFormatPr defaultRowHeight="12.75" x14ac:dyDescent="0.2"/>
  <sheetData>
    <row r="1" spans="1:2" x14ac:dyDescent="0.2">
      <c r="A1" t="s">
        <v>716</v>
      </c>
      <c r="B1" t="s">
        <v>717</v>
      </c>
    </row>
    <row r="2" spans="1:2" x14ac:dyDescent="0.2">
      <c r="A2" s="2" t="s">
        <v>718</v>
      </c>
      <c r="B2">
        <v>-1</v>
      </c>
    </row>
    <row r="3" spans="1:2" x14ac:dyDescent="0.2">
      <c r="A3" s="2" t="s">
        <v>719</v>
      </c>
      <c r="B3">
        <v>2</v>
      </c>
    </row>
    <row r="4" spans="1:2" x14ac:dyDescent="0.2">
      <c r="A4" s="2" t="s">
        <v>720</v>
      </c>
      <c r="B4">
        <v>-1</v>
      </c>
    </row>
    <row r="5" spans="1:2" x14ac:dyDescent="0.2">
      <c r="A5" s="2" t="s">
        <v>721</v>
      </c>
      <c r="B5">
        <v>-1</v>
      </c>
    </row>
    <row r="6" spans="1:2" x14ac:dyDescent="0.2">
      <c r="A6" s="2" t="s">
        <v>722</v>
      </c>
      <c r="B6">
        <v>-1</v>
      </c>
    </row>
    <row r="7" spans="1:2" x14ac:dyDescent="0.2">
      <c r="A7" s="2" t="s">
        <v>723</v>
      </c>
      <c r="B7">
        <v>-1</v>
      </c>
    </row>
    <row r="8" spans="1:2" x14ac:dyDescent="0.2">
      <c r="A8" s="2" t="s">
        <v>724</v>
      </c>
      <c r="B8">
        <v>-1</v>
      </c>
    </row>
    <row r="9" spans="1:2" x14ac:dyDescent="0.2">
      <c r="A9" s="2" t="s">
        <v>725</v>
      </c>
      <c r="B9">
        <v>-1</v>
      </c>
    </row>
    <row r="10" spans="1:2" x14ac:dyDescent="0.2">
      <c r="A10" s="2" t="s">
        <v>726</v>
      </c>
      <c r="B10">
        <v>2</v>
      </c>
    </row>
    <row r="11" spans="1:2" x14ac:dyDescent="0.2">
      <c r="A11" s="2" t="s">
        <v>727</v>
      </c>
      <c r="B11">
        <v>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B11"/>
  <sheetViews>
    <sheetView showGridLines="0" showRowColHeaders="0" workbookViewId="0">
      <selection activeCell="N1" sqref="N1"/>
    </sheetView>
  </sheetViews>
  <sheetFormatPr defaultRowHeight="12.75" x14ac:dyDescent="0.2"/>
  <cols>
    <col min="1" max="1" width="9.140625" style="564"/>
    <col min="2" max="2" width="88.28515625" style="564" customWidth="1"/>
    <col min="3" max="257" width="9.140625" style="564"/>
    <col min="258" max="258" width="88.28515625" style="564" customWidth="1"/>
    <col min="259" max="513" width="9.140625" style="564"/>
    <col min="514" max="514" width="88.28515625" style="564" customWidth="1"/>
    <col min="515" max="769" width="9.140625" style="564"/>
    <col min="770" max="770" width="88.28515625" style="564" customWidth="1"/>
    <col min="771" max="1025" width="9.140625" style="564"/>
    <col min="1026" max="1026" width="88.28515625" style="564" customWidth="1"/>
    <col min="1027" max="1281" width="9.140625" style="564"/>
    <col min="1282" max="1282" width="88.28515625" style="564" customWidth="1"/>
    <col min="1283" max="1537" width="9.140625" style="564"/>
    <col min="1538" max="1538" width="88.28515625" style="564" customWidth="1"/>
    <col min="1539" max="1793" width="9.140625" style="564"/>
    <col min="1794" max="1794" width="88.28515625" style="564" customWidth="1"/>
    <col min="1795" max="2049" width="9.140625" style="564"/>
    <col min="2050" max="2050" width="88.28515625" style="564" customWidth="1"/>
    <col min="2051" max="2305" width="9.140625" style="564"/>
    <col min="2306" max="2306" width="88.28515625" style="564" customWidth="1"/>
    <col min="2307" max="2561" width="9.140625" style="564"/>
    <col min="2562" max="2562" width="88.28515625" style="564" customWidth="1"/>
    <col min="2563" max="2817" width="9.140625" style="564"/>
    <col min="2818" max="2818" width="88.28515625" style="564" customWidth="1"/>
    <col min="2819" max="3073" width="9.140625" style="564"/>
    <col min="3074" max="3074" width="88.28515625" style="564" customWidth="1"/>
    <col min="3075" max="3329" width="9.140625" style="564"/>
    <col min="3330" max="3330" width="88.28515625" style="564" customWidth="1"/>
    <col min="3331" max="3585" width="9.140625" style="564"/>
    <col min="3586" max="3586" width="88.28515625" style="564" customWidth="1"/>
    <col min="3587" max="3841" width="9.140625" style="564"/>
    <col min="3842" max="3842" width="88.28515625" style="564" customWidth="1"/>
    <col min="3843" max="4097" width="9.140625" style="564"/>
    <col min="4098" max="4098" width="88.28515625" style="564" customWidth="1"/>
    <col min="4099" max="4353" width="9.140625" style="564"/>
    <col min="4354" max="4354" width="88.28515625" style="564" customWidth="1"/>
    <col min="4355" max="4609" width="9.140625" style="564"/>
    <col min="4610" max="4610" width="88.28515625" style="564" customWidth="1"/>
    <col min="4611" max="4865" width="9.140625" style="564"/>
    <col min="4866" max="4866" width="88.28515625" style="564" customWidth="1"/>
    <col min="4867" max="5121" width="9.140625" style="564"/>
    <col min="5122" max="5122" width="88.28515625" style="564" customWidth="1"/>
    <col min="5123" max="5377" width="9.140625" style="564"/>
    <col min="5378" max="5378" width="88.28515625" style="564" customWidth="1"/>
    <col min="5379" max="5633" width="9.140625" style="564"/>
    <col min="5634" max="5634" width="88.28515625" style="564" customWidth="1"/>
    <col min="5635" max="5889" width="9.140625" style="564"/>
    <col min="5890" max="5890" width="88.28515625" style="564" customWidth="1"/>
    <col min="5891" max="6145" width="9.140625" style="564"/>
    <col min="6146" max="6146" width="88.28515625" style="564" customWidth="1"/>
    <col min="6147" max="6401" width="9.140625" style="564"/>
    <col min="6402" max="6402" width="88.28515625" style="564" customWidth="1"/>
    <col min="6403" max="6657" width="9.140625" style="564"/>
    <col min="6658" max="6658" width="88.28515625" style="564" customWidth="1"/>
    <col min="6659" max="6913" width="9.140625" style="564"/>
    <col min="6914" max="6914" width="88.28515625" style="564" customWidth="1"/>
    <col min="6915" max="7169" width="9.140625" style="564"/>
    <col min="7170" max="7170" width="88.28515625" style="564" customWidth="1"/>
    <col min="7171" max="7425" width="9.140625" style="564"/>
    <col min="7426" max="7426" width="88.28515625" style="564" customWidth="1"/>
    <col min="7427" max="7681" width="9.140625" style="564"/>
    <col min="7682" max="7682" width="88.28515625" style="564" customWidth="1"/>
    <col min="7683" max="7937" width="9.140625" style="564"/>
    <col min="7938" max="7938" width="88.28515625" style="564" customWidth="1"/>
    <col min="7939" max="8193" width="9.140625" style="564"/>
    <col min="8194" max="8194" width="88.28515625" style="564" customWidth="1"/>
    <col min="8195" max="8449" width="9.140625" style="564"/>
    <col min="8450" max="8450" width="88.28515625" style="564" customWidth="1"/>
    <col min="8451" max="8705" width="9.140625" style="564"/>
    <col min="8706" max="8706" width="88.28515625" style="564" customWidth="1"/>
    <col min="8707" max="8961" width="9.140625" style="564"/>
    <col min="8962" max="8962" width="88.28515625" style="564" customWidth="1"/>
    <col min="8963" max="9217" width="9.140625" style="564"/>
    <col min="9218" max="9218" width="88.28515625" style="564" customWidth="1"/>
    <col min="9219" max="9473" width="9.140625" style="564"/>
    <col min="9474" max="9474" width="88.28515625" style="564" customWidth="1"/>
    <col min="9475" max="9729" width="9.140625" style="564"/>
    <col min="9730" max="9730" width="88.28515625" style="564" customWidth="1"/>
    <col min="9731" max="9985" width="9.140625" style="564"/>
    <col min="9986" max="9986" width="88.28515625" style="564" customWidth="1"/>
    <col min="9987" max="10241" width="9.140625" style="564"/>
    <col min="10242" max="10242" width="88.28515625" style="564" customWidth="1"/>
    <col min="10243" max="10497" width="9.140625" style="564"/>
    <col min="10498" max="10498" width="88.28515625" style="564" customWidth="1"/>
    <col min="10499" max="10753" width="9.140625" style="564"/>
    <col min="10754" max="10754" width="88.28515625" style="564" customWidth="1"/>
    <col min="10755" max="11009" width="9.140625" style="564"/>
    <col min="11010" max="11010" width="88.28515625" style="564" customWidth="1"/>
    <col min="11011" max="11265" width="9.140625" style="564"/>
    <col min="11266" max="11266" width="88.28515625" style="564" customWidth="1"/>
    <col min="11267" max="11521" width="9.140625" style="564"/>
    <col min="11522" max="11522" width="88.28515625" style="564" customWidth="1"/>
    <col min="11523" max="11777" width="9.140625" style="564"/>
    <col min="11778" max="11778" width="88.28515625" style="564" customWidth="1"/>
    <col min="11779" max="12033" width="9.140625" style="564"/>
    <col min="12034" max="12034" width="88.28515625" style="564" customWidth="1"/>
    <col min="12035" max="12289" width="9.140625" style="564"/>
    <col min="12290" max="12290" width="88.28515625" style="564" customWidth="1"/>
    <col min="12291" max="12545" width="9.140625" style="564"/>
    <col min="12546" max="12546" width="88.28515625" style="564" customWidth="1"/>
    <col min="12547" max="12801" width="9.140625" style="564"/>
    <col min="12802" max="12802" width="88.28515625" style="564" customWidth="1"/>
    <col min="12803" max="13057" width="9.140625" style="564"/>
    <col min="13058" max="13058" width="88.28515625" style="564" customWidth="1"/>
    <col min="13059" max="13313" width="9.140625" style="564"/>
    <col min="13314" max="13314" width="88.28515625" style="564" customWidth="1"/>
    <col min="13315" max="13569" width="9.140625" style="564"/>
    <col min="13570" max="13570" width="88.28515625" style="564" customWidth="1"/>
    <col min="13571" max="13825" width="9.140625" style="564"/>
    <col min="13826" max="13826" width="88.28515625" style="564" customWidth="1"/>
    <col min="13827" max="14081" width="9.140625" style="564"/>
    <col min="14082" max="14082" width="88.28515625" style="564" customWidth="1"/>
    <col min="14083" max="14337" width="9.140625" style="564"/>
    <col min="14338" max="14338" width="88.28515625" style="564" customWidth="1"/>
    <col min="14339" max="14593" width="9.140625" style="564"/>
    <col min="14594" max="14594" width="88.28515625" style="564" customWidth="1"/>
    <col min="14595" max="14849" width="9.140625" style="564"/>
    <col min="14850" max="14850" width="88.28515625" style="564" customWidth="1"/>
    <col min="14851" max="15105" width="9.140625" style="564"/>
    <col min="15106" max="15106" width="88.28515625" style="564" customWidth="1"/>
    <col min="15107" max="15361" width="9.140625" style="564"/>
    <col min="15362" max="15362" width="88.28515625" style="564" customWidth="1"/>
    <col min="15363" max="15617" width="9.140625" style="564"/>
    <col min="15618" max="15618" width="88.28515625" style="564" customWidth="1"/>
    <col min="15619" max="15873" width="9.140625" style="564"/>
    <col min="15874" max="15874" width="88.28515625" style="564" customWidth="1"/>
    <col min="15875" max="16129" width="9.140625" style="564"/>
    <col min="16130" max="16130" width="88.28515625" style="564" customWidth="1"/>
    <col min="16131" max="16384" width="9.140625" style="564"/>
  </cols>
  <sheetData>
    <row r="1" spans="2:2" ht="32.25" customHeight="1" x14ac:dyDescent="0.2"/>
    <row r="2" spans="2:2" ht="72" x14ac:dyDescent="0.25">
      <c r="B2" s="675" t="s">
        <v>709</v>
      </c>
    </row>
    <row r="3" spans="2:2" ht="72" hidden="1" x14ac:dyDescent="0.25">
      <c r="B3" s="675" t="s">
        <v>710</v>
      </c>
    </row>
    <row r="4" spans="2:2" ht="18" x14ac:dyDescent="0.25">
      <c r="B4" s="675"/>
    </row>
    <row r="5" spans="2:2" ht="54" x14ac:dyDescent="0.25">
      <c r="B5" s="675" t="s">
        <v>711</v>
      </c>
    </row>
    <row r="6" spans="2:2" ht="7.5" customHeight="1" x14ac:dyDescent="0.25">
      <c r="B6" s="675"/>
    </row>
    <row r="7" spans="2:2" ht="18" x14ac:dyDescent="0.25">
      <c r="B7" s="676" t="s">
        <v>712</v>
      </c>
    </row>
    <row r="8" spans="2:2" ht="18" x14ac:dyDescent="0.25">
      <c r="B8" s="676" t="s">
        <v>714</v>
      </c>
    </row>
    <row r="9" spans="2:2" ht="18" x14ac:dyDescent="0.25">
      <c r="B9" s="676" t="s">
        <v>715</v>
      </c>
    </row>
    <row r="10" spans="2:2" ht="18" x14ac:dyDescent="0.25">
      <c r="B10" s="677"/>
    </row>
    <row r="11" spans="2:2" ht="54" x14ac:dyDescent="0.25">
      <c r="B11" s="678" t="s">
        <v>713</v>
      </c>
    </row>
  </sheetData>
  <dataConsolidate/>
  <pageMargins left="0.75" right="0.75" top="1" bottom="1" header="0.5" footer="0.5"/>
  <pageSetup orientation="portrait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609153" r:id="rId4" name="Button 1">
              <controlPr defaultSize="0" print="0" autoFill="0" autoPict="0" macro="[0]!ApplyCircRefs">
                <anchor moveWithCells="1" sizeWithCells="1">
                  <from>
                    <xdr:col>1</xdr:col>
                    <xdr:colOff>0</xdr:colOff>
                    <xdr:row>11</xdr:row>
                    <xdr:rowOff>152400</xdr:rowOff>
                  </from>
                  <to>
                    <xdr:col>1</xdr:col>
                    <xdr:colOff>2819400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609154" r:id="rId5" name="Button 2">
              <controlPr defaultSize="0" print="0" autoFill="0" autoPict="0" macro="[0]!JustUnhideSheets">
                <anchor moveWithCells="1" sizeWithCells="1">
                  <from>
                    <xdr:col>1</xdr:col>
                    <xdr:colOff>3067050</xdr:colOff>
                    <xdr:row>11</xdr:row>
                    <xdr:rowOff>152400</xdr:rowOff>
                  </from>
                  <to>
                    <xdr:col>2</xdr:col>
                    <xdr:colOff>0</xdr:colOff>
                    <xdr:row>14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J22"/>
  <sheetViews>
    <sheetView showGridLines="0" zoomScaleNormal="100" workbookViewId="0">
      <selection activeCell="I24" sqref="I24"/>
    </sheetView>
  </sheetViews>
  <sheetFormatPr defaultColWidth="9.140625" defaultRowHeight="12.75" x14ac:dyDescent="0.2"/>
  <cols>
    <col min="1" max="1" width="9.140625" style="7"/>
    <col min="2" max="2" width="3.140625" style="7" customWidth="1"/>
    <col min="3" max="3" width="15.42578125" style="7" customWidth="1"/>
    <col min="4" max="16384" width="9.140625" style="7"/>
  </cols>
  <sheetData>
    <row r="1" spans="1:2" x14ac:dyDescent="0.2">
      <c r="A1" s="12"/>
    </row>
    <row r="12" spans="1:2" ht="18" x14ac:dyDescent="0.25">
      <c r="B12" s="4" t="s">
        <v>66</v>
      </c>
    </row>
    <row r="17" spans="2:10" x14ac:dyDescent="0.2">
      <c r="B17" s="6" t="s">
        <v>29</v>
      </c>
    </row>
    <row r="18" spans="2:10" ht="5.25" customHeight="1" x14ac:dyDescent="0.2"/>
    <row r="19" spans="2:10" x14ac:dyDescent="0.2">
      <c r="B19" s="8" t="s">
        <v>5</v>
      </c>
      <c r="E19" s="6" t="s">
        <v>35</v>
      </c>
      <c r="F19" s="6"/>
      <c r="G19" s="11" t="s">
        <v>36</v>
      </c>
    </row>
    <row r="20" spans="2:10" x14ac:dyDescent="0.2">
      <c r="B20" s="9" t="s">
        <v>324</v>
      </c>
      <c r="C20" s="9"/>
      <c r="D20" s="5"/>
      <c r="E20" s="5" t="s">
        <v>262</v>
      </c>
      <c r="F20" s="5"/>
      <c r="G20" s="10" t="s">
        <v>263</v>
      </c>
    </row>
    <row r="21" spans="2:10" x14ac:dyDescent="0.2">
      <c r="B21" s="9" t="s">
        <v>321</v>
      </c>
      <c r="E21" s="5" t="s">
        <v>322</v>
      </c>
      <c r="G21" s="566" t="s">
        <v>323</v>
      </c>
    </row>
    <row r="22" spans="2:10" x14ac:dyDescent="0.2">
      <c r="B22" s="9" t="s">
        <v>328</v>
      </c>
      <c r="E22" s="5" t="s">
        <v>329</v>
      </c>
      <c r="F22" s="5"/>
      <c r="G22" s="566" t="s">
        <v>330</v>
      </c>
      <c r="H22" s="557"/>
      <c r="I22" s="557"/>
      <c r="J22" s="557"/>
    </row>
  </sheetData>
  <phoneticPr fontId="10" type="noConversion"/>
  <hyperlinks>
    <hyperlink ref="G21" r:id="rId1" display="brandon.hoffman@morganstanley.com"/>
    <hyperlink ref="G22" r:id="rId2"/>
  </hyperlinks>
  <pageMargins left="0.75" right="0.75" top="1" bottom="1" header="0.5" footer="0.5"/>
  <pageSetup orientation="landscape" r:id="rId3"/>
  <headerFooter alignWithMargins="0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DQ262"/>
  <sheetViews>
    <sheetView showGridLines="0" zoomScale="85" zoomScaleNormal="85" workbookViewId="0">
      <pane xSplit="3" ySplit="4" topLeftCell="AQ5" activePane="bottomRight" state="frozen"/>
      <selection activeCell="AQ46" sqref="AQ46"/>
      <selection pane="topRight" activeCell="AQ46" sqref="AQ46"/>
      <selection pane="bottomLeft" activeCell="AQ46" sqref="AQ46"/>
      <selection pane="bottomRight" activeCell="AQ5" sqref="AQ5"/>
    </sheetView>
  </sheetViews>
  <sheetFormatPr defaultColWidth="9.140625" defaultRowHeight="12.75" outlineLevelRow="1" outlineLevelCol="2" x14ac:dyDescent="0.2"/>
  <cols>
    <col min="1" max="1" width="3" style="303" customWidth="1"/>
    <col min="2" max="2" width="27" style="303" customWidth="1"/>
    <col min="3" max="3" width="13.140625" style="303" customWidth="1"/>
    <col min="4" max="7" width="10" style="303" hidden="1" customWidth="1" outlineLevel="1"/>
    <col min="8" max="8" width="12.85546875" style="303" hidden="1" customWidth="1" collapsed="1"/>
    <col min="9" max="12" width="12.85546875" style="303" hidden="1" customWidth="1" outlineLevel="1"/>
    <col min="13" max="13" width="12.85546875" style="303" hidden="1" customWidth="1" collapsed="1"/>
    <col min="14" max="17" width="12.85546875" style="303" hidden="1" customWidth="1" outlineLevel="1"/>
    <col min="18" max="18" width="12.85546875" style="303" hidden="1" customWidth="1" collapsed="1"/>
    <col min="19" max="22" width="12.85546875" style="303" hidden="1" customWidth="1" outlineLevel="1"/>
    <col min="23" max="23" width="12.85546875" style="303" hidden="1" customWidth="1" collapsed="1"/>
    <col min="24" max="27" width="12.85546875" style="303" hidden="1" customWidth="1" outlineLevel="1"/>
    <col min="28" max="28" width="12.85546875" style="303" hidden="1" customWidth="1" collapsed="1"/>
    <col min="29" max="32" width="12.85546875" style="303" hidden="1" customWidth="1" outlineLevel="1"/>
    <col min="33" max="33" width="12.85546875" style="303" hidden="1" customWidth="1" collapsed="1"/>
    <col min="34" max="37" width="12.85546875" style="303" hidden="1" customWidth="1" outlineLevel="1"/>
    <col min="38" max="38" width="9" style="303" hidden="1" customWidth="1" collapsed="1"/>
    <col min="39" max="42" width="9" style="303" hidden="1" customWidth="1" outlineLevel="1"/>
    <col min="43" max="43" width="9" style="303" customWidth="1" collapsed="1"/>
    <col min="44" max="47" width="9" style="303" hidden="1" customWidth="1" outlineLevel="1"/>
    <col min="48" max="48" width="9" style="303" customWidth="1" collapsed="1"/>
    <col min="49" max="52" width="9" style="303" hidden="1" customWidth="1" outlineLevel="1"/>
    <col min="53" max="53" width="9" style="303" customWidth="1" collapsed="1"/>
    <col min="54" max="57" width="9" style="303" hidden="1" customWidth="1" outlineLevel="1"/>
    <col min="58" max="58" width="9" style="303" customWidth="1" collapsed="1"/>
    <col min="59" max="62" width="9" style="303" hidden="1" customWidth="1" outlineLevel="1"/>
    <col min="63" max="63" width="9" style="303" customWidth="1" collapsed="1"/>
    <col min="64" max="67" width="9" style="303" hidden="1" customWidth="1" outlineLevel="1"/>
    <col min="68" max="68" width="9" style="303" customWidth="1" collapsed="1"/>
    <col min="69" max="72" width="10" style="303" customWidth="1" outlineLevel="1"/>
    <col min="73" max="73" width="10" style="303" customWidth="1"/>
    <col min="74" max="77" width="10" style="303" customWidth="1" outlineLevel="1"/>
    <col min="78" max="78" width="10" style="303" customWidth="1"/>
    <col min="79" max="82" width="10" style="303" hidden="1" customWidth="1" outlineLevel="2"/>
    <col min="83" max="83" width="10" style="303" customWidth="1" collapsed="1"/>
    <col min="84" max="87" width="10" style="303" hidden="1" customWidth="1" outlineLevel="1"/>
    <col min="88" max="88" width="10" style="303" hidden="1" customWidth="1" outlineLevel="1" collapsed="1"/>
    <col min="89" max="92" width="10" style="303" hidden="1" customWidth="1" outlineLevel="2"/>
    <col min="93" max="93" width="10" style="303" hidden="1" customWidth="1" outlineLevel="1" collapsed="1"/>
    <col min="94" max="97" width="10" style="303" hidden="1" customWidth="1" outlineLevel="2"/>
    <col min="98" max="98" width="10" style="303" hidden="1" customWidth="1" outlineLevel="1" collapsed="1"/>
    <col min="99" max="99" width="9.140625" style="303" customWidth="1" collapsed="1"/>
    <col min="100" max="100" width="9.140625" style="303" customWidth="1"/>
    <col min="101" max="106" width="9.140625" hidden="1" customWidth="1" outlineLevel="1"/>
    <col min="107" max="107" width="8.85546875" customWidth="1" collapsed="1"/>
    <col min="108" max="121" width="8.85546875" customWidth="1"/>
    <col min="122" max="16384" width="9.140625" style="303"/>
  </cols>
  <sheetData>
    <row r="1" spans="1:100" x14ac:dyDescent="0.2">
      <c r="A1" s="13" t="s">
        <v>65</v>
      </c>
      <c r="AW1"/>
      <c r="AX1"/>
      <c r="AY1"/>
      <c r="AZ1"/>
      <c r="BA1"/>
      <c r="BB1" s="560"/>
      <c r="BC1"/>
      <c r="BD1" s="23"/>
      <c r="BE1" s="23"/>
      <c r="BF1"/>
      <c r="BG1" s="314"/>
      <c r="BL1" s="314"/>
      <c r="BM1" s="314"/>
      <c r="BN1" s="314"/>
      <c r="BO1" s="558"/>
      <c r="CU1" s="13"/>
      <c r="CV1" s="13"/>
    </row>
    <row r="2" spans="1:100" x14ac:dyDescent="0.2">
      <c r="A2" s="313"/>
      <c r="AV2" s="292"/>
      <c r="BC2" s="423"/>
      <c r="BE2" s="560"/>
      <c r="BP2" s="558"/>
      <c r="CU2" s="313"/>
      <c r="CV2" s="313"/>
    </row>
    <row r="3" spans="1:100" ht="12.75" customHeight="1" x14ac:dyDescent="0.2">
      <c r="A3" s="50"/>
      <c r="AM3" s="315"/>
      <c r="AN3" s="315"/>
      <c r="AO3" s="315"/>
      <c r="AP3" s="315"/>
      <c r="AQ3" s="315"/>
      <c r="AR3" s="315"/>
      <c r="AS3" s="315"/>
      <c r="AT3" s="315"/>
      <c r="AU3" s="315"/>
      <c r="AW3" s="315"/>
      <c r="AX3" s="315"/>
      <c r="AY3" s="315"/>
      <c r="BB3" s="510"/>
      <c r="BC3" s="510"/>
      <c r="BD3" s="510"/>
      <c r="BE3" s="510"/>
      <c r="BK3" s="549"/>
      <c r="BL3" s="549"/>
      <c r="BM3" s="549"/>
      <c r="BN3" s="549"/>
      <c r="BO3" s="549"/>
      <c r="BP3" s="549"/>
      <c r="BQ3" s="626"/>
      <c r="BR3" s="626"/>
      <c r="BS3" s="626"/>
      <c r="BT3" s="626"/>
      <c r="BU3" s="626"/>
      <c r="BV3" s="626"/>
      <c r="BW3" s="626"/>
      <c r="BX3" s="626"/>
      <c r="BY3" s="626"/>
      <c r="BZ3" s="626"/>
      <c r="CJ3" s="550"/>
      <c r="CU3" s="316"/>
      <c r="CV3" s="316"/>
    </row>
    <row r="4" spans="1:100" ht="12.75" customHeight="1" x14ac:dyDescent="0.2">
      <c r="A4" s="317" t="s">
        <v>46</v>
      </c>
      <c r="B4" s="317"/>
      <c r="C4" s="53"/>
      <c r="D4" s="54">
        <v>38077</v>
      </c>
      <c r="E4" s="55">
        <f>+D4+90</f>
        <v>38167</v>
      </c>
      <c r="F4" s="55">
        <f>+E4+90</f>
        <v>38257</v>
      </c>
      <c r="G4" s="55">
        <f>+F4+90</f>
        <v>38347</v>
      </c>
      <c r="H4" s="56">
        <v>2004</v>
      </c>
      <c r="I4" s="54">
        <f>G4+90</f>
        <v>38437</v>
      </c>
      <c r="J4" s="55">
        <f>+I4+90</f>
        <v>38527</v>
      </c>
      <c r="K4" s="55">
        <f>+J4+95</f>
        <v>38622</v>
      </c>
      <c r="L4" s="55">
        <f>+K4+90</f>
        <v>38712</v>
      </c>
      <c r="M4" s="56">
        <f>+H4+1</f>
        <v>2005</v>
      </c>
      <c r="N4" s="54">
        <f>L4+90</f>
        <v>38802</v>
      </c>
      <c r="O4" s="55">
        <f>+N4+90</f>
        <v>38892</v>
      </c>
      <c r="P4" s="55">
        <f>+O4+95</f>
        <v>38987</v>
      </c>
      <c r="Q4" s="55">
        <f>+P4+90</f>
        <v>39077</v>
      </c>
      <c r="R4" s="56">
        <f>+M4+1</f>
        <v>2006</v>
      </c>
      <c r="S4" s="57">
        <f>Q4+80</f>
        <v>39157</v>
      </c>
      <c r="T4" s="58">
        <f>+S4+85</f>
        <v>39242</v>
      </c>
      <c r="U4" s="58">
        <f>+T4+90</f>
        <v>39332</v>
      </c>
      <c r="V4" s="58">
        <f>+U4+90</f>
        <v>39422</v>
      </c>
      <c r="W4" s="56">
        <f>+R4+1</f>
        <v>2007</v>
      </c>
      <c r="X4" s="57">
        <f>V4+95</f>
        <v>39517</v>
      </c>
      <c r="Y4" s="58">
        <f>+X4+90</f>
        <v>39607</v>
      </c>
      <c r="Z4" s="58">
        <f>+Y4+100</f>
        <v>39707</v>
      </c>
      <c r="AA4" s="58">
        <f>+Z4+90</f>
        <v>39797</v>
      </c>
      <c r="AB4" s="56">
        <f>+W4+1</f>
        <v>2008</v>
      </c>
      <c r="AC4" s="57">
        <f>AA4+90</f>
        <v>39887</v>
      </c>
      <c r="AD4" s="58">
        <f>+AC4+90</f>
        <v>39977</v>
      </c>
      <c r="AE4" s="58">
        <f>+AD4+100</f>
        <v>40077</v>
      </c>
      <c r="AF4" s="58">
        <f>+AE4+90</f>
        <v>40167</v>
      </c>
      <c r="AG4" s="56">
        <f>+AB4+1</f>
        <v>2009</v>
      </c>
      <c r="AH4" s="57">
        <v>40247</v>
      </c>
      <c r="AI4" s="58">
        <v>40339</v>
      </c>
      <c r="AJ4" s="55">
        <f>+AI4+90</f>
        <v>40429</v>
      </c>
      <c r="AK4" s="55">
        <v>40543</v>
      </c>
      <c r="AL4" s="56">
        <v>2010</v>
      </c>
      <c r="AM4" s="54">
        <v>40613</v>
      </c>
      <c r="AN4" s="55">
        <v>40705</v>
      </c>
      <c r="AO4" s="55">
        <v>40797</v>
      </c>
      <c r="AP4" s="55">
        <f>+AO4+90</f>
        <v>40887</v>
      </c>
      <c r="AQ4" s="56">
        <v>2011</v>
      </c>
      <c r="AR4" s="54">
        <v>40980</v>
      </c>
      <c r="AS4" s="58">
        <v>41072</v>
      </c>
      <c r="AT4" s="55">
        <v>41164</v>
      </c>
      <c r="AU4" s="55">
        <v>41274</v>
      </c>
      <c r="AV4" s="56">
        <v>2012</v>
      </c>
      <c r="AW4" s="54">
        <v>41346</v>
      </c>
      <c r="AX4" s="55">
        <v>41438</v>
      </c>
      <c r="AY4" s="55">
        <v>41530</v>
      </c>
      <c r="AZ4" s="55">
        <v>41621</v>
      </c>
      <c r="BA4" s="56">
        <v>2013</v>
      </c>
      <c r="BB4" s="54">
        <v>41712</v>
      </c>
      <c r="BC4" s="55">
        <v>41804</v>
      </c>
      <c r="BD4" s="55">
        <v>41896</v>
      </c>
      <c r="BE4" s="55">
        <v>41987</v>
      </c>
      <c r="BF4" s="56">
        <v>2014</v>
      </c>
      <c r="BG4" s="54">
        <v>42078</v>
      </c>
      <c r="BH4" s="55">
        <v>42170</v>
      </c>
      <c r="BI4" s="55">
        <v>42262</v>
      </c>
      <c r="BJ4" s="55">
        <v>42353</v>
      </c>
      <c r="BK4" s="56">
        <v>2015</v>
      </c>
      <c r="BL4" s="54">
        <v>42445</v>
      </c>
      <c r="BM4" s="55">
        <v>42537</v>
      </c>
      <c r="BN4" s="55">
        <v>42629</v>
      </c>
      <c r="BO4" s="55">
        <v>42720</v>
      </c>
      <c r="BP4" s="56">
        <v>2016</v>
      </c>
      <c r="BQ4" s="601">
        <v>42811</v>
      </c>
      <c r="BR4" s="55">
        <v>42903</v>
      </c>
      <c r="BS4" s="55">
        <v>42995</v>
      </c>
      <c r="BT4" s="55">
        <v>43086</v>
      </c>
      <c r="BU4" s="56">
        <v>2017</v>
      </c>
      <c r="BV4" s="54" t="s">
        <v>174</v>
      </c>
      <c r="BW4" s="55" t="s">
        <v>175</v>
      </c>
      <c r="BX4" s="55" t="s">
        <v>176</v>
      </c>
      <c r="BY4" s="55" t="s">
        <v>177</v>
      </c>
      <c r="BZ4" s="56" t="s">
        <v>178</v>
      </c>
      <c r="CA4" s="54" t="s">
        <v>179</v>
      </c>
      <c r="CB4" s="55" t="s">
        <v>180</v>
      </c>
      <c r="CC4" s="55" t="s">
        <v>181</v>
      </c>
      <c r="CD4" s="55" t="s">
        <v>182</v>
      </c>
      <c r="CE4" s="56" t="s">
        <v>183</v>
      </c>
      <c r="CF4" s="54" t="s">
        <v>221</v>
      </c>
      <c r="CG4" s="55" t="s">
        <v>222</v>
      </c>
      <c r="CH4" s="55" t="s">
        <v>223</v>
      </c>
      <c r="CI4" s="55" t="s">
        <v>224</v>
      </c>
      <c r="CJ4" s="56" t="s">
        <v>225</v>
      </c>
      <c r="CK4" s="54" t="s">
        <v>242</v>
      </c>
      <c r="CL4" s="55" t="s">
        <v>243</v>
      </c>
      <c r="CM4" s="55" t="s">
        <v>244</v>
      </c>
      <c r="CN4" s="55" t="s">
        <v>245</v>
      </c>
      <c r="CO4" s="56" t="s">
        <v>246</v>
      </c>
      <c r="CP4" s="54" t="s">
        <v>257</v>
      </c>
      <c r="CQ4" s="55" t="s">
        <v>258</v>
      </c>
      <c r="CR4" s="55" t="s">
        <v>259</v>
      </c>
      <c r="CS4" s="55" t="s">
        <v>260</v>
      </c>
      <c r="CT4" s="56" t="s">
        <v>261</v>
      </c>
      <c r="CU4" s="59"/>
      <c r="CV4" s="59"/>
    </row>
    <row r="5" spans="1:100" ht="12.75" customHeight="1" x14ac:dyDescent="0.2">
      <c r="A5" s="59" t="s">
        <v>47</v>
      </c>
      <c r="B5" s="59"/>
      <c r="C5" s="59"/>
      <c r="D5" s="60">
        <v>6131</v>
      </c>
      <c r="E5" s="60">
        <v>7070</v>
      </c>
      <c r="F5" s="60">
        <v>7257</v>
      </c>
      <c r="G5" s="60">
        <v>8803</v>
      </c>
      <c r="H5" s="51">
        <v>29261</v>
      </c>
      <c r="I5" s="60">
        <v>6585</v>
      </c>
      <c r="J5" s="60">
        <v>7697</v>
      </c>
      <c r="K5" s="60">
        <v>8184</v>
      </c>
      <c r="L5" s="60">
        <v>9678</v>
      </c>
      <c r="M5" s="51">
        <v>32144</v>
      </c>
      <c r="N5" s="60">
        <v>6719</v>
      </c>
      <c r="O5" s="60">
        <v>8714</v>
      </c>
      <c r="P5" s="60">
        <v>9134</v>
      </c>
      <c r="Q5" s="60">
        <v>10570</v>
      </c>
      <c r="R5" s="51">
        <v>35137</v>
      </c>
      <c r="S5" s="61">
        <f>+Segments!J6</f>
        <v>7350</v>
      </c>
      <c r="T5" s="61">
        <f>+Segments!K6</f>
        <v>9607</v>
      </c>
      <c r="U5" s="61">
        <f>+Segments!L6</f>
        <v>10171</v>
      </c>
      <c r="V5" s="61">
        <f>+Segments!M6</f>
        <v>12346</v>
      </c>
      <c r="W5" s="51">
        <f>+Segments!N6</f>
        <v>39474</v>
      </c>
      <c r="X5" s="61">
        <f>+Segments!O6</f>
        <v>8333</v>
      </c>
      <c r="Y5" s="61">
        <f>+Segments!P6</f>
        <v>10945</v>
      </c>
      <c r="Z5" s="61">
        <f>+Segments!Q6</f>
        <v>11244</v>
      </c>
      <c r="AA5" s="61">
        <f>+Segments!R6</f>
        <v>12729</v>
      </c>
      <c r="AB5" s="51">
        <f>+Segments!S6</f>
        <v>43251</v>
      </c>
      <c r="AC5" s="61">
        <f>+Segments!T6</f>
        <v>8263</v>
      </c>
      <c r="AD5" s="61">
        <f>+Segments!U6</f>
        <v>10592</v>
      </c>
      <c r="AE5" s="61">
        <f>+Segments!V6</f>
        <v>11080</v>
      </c>
      <c r="AF5" s="61">
        <f>+Segments!W6</f>
        <v>13297</v>
      </c>
      <c r="AG5" s="51">
        <f>+Segments!X6</f>
        <v>43232</v>
      </c>
      <c r="AH5" s="61">
        <f>+Segments!Y6</f>
        <v>9368</v>
      </c>
      <c r="AI5" s="61">
        <f>+Segments!Z6</f>
        <v>14801</v>
      </c>
      <c r="AJ5" s="60">
        <f>+Segments!AA6</f>
        <v>15514</v>
      </c>
      <c r="AK5" s="60">
        <v>18155</v>
      </c>
      <c r="AL5" s="51">
        <f>+AH5+AI5+AJ5+AK5</f>
        <v>57838</v>
      </c>
      <c r="AM5" s="60">
        <v>11937</v>
      </c>
      <c r="AN5" s="60">
        <v>16827</v>
      </c>
      <c r="AO5" s="62">
        <v>17582</v>
      </c>
      <c r="AP5" s="60">
        <v>19535</v>
      </c>
      <c r="AQ5" s="51">
        <f>+AM5+AN5+AO5+AP5</f>
        <v>65881</v>
      </c>
      <c r="AR5" s="62">
        <v>12428</v>
      </c>
      <c r="AS5" s="61">
        <v>16458</v>
      </c>
      <c r="AT5" s="62">
        <v>16652</v>
      </c>
      <c r="AU5" s="60">
        <v>19954</v>
      </c>
      <c r="AV5" s="51">
        <f>+AR5+AS5+AT5+AU5</f>
        <v>65492</v>
      </c>
      <c r="AW5" s="61">
        <v>12581</v>
      </c>
      <c r="AX5" s="61">
        <v>16807</v>
      </c>
      <c r="AY5" s="60">
        <v>16909</v>
      </c>
      <c r="AZ5" s="60">
        <v>20118</v>
      </c>
      <c r="BA5" s="51">
        <f>+AW5+AX5+AY5+AZ5</f>
        <v>66415</v>
      </c>
      <c r="BB5" s="60">
        <f>+Segments!AS6</f>
        <v>12623</v>
      </c>
      <c r="BC5" s="60">
        <f>+Segments!AT6</f>
        <v>16894</v>
      </c>
      <c r="BD5" s="60">
        <f>+Segments!AU6</f>
        <v>17218</v>
      </c>
      <c r="BE5" s="60">
        <f>+Segments!AV6</f>
        <v>19948</v>
      </c>
      <c r="BF5" s="51">
        <f>+BB5+BC5+BD5+BE5</f>
        <v>66683</v>
      </c>
      <c r="BG5" s="60">
        <f>+Segments!AX6</f>
        <v>12217</v>
      </c>
      <c r="BH5" s="60">
        <f>+Segments!AY6</f>
        <v>15923</v>
      </c>
      <c r="BI5" s="60">
        <f>+Segments!AZ6</f>
        <v>16331</v>
      </c>
      <c r="BJ5" s="60">
        <f>+Segments!BA6</f>
        <v>18585</v>
      </c>
      <c r="BK5" s="51">
        <f>+BG5+BH5+BI5+BJ5</f>
        <v>63056</v>
      </c>
      <c r="BL5" s="60">
        <f>+Segments!BC6</f>
        <v>11862</v>
      </c>
      <c r="BM5" s="60">
        <f>+Segments!BD6</f>
        <v>15395</v>
      </c>
      <c r="BN5" s="60">
        <f>+Segments!BE6</f>
        <v>16027</v>
      </c>
      <c r="BO5" s="60">
        <f>+Segments!BF6</f>
        <v>19515</v>
      </c>
      <c r="BP5" s="51">
        <f>+BL5+BM5+BN5+BO5</f>
        <v>62799</v>
      </c>
      <c r="BQ5" s="587">
        <f>+Segments!BH6</f>
        <v>12049</v>
      </c>
      <c r="BR5" s="60">
        <f>+Segments!BI6</f>
        <v>15710</v>
      </c>
      <c r="BS5" s="60">
        <f>+Segments!BJ6</f>
        <v>16240</v>
      </c>
      <c r="BT5" s="60">
        <f>+Segments!BK6</f>
        <v>19526</v>
      </c>
      <c r="BU5" s="51">
        <f>+BQ5+BR5+BS5+BT5</f>
        <v>63525</v>
      </c>
      <c r="BV5" s="60">
        <f>+Segments!BM6</f>
        <v>12499.640607370404</v>
      </c>
      <c r="BW5" s="60">
        <f>+Segments!BN6</f>
        <v>16260.326449841918</v>
      </c>
      <c r="BX5" s="60">
        <f>+Segments!BO6</f>
        <v>16820.435015380965</v>
      </c>
      <c r="BY5" s="60">
        <f>+Segments!BP6</f>
        <v>20271.001662037925</v>
      </c>
      <c r="BZ5" s="51">
        <f>+BV5+BW5+BX5+BY5</f>
        <v>65851.403734631211</v>
      </c>
      <c r="CA5" s="60">
        <f>+Segments!BR6</f>
        <v>12862.039073265883</v>
      </c>
      <c r="CB5" s="60">
        <f>+Segments!BS6</f>
        <v>16763.944789429159</v>
      </c>
      <c r="CC5" s="60">
        <f>+Segments!BT6</f>
        <v>17328.039149069722</v>
      </c>
      <c r="CD5" s="60">
        <f>+Segments!BU6</f>
        <v>20905.767839802389</v>
      </c>
      <c r="CE5" s="51">
        <f>+CA5+CB5+CC5+CD5</f>
        <v>67859.790851567159</v>
      </c>
      <c r="CF5" s="60">
        <f>+Segments!BW6</f>
        <v>13230.267124586364</v>
      </c>
      <c r="CG5" s="60">
        <f>+Segments!BX6</f>
        <v>17269.252964810548</v>
      </c>
      <c r="CH5" s="60">
        <f>+Segments!BY6</f>
        <v>17838.858708797405</v>
      </c>
      <c r="CI5" s="60">
        <f>+Segments!BZ6</f>
        <v>21545.038721982091</v>
      </c>
      <c r="CJ5" s="51">
        <f>+CF5+CG5+CH5+CI5</f>
        <v>69883.417520176416</v>
      </c>
      <c r="CK5" s="60">
        <f>+Segments!CB6</f>
        <v>13612.086578576782</v>
      </c>
      <c r="CL5" s="60">
        <f>+Segments!CC6</f>
        <v>17794.271655825458</v>
      </c>
      <c r="CM5" s="60">
        <f>+Segments!CD6</f>
        <v>18369.714407733911</v>
      </c>
      <c r="CN5" s="60">
        <f>+Segments!CE6</f>
        <v>22209.340056409041</v>
      </c>
      <c r="CO5" s="51">
        <f>+CK5+CL5+CM5+CN5</f>
        <v>71985.412698545188</v>
      </c>
      <c r="CP5" s="60">
        <f>+Segments!CG6</f>
        <v>14008.05719446152</v>
      </c>
      <c r="CQ5" s="60">
        <f>+Segments!CH6</f>
        <v>18339.840701425015</v>
      </c>
      <c r="CR5" s="60">
        <f>+Segments!CI6</f>
        <v>18921.451228950114</v>
      </c>
      <c r="CS5" s="60">
        <f>+Segments!CJ6</f>
        <v>22899.736164087662</v>
      </c>
      <c r="CT5" s="51">
        <f>+CP5+CQ5+CR5+CS5</f>
        <v>74169.085288924311</v>
      </c>
      <c r="CU5" s="59"/>
      <c r="CV5" s="59"/>
    </row>
    <row r="6" spans="1:100" ht="12.75" customHeight="1" x14ac:dyDescent="0.2">
      <c r="A6" s="313"/>
      <c r="B6" s="313" t="s">
        <v>48</v>
      </c>
      <c r="C6" s="313"/>
      <c r="D6" s="320"/>
      <c r="E6" s="320"/>
      <c r="F6" s="320"/>
      <c r="G6" s="320"/>
      <c r="H6" s="321">
        <f>+H5/26969-1</f>
        <v>8.4986465942378242E-2</v>
      </c>
      <c r="I6" s="320">
        <f t="shared" ref="I6:AG6" si="0">+I5/D5-1</f>
        <v>7.4049910291958954E-2</v>
      </c>
      <c r="J6" s="320">
        <f t="shared" si="0"/>
        <v>8.8684582743988605E-2</v>
      </c>
      <c r="K6" s="320">
        <f t="shared" si="0"/>
        <v>0.12773873501446875</v>
      </c>
      <c r="L6" s="320">
        <f t="shared" si="0"/>
        <v>9.9397932523003441E-2</v>
      </c>
      <c r="M6" s="321">
        <f t="shared" si="0"/>
        <v>9.8527049656539356E-2</v>
      </c>
      <c r="N6" s="320">
        <f>+N5/I5-1</f>
        <v>2.0349278663629455E-2</v>
      </c>
      <c r="O6" s="320">
        <f t="shared" si="0"/>
        <v>0.1321294010653502</v>
      </c>
      <c r="P6" s="320">
        <f t="shared" si="0"/>
        <v>0.11608015640273694</v>
      </c>
      <c r="Q6" s="320">
        <f t="shared" si="0"/>
        <v>9.2167803265137405E-2</v>
      </c>
      <c r="R6" s="321">
        <f t="shared" si="0"/>
        <v>9.3112244897959107E-2</v>
      </c>
      <c r="S6" s="322">
        <f t="shared" si="0"/>
        <v>9.3912784640571623E-2</v>
      </c>
      <c r="T6" s="322">
        <f t="shared" si="0"/>
        <v>0.10247876979573101</v>
      </c>
      <c r="U6" s="322">
        <f t="shared" si="0"/>
        <v>0.11353185898839491</v>
      </c>
      <c r="V6" s="322">
        <f t="shared" si="0"/>
        <v>0.16802270577105016</v>
      </c>
      <c r="W6" s="321">
        <f t="shared" si="0"/>
        <v>0.12343114096251817</v>
      </c>
      <c r="X6" s="322">
        <f t="shared" si="0"/>
        <v>0.13374149659863943</v>
      </c>
      <c r="Y6" s="322">
        <f t="shared" si="0"/>
        <v>0.13927344644530026</v>
      </c>
      <c r="Z6" s="322">
        <f t="shared" si="0"/>
        <v>0.1054960180906499</v>
      </c>
      <c r="AA6" s="322">
        <f t="shared" si="0"/>
        <v>3.1022193422971078E-2</v>
      </c>
      <c r="AB6" s="321">
        <f t="shared" si="0"/>
        <v>9.568323453412364E-2</v>
      </c>
      <c r="AC6" s="322">
        <f t="shared" si="0"/>
        <v>-8.4003360134405902E-3</v>
      </c>
      <c r="AD6" s="322">
        <f t="shared" si="0"/>
        <v>-3.2252169940612196E-2</v>
      </c>
      <c r="AE6" s="322">
        <f t="shared" si="0"/>
        <v>-1.4585556741373185E-2</v>
      </c>
      <c r="AF6" s="322">
        <f t="shared" si="0"/>
        <v>4.462251551575136E-2</v>
      </c>
      <c r="AG6" s="321">
        <f t="shared" si="0"/>
        <v>-4.3929620124394386E-4</v>
      </c>
      <c r="AH6" s="322">
        <f t="shared" ref="AH6:BU6" si="1">+AH5/AC5-1</f>
        <v>0.13372866997458543</v>
      </c>
      <c r="AI6" s="322">
        <f t="shared" si="1"/>
        <v>0.3973753776435045</v>
      </c>
      <c r="AJ6" s="320">
        <f t="shared" si="1"/>
        <v>0.40018050541516237</v>
      </c>
      <c r="AK6" s="320">
        <f t="shared" si="1"/>
        <v>0.36534556666917339</v>
      </c>
      <c r="AL6" s="321">
        <f t="shared" si="1"/>
        <v>0.33785159141376764</v>
      </c>
      <c r="AM6" s="320">
        <f t="shared" si="1"/>
        <v>0.27423142613151152</v>
      </c>
      <c r="AN6" s="320">
        <f t="shared" si="1"/>
        <v>0.13688264306465769</v>
      </c>
      <c r="AO6" s="323">
        <f t="shared" si="1"/>
        <v>0.13329895578187445</v>
      </c>
      <c r="AP6" s="320">
        <f t="shared" si="1"/>
        <v>7.6012117873863971E-2</v>
      </c>
      <c r="AQ6" s="321">
        <f t="shared" si="1"/>
        <v>0.13906082506310735</v>
      </c>
      <c r="AR6" s="320">
        <f t="shared" si="1"/>
        <v>4.113261288430925E-2</v>
      </c>
      <c r="AS6" s="322">
        <f t="shared" si="1"/>
        <v>-2.1929042610090876E-2</v>
      </c>
      <c r="AT6" s="323">
        <f t="shared" si="1"/>
        <v>-5.2895006256398536E-2</v>
      </c>
      <c r="AU6" s="320">
        <f t="shared" si="1"/>
        <v>2.1448681853084128E-2</v>
      </c>
      <c r="AV6" s="321">
        <f t="shared" si="1"/>
        <v>-5.9045855405959191E-3</v>
      </c>
      <c r="AW6" s="320">
        <f t="shared" si="1"/>
        <v>1.231091084647562E-2</v>
      </c>
      <c r="AX6" s="320">
        <f t="shared" si="1"/>
        <v>2.120549276947381E-2</v>
      </c>
      <c r="AY6" s="320">
        <f t="shared" si="1"/>
        <v>1.5433581551765663E-2</v>
      </c>
      <c r="AZ6" s="320">
        <f>+AZ5/AU5-1</f>
        <v>8.2189034779993619E-3</v>
      </c>
      <c r="BA6" s="321">
        <f t="shared" si="1"/>
        <v>1.4093324375496152E-2</v>
      </c>
      <c r="BB6" s="320">
        <f>+BB5/AW5-1</f>
        <v>3.338367379381646E-3</v>
      </c>
      <c r="BC6" s="320">
        <f t="shared" si="1"/>
        <v>5.176414589159295E-3</v>
      </c>
      <c r="BD6" s="320">
        <f t="shared" si="1"/>
        <v>1.8274291797267805E-2</v>
      </c>
      <c r="BE6" s="320">
        <f>+BE5/AZ5-1</f>
        <v>-8.4501441495178353E-3</v>
      </c>
      <c r="BF6" s="321">
        <f>+BF5/BA5-1</f>
        <v>4.0352330045922979E-3</v>
      </c>
      <c r="BG6" s="320">
        <f t="shared" si="1"/>
        <v>-3.21635110512557E-2</v>
      </c>
      <c r="BH6" s="320">
        <f t="shared" si="1"/>
        <v>-5.7476026991831408E-2</v>
      </c>
      <c r="BI6" s="320">
        <f t="shared" si="1"/>
        <v>-5.1515855500058105E-2</v>
      </c>
      <c r="BJ6" s="320">
        <f t="shared" si="1"/>
        <v>-6.8327651894926844E-2</v>
      </c>
      <c r="BK6" s="321">
        <f>+BK5/BF5-1</f>
        <v>-5.4391674039860227E-2</v>
      </c>
      <c r="BL6" s="320">
        <f t="shared" si="1"/>
        <v>-2.9057870180895451E-2</v>
      </c>
      <c r="BM6" s="320">
        <f t="shared" si="1"/>
        <v>-3.3159580481065154E-2</v>
      </c>
      <c r="BN6" s="320">
        <f t="shared" si="1"/>
        <v>-1.8614904169983459E-2</v>
      </c>
      <c r="BO6" s="320">
        <f t="shared" si="1"/>
        <v>5.0040355125100966E-2</v>
      </c>
      <c r="BP6" s="321">
        <f t="shared" si="1"/>
        <v>-4.0757421974118024E-3</v>
      </c>
      <c r="BQ6" s="580">
        <f t="shared" si="1"/>
        <v>1.5764626538526283E-2</v>
      </c>
      <c r="BR6" s="320">
        <f t="shared" si="1"/>
        <v>2.046118869762914E-2</v>
      </c>
      <c r="BS6" s="320">
        <f t="shared" si="1"/>
        <v>1.329007300180951E-2</v>
      </c>
      <c r="BT6" s="320">
        <f t="shared" si="1"/>
        <v>5.6366897258519622E-4</v>
      </c>
      <c r="BU6" s="321">
        <f t="shared" si="1"/>
        <v>1.1560693641618602E-2</v>
      </c>
      <c r="BV6" s="320">
        <f t="shared" ref="BV6:CE6" si="2">+BV5/BQ5-1</f>
        <v>3.7400664567217579E-2</v>
      </c>
      <c r="BW6" s="320">
        <f t="shared" si="2"/>
        <v>3.5030327806614636E-2</v>
      </c>
      <c r="BX6" s="320">
        <f t="shared" si="2"/>
        <v>3.5741072375675254E-2</v>
      </c>
      <c r="BY6" s="320">
        <f t="shared" si="2"/>
        <v>3.8154340983197921E-2</v>
      </c>
      <c r="BZ6" s="321">
        <f t="shared" si="2"/>
        <v>3.6621861229928498E-2</v>
      </c>
      <c r="CA6" s="320">
        <f t="shared" si="2"/>
        <v>2.8992710852965731E-2</v>
      </c>
      <c r="CB6" s="320">
        <f t="shared" si="2"/>
        <v>3.0972215787963941E-2</v>
      </c>
      <c r="CC6" s="320">
        <f t="shared" si="2"/>
        <v>3.0177824368073258E-2</v>
      </c>
      <c r="CD6" s="320">
        <f t="shared" si="2"/>
        <v>3.1314001564767713E-2</v>
      </c>
      <c r="CE6" s="321">
        <f t="shared" si="2"/>
        <v>3.0498774559603481E-2</v>
      </c>
      <c r="CF6" s="320">
        <f t="shared" ref="CF6:CO6" si="3">+CF5/CA5-1</f>
        <v>2.8629057120954648E-2</v>
      </c>
      <c r="CG6" s="320">
        <f t="shared" si="3"/>
        <v>3.0142557836388306E-2</v>
      </c>
      <c r="CH6" s="320">
        <f t="shared" si="3"/>
        <v>2.9479363206257991E-2</v>
      </c>
      <c r="CI6" s="320">
        <f t="shared" si="3"/>
        <v>3.057868465192648E-2</v>
      </c>
      <c r="CJ6" s="321">
        <f t="shared" si="3"/>
        <v>2.9820702999743043E-2</v>
      </c>
      <c r="CK6" s="320">
        <f t="shared" si="3"/>
        <v>2.8859542320265552E-2</v>
      </c>
      <c r="CL6" s="320">
        <f t="shared" si="3"/>
        <v>3.0401934124465901E-2</v>
      </c>
      <c r="CM6" s="320">
        <f t="shared" si="3"/>
        <v>2.9758389121312456E-2</v>
      </c>
      <c r="CN6" s="320">
        <f t="shared" si="3"/>
        <v>3.0833146461193062E-2</v>
      </c>
      <c r="CO6" s="321">
        <f t="shared" si="3"/>
        <v>3.0078597369138205E-2</v>
      </c>
      <c r="CP6" s="320">
        <f>+CP5/CK5-1</f>
        <v>2.9089633951339344E-2</v>
      </c>
      <c r="CQ6" s="320">
        <f>+CQ5/CL5-1</f>
        <v>3.0659813233825162E-2</v>
      </c>
      <c r="CR6" s="320">
        <f>+CR5/CM5-1</f>
        <v>3.0035133316167029E-2</v>
      </c>
      <c r="CS6" s="320">
        <f>+CS5/CN5-1</f>
        <v>3.1085845231110021E-2</v>
      </c>
      <c r="CT6" s="321">
        <f>+CT5/CO5-1</f>
        <v>3.0334931877431082E-2</v>
      </c>
      <c r="CU6" s="313"/>
      <c r="CV6" s="313"/>
    </row>
    <row r="7" spans="1:100" ht="12.75" customHeight="1" x14ac:dyDescent="0.2">
      <c r="A7" s="325"/>
      <c r="B7" s="325" t="s">
        <v>229</v>
      </c>
      <c r="C7" s="325"/>
      <c r="D7" s="326"/>
      <c r="E7" s="326"/>
      <c r="F7" s="326"/>
      <c r="G7" s="326"/>
      <c r="H7" s="327">
        <f>+H6-2%</f>
        <v>6.4986465942378238E-2</v>
      </c>
      <c r="I7" s="328">
        <f>I6*$M$7/$M$6</f>
        <v>6.6534216830103202E-2</v>
      </c>
      <c r="J7" s="328">
        <f>J6*$M$7/$M$6</f>
        <v>7.9683543633090742E-2</v>
      </c>
      <c r="K7" s="328">
        <f>K6*$M$7/$M$6</f>
        <v>0.114773895870319</v>
      </c>
      <c r="L7" s="328">
        <f>L6*$M$7/$M$6</f>
        <v>8.9309542292148075E-2</v>
      </c>
      <c r="M7" s="327">
        <f>+M6-1%</f>
        <v>8.8527049656539361E-2</v>
      </c>
      <c r="N7" s="328">
        <v>0.09</v>
      </c>
      <c r="O7" s="328">
        <v>0.12</v>
      </c>
      <c r="P7" s="328">
        <v>0.09</v>
      </c>
      <c r="Q7" s="328">
        <v>7.0000000000000007E-2</v>
      </c>
      <c r="R7" s="327">
        <f>+Segments!I7</f>
        <v>7.9527049656539367E-2</v>
      </c>
      <c r="S7" s="328">
        <f>+Segments!J7</f>
        <v>5.3136800695466752E-2</v>
      </c>
      <c r="T7" s="328">
        <f>+Segments!K7</f>
        <v>6.1693371316572931E-2</v>
      </c>
      <c r="U7" s="328">
        <f>+Segments!L7</f>
        <v>7.1627431404462233E-2</v>
      </c>
      <c r="V7" s="328">
        <f>+Segments!M7</f>
        <v>0.11751655629139074</v>
      </c>
      <c r="W7" s="327">
        <f>+Segments!N7</f>
        <v>7.0897913879955587E-2</v>
      </c>
      <c r="X7" s="328">
        <f>+Segments!O7</f>
        <v>6.9219047619047624E-2</v>
      </c>
      <c r="Y7" s="328">
        <f>+Segments!P7</f>
        <v>6.8355365879046531E-2</v>
      </c>
      <c r="Z7" s="328">
        <f>+Segments!Q7</f>
        <v>6.2860584013371343E-2</v>
      </c>
      <c r="AA7" s="328">
        <f>+Segments!R7</f>
        <v>6.29677628381662E-2</v>
      </c>
      <c r="AB7" s="327">
        <f>+Segments!S7</f>
        <v>6.5444089780615097E-2</v>
      </c>
      <c r="AC7" s="328">
        <f>+Segments!T7</f>
        <v>4.2269890795631822E-2</v>
      </c>
      <c r="AD7" s="328">
        <f>+Segments!U7</f>
        <v>3.69835541343079E-2</v>
      </c>
      <c r="AE7" s="328">
        <f>+Segments!V7</f>
        <v>3.1727143365350416E-2</v>
      </c>
      <c r="AF7" s="328">
        <f>+Segments!W7</f>
        <v>2.6610888522271975E-2</v>
      </c>
      <c r="AG7" s="327">
        <f>+Segments!X7</f>
        <v>3.6070379875609813E-2</v>
      </c>
      <c r="AH7" s="328">
        <f>+Segments!Y7</f>
        <v>1.4373714147404126E-2</v>
      </c>
      <c r="AI7" s="328">
        <f>+Segments!Z7</f>
        <v>3.0356268882175297E-2</v>
      </c>
      <c r="AJ7" s="326">
        <f>+Segments!AA7</f>
        <v>4.6451010830324879E-2</v>
      </c>
      <c r="AK7" s="328">
        <f>+Segments!AB7</f>
        <v>4.2536000601639423E-2</v>
      </c>
      <c r="AL7" s="327">
        <f>+Segments!AC7</f>
        <v>3.294926999386133E-2</v>
      </c>
      <c r="AM7" s="326">
        <f>+Segments!AD7</f>
        <v>0.04</v>
      </c>
      <c r="AN7" s="326">
        <f>+Segments!AE7</f>
        <v>5.1187757583946933E-2</v>
      </c>
      <c r="AO7" s="329">
        <f>+Segments!AF7</f>
        <v>5.5E-2</v>
      </c>
      <c r="AP7" s="326">
        <f>+Segments!AG7</f>
        <v>4.9883778573395793E-2</v>
      </c>
      <c r="AQ7" s="327">
        <f ca="1">+Segments!AH7</f>
        <v>4.7099194301324476E-2</v>
      </c>
      <c r="AR7" s="326">
        <f>+Segments!AI7</f>
        <v>4.3419619669933782E-2</v>
      </c>
      <c r="AS7" s="328">
        <f>+Segments!AJ7</f>
        <v>0.05</v>
      </c>
      <c r="AT7" s="329">
        <v>0.05</v>
      </c>
      <c r="AU7" s="326">
        <f>+Segments!AL7</f>
        <v>0.05</v>
      </c>
      <c r="AV7" s="327">
        <f>+Segments!AM7</f>
        <v>0.05</v>
      </c>
      <c r="AW7" s="326">
        <f>+Segments!AN7</f>
        <v>4.3999999999999997E-2</v>
      </c>
      <c r="AX7" s="326">
        <f>+Segments!AO7</f>
        <v>4.2000000000000003E-2</v>
      </c>
      <c r="AY7" s="326">
        <f>+Segments!AP7</f>
        <v>3.3000000000000002E-2</v>
      </c>
      <c r="AZ7" s="326">
        <f>+Segments!AQ7</f>
        <v>4.1000000000000002E-2</v>
      </c>
      <c r="BA7" s="327">
        <f>+Segments!AR7</f>
        <v>0.04</v>
      </c>
      <c r="BB7" s="326">
        <f>+Segments!AS7</f>
        <v>0.04</v>
      </c>
      <c r="BC7" s="326">
        <f>+Segments!AT7</f>
        <v>3.5999999999999997E-2</v>
      </c>
      <c r="BD7" s="326">
        <f>+Segments!AU7</f>
        <v>3.1E-2</v>
      </c>
      <c r="BE7" s="326">
        <f>+Segments!AV7</f>
        <v>0.05</v>
      </c>
      <c r="BF7" s="327">
        <f>+Segments!AW7</f>
        <v>0.04</v>
      </c>
      <c r="BG7" s="326">
        <f>+Segments!AX7</f>
        <v>4.3999999999999997E-2</v>
      </c>
      <c r="BH7" s="326">
        <f>+Segments!AY7</f>
        <v>5.0999999999999997E-2</v>
      </c>
      <c r="BI7" s="326">
        <f>+Segments!AZ7</f>
        <v>7.3999999999999996E-2</v>
      </c>
      <c r="BJ7" s="326">
        <f>+Segments!BA7</f>
        <v>0.04</v>
      </c>
      <c r="BK7" s="327">
        <f>+Segments!BB7</f>
        <v>0.05</v>
      </c>
      <c r="BL7" s="326">
        <f>+Segments!BC7</f>
        <v>3.5000000000000003E-2</v>
      </c>
      <c r="BM7" s="326">
        <f>+Segments!BD7</f>
        <v>3.3000000000000002E-2</v>
      </c>
      <c r="BN7" s="326">
        <f>+Segments!BE7</f>
        <v>4.2000000000000003E-2</v>
      </c>
      <c r="BO7" s="326">
        <f>+Segments!BF7</f>
        <v>3.6999999999999998E-2</v>
      </c>
      <c r="BP7" s="327">
        <f>+Segments!BG7</f>
        <v>3.6999999999999998E-2</v>
      </c>
      <c r="BQ7" s="588">
        <f>+Segments!BH7</f>
        <v>2.1000000000000001E-2</v>
      </c>
      <c r="BR7" s="326">
        <f>+Segments!BI7</f>
        <v>3.1E-2</v>
      </c>
      <c r="BS7" s="326">
        <f>+Segments!BJ7</f>
        <v>1.7000000000000001E-2</v>
      </c>
      <c r="BT7" s="326">
        <f>+Segments!BK7</f>
        <v>2.3E-2</v>
      </c>
      <c r="BU7" s="327">
        <f>+Segments!BL7</f>
        <v>2.3E-2</v>
      </c>
      <c r="BV7" s="326">
        <f>+Segments!BM7</f>
        <v>1.9764533173890101E-2</v>
      </c>
      <c r="BW7" s="326">
        <f>+Segments!BN7</f>
        <v>2.1306204195067353E-2</v>
      </c>
      <c r="BX7" s="326">
        <f>+Segments!BO7</f>
        <v>3.2808856607126319E-2</v>
      </c>
      <c r="BY7" s="326">
        <f>+Segments!BP7</f>
        <v>3.0822082506599836E-2</v>
      </c>
      <c r="BZ7" s="327">
        <f>+Segments!BQ7</f>
        <v>2.6879356827080807E-2</v>
      </c>
      <c r="CA7" s="326">
        <f>+Segments!BR7</f>
        <v>2.9228850021822406E-2</v>
      </c>
      <c r="CB7" s="326">
        <f>+Segments!BS7</f>
        <v>3.0972215787963941E-2</v>
      </c>
      <c r="CC7" s="326">
        <f>+Segments!BT7</f>
        <v>3.0177824368073258E-2</v>
      </c>
      <c r="CD7" s="326">
        <f>+Segments!BU7</f>
        <v>3.1314001564767713E-2</v>
      </c>
      <c r="CE7" s="327">
        <f>+Segments!BV7</f>
        <v>3.0543597518213842E-2</v>
      </c>
      <c r="CF7" s="326">
        <f>+Segments!BW7</f>
        <v>2.8629057120954648E-2</v>
      </c>
      <c r="CG7" s="326">
        <f>+Segments!BX7</f>
        <v>3.0142557836388306E-2</v>
      </c>
      <c r="CH7" s="326">
        <f>+Segments!BY7</f>
        <v>2.9479363206257991E-2</v>
      </c>
      <c r="CI7" s="326">
        <f>+Segments!BZ7</f>
        <v>3.057868465192648E-2</v>
      </c>
      <c r="CJ7" s="327">
        <f>+Segments!CA7</f>
        <v>2.9820702999743043E-2</v>
      </c>
      <c r="CK7" s="326">
        <f>+Segments!CB7</f>
        <v>2.8859542320265552E-2</v>
      </c>
      <c r="CL7" s="326">
        <f>+Segments!CC7</f>
        <v>3.0401934124465901E-2</v>
      </c>
      <c r="CM7" s="326">
        <f>+Segments!CD7</f>
        <v>2.9758389121312456E-2</v>
      </c>
      <c r="CN7" s="326">
        <f>+Segments!CE7</f>
        <v>3.0833146461193062E-2</v>
      </c>
      <c r="CO7" s="327">
        <f>+Segments!CF7</f>
        <v>3.0078597369138205E-2</v>
      </c>
      <c r="CP7" s="326">
        <f>+Segments!CG7</f>
        <v>2.9089633951339344E-2</v>
      </c>
      <c r="CQ7" s="326">
        <f>+Segments!CH7</f>
        <v>3.0659813233825162E-2</v>
      </c>
      <c r="CR7" s="326">
        <f>+Segments!CI7</f>
        <v>3.0035133316167029E-2</v>
      </c>
      <c r="CS7" s="326">
        <f>+Segments!CJ7</f>
        <v>3.1085845231110021E-2</v>
      </c>
      <c r="CT7" s="327">
        <f>+Segments!CK7</f>
        <v>3.0334931877431082E-2</v>
      </c>
      <c r="CU7" s="325"/>
      <c r="CV7" s="325"/>
    </row>
    <row r="8" spans="1:100" ht="12.75" customHeight="1" x14ac:dyDescent="0.2">
      <c r="A8" s="313" t="s">
        <v>49</v>
      </c>
      <c r="B8" s="313"/>
      <c r="C8" s="313"/>
      <c r="D8" s="330">
        <v>-2665</v>
      </c>
      <c r="E8" s="330">
        <v>-3031</v>
      </c>
      <c r="F8" s="330">
        <v>-3118</v>
      </c>
      <c r="G8" s="330">
        <v>-3860</v>
      </c>
      <c r="H8" s="331">
        <v>-12674</v>
      </c>
      <c r="I8" s="330">
        <v>-2870</v>
      </c>
      <c r="J8" s="330">
        <v>-3314</v>
      </c>
      <c r="K8" s="330">
        <v>-3515</v>
      </c>
      <c r="L8" s="330">
        <v>-4300</v>
      </c>
      <c r="M8" s="331">
        <v>-13999</v>
      </c>
      <c r="N8" s="330">
        <v>-2962</v>
      </c>
      <c r="O8" s="330">
        <v>-3862</v>
      </c>
      <c r="P8" s="332">
        <v>-4108</v>
      </c>
      <c r="Q8" s="330">
        <v>-4830</v>
      </c>
      <c r="R8" s="331">
        <v>-15762</v>
      </c>
      <c r="S8" s="332">
        <f>W8-V8-U8-T8</f>
        <v>-3285</v>
      </c>
      <c r="T8" s="332">
        <v>-4342</v>
      </c>
      <c r="U8" s="332">
        <v>-4627</v>
      </c>
      <c r="V8" s="332">
        <v>-5784</v>
      </c>
      <c r="W8" s="331">
        <v>-18038</v>
      </c>
      <c r="X8" s="332">
        <v>-3834</v>
      </c>
      <c r="Y8" s="332">
        <v>-5078</v>
      </c>
      <c r="Z8" s="332">
        <v>-5268</v>
      </c>
      <c r="AA8" s="332">
        <v>-6084</v>
      </c>
      <c r="AB8" s="331">
        <v>-20264</v>
      </c>
      <c r="AC8" s="332">
        <v>-3744</v>
      </c>
      <c r="AD8" s="332">
        <v>-4881</v>
      </c>
      <c r="AE8" s="332">
        <v>-5181</v>
      </c>
      <c r="AF8" s="332">
        <v>-6293</v>
      </c>
      <c r="AG8" s="331">
        <v>-20099</v>
      </c>
      <c r="AH8" s="332">
        <v>-4182</v>
      </c>
      <c r="AI8" s="332">
        <v>-6672</v>
      </c>
      <c r="AJ8" s="330">
        <v>-6991</v>
      </c>
      <c r="AK8" s="330">
        <v>-8335</v>
      </c>
      <c r="AL8" s="331">
        <f>+AH8+AI8+AJ8+AK8</f>
        <v>-26180</v>
      </c>
      <c r="AM8" s="330">
        <v>-5413</v>
      </c>
      <c r="AN8" s="330">
        <v>-7959</v>
      </c>
      <c r="AO8" s="333">
        <v>-8449</v>
      </c>
      <c r="AP8" s="330">
        <v>-9461</v>
      </c>
      <c r="AQ8" s="331">
        <f>+AM8+AN8+AO8+AP8</f>
        <v>-31282</v>
      </c>
      <c r="AR8" s="330">
        <f>-5906-62</f>
        <v>-5968</v>
      </c>
      <c r="AS8" s="332">
        <f>-7891-86</f>
        <v>-7977</v>
      </c>
      <c r="AT8" s="333">
        <f>-7908-97</f>
        <v>-8005</v>
      </c>
      <c r="AU8" s="330">
        <f>-9611-109</f>
        <v>-9720</v>
      </c>
      <c r="AV8" s="331">
        <f>+AR8+AS8+AT8+AU8</f>
        <v>-31670</v>
      </c>
      <c r="AW8" s="330">
        <f>-5820-62</f>
        <v>-5882</v>
      </c>
      <c r="AX8" s="330">
        <f>-7858-86</f>
        <v>-7944</v>
      </c>
      <c r="AY8" s="330">
        <f>-7913-97</f>
        <v>-8010</v>
      </c>
      <c r="AZ8" s="330">
        <f>-9570-109</f>
        <v>-9679</v>
      </c>
      <c r="BA8" s="331">
        <f>+AW8+AX8+AY8+AZ8</f>
        <v>-31515</v>
      </c>
      <c r="BB8" s="330">
        <f>-5793-62</f>
        <v>-5855</v>
      </c>
      <c r="BC8" s="330">
        <f>-7799-86</f>
        <v>-7885</v>
      </c>
      <c r="BD8" s="330">
        <f>-7979-97</f>
        <v>-8076</v>
      </c>
      <c r="BE8" s="330">
        <f>-9346-109</f>
        <v>-9455</v>
      </c>
      <c r="BF8" s="331">
        <f>+BB8+BC8+BD8+BE8</f>
        <v>-31271</v>
      </c>
      <c r="BG8" s="330">
        <v>-5485</v>
      </c>
      <c r="BH8" s="330">
        <f>-7169-84</f>
        <v>-7253</v>
      </c>
      <c r="BI8" s="330">
        <f>-7376-95</f>
        <v>-7471</v>
      </c>
      <c r="BJ8" s="330">
        <f>-8397-107</f>
        <v>-8504</v>
      </c>
      <c r="BK8" s="331">
        <f>+BG8+BH8+BI8+BJ8</f>
        <v>-28713</v>
      </c>
      <c r="BL8" s="330">
        <v>-5169</v>
      </c>
      <c r="BM8" s="330">
        <v>-6893</v>
      </c>
      <c r="BN8" s="330">
        <v>-7251</v>
      </c>
      <c r="BO8" s="330">
        <v>-8974</v>
      </c>
      <c r="BP8" s="331">
        <f>+BL8+BM8+BN8+BO8</f>
        <v>-28287</v>
      </c>
      <c r="BQ8" s="578">
        <v>-5305</v>
      </c>
      <c r="BR8" s="578">
        <v>-7043</v>
      </c>
      <c r="BS8" s="578">
        <v>-7367</v>
      </c>
      <c r="BT8" s="578">
        <v>-9078</v>
      </c>
      <c r="BU8" s="331">
        <f>+BQ8+BR8+BS8+BT8</f>
        <v>-28793</v>
      </c>
      <c r="BV8" s="330">
        <f>-BV9*BV5</f>
        <v>-5572.1585488696264</v>
      </c>
      <c r="BW8" s="330">
        <f>-BW9*BW5</f>
        <v>-7338.4995780915133</v>
      </c>
      <c r="BX8" s="330">
        <f>-BX9*BX5</f>
        <v>-7588.253392653146</v>
      </c>
      <c r="BY8" s="330">
        <f>+BZ8-BV8-BW8-BX8</f>
        <v>-9348.5417307790485</v>
      </c>
      <c r="BZ8" s="331">
        <f>-BZ9*BZ5</f>
        <v>-29847.453250393333</v>
      </c>
      <c r="CA8" s="330">
        <f>-CA9*CA5</f>
        <v>-5707.9864523573533</v>
      </c>
      <c r="CB8" s="330">
        <f>-CB9*CB5</f>
        <v>-7532.2612810051869</v>
      </c>
      <c r="CC8" s="330">
        <f>-CC9*CC5</f>
        <v>-7782.5942924989304</v>
      </c>
      <c r="CD8" s="330">
        <f>+CE8-CA8-CB8-CC8</f>
        <v>-9599.2023906907798</v>
      </c>
      <c r="CE8" s="331">
        <f>-CE9*CE5</f>
        <v>-30622.044416552249</v>
      </c>
      <c r="CF8" s="330">
        <f>-CF9*CF5</f>
        <v>-5844.9401882983548</v>
      </c>
      <c r="CG8" s="330">
        <f>-CG9*CG5</f>
        <v>-7724.7643963770533</v>
      </c>
      <c r="CH8" s="330">
        <f>-CH9*CH5</f>
        <v>-7976.3424989168607</v>
      </c>
      <c r="CI8" s="330">
        <f>+CJ8-CF8-CG8-CH8</f>
        <v>-9849.4013897105688</v>
      </c>
      <c r="CJ8" s="331">
        <f>-CJ9*CJ5</f>
        <v>-31395.448473302837</v>
      </c>
      <c r="CK8" s="330">
        <f>-CK9*CK5</f>
        <v>-5993.2043571541071</v>
      </c>
      <c r="CL8" s="330">
        <f>-CL9*CL5</f>
        <v>-7932.9207671989907</v>
      </c>
      <c r="CM8" s="330">
        <f>-CM9*CM5</f>
        <v>-8186.1510311528891</v>
      </c>
      <c r="CN8" s="330">
        <f>+CO8-CK8-CL8-CM8</f>
        <v>-10119.525252601039</v>
      </c>
      <c r="CO8" s="331">
        <f>-CO9*CO5</f>
        <v>-32231.801408107025</v>
      </c>
      <c r="CP8" s="330">
        <f>-CP9*CP5</f>
        <v>-6146.5323923075994</v>
      </c>
      <c r="CQ8" s="330">
        <f>-CQ9*CQ5</f>
        <v>-8148.6328752679074</v>
      </c>
      <c r="CR8" s="330">
        <f>-CR9*CR5</f>
        <v>-8403.6409918764202</v>
      </c>
      <c r="CS8" s="330">
        <f>+CT8-CP8-CQ8-CR8</f>
        <v>-10399.491020723524</v>
      </c>
      <c r="CT8" s="331">
        <f>-CT9*CT5</f>
        <v>-33098.297280175451</v>
      </c>
      <c r="CU8" s="313"/>
      <c r="CV8" s="313"/>
    </row>
    <row r="9" spans="1:100" ht="12.75" customHeight="1" x14ac:dyDescent="0.2">
      <c r="A9" s="313"/>
      <c r="B9" s="313" t="s">
        <v>50</v>
      </c>
      <c r="C9" s="313"/>
      <c r="D9" s="318">
        <f t="shared" ref="D9:O9" si="4">-D8/D5</f>
        <v>0.43467623552438428</v>
      </c>
      <c r="E9" s="318">
        <f t="shared" si="4"/>
        <v>0.42871287128712871</v>
      </c>
      <c r="F9" s="318">
        <f t="shared" si="4"/>
        <v>0.42965412704974509</v>
      </c>
      <c r="G9" s="318">
        <f t="shared" si="4"/>
        <v>0.43848687947290699</v>
      </c>
      <c r="H9" s="334">
        <f t="shared" si="4"/>
        <v>0.43313625645056558</v>
      </c>
      <c r="I9" s="318">
        <f t="shared" si="4"/>
        <v>0.43583902809415337</v>
      </c>
      <c r="J9" s="318">
        <f t="shared" si="4"/>
        <v>0.43055736001039369</v>
      </c>
      <c r="K9" s="318">
        <f t="shared" si="4"/>
        <v>0.42949657869012708</v>
      </c>
      <c r="L9" s="318">
        <f t="shared" si="4"/>
        <v>0.44430667493283738</v>
      </c>
      <c r="M9" s="334">
        <f t="shared" si="4"/>
        <v>0.43550895968143355</v>
      </c>
      <c r="N9" s="318">
        <f t="shared" si="4"/>
        <v>0.44083941062658133</v>
      </c>
      <c r="O9" s="318">
        <f t="shared" si="4"/>
        <v>0.44319485884783105</v>
      </c>
      <c r="P9" s="318">
        <f t="shared" ref="P9:AQ9" si="5">-P8/P5</f>
        <v>0.44974819356251367</v>
      </c>
      <c r="Q9" s="318">
        <f t="shared" si="5"/>
        <v>0.45695364238410596</v>
      </c>
      <c r="R9" s="334">
        <f t="shared" si="5"/>
        <v>0.44858695961522044</v>
      </c>
      <c r="S9" s="335">
        <f t="shared" si="5"/>
        <v>0.44693877551020406</v>
      </c>
      <c r="T9" s="335">
        <f t="shared" si="5"/>
        <v>0.45196211096075778</v>
      </c>
      <c r="U9" s="335">
        <f t="shared" si="5"/>
        <v>0.45492085340674465</v>
      </c>
      <c r="V9" s="335">
        <f t="shared" si="5"/>
        <v>0.46849181921270044</v>
      </c>
      <c r="W9" s="334">
        <f t="shared" si="5"/>
        <v>0.4569590109945787</v>
      </c>
      <c r="X9" s="335">
        <f t="shared" si="5"/>
        <v>0.46009840393615747</v>
      </c>
      <c r="Y9" s="335">
        <f t="shared" si="5"/>
        <v>0.46395614435815441</v>
      </c>
      <c r="Z9" s="335">
        <f t="shared" si="5"/>
        <v>0.46851654215581645</v>
      </c>
      <c r="AA9" s="335">
        <f t="shared" si="5"/>
        <v>0.47796370492576007</v>
      </c>
      <c r="AB9" s="334">
        <f t="shared" si="5"/>
        <v>0.46852095905296987</v>
      </c>
      <c r="AC9" s="335">
        <f t="shared" si="5"/>
        <v>0.45310419944330149</v>
      </c>
      <c r="AD9" s="335">
        <f t="shared" si="5"/>
        <v>0.46081948640483383</v>
      </c>
      <c r="AE9" s="335">
        <f t="shared" si="5"/>
        <v>0.46759927797833933</v>
      </c>
      <c r="AF9" s="335">
        <f t="shared" si="5"/>
        <v>0.47326464616078817</v>
      </c>
      <c r="AG9" s="334">
        <f t="shared" si="5"/>
        <v>0.46491025166543304</v>
      </c>
      <c r="AH9" s="335">
        <f t="shared" si="5"/>
        <v>0.4464133219470538</v>
      </c>
      <c r="AI9" s="335">
        <f t="shared" si="5"/>
        <v>0.45078035267887306</v>
      </c>
      <c r="AJ9" s="335">
        <f t="shared" si="5"/>
        <v>0.45062524171715868</v>
      </c>
      <c r="AK9" s="336">
        <f>-AK8/AK5</f>
        <v>0.459102175709171</v>
      </c>
      <c r="AL9" s="334">
        <f t="shared" si="5"/>
        <v>0.45264359071890453</v>
      </c>
      <c r="AM9" s="335">
        <f t="shared" si="5"/>
        <v>0.45346401943536901</v>
      </c>
      <c r="AN9" s="335">
        <f t="shared" si="5"/>
        <v>0.47298983776074166</v>
      </c>
      <c r="AO9" s="337">
        <f t="shared" si="5"/>
        <v>0.48054828802184052</v>
      </c>
      <c r="AP9" s="336">
        <f>-AP8/AP5</f>
        <v>0.48431021243921168</v>
      </c>
      <c r="AQ9" s="334">
        <f t="shared" si="5"/>
        <v>0.47482582231599396</v>
      </c>
      <c r="AR9" s="336">
        <f t="shared" ref="AR9:BA9" si="6">-AR8/AR5</f>
        <v>0.48020598648213714</v>
      </c>
      <c r="AS9" s="338">
        <f t="shared" si="6"/>
        <v>0.48468829748450604</v>
      </c>
      <c r="AT9" s="339">
        <f t="shared" si="6"/>
        <v>0.48072303627191931</v>
      </c>
      <c r="AU9" s="336">
        <f t="shared" si="6"/>
        <v>0.4871203768667936</v>
      </c>
      <c r="AV9" s="334">
        <f t="shared" si="6"/>
        <v>0.48357051242899896</v>
      </c>
      <c r="AW9" s="336">
        <f t="shared" si="6"/>
        <v>0.46753040298863363</v>
      </c>
      <c r="AX9" s="336">
        <f t="shared" si="6"/>
        <v>0.47266020110668172</v>
      </c>
      <c r="AY9" s="336">
        <f>-AY8/AY5</f>
        <v>0.47371222425927023</v>
      </c>
      <c r="AZ9" s="336">
        <f>-AZ8/AZ5</f>
        <v>0.48111144248931303</v>
      </c>
      <c r="BA9" s="334">
        <f t="shared" si="6"/>
        <v>0.47451629902883385</v>
      </c>
      <c r="BB9" s="336">
        <f t="shared" ref="BB9:BI9" si="7">-BB8/BB5</f>
        <v>0.46383585518497977</v>
      </c>
      <c r="BC9" s="336">
        <f t="shared" si="7"/>
        <v>0.46673375162779684</v>
      </c>
      <c r="BD9" s="336">
        <f t="shared" si="7"/>
        <v>0.46904402369613196</v>
      </c>
      <c r="BE9" s="336">
        <f t="shared" si="7"/>
        <v>0.47398235412071388</v>
      </c>
      <c r="BF9" s="334">
        <f t="shared" si="7"/>
        <v>0.46895010722373021</v>
      </c>
      <c r="BG9" s="336">
        <f t="shared" si="7"/>
        <v>0.44896455758369486</v>
      </c>
      <c r="BH9" s="336">
        <f t="shared" si="7"/>
        <v>0.45550461596432834</v>
      </c>
      <c r="BI9" s="336">
        <f t="shared" si="7"/>
        <v>0.45747351662482394</v>
      </c>
      <c r="BJ9" s="336">
        <f>-BJ8/BJ5</f>
        <v>0.45757331181059996</v>
      </c>
      <c r="BK9" s="334">
        <f t="shared" ref="BK9" si="8">-BK8/BK5</f>
        <v>0.45535714285714285</v>
      </c>
      <c r="BL9" s="336">
        <f>-BL8/BL5</f>
        <v>0.4357612544258978</v>
      </c>
      <c r="BM9" s="336">
        <f>-BM8/BM5</f>
        <v>0.44774277362780124</v>
      </c>
      <c r="BN9" s="336">
        <f>-BN8/BN5</f>
        <v>0.45242403444187934</v>
      </c>
      <c r="BO9" s="336">
        <f>-BO8/BO5</f>
        <v>0.45985139636177297</v>
      </c>
      <c r="BP9" s="334">
        <f t="shared" ref="BP9" si="9">-BP8/BP5</f>
        <v>0.4504371088711604</v>
      </c>
      <c r="BQ9" s="547">
        <f>-BQ8/BQ5</f>
        <v>0.44028550087144164</v>
      </c>
      <c r="BR9" s="547">
        <f>-BR8/BR5</f>
        <v>0.44831317632081474</v>
      </c>
      <c r="BS9" s="547">
        <f>-BS8/BS5</f>
        <v>0.45363300492610836</v>
      </c>
      <c r="BT9" s="336">
        <f>-BT8/BT5</f>
        <v>0.464918570111646</v>
      </c>
      <c r="BU9" s="334">
        <f t="shared" ref="BU9" si="10">-BU8/BU5</f>
        <v>0.45325462416371509</v>
      </c>
      <c r="BV9" s="336">
        <f>+BQ9+BV10/10000</f>
        <v>0.44578550087144164</v>
      </c>
      <c r="BW9" s="336">
        <f>+BR9+BW10/10000</f>
        <v>0.45131317632081475</v>
      </c>
      <c r="BX9" s="336">
        <f>+BS9+BX10/10000</f>
        <v>0.45113300492610836</v>
      </c>
      <c r="BY9" s="336">
        <f>-BY8/BY5</f>
        <v>0.46117808516025754</v>
      </c>
      <c r="BZ9" s="334">
        <f>+BU9+BZ10/10000</f>
        <v>0.45325462416371509</v>
      </c>
      <c r="CA9" s="336">
        <f>+BV9+CA10/10000</f>
        <v>0.44378550087144164</v>
      </c>
      <c r="CB9" s="336">
        <f>+BW9+CB10/10000</f>
        <v>0.44931317632081474</v>
      </c>
      <c r="CC9" s="336">
        <f>+BX9+CC10/10000</f>
        <v>0.44913300492610836</v>
      </c>
      <c r="CD9" s="336">
        <f>-CD8/CD5</f>
        <v>0.4591652631105424</v>
      </c>
      <c r="CE9" s="334">
        <f>+BZ9+CE10/10000</f>
        <v>0.45125462416371509</v>
      </c>
      <c r="CF9" s="336">
        <f>+CA9+CF10/10000</f>
        <v>0.44178550087144164</v>
      </c>
      <c r="CG9" s="336">
        <f>+CB9+CG10/10000</f>
        <v>0.44731317632081474</v>
      </c>
      <c r="CH9" s="336">
        <f>+CC9+CH10/10000</f>
        <v>0.44713300492610836</v>
      </c>
      <c r="CI9" s="336">
        <f>-CI8/CI5</f>
        <v>0.45715403517290348</v>
      </c>
      <c r="CJ9" s="334">
        <f>+CE9+CJ10/10000</f>
        <v>0.44925462416371509</v>
      </c>
      <c r="CK9" s="336">
        <f>+CF9+CK10/10000</f>
        <v>0.44028550087144164</v>
      </c>
      <c r="CL9" s="336">
        <f>+CG9+CL10/10000</f>
        <v>0.44581317632081474</v>
      </c>
      <c r="CM9" s="336">
        <f>+CH9+CM10/10000</f>
        <v>0.44563300492610836</v>
      </c>
      <c r="CN9" s="336">
        <f>-CN8/CN5</f>
        <v>0.4556427713249771</v>
      </c>
      <c r="CO9" s="334">
        <f>+CJ9+CO10/10000</f>
        <v>0.44775462416371509</v>
      </c>
      <c r="CP9" s="336">
        <f>+CK9+CP10/10000</f>
        <v>0.43878550087144164</v>
      </c>
      <c r="CQ9" s="336">
        <f>+CL9+CQ10/10000</f>
        <v>0.44431317632081474</v>
      </c>
      <c r="CR9" s="336">
        <f>+CM9+CR10/10000</f>
        <v>0.44413300492610835</v>
      </c>
      <c r="CS9" s="336">
        <f>-CS8/CS5</f>
        <v>0.45413147759459549</v>
      </c>
      <c r="CT9" s="334">
        <f>+CO9+CT10/10000</f>
        <v>0.44625462416371509</v>
      </c>
      <c r="CU9" s="313"/>
      <c r="CV9" s="313"/>
    </row>
    <row r="10" spans="1:100" ht="12.75" customHeight="1" x14ac:dyDescent="0.2">
      <c r="A10" s="340"/>
      <c r="B10" s="313" t="s">
        <v>26</v>
      </c>
      <c r="C10" s="341"/>
      <c r="D10" s="307"/>
      <c r="E10" s="307"/>
      <c r="F10" s="307"/>
      <c r="G10" s="307"/>
      <c r="H10" s="342"/>
      <c r="I10" s="307">
        <f t="shared" ref="I10:AQ10" si="11">+(I9-D9)*10000</f>
        <v>11.627925697690888</v>
      </c>
      <c r="J10" s="307">
        <f t="shared" si="11"/>
        <v>18.444887232649808</v>
      </c>
      <c r="K10" s="307">
        <f t="shared" si="11"/>
        <v>-1.5754835961800939</v>
      </c>
      <c r="L10" s="307">
        <f t="shared" si="11"/>
        <v>58.197954599303884</v>
      </c>
      <c r="M10" s="342">
        <f t="shared" si="11"/>
        <v>23.727032308679675</v>
      </c>
      <c r="N10" s="307">
        <f t="shared" si="11"/>
        <v>50.003825324279603</v>
      </c>
      <c r="O10" s="307">
        <f t="shared" si="11"/>
        <v>126.37498837437366</v>
      </c>
      <c r="P10" s="307">
        <f t="shared" si="11"/>
        <v>202.5161487238658</v>
      </c>
      <c r="Q10" s="307">
        <f t="shared" si="11"/>
        <v>126.46967451268587</v>
      </c>
      <c r="R10" s="342">
        <f t="shared" si="11"/>
        <v>130.77999933786887</v>
      </c>
      <c r="S10" s="343">
        <f t="shared" si="11"/>
        <v>60.993648836227266</v>
      </c>
      <c r="T10" s="343">
        <f t="shared" si="11"/>
        <v>87.672521129267267</v>
      </c>
      <c r="U10" s="343">
        <f t="shared" si="11"/>
        <v>51.726598442309864</v>
      </c>
      <c r="V10" s="343">
        <f t="shared" si="11"/>
        <v>115.38176828594482</v>
      </c>
      <c r="W10" s="342">
        <f t="shared" si="11"/>
        <v>83.720513793582583</v>
      </c>
      <c r="X10" s="343">
        <f t="shared" si="11"/>
        <v>131.59628425953417</v>
      </c>
      <c r="Y10" s="343">
        <f t="shared" si="11"/>
        <v>119.9403339739663</v>
      </c>
      <c r="Z10" s="343">
        <f t="shared" si="11"/>
        <v>135.956887490718</v>
      </c>
      <c r="AA10" s="343">
        <f t="shared" si="11"/>
        <v>94.718857130596248</v>
      </c>
      <c r="AB10" s="342">
        <f t="shared" si="11"/>
        <v>115.6194805839117</v>
      </c>
      <c r="AC10" s="343">
        <f t="shared" si="11"/>
        <v>-69.942044928559824</v>
      </c>
      <c r="AD10" s="343">
        <f t="shared" si="11"/>
        <v>-31.366579533205762</v>
      </c>
      <c r="AE10" s="343">
        <f t="shared" si="11"/>
        <v>-9.1726417747711722</v>
      </c>
      <c r="AF10" s="343">
        <f t="shared" si="11"/>
        <v>-46.990587649718975</v>
      </c>
      <c r="AG10" s="342">
        <f t="shared" si="11"/>
        <v>-36.107073875368265</v>
      </c>
      <c r="AH10" s="343">
        <f t="shared" si="11"/>
        <v>-66.90877496247694</v>
      </c>
      <c r="AI10" s="343">
        <f t="shared" si="11"/>
        <v>-100.3913372596077</v>
      </c>
      <c r="AJ10" s="343">
        <f t="shared" si="11"/>
        <v>-169.74036261180657</v>
      </c>
      <c r="AK10" s="344">
        <f>+(AK9-AF9)*10000</f>
        <v>-141.6247045161717</v>
      </c>
      <c r="AL10" s="342">
        <f t="shared" si="11"/>
        <v>-122.66660946528506</v>
      </c>
      <c r="AM10" s="343">
        <f t="shared" si="11"/>
        <v>70.506974883152168</v>
      </c>
      <c r="AN10" s="343">
        <f t="shared" si="11"/>
        <v>222.09485081868596</v>
      </c>
      <c r="AO10" s="345">
        <f t="shared" si="11"/>
        <v>299.23046304681844</v>
      </c>
      <c r="AP10" s="344">
        <f>+(AP9-AK9)*10000</f>
        <v>252.08036730040683</v>
      </c>
      <c r="AQ10" s="342">
        <f t="shared" si="11"/>
        <v>221.82231597089429</v>
      </c>
      <c r="AR10" s="344">
        <f t="shared" ref="AR10:BA10" si="12">+(AR9-AM9)*10000</f>
        <v>267.41967046768121</v>
      </c>
      <c r="AS10" s="344">
        <f t="shared" si="12"/>
        <v>116.98459723764375</v>
      </c>
      <c r="AT10" s="346">
        <f t="shared" si="12"/>
        <v>1.7474825007879335</v>
      </c>
      <c r="AU10" s="344">
        <f t="shared" si="12"/>
        <v>28.101644275819183</v>
      </c>
      <c r="AV10" s="342">
        <f t="shared" si="12"/>
        <v>87.446901130049937</v>
      </c>
      <c r="AW10" s="344">
        <f t="shared" si="12"/>
        <v>-126.75583493503507</v>
      </c>
      <c r="AX10" s="344">
        <f t="shared" si="12"/>
        <v>-120.28096377824315</v>
      </c>
      <c r="AY10" s="344">
        <f t="shared" si="12"/>
        <v>-70.108120126490817</v>
      </c>
      <c r="AZ10" s="344">
        <f>+(AZ9-AU9)*10000</f>
        <v>-60.089343774805684</v>
      </c>
      <c r="BA10" s="342">
        <f t="shared" si="12"/>
        <v>-90.542134001651007</v>
      </c>
      <c r="BB10" s="344">
        <f t="shared" ref="BB10:BK10" si="13">+(BB9-AW9)*10000</f>
        <v>-36.945478036538582</v>
      </c>
      <c r="BC10" s="344">
        <f t="shared" si="13"/>
        <v>-59.264494788848765</v>
      </c>
      <c r="BD10" s="344">
        <f t="shared" si="13"/>
        <v>-46.682005631382694</v>
      </c>
      <c r="BE10" s="344">
        <f t="shared" si="13"/>
        <v>-71.290883685991574</v>
      </c>
      <c r="BF10" s="342">
        <f t="shared" si="13"/>
        <v>-55.661918051036487</v>
      </c>
      <c r="BG10" s="344">
        <f t="shared" si="13"/>
        <v>-148.71297601284917</v>
      </c>
      <c r="BH10" s="344">
        <f t="shared" si="13"/>
        <v>-112.29135663468503</v>
      </c>
      <c r="BI10" s="344">
        <f t="shared" si="13"/>
        <v>-115.70507071308023</v>
      </c>
      <c r="BJ10" s="344">
        <f>+(BJ9-BE9)*10000</f>
        <v>-164.09042310113918</v>
      </c>
      <c r="BK10" s="342">
        <f t="shared" si="13"/>
        <v>-135.92964366587356</v>
      </c>
      <c r="BL10" s="344">
        <f>+(BL9-BG9)*10000</f>
        <v>-132.03303157797052</v>
      </c>
      <c r="BM10" s="344">
        <f>+(BM9-BH9)*10000</f>
        <v>-77.618423365271028</v>
      </c>
      <c r="BN10" s="344">
        <f>+(BN9-BI9)*10000</f>
        <v>-50.494821829445982</v>
      </c>
      <c r="BO10" s="344">
        <f>+(BO9-BJ9)*10000</f>
        <v>22.780845511730096</v>
      </c>
      <c r="BP10" s="342">
        <f t="shared" ref="BP10" si="14">+(BP9-BK9)*10000</f>
        <v>-49.200339859824524</v>
      </c>
      <c r="BQ10" s="589">
        <f>+(BQ9-BL9)*10000</f>
        <v>45.242464455438338</v>
      </c>
      <c r="BR10" s="589">
        <f>+(BR9-BM9)*10000</f>
        <v>5.7040269301350532</v>
      </c>
      <c r="BS10" s="589">
        <f>+(BS9-BN9)*10000</f>
        <v>12.089704842290217</v>
      </c>
      <c r="BT10" s="344">
        <f>+(BT9-BO9)*10000</f>
        <v>50.67173749873033</v>
      </c>
      <c r="BU10" s="342">
        <f t="shared" ref="BU10" si="15">+(BU9-BP9)*10000</f>
        <v>28.175152925546953</v>
      </c>
      <c r="BV10" s="348">
        <v>55</v>
      </c>
      <c r="BW10" s="348">
        <v>30</v>
      </c>
      <c r="BX10" s="348">
        <v>-25</v>
      </c>
      <c r="BY10" s="344">
        <f>+(BY9-BT9)*10000</f>
        <v>-37.404849513884564</v>
      </c>
      <c r="BZ10" s="347">
        <v>0</v>
      </c>
      <c r="CA10" s="348">
        <f>CE10</f>
        <v>-20</v>
      </c>
      <c r="CB10" s="348">
        <f>CE10</f>
        <v>-20</v>
      </c>
      <c r="CC10" s="348">
        <f>CE10</f>
        <v>-20</v>
      </c>
      <c r="CD10" s="344">
        <f>+(CD9-BY9)*10000</f>
        <v>-20.12822049715146</v>
      </c>
      <c r="CE10" s="347">
        <v>-20</v>
      </c>
      <c r="CF10" s="348">
        <f>CJ10</f>
        <v>-20</v>
      </c>
      <c r="CG10" s="348">
        <f>CJ10</f>
        <v>-20</v>
      </c>
      <c r="CH10" s="348">
        <f>CJ10</f>
        <v>-20</v>
      </c>
      <c r="CI10" s="344">
        <f>+(CI9-CD9)*10000</f>
        <v>-20.112279376389154</v>
      </c>
      <c r="CJ10" s="347">
        <v>-20</v>
      </c>
      <c r="CK10" s="348">
        <f>CO10</f>
        <v>-15</v>
      </c>
      <c r="CL10" s="348">
        <f>CO10</f>
        <v>-15</v>
      </c>
      <c r="CM10" s="348">
        <f>CO10</f>
        <v>-15</v>
      </c>
      <c r="CN10" s="344">
        <f>+(CN9-CI9)*10000</f>
        <v>-15.112638479263808</v>
      </c>
      <c r="CO10" s="347">
        <v>-15</v>
      </c>
      <c r="CP10" s="348">
        <f>CT10</f>
        <v>-15</v>
      </c>
      <c r="CQ10" s="348">
        <f>CT10</f>
        <v>-15</v>
      </c>
      <c r="CR10" s="348">
        <f>CT10</f>
        <v>-15</v>
      </c>
      <c r="CS10" s="344">
        <f>+(CS9-CN9)*10000</f>
        <v>-15.112937303816132</v>
      </c>
      <c r="CT10" s="347">
        <v>-15</v>
      </c>
      <c r="CU10" s="341"/>
      <c r="CV10" s="341"/>
    </row>
    <row r="11" spans="1:100" ht="12.75" customHeight="1" x14ac:dyDescent="0.2">
      <c r="A11" s="313"/>
      <c r="B11" s="313"/>
      <c r="C11" s="313"/>
      <c r="D11" s="350"/>
      <c r="E11" s="350"/>
      <c r="F11" s="350"/>
      <c r="G11" s="350"/>
      <c r="H11" s="351"/>
      <c r="I11" s="350"/>
      <c r="J11" s="350"/>
      <c r="K11" s="350"/>
      <c r="L11" s="350"/>
      <c r="M11" s="351"/>
      <c r="N11" s="350"/>
      <c r="O11" s="350"/>
      <c r="P11" s="350"/>
      <c r="Q11" s="350"/>
      <c r="R11" s="351"/>
      <c r="S11" s="352"/>
      <c r="T11" s="352"/>
      <c r="U11" s="352"/>
      <c r="V11" s="352"/>
      <c r="W11" s="351"/>
      <c r="X11" s="352"/>
      <c r="Y11" s="352"/>
      <c r="Z11" s="352"/>
      <c r="AA11" s="352"/>
      <c r="AB11" s="351"/>
      <c r="AC11" s="352"/>
      <c r="AD11" s="352"/>
      <c r="AE11" s="352"/>
      <c r="AF11" s="352"/>
      <c r="AG11" s="351"/>
      <c r="AH11" s="352"/>
      <c r="AI11" s="352"/>
      <c r="AJ11" s="350"/>
      <c r="AK11" s="350"/>
      <c r="AL11" s="351"/>
      <c r="AM11" s="353"/>
      <c r="AN11" s="353"/>
      <c r="AO11" s="353"/>
      <c r="AP11" s="556"/>
      <c r="AQ11" s="354"/>
      <c r="AR11" s="353"/>
      <c r="AS11" s="353"/>
      <c r="AT11" s="353"/>
      <c r="AU11" s="353"/>
      <c r="AV11" s="354"/>
      <c r="AW11" s="353"/>
      <c r="AX11" s="353"/>
      <c r="AY11" s="353"/>
      <c r="AZ11" s="353"/>
      <c r="BA11" s="354"/>
      <c r="BB11" s="350"/>
      <c r="BC11" s="350"/>
      <c r="BD11" s="350"/>
      <c r="BE11" s="350"/>
      <c r="BF11" s="355"/>
      <c r="BG11" s="349"/>
      <c r="BH11" s="349"/>
      <c r="BI11" s="349"/>
      <c r="BJ11" s="349"/>
      <c r="BK11" s="351"/>
      <c r="BL11" s="349"/>
      <c r="BM11" s="349"/>
      <c r="BN11" s="349"/>
      <c r="BO11" s="349"/>
      <c r="BP11" s="351"/>
      <c r="BQ11" s="590"/>
      <c r="BR11" s="350"/>
      <c r="BS11" s="350"/>
      <c r="BT11" s="350"/>
      <c r="BU11" s="351"/>
      <c r="BV11" s="350"/>
      <c r="BW11" s="350"/>
      <c r="BX11" s="350"/>
      <c r="BY11" s="350"/>
      <c r="BZ11" s="351"/>
      <c r="CA11" s="350"/>
      <c r="CB11" s="350"/>
      <c r="CC11" s="350"/>
      <c r="CD11" s="350"/>
      <c r="CE11" s="351"/>
      <c r="CF11" s="350"/>
      <c r="CG11" s="350"/>
      <c r="CH11" s="350"/>
      <c r="CI11" s="350"/>
      <c r="CJ11" s="351"/>
      <c r="CK11" s="350"/>
      <c r="CL11" s="350"/>
      <c r="CM11" s="350"/>
      <c r="CN11" s="350"/>
      <c r="CO11" s="351"/>
      <c r="CP11" s="350"/>
      <c r="CQ11" s="350"/>
      <c r="CR11" s="350"/>
      <c r="CS11" s="350"/>
      <c r="CT11" s="351"/>
      <c r="CU11" s="313"/>
      <c r="CV11" s="313"/>
    </row>
    <row r="12" spans="1:100" ht="12.75" customHeight="1" x14ac:dyDescent="0.2">
      <c r="A12" s="59" t="s">
        <v>51</v>
      </c>
      <c r="B12" s="59"/>
      <c r="C12" s="59"/>
      <c r="D12" s="60">
        <f t="shared" ref="D12:O12" si="16">D5+D8</f>
        <v>3466</v>
      </c>
      <c r="E12" s="60">
        <f t="shared" si="16"/>
        <v>4039</v>
      </c>
      <c r="F12" s="60">
        <f t="shared" si="16"/>
        <v>4139</v>
      </c>
      <c r="G12" s="60">
        <f t="shared" si="16"/>
        <v>4943</v>
      </c>
      <c r="H12" s="51">
        <f t="shared" si="16"/>
        <v>16587</v>
      </c>
      <c r="I12" s="60">
        <f t="shared" si="16"/>
        <v>3715</v>
      </c>
      <c r="J12" s="60">
        <f t="shared" si="16"/>
        <v>4383</v>
      </c>
      <c r="K12" s="60">
        <f t="shared" si="16"/>
        <v>4669</v>
      </c>
      <c r="L12" s="60">
        <f t="shared" si="16"/>
        <v>5378</v>
      </c>
      <c r="M12" s="51">
        <f t="shared" si="16"/>
        <v>18145</v>
      </c>
      <c r="N12" s="60">
        <f t="shared" si="16"/>
        <v>3757</v>
      </c>
      <c r="O12" s="60">
        <f t="shared" si="16"/>
        <v>4852</v>
      </c>
      <c r="P12" s="60">
        <f t="shared" ref="P12:AG12" si="17">P5+P8</f>
        <v>5026</v>
      </c>
      <c r="Q12" s="60">
        <f t="shared" si="17"/>
        <v>5740</v>
      </c>
      <c r="R12" s="51">
        <f t="shared" si="17"/>
        <v>19375</v>
      </c>
      <c r="S12" s="61">
        <f t="shared" si="17"/>
        <v>4065</v>
      </c>
      <c r="T12" s="61">
        <f t="shared" si="17"/>
        <v>5265</v>
      </c>
      <c r="U12" s="61">
        <f t="shared" si="17"/>
        <v>5544</v>
      </c>
      <c r="V12" s="61">
        <f t="shared" si="17"/>
        <v>6562</v>
      </c>
      <c r="W12" s="51">
        <f t="shared" si="17"/>
        <v>21436</v>
      </c>
      <c r="X12" s="61">
        <f t="shared" si="17"/>
        <v>4499</v>
      </c>
      <c r="Y12" s="61">
        <f t="shared" si="17"/>
        <v>5867</v>
      </c>
      <c r="Z12" s="61">
        <f t="shared" si="17"/>
        <v>5976</v>
      </c>
      <c r="AA12" s="61">
        <f t="shared" si="17"/>
        <v>6645</v>
      </c>
      <c r="AB12" s="51">
        <f t="shared" si="17"/>
        <v>22987</v>
      </c>
      <c r="AC12" s="61">
        <f t="shared" si="17"/>
        <v>4519</v>
      </c>
      <c r="AD12" s="61">
        <f t="shared" si="17"/>
        <v>5711</v>
      </c>
      <c r="AE12" s="61">
        <f t="shared" si="17"/>
        <v>5899</v>
      </c>
      <c r="AF12" s="61">
        <f t="shared" si="17"/>
        <v>7004</v>
      </c>
      <c r="AG12" s="51">
        <f t="shared" si="17"/>
        <v>23133</v>
      </c>
      <c r="AH12" s="61">
        <f>AH5+AH8</f>
        <v>5186</v>
      </c>
      <c r="AI12" s="61">
        <f>AI5+AI8</f>
        <v>8129</v>
      </c>
      <c r="AJ12" s="60">
        <f>AJ5+AJ8</f>
        <v>8523</v>
      </c>
      <c r="AK12" s="60">
        <f>AK5+AK8</f>
        <v>9820</v>
      </c>
      <c r="AL12" s="51">
        <f>+AH12+AI12+AJ12+AK12</f>
        <v>31658</v>
      </c>
      <c r="AM12" s="60">
        <f>AM5+AM8</f>
        <v>6524</v>
      </c>
      <c r="AN12" s="60">
        <f>AN5+AN8</f>
        <v>8868</v>
      </c>
      <c r="AO12" s="62">
        <f>AO5+AO8</f>
        <v>9133</v>
      </c>
      <c r="AP12" s="60">
        <f>AP5+AP8</f>
        <v>10074</v>
      </c>
      <c r="AQ12" s="51">
        <f>+AM12+AN12+AO12+AP12</f>
        <v>34599</v>
      </c>
      <c r="AR12" s="60">
        <f>AR5+AR8</f>
        <v>6460</v>
      </c>
      <c r="AS12" s="61">
        <f>AS5+AS8</f>
        <v>8481</v>
      </c>
      <c r="AT12" s="62">
        <f>AT5+AT8</f>
        <v>8647</v>
      </c>
      <c r="AU12" s="60">
        <f>AU5+AU8</f>
        <v>10234</v>
      </c>
      <c r="AV12" s="51">
        <f>+AR12+AS12+AT12+AU12</f>
        <v>33822</v>
      </c>
      <c r="AW12" s="60">
        <f>AW5+AW8</f>
        <v>6699</v>
      </c>
      <c r="AX12" s="60">
        <f>AX5+AX8</f>
        <v>8863</v>
      </c>
      <c r="AY12" s="60">
        <f>AY5+AY8</f>
        <v>8899</v>
      </c>
      <c r="AZ12" s="60">
        <f>AZ5+AZ8</f>
        <v>10439</v>
      </c>
      <c r="BA12" s="51">
        <f>+AW12+AX12+AY12+AZ12</f>
        <v>34900</v>
      </c>
      <c r="BB12" s="60">
        <f>BB5+BB8</f>
        <v>6768</v>
      </c>
      <c r="BC12" s="60">
        <f>BC5+BC8</f>
        <v>9009</v>
      </c>
      <c r="BD12" s="60">
        <f>BD5+BD8</f>
        <v>9142</v>
      </c>
      <c r="BE12" s="60">
        <f>BE5+BE8</f>
        <v>10493</v>
      </c>
      <c r="BF12" s="51">
        <f>+BB12+BC12+BD12+BE12</f>
        <v>35412</v>
      </c>
      <c r="BG12" s="60">
        <f>BG5+BG8</f>
        <v>6732</v>
      </c>
      <c r="BH12" s="60">
        <f>BH5+BH8</f>
        <v>8670</v>
      </c>
      <c r="BI12" s="60">
        <f>BI5+BI8</f>
        <v>8860</v>
      </c>
      <c r="BJ12" s="60">
        <f>BJ5+BJ8</f>
        <v>10081</v>
      </c>
      <c r="BK12" s="51">
        <f>+BG12+BH12+BI12+BJ12</f>
        <v>34343</v>
      </c>
      <c r="BL12" s="60">
        <f>BL5+BL8</f>
        <v>6693</v>
      </c>
      <c r="BM12" s="60">
        <f>BM5+BM8</f>
        <v>8502</v>
      </c>
      <c r="BN12" s="60">
        <f>BN5+BN8</f>
        <v>8776</v>
      </c>
      <c r="BO12" s="60">
        <f>BO5+BO8</f>
        <v>10541</v>
      </c>
      <c r="BP12" s="51">
        <f>+BL12+BM12+BN12+BO12</f>
        <v>34512</v>
      </c>
      <c r="BQ12" s="587">
        <f>BQ5+BQ8</f>
        <v>6744</v>
      </c>
      <c r="BR12" s="60">
        <f>BR5+BR8</f>
        <v>8667</v>
      </c>
      <c r="BS12" s="60">
        <f>BS5+BS8</f>
        <v>8873</v>
      </c>
      <c r="BT12" s="60">
        <f>BT5+BT8</f>
        <v>10448</v>
      </c>
      <c r="BU12" s="51">
        <f>+BQ12+BR12+BS12+BT12</f>
        <v>34732</v>
      </c>
      <c r="BV12" s="60">
        <f>BV5+BV8</f>
        <v>6927.4820585007774</v>
      </c>
      <c r="BW12" s="60">
        <f>BW5+BW8</f>
        <v>8921.8268717504034</v>
      </c>
      <c r="BX12" s="60">
        <f>BX5+BX8</f>
        <v>9232.1816227278177</v>
      </c>
      <c r="BY12" s="60">
        <f>BY5+BY8</f>
        <v>10922.459931258876</v>
      </c>
      <c r="BZ12" s="51">
        <f>+BV12+BW12+BX12+BY12</f>
        <v>36003.950484237874</v>
      </c>
      <c r="CA12" s="60">
        <f>CA5+CA8</f>
        <v>7154.0526209085301</v>
      </c>
      <c r="CB12" s="60">
        <f>CB5+CB8</f>
        <v>9231.6835084239719</v>
      </c>
      <c r="CC12" s="60">
        <f>CC5+CC8</f>
        <v>9545.4448565707917</v>
      </c>
      <c r="CD12" s="60">
        <f>CD5+CD8</f>
        <v>11306.565449111609</v>
      </c>
      <c r="CE12" s="51">
        <f>+CA12+CB12+CC12+CD12</f>
        <v>37237.746435014902</v>
      </c>
      <c r="CF12" s="60">
        <f>CF5+CF8</f>
        <v>7385.3269362880092</v>
      </c>
      <c r="CG12" s="60">
        <f>CG5+CG8</f>
        <v>9544.4885684334949</v>
      </c>
      <c r="CH12" s="60">
        <f>CH5+CH8</f>
        <v>9862.5162098805449</v>
      </c>
      <c r="CI12" s="60">
        <f>CI5+CI8</f>
        <v>11695.637332271523</v>
      </c>
      <c r="CJ12" s="51">
        <f>+CF12+CG12+CH12+CI12</f>
        <v>38487.969046873572</v>
      </c>
      <c r="CK12" s="60">
        <f>CK5+CK8</f>
        <v>7618.8822214226748</v>
      </c>
      <c r="CL12" s="60">
        <f>CL5+CL8</f>
        <v>9861.3508886264681</v>
      </c>
      <c r="CM12" s="60">
        <f>CM5+CM8</f>
        <v>10183.563376581022</v>
      </c>
      <c r="CN12" s="60">
        <f>CN5+CN8</f>
        <v>12089.814803808002</v>
      </c>
      <c r="CO12" s="51">
        <f>+CK12+CL12+CM12+CN12</f>
        <v>39753.611290438166</v>
      </c>
      <c r="CP12" s="60">
        <f>CP5+CP8</f>
        <v>7861.524802153921</v>
      </c>
      <c r="CQ12" s="60">
        <f>CQ5+CQ8</f>
        <v>10191.207826157108</v>
      </c>
      <c r="CR12" s="60">
        <f>CR5+CR8</f>
        <v>10517.810237073694</v>
      </c>
      <c r="CS12" s="60">
        <f>CS5+CS8</f>
        <v>12500.245143364138</v>
      </c>
      <c r="CT12" s="51">
        <f>+CP12+CQ12+CR12+CS12</f>
        <v>41070.788008748867</v>
      </c>
      <c r="CU12" s="59"/>
      <c r="CV12" s="59"/>
    </row>
    <row r="13" spans="1:100" ht="12.75" customHeight="1" x14ac:dyDescent="0.2">
      <c r="A13" s="313"/>
      <c r="B13" s="313" t="s">
        <v>52</v>
      </c>
      <c r="C13" s="313"/>
      <c r="D13" s="320">
        <f t="shared" ref="D13:O13" si="18">+D12/D5</f>
        <v>0.56532376447561572</v>
      </c>
      <c r="E13" s="320">
        <f t="shared" si="18"/>
        <v>0.57128712871287124</v>
      </c>
      <c r="F13" s="320">
        <f t="shared" si="18"/>
        <v>0.57034587295025496</v>
      </c>
      <c r="G13" s="320">
        <f t="shared" si="18"/>
        <v>0.56151312052709301</v>
      </c>
      <c r="H13" s="321">
        <f t="shared" si="18"/>
        <v>0.56686374354943436</v>
      </c>
      <c r="I13" s="320">
        <f t="shared" si="18"/>
        <v>0.56416097190584658</v>
      </c>
      <c r="J13" s="320">
        <f t="shared" si="18"/>
        <v>0.56944263998960631</v>
      </c>
      <c r="K13" s="320">
        <f t="shared" si="18"/>
        <v>0.57050342130987297</v>
      </c>
      <c r="L13" s="320">
        <f t="shared" si="18"/>
        <v>0.55569332506716262</v>
      </c>
      <c r="M13" s="321">
        <f t="shared" si="18"/>
        <v>0.56449104031856645</v>
      </c>
      <c r="N13" s="320">
        <f t="shared" si="18"/>
        <v>0.55916058937341862</v>
      </c>
      <c r="O13" s="320">
        <f t="shared" si="18"/>
        <v>0.55680514115216895</v>
      </c>
      <c r="P13" s="320">
        <f t="shared" ref="P13:AG13" si="19">+P12/P5</f>
        <v>0.55025180643748628</v>
      </c>
      <c r="Q13" s="320">
        <f t="shared" si="19"/>
        <v>0.54304635761589404</v>
      </c>
      <c r="R13" s="321">
        <f t="shared" si="19"/>
        <v>0.55141304038477956</v>
      </c>
      <c r="S13" s="322">
        <f t="shared" si="19"/>
        <v>0.55306122448979589</v>
      </c>
      <c r="T13" s="322">
        <f t="shared" si="19"/>
        <v>0.54803788903924222</v>
      </c>
      <c r="U13" s="322">
        <f t="shared" si="19"/>
        <v>0.54507914659325529</v>
      </c>
      <c r="V13" s="322">
        <f t="shared" si="19"/>
        <v>0.53150818078729956</v>
      </c>
      <c r="W13" s="321">
        <f t="shared" si="19"/>
        <v>0.5430409890054213</v>
      </c>
      <c r="X13" s="322">
        <f t="shared" si="19"/>
        <v>0.53990159606384258</v>
      </c>
      <c r="Y13" s="322">
        <f t="shared" si="19"/>
        <v>0.53604385564184565</v>
      </c>
      <c r="Z13" s="322">
        <f t="shared" si="19"/>
        <v>0.5314834578441836</v>
      </c>
      <c r="AA13" s="322">
        <f t="shared" si="19"/>
        <v>0.52203629507423988</v>
      </c>
      <c r="AB13" s="321">
        <f t="shared" si="19"/>
        <v>0.53147904094703013</v>
      </c>
      <c r="AC13" s="322">
        <f t="shared" si="19"/>
        <v>0.54689580055669851</v>
      </c>
      <c r="AD13" s="322">
        <f t="shared" si="19"/>
        <v>0.53918051359516617</v>
      </c>
      <c r="AE13" s="322">
        <f t="shared" si="19"/>
        <v>0.53240072202166067</v>
      </c>
      <c r="AF13" s="322">
        <f t="shared" si="19"/>
        <v>0.52673535383921188</v>
      </c>
      <c r="AG13" s="321">
        <f t="shared" si="19"/>
        <v>0.53508974833456702</v>
      </c>
      <c r="AH13" s="322">
        <f t="shared" ref="AH13:BU13" si="20">+AH12/AH5</f>
        <v>0.55358667805294615</v>
      </c>
      <c r="AI13" s="322">
        <f t="shared" si="20"/>
        <v>0.54921964732112694</v>
      </c>
      <c r="AJ13" s="320">
        <f t="shared" si="20"/>
        <v>0.54937475828284132</v>
      </c>
      <c r="AK13" s="320">
        <f t="shared" si="20"/>
        <v>0.540897824290829</v>
      </c>
      <c r="AL13" s="321">
        <f t="shared" si="20"/>
        <v>0.54735640928109552</v>
      </c>
      <c r="AM13" s="322">
        <f t="shared" si="20"/>
        <v>0.54653598056463093</v>
      </c>
      <c r="AN13" s="320">
        <f t="shared" si="20"/>
        <v>0.52701016223925834</v>
      </c>
      <c r="AO13" s="323">
        <f t="shared" si="20"/>
        <v>0.51945171197815954</v>
      </c>
      <c r="AP13" s="320">
        <f t="shared" si="20"/>
        <v>0.51568978756078832</v>
      </c>
      <c r="AQ13" s="321">
        <f t="shared" si="20"/>
        <v>0.52517417768400598</v>
      </c>
      <c r="AR13" s="320">
        <f t="shared" si="20"/>
        <v>0.51979401351786292</v>
      </c>
      <c r="AS13" s="322">
        <f t="shared" si="20"/>
        <v>0.51531170251549396</v>
      </c>
      <c r="AT13" s="323">
        <f t="shared" si="20"/>
        <v>0.51927696372808074</v>
      </c>
      <c r="AU13" s="320">
        <f t="shared" si="20"/>
        <v>0.51287962313320634</v>
      </c>
      <c r="AV13" s="321">
        <f t="shared" si="20"/>
        <v>0.51642948757100104</v>
      </c>
      <c r="AW13" s="320">
        <f t="shared" si="20"/>
        <v>0.53246959701136631</v>
      </c>
      <c r="AX13" s="320">
        <f t="shared" si="20"/>
        <v>0.52733979889331828</v>
      </c>
      <c r="AY13" s="320">
        <f t="shared" si="20"/>
        <v>0.52628777574072982</v>
      </c>
      <c r="AZ13" s="320">
        <f>+AZ12/AZ5</f>
        <v>0.51888855751068697</v>
      </c>
      <c r="BA13" s="321">
        <f t="shared" si="20"/>
        <v>0.52548370097116615</v>
      </c>
      <c r="BB13" s="320">
        <f>+BB12/BB5</f>
        <v>0.53616414481502017</v>
      </c>
      <c r="BC13" s="320">
        <f>+BC12/BC5</f>
        <v>0.53326624837220316</v>
      </c>
      <c r="BD13" s="320">
        <f>+BD12/BD5</f>
        <v>0.53095597630386804</v>
      </c>
      <c r="BE13" s="320">
        <f t="shared" si="20"/>
        <v>0.52601764587928612</v>
      </c>
      <c r="BF13" s="321">
        <f>+BF12/BF5</f>
        <v>0.53104989277626979</v>
      </c>
      <c r="BG13" s="320">
        <f t="shared" si="20"/>
        <v>0.5510354424163052</v>
      </c>
      <c r="BH13" s="320">
        <f t="shared" si="20"/>
        <v>0.54449538403567166</v>
      </c>
      <c r="BI13" s="320">
        <f t="shared" si="20"/>
        <v>0.54252648337517606</v>
      </c>
      <c r="BJ13" s="320">
        <f t="shared" si="20"/>
        <v>0.5424266881894001</v>
      </c>
      <c r="BK13" s="321">
        <f>+BK12/BK5</f>
        <v>0.5446428571428571</v>
      </c>
      <c r="BL13" s="320">
        <f t="shared" si="20"/>
        <v>0.56423874557410214</v>
      </c>
      <c r="BM13" s="320">
        <f t="shared" si="20"/>
        <v>0.55225722637219876</v>
      </c>
      <c r="BN13" s="320">
        <f t="shared" si="20"/>
        <v>0.54757596555812071</v>
      </c>
      <c r="BO13" s="320">
        <f t="shared" si="20"/>
        <v>0.54014860363822703</v>
      </c>
      <c r="BP13" s="321">
        <f t="shared" si="20"/>
        <v>0.5495628911288396</v>
      </c>
      <c r="BQ13" s="580">
        <f t="shared" si="20"/>
        <v>0.55971449912855842</v>
      </c>
      <c r="BR13" s="320">
        <f t="shared" si="20"/>
        <v>0.5516868236791852</v>
      </c>
      <c r="BS13" s="320">
        <f t="shared" si="20"/>
        <v>0.54636699507389164</v>
      </c>
      <c r="BT13" s="320">
        <f t="shared" si="20"/>
        <v>0.53508142988835394</v>
      </c>
      <c r="BU13" s="321">
        <f t="shared" si="20"/>
        <v>0.54674537583628491</v>
      </c>
      <c r="BV13" s="320">
        <f t="shared" ref="BV13:CE13" si="21">+BV12/BV5</f>
        <v>0.55421449912855836</v>
      </c>
      <c r="BW13" s="320">
        <f t="shared" si="21"/>
        <v>0.5486868236791852</v>
      </c>
      <c r="BX13" s="320">
        <f t="shared" si="21"/>
        <v>0.54886699507389158</v>
      </c>
      <c r="BY13" s="320">
        <f t="shared" si="21"/>
        <v>0.5388219148397424</v>
      </c>
      <c r="BZ13" s="321">
        <f t="shared" si="21"/>
        <v>0.54674537583628491</v>
      </c>
      <c r="CA13" s="320">
        <f t="shared" si="21"/>
        <v>0.55621449912855836</v>
      </c>
      <c r="CB13" s="320">
        <f t="shared" si="21"/>
        <v>0.55068682367918531</v>
      </c>
      <c r="CC13" s="320">
        <f t="shared" si="21"/>
        <v>0.55086699507389159</v>
      </c>
      <c r="CD13" s="320">
        <f t="shared" si="21"/>
        <v>0.5408347368894576</v>
      </c>
      <c r="CE13" s="321">
        <f t="shared" si="21"/>
        <v>0.5487453758362848</v>
      </c>
      <c r="CF13" s="320">
        <f t="shared" ref="CF13:CO13" si="22">+CF12/CF5</f>
        <v>0.55821449912855836</v>
      </c>
      <c r="CG13" s="320">
        <f t="shared" si="22"/>
        <v>0.55268682367918531</v>
      </c>
      <c r="CH13" s="320">
        <f t="shared" si="22"/>
        <v>0.5528669950738917</v>
      </c>
      <c r="CI13" s="320">
        <f t="shared" si="22"/>
        <v>0.54284596482709646</v>
      </c>
      <c r="CJ13" s="321">
        <f t="shared" si="22"/>
        <v>0.5507453758362848</v>
      </c>
      <c r="CK13" s="320">
        <f t="shared" si="22"/>
        <v>0.55971449912855831</v>
      </c>
      <c r="CL13" s="320">
        <f t="shared" si="22"/>
        <v>0.55418682367918537</v>
      </c>
      <c r="CM13" s="320">
        <f t="shared" si="22"/>
        <v>0.55436699507389164</v>
      </c>
      <c r="CN13" s="320">
        <f t="shared" si="22"/>
        <v>0.5443572286750229</v>
      </c>
      <c r="CO13" s="321">
        <f t="shared" si="22"/>
        <v>0.55224537583628497</v>
      </c>
      <c r="CP13" s="320">
        <f>+CP12/CP5</f>
        <v>0.56121449912855836</v>
      </c>
      <c r="CQ13" s="320">
        <f>+CQ12/CQ5</f>
        <v>0.55568682367918532</v>
      </c>
      <c r="CR13" s="320">
        <f>+CR12/CR5</f>
        <v>0.55586699507389159</v>
      </c>
      <c r="CS13" s="320">
        <f>+CS12/CS5</f>
        <v>0.54586852240540451</v>
      </c>
      <c r="CT13" s="321">
        <f>+CT12/CT5</f>
        <v>0.55374537583628491</v>
      </c>
      <c r="CU13" s="313"/>
      <c r="CV13" s="313"/>
    </row>
    <row r="14" spans="1:100" ht="12.75" customHeight="1" x14ac:dyDescent="0.2">
      <c r="A14" s="313"/>
      <c r="B14" s="313" t="s">
        <v>27</v>
      </c>
      <c r="C14" s="313"/>
      <c r="D14" s="349"/>
      <c r="E14" s="349"/>
      <c r="F14" s="349"/>
      <c r="G14" s="349"/>
      <c r="H14" s="356"/>
      <c r="I14" s="349">
        <f t="shared" ref="I14:AG14" si="23">+(I13-D13)*10000</f>
        <v>-11.627925697691444</v>
      </c>
      <c r="J14" s="349">
        <f t="shared" si="23"/>
        <v>-18.444887232649254</v>
      </c>
      <c r="K14" s="349">
        <f t="shared" si="23"/>
        <v>1.5754835961800939</v>
      </c>
      <c r="L14" s="349">
        <f t="shared" si="23"/>
        <v>-58.197954599303884</v>
      </c>
      <c r="M14" s="356">
        <f t="shared" si="23"/>
        <v>-23.727032308679121</v>
      </c>
      <c r="N14" s="349">
        <f t="shared" si="23"/>
        <v>-50.003825324279603</v>
      </c>
      <c r="O14" s="349">
        <f t="shared" si="23"/>
        <v>-126.37498837437366</v>
      </c>
      <c r="P14" s="349">
        <f t="shared" si="23"/>
        <v>-202.51614872386691</v>
      </c>
      <c r="Q14" s="349">
        <f t="shared" si="23"/>
        <v>-126.46967451268587</v>
      </c>
      <c r="R14" s="356">
        <f t="shared" si="23"/>
        <v>-130.77999933786887</v>
      </c>
      <c r="S14" s="344">
        <f t="shared" si="23"/>
        <v>-60.993648836227266</v>
      </c>
      <c r="T14" s="344">
        <f t="shared" si="23"/>
        <v>-87.672521129267267</v>
      </c>
      <c r="U14" s="344">
        <f t="shared" si="23"/>
        <v>-51.726598442309864</v>
      </c>
      <c r="V14" s="344">
        <f t="shared" si="23"/>
        <v>-115.38176828594482</v>
      </c>
      <c r="W14" s="356">
        <f t="shared" si="23"/>
        <v>-83.720513793582583</v>
      </c>
      <c r="X14" s="344">
        <f t="shared" si="23"/>
        <v>-131.59628425953306</v>
      </c>
      <c r="Y14" s="344">
        <f t="shared" si="23"/>
        <v>-119.94033397396575</v>
      </c>
      <c r="Z14" s="344">
        <f t="shared" si="23"/>
        <v>-135.95688749071689</v>
      </c>
      <c r="AA14" s="344">
        <f t="shared" si="23"/>
        <v>-94.718857130596803</v>
      </c>
      <c r="AB14" s="356">
        <f t="shared" si="23"/>
        <v>-115.6194805839117</v>
      </c>
      <c r="AC14" s="344">
        <f t="shared" si="23"/>
        <v>69.94204492855927</v>
      </c>
      <c r="AD14" s="344">
        <f t="shared" si="23"/>
        <v>31.366579533205208</v>
      </c>
      <c r="AE14" s="344">
        <f t="shared" si="23"/>
        <v>9.1726417747706179</v>
      </c>
      <c r="AF14" s="344">
        <f t="shared" si="23"/>
        <v>46.990587649720084</v>
      </c>
      <c r="AG14" s="356">
        <f t="shared" si="23"/>
        <v>36.107073875368826</v>
      </c>
      <c r="AH14" s="344">
        <f t="shared" ref="AH14:BU14" si="24">+(AH13-AC13)*10000</f>
        <v>66.908774962476386</v>
      </c>
      <c r="AI14" s="344">
        <f t="shared" si="24"/>
        <v>100.3913372596077</v>
      </c>
      <c r="AJ14" s="349">
        <f t="shared" si="24"/>
        <v>169.74036261180657</v>
      </c>
      <c r="AK14" s="349">
        <f t="shared" si="24"/>
        <v>141.62470451617116</v>
      </c>
      <c r="AL14" s="356">
        <f t="shared" si="24"/>
        <v>122.66660946528506</v>
      </c>
      <c r="AM14" s="344">
        <f t="shared" si="24"/>
        <v>-70.506974883152168</v>
      </c>
      <c r="AN14" s="349">
        <f t="shared" si="24"/>
        <v>-222.09485081868596</v>
      </c>
      <c r="AO14" s="346">
        <f t="shared" si="24"/>
        <v>-299.23046304681787</v>
      </c>
      <c r="AP14" s="349">
        <f t="shared" si="24"/>
        <v>-252.08036730040683</v>
      </c>
      <c r="AQ14" s="356">
        <f t="shared" si="24"/>
        <v>-221.8223159708954</v>
      </c>
      <c r="AR14" s="349">
        <f t="shared" si="24"/>
        <v>-267.41967046768013</v>
      </c>
      <c r="AS14" s="344">
        <f t="shared" si="24"/>
        <v>-116.98459723764375</v>
      </c>
      <c r="AT14" s="346">
        <f t="shared" si="24"/>
        <v>-1.7474825007879335</v>
      </c>
      <c r="AU14" s="349">
        <f t="shared" si="24"/>
        <v>-28.101644275819737</v>
      </c>
      <c r="AV14" s="356">
        <f t="shared" si="24"/>
        <v>-87.446901130049383</v>
      </c>
      <c r="AW14" s="349">
        <f t="shared" si="24"/>
        <v>126.75583493503395</v>
      </c>
      <c r="AX14" s="349">
        <f t="shared" si="24"/>
        <v>120.28096377824315</v>
      </c>
      <c r="AY14" s="349">
        <f t="shared" si="24"/>
        <v>70.108120126490817</v>
      </c>
      <c r="AZ14" s="349">
        <f>+(AZ13-AU13)*10000</f>
        <v>60.089343774806238</v>
      </c>
      <c r="BA14" s="356">
        <f t="shared" si="24"/>
        <v>90.542134001651007</v>
      </c>
      <c r="BB14" s="349">
        <f>+(BB13-AW13)*10000</f>
        <v>36.945478036538582</v>
      </c>
      <c r="BC14" s="349">
        <f>+(BC13-AX13)*10000</f>
        <v>59.264494788848765</v>
      </c>
      <c r="BD14" s="349">
        <f>+(BD13-AY13)*10000</f>
        <v>46.68200563138214</v>
      </c>
      <c r="BE14" s="349">
        <f>+(BE13-AZ13)*10000</f>
        <v>71.290883685991574</v>
      </c>
      <c r="BF14" s="356">
        <f>+(BF13-BA13)*10000</f>
        <v>55.661918051036487</v>
      </c>
      <c r="BG14" s="349">
        <f t="shared" si="24"/>
        <v>148.71297601285028</v>
      </c>
      <c r="BH14" s="349">
        <f t="shared" si="24"/>
        <v>112.29135663468503</v>
      </c>
      <c r="BI14" s="349">
        <f t="shared" si="24"/>
        <v>115.70507071308023</v>
      </c>
      <c r="BJ14" s="349">
        <f t="shared" si="24"/>
        <v>164.09042310113975</v>
      </c>
      <c r="BK14" s="356">
        <f>+(BK13-BF13)*10000</f>
        <v>135.92964366587302</v>
      </c>
      <c r="BL14" s="349">
        <f t="shared" si="24"/>
        <v>132.03303157796941</v>
      </c>
      <c r="BM14" s="349">
        <f t="shared" si="24"/>
        <v>77.618423365271028</v>
      </c>
      <c r="BN14" s="349">
        <f t="shared" si="24"/>
        <v>50.494821829446536</v>
      </c>
      <c r="BO14" s="349">
        <f t="shared" si="24"/>
        <v>-22.780845511730654</v>
      </c>
      <c r="BP14" s="356">
        <f t="shared" si="24"/>
        <v>49.200339859825078</v>
      </c>
      <c r="BQ14" s="589">
        <f t="shared" si="24"/>
        <v>-45.242464455437229</v>
      </c>
      <c r="BR14" s="349">
        <f t="shared" si="24"/>
        <v>-5.7040269301356084</v>
      </c>
      <c r="BS14" s="349">
        <f t="shared" si="24"/>
        <v>-12.089704842290772</v>
      </c>
      <c r="BT14" s="349">
        <f t="shared" si="24"/>
        <v>-50.671737498730884</v>
      </c>
      <c r="BU14" s="356">
        <f t="shared" si="24"/>
        <v>-28.175152925546953</v>
      </c>
      <c r="BV14" s="349">
        <f t="shared" ref="BV14:CE14" si="25">+(BV13-BQ13)*10000</f>
        <v>-55.000000000000604</v>
      </c>
      <c r="BW14" s="349">
        <f t="shared" si="25"/>
        <v>-30.000000000000028</v>
      </c>
      <c r="BX14" s="349">
        <f t="shared" si="25"/>
        <v>24.999999999999467</v>
      </c>
      <c r="BY14" s="349">
        <f t="shared" si="25"/>
        <v>37.404849513884564</v>
      </c>
      <c r="BZ14" s="356">
        <f t="shared" si="25"/>
        <v>0</v>
      </c>
      <c r="CA14" s="349">
        <f t="shared" si="25"/>
        <v>20.000000000000018</v>
      </c>
      <c r="CB14" s="349">
        <f t="shared" si="25"/>
        <v>20.00000000000113</v>
      </c>
      <c r="CC14" s="349">
        <f t="shared" si="25"/>
        <v>20.000000000000018</v>
      </c>
      <c r="CD14" s="349">
        <f t="shared" si="25"/>
        <v>20.128220497152014</v>
      </c>
      <c r="CE14" s="356">
        <f t="shared" si="25"/>
        <v>19.999999999998906</v>
      </c>
      <c r="CF14" s="349">
        <f t="shared" ref="CF14:CO14" si="26">+(CF13-CA13)*10000</f>
        <v>20.000000000000018</v>
      </c>
      <c r="CG14" s="349">
        <f t="shared" si="26"/>
        <v>20.000000000000018</v>
      </c>
      <c r="CH14" s="349">
        <f t="shared" si="26"/>
        <v>20.00000000000113</v>
      </c>
      <c r="CI14" s="349">
        <f t="shared" si="26"/>
        <v>20.112279376388599</v>
      </c>
      <c r="CJ14" s="356">
        <f t="shared" si="26"/>
        <v>20.000000000000018</v>
      </c>
      <c r="CK14" s="349">
        <f t="shared" si="26"/>
        <v>14.999999999999458</v>
      </c>
      <c r="CL14" s="349">
        <f t="shared" si="26"/>
        <v>15.000000000000568</v>
      </c>
      <c r="CM14" s="349">
        <f t="shared" si="26"/>
        <v>14.999999999999458</v>
      </c>
      <c r="CN14" s="349">
        <f t="shared" si="26"/>
        <v>15.112638479264362</v>
      </c>
      <c r="CO14" s="356">
        <f t="shared" si="26"/>
        <v>15.000000000001679</v>
      </c>
      <c r="CP14" s="349">
        <f>+(CP13-CK13)*10000</f>
        <v>15.000000000000568</v>
      </c>
      <c r="CQ14" s="349">
        <f>+(CQ13-CL13)*10000</f>
        <v>14.999999999999458</v>
      </c>
      <c r="CR14" s="349">
        <f>+(CR13-CM13)*10000</f>
        <v>14.999999999999458</v>
      </c>
      <c r="CS14" s="349">
        <f>+(CS13-CN13)*10000</f>
        <v>15.112937303816132</v>
      </c>
      <c r="CT14" s="356">
        <f>+(CT13-CO13)*10000</f>
        <v>14.999999999999458</v>
      </c>
      <c r="CU14" s="313"/>
      <c r="CV14" s="313"/>
    </row>
    <row r="15" spans="1:100" ht="12.75" customHeight="1" x14ac:dyDescent="0.2">
      <c r="A15" s="357"/>
      <c r="B15" s="357"/>
      <c r="C15" s="313"/>
      <c r="D15" s="294"/>
      <c r="E15" s="358"/>
      <c r="F15" s="358"/>
      <c r="G15" s="358"/>
      <c r="H15" s="351"/>
      <c r="I15" s="294"/>
      <c r="J15" s="358"/>
      <c r="K15" s="358"/>
      <c r="L15" s="358"/>
      <c r="M15" s="351"/>
      <c r="N15" s="294"/>
      <c r="O15" s="294"/>
      <c r="P15" s="358"/>
      <c r="Q15" s="358"/>
      <c r="R15" s="351"/>
      <c r="S15" s="359"/>
      <c r="T15" s="359"/>
      <c r="U15" s="359"/>
      <c r="V15" s="359"/>
      <c r="W15" s="351"/>
      <c r="X15" s="359"/>
      <c r="Y15" s="359"/>
      <c r="Z15" s="359"/>
      <c r="AA15" s="359"/>
      <c r="AB15" s="351"/>
      <c r="AC15" s="359"/>
      <c r="AD15" s="359"/>
      <c r="AE15" s="359"/>
      <c r="AF15" s="359"/>
      <c r="AG15" s="351"/>
      <c r="AH15" s="359"/>
      <c r="AI15" s="359"/>
      <c r="AJ15" s="358"/>
      <c r="AK15" s="358"/>
      <c r="AL15" s="351"/>
      <c r="AM15" s="358"/>
      <c r="AN15" s="358"/>
      <c r="AO15" s="360"/>
      <c r="AP15" s="358"/>
      <c r="AQ15" s="351"/>
      <c r="AR15" s="358"/>
      <c r="AS15" s="359"/>
      <c r="AT15" s="360"/>
      <c r="AU15" s="358"/>
      <c r="AV15" s="351"/>
      <c r="AW15" s="358"/>
      <c r="AX15" s="358"/>
      <c r="AY15" s="358"/>
      <c r="AZ15" s="358"/>
      <c r="BA15" s="351"/>
      <c r="BB15" s="358"/>
      <c r="BC15" s="358"/>
      <c r="BD15" s="358"/>
      <c r="BE15" s="358"/>
      <c r="BF15" s="351"/>
      <c r="BG15" s="358"/>
      <c r="BH15" s="349"/>
      <c r="BI15" s="349"/>
      <c r="BJ15" s="349"/>
      <c r="BK15" s="351"/>
      <c r="BL15" s="584"/>
      <c r="BM15" s="584"/>
      <c r="BN15" s="584"/>
      <c r="BO15" s="584"/>
      <c r="BP15" s="351"/>
      <c r="BQ15" s="591"/>
      <c r="BR15" s="584"/>
      <c r="BS15" s="584"/>
      <c r="BT15" s="584"/>
      <c r="BU15" s="351"/>
      <c r="BV15" s="330"/>
      <c r="BW15" s="358"/>
      <c r="BX15" s="358"/>
      <c r="BY15" s="358"/>
      <c r="BZ15" s="351"/>
      <c r="CA15" s="358"/>
      <c r="CB15" s="358"/>
      <c r="CC15" s="358"/>
      <c r="CD15" s="358"/>
      <c r="CE15" s="351"/>
      <c r="CF15" s="358"/>
      <c r="CG15" s="358"/>
      <c r="CH15" s="358"/>
      <c r="CI15" s="358"/>
      <c r="CJ15" s="351"/>
      <c r="CK15" s="358"/>
      <c r="CL15" s="358"/>
      <c r="CM15" s="358"/>
      <c r="CN15" s="358"/>
      <c r="CO15" s="351"/>
      <c r="CP15" s="358"/>
      <c r="CQ15" s="358"/>
      <c r="CR15" s="358"/>
      <c r="CS15" s="358"/>
      <c r="CT15" s="351"/>
      <c r="CU15" s="313"/>
      <c r="CV15" s="313"/>
    </row>
    <row r="16" spans="1:100" ht="12.75" customHeight="1" x14ac:dyDescent="0.2">
      <c r="A16" s="361" t="s">
        <v>53</v>
      </c>
      <c r="B16" s="361"/>
      <c r="C16" s="59"/>
      <c r="D16" s="330">
        <v>-2307</v>
      </c>
      <c r="E16" s="330">
        <v>-2585</v>
      </c>
      <c r="F16" s="330">
        <v>-2592</v>
      </c>
      <c r="G16" s="330">
        <v>-3547</v>
      </c>
      <c r="H16" s="331">
        <v>-11031</v>
      </c>
      <c r="I16" s="330">
        <v>-2439</v>
      </c>
      <c r="J16" s="330">
        <v>-2790</v>
      </c>
      <c r="K16" s="330">
        <v>-2952</v>
      </c>
      <c r="L16" s="330">
        <v>-3884</v>
      </c>
      <c r="M16" s="331">
        <v>-12065</v>
      </c>
      <c r="N16" s="330">
        <v>-2469</v>
      </c>
      <c r="O16" s="330">
        <v>-3016</v>
      </c>
      <c r="P16" s="330">
        <v>-3129</v>
      </c>
      <c r="Q16" s="330">
        <v>-4030</v>
      </c>
      <c r="R16" s="331">
        <f>-12711+67</f>
        <v>-12644</v>
      </c>
      <c r="S16" s="332">
        <f>-2635-17</f>
        <v>-2652</v>
      </c>
      <c r="T16" s="332">
        <f>-3295-13</f>
        <v>-3308</v>
      </c>
      <c r="U16" s="332">
        <f>-3467+29</f>
        <v>-3438</v>
      </c>
      <c r="V16" s="332">
        <v>-4727</v>
      </c>
      <c r="W16" s="331">
        <v>-14125</v>
      </c>
      <c r="X16" s="332">
        <v>-2926</v>
      </c>
      <c r="Y16" s="332">
        <v>-3719</v>
      </c>
      <c r="Z16" s="332">
        <v>-3796</v>
      </c>
      <c r="AA16" s="332">
        <v>-4634</v>
      </c>
      <c r="AB16" s="331">
        <v>-15075</v>
      </c>
      <c r="AC16" s="332">
        <v>-2958</v>
      </c>
      <c r="AD16" s="332">
        <v>-3596</v>
      </c>
      <c r="AE16" s="332">
        <v>-3677</v>
      </c>
      <c r="AF16" s="332">
        <v>-4983</v>
      </c>
      <c r="AG16" s="331">
        <v>-15214</v>
      </c>
      <c r="AH16" s="332">
        <v>-3448</v>
      </c>
      <c r="AI16" s="332">
        <v>-5401</v>
      </c>
      <c r="AJ16" s="330">
        <v>-5623</v>
      </c>
      <c r="AK16" s="332">
        <v>-7296</v>
      </c>
      <c r="AL16" s="331">
        <f>SUM(AH16:AK16)</f>
        <v>-21768</v>
      </c>
      <c r="AM16" s="330">
        <v>-4715</v>
      </c>
      <c r="AN16" s="330">
        <v>-6003</v>
      </c>
      <c r="AO16" s="333">
        <v>-6088</v>
      </c>
      <c r="AP16" s="332">
        <v>-7293</v>
      </c>
      <c r="AQ16" s="331">
        <f>SUM(AM16:AP16)</f>
        <v>-24099</v>
      </c>
      <c r="AR16" s="330">
        <f>-4824+62</f>
        <v>-4762</v>
      </c>
      <c r="AS16" s="332">
        <f>-5864+86</f>
        <v>-5778</v>
      </c>
      <c r="AT16" s="333">
        <f>-5953+97</f>
        <v>-5856</v>
      </c>
      <c r="AU16" s="332">
        <f>-7734+109</f>
        <v>-7625</v>
      </c>
      <c r="AV16" s="331">
        <f>SUM(AR16:AU16)</f>
        <v>-24021</v>
      </c>
      <c r="AW16" s="330">
        <f>-4941+62</f>
        <v>-4879</v>
      </c>
      <c r="AX16" s="330">
        <f>-5996+86</f>
        <v>-5910</v>
      </c>
      <c r="AY16" s="330">
        <f>-6156+97</f>
        <v>-6059</v>
      </c>
      <c r="AZ16" s="330">
        <f>-7990+109</f>
        <v>-7881</v>
      </c>
      <c r="BA16" s="331">
        <f>SUM(AW16:AZ16)</f>
        <v>-24729</v>
      </c>
      <c r="BB16" s="330">
        <f>-4938+62</f>
        <v>-4876</v>
      </c>
      <c r="BC16" s="330">
        <f>-6116+86</f>
        <v>-6030</v>
      </c>
      <c r="BD16" s="330">
        <f>-6269+97</f>
        <v>-6172</v>
      </c>
      <c r="BE16" s="330">
        <f>-8038+109</f>
        <v>-7929</v>
      </c>
      <c r="BF16" s="331">
        <f>SUM(BB16:BE16)</f>
        <v>-25007</v>
      </c>
      <c r="BG16" s="330">
        <v>-4882</v>
      </c>
      <c r="BH16" s="330">
        <f>-5849+84</f>
        <v>-5765</v>
      </c>
      <c r="BI16" s="330">
        <f>-6046+95</f>
        <v>-5951</v>
      </c>
      <c r="BJ16" s="330">
        <f>-7840+107</f>
        <v>-7733</v>
      </c>
      <c r="BK16" s="331">
        <f>SUM(BG16:BJ16)</f>
        <v>-24331</v>
      </c>
      <c r="BL16" s="330">
        <f>-4703-BL35</f>
        <v>-4760</v>
      </c>
      <c r="BM16" s="330">
        <f>-5572-BM35</f>
        <v>-5629</v>
      </c>
      <c r="BN16" s="330">
        <f>-5871-BN35</f>
        <v>-5928</v>
      </c>
      <c r="BO16" s="330">
        <f>-7903-BO35</f>
        <v>-7960</v>
      </c>
      <c r="BP16" s="331">
        <f>SUM(BL16:BO16)</f>
        <v>-24277</v>
      </c>
      <c r="BQ16" s="578">
        <f>-4757-71</f>
        <v>-4828</v>
      </c>
      <c r="BR16" s="578">
        <f>-5601-72</f>
        <v>-5673</v>
      </c>
      <c r="BS16" s="578">
        <f>-5883-71</f>
        <v>-5954</v>
      </c>
      <c r="BT16" s="578">
        <f>-7657-23-12-2-10-7-31-BT21</f>
        <v>-7719</v>
      </c>
      <c r="BU16" s="331">
        <f>SUM(BQ16:BT16)</f>
        <v>-24174</v>
      </c>
      <c r="BV16" s="330">
        <f t="shared" ref="BV16:CJ16" si="27">+BV23-BV12-BV21</f>
        <v>-5104.3434646974083</v>
      </c>
      <c r="BW16" s="330">
        <f t="shared" si="27"/>
        <v>-5880.0196503490988</v>
      </c>
      <c r="BX16" s="330">
        <f t="shared" si="27"/>
        <v>-6008.9251543589771</v>
      </c>
      <c r="BY16" s="332">
        <f t="shared" si="27"/>
        <v>-7962.4034807660501</v>
      </c>
      <c r="BZ16" s="331">
        <f t="shared" si="27"/>
        <v>-24955.691750171536</v>
      </c>
      <c r="CA16" s="330">
        <f t="shared" si="27"/>
        <v>-5183.4060702875795</v>
      </c>
      <c r="CB16" s="330">
        <f t="shared" si="27"/>
        <v>-5989.636369088169</v>
      </c>
      <c r="CC16" s="330">
        <f t="shared" si="27"/>
        <v>-6120.6963039031689</v>
      </c>
      <c r="CD16" s="332">
        <f t="shared" si="27"/>
        <v>-8181.4119529794843</v>
      </c>
      <c r="CE16" s="331">
        <f t="shared" si="27"/>
        <v>-25475.150696258403</v>
      </c>
      <c r="CF16" s="330">
        <f t="shared" si="27"/>
        <v>-5280.3253490367943</v>
      </c>
      <c r="CG16" s="330">
        <f t="shared" si="27"/>
        <v>-6112.4944620706983</v>
      </c>
      <c r="CH16" s="330">
        <f t="shared" si="27"/>
        <v>-6245.5848553741225</v>
      </c>
      <c r="CI16" s="332">
        <f t="shared" si="27"/>
        <v>-8354.7248255195482</v>
      </c>
      <c r="CJ16" s="331">
        <f t="shared" si="27"/>
        <v>-25993.129492001161</v>
      </c>
      <c r="CK16" s="330">
        <f t="shared" ref="CK16:CT16" si="28">+CK23-CK12-CK21</f>
        <v>-5374.4812488220332</v>
      </c>
      <c r="CL16" s="330">
        <f t="shared" si="28"/>
        <v>-6231.6935654890185</v>
      </c>
      <c r="CM16" s="330">
        <f t="shared" si="28"/>
        <v>-6366.5839597490594</v>
      </c>
      <c r="CN16" s="332">
        <f t="shared" si="28"/>
        <v>-8524.9763716794987</v>
      </c>
      <c r="CO16" s="331">
        <f t="shared" si="28"/>
        <v>-26497.735145739614</v>
      </c>
      <c r="CP16" s="330">
        <f t="shared" si="28"/>
        <v>-5471.2635735252697</v>
      </c>
      <c r="CQ16" s="330">
        <f t="shared" si="28"/>
        <v>-6354.4956393484508</v>
      </c>
      <c r="CR16" s="330">
        <f t="shared" si="28"/>
        <v>-6491.3460908799543</v>
      </c>
      <c r="CS16" s="332">
        <f t="shared" si="28"/>
        <v>-8700.7334804128241</v>
      </c>
      <c r="CT16" s="331">
        <f t="shared" si="28"/>
        <v>-27017.83878416651</v>
      </c>
      <c r="CU16" s="313"/>
      <c r="CV16" s="313"/>
    </row>
    <row r="17" spans="1:100" ht="12.75" customHeight="1" x14ac:dyDescent="0.2">
      <c r="A17" s="313"/>
      <c r="B17" s="313" t="s">
        <v>50</v>
      </c>
      <c r="C17" s="313"/>
      <c r="D17" s="319">
        <f t="shared" ref="D17:O17" si="29">-D16/D$5</f>
        <v>0.37628445604305988</v>
      </c>
      <c r="E17" s="319">
        <f t="shared" si="29"/>
        <v>0.36562942008486565</v>
      </c>
      <c r="F17" s="318">
        <f t="shared" si="29"/>
        <v>0.35717238528317485</v>
      </c>
      <c r="G17" s="319">
        <f t="shared" si="29"/>
        <v>0.40293081903896399</v>
      </c>
      <c r="H17" s="362">
        <f t="shared" si="29"/>
        <v>0.37698643245275282</v>
      </c>
      <c r="I17" s="319">
        <f t="shared" si="29"/>
        <v>0.37038724373576309</v>
      </c>
      <c r="J17" s="319">
        <f t="shared" si="29"/>
        <v>0.36247888787839416</v>
      </c>
      <c r="K17" s="318">
        <f t="shared" si="29"/>
        <v>0.36070381231671556</v>
      </c>
      <c r="L17" s="319">
        <f t="shared" si="29"/>
        <v>0.401322587311428</v>
      </c>
      <c r="M17" s="362">
        <f t="shared" si="29"/>
        <v>0.3753422100547536</v>
      </c>
      <c r="N17" s="319">
        <f t="shared" si="29"/>
        <v>0.36746539663640421</v>
      </c>
      <c r="O17" s="319">
        <f t="shared" si="29"/>
        <v>0.34610970851503325</v>
      </c>
      <c r="P17" s="318">
        <f t="shared" ref="P17:AJ17" si="30">-P16/P$5</f>
        <v>0.34256623604116487</v>
      </c>
      <c r="Q17" s="318">
        <f t="shared" si="30"/>
        <v>0.38126773888363291</v>
      </c>
      <c r="R17" s="362">
        <f t="shared" si="30"/>
        <v>0.35984859265162078</v>
      </c>
      <c r="S17" s="335">
        <f t="shared" si="30"/>
        <v>0.36081632653061224</v>
      </c>
      <c r="T17" s="335">
        <f t="shared" si="30"/>
        <v>0.34433225772873949</v>
      </c>
      <c r="U17" s="335">
        <f t="shared" si="30"/>
        <v>0.33801986038737586</v>
      </c>
      <c r="V17" s="335">
        <f t="shared" si="30"/>
        <v>0.38287704519682486</v>
      </c>
      <c r="W17" s="362">
        <f t="shared" si="30"/>
        <v>0.3578304706895678</v>
      </c>
      <c r="X17" s="335">
        <f t="shared" si="30"/>
        <v>0.35113404536181447</v>
      </c>
      <c r="Y17" s="335">
        <f t="shared" si="30"/>
        <v>0.33978985838282322</v>
      </c>
      <c r="Z17" s="335">
        <f t="shared" si="30"/>
        <v>0.33760227676983279</v>
      </c>
      <c r="AA17" s="335">
        <f t="shared" si="30"/>
        <v>0.36405059313378901</v>
      </c>
      <c r="AB17" s="362">
        <f t="shared" si="30"/>
        <v>0.34854685440799055</v>
      </c>
      <c r="AC17" s="335">
        <f t="shared" si="30"/>
        <v>0.35798136270119812</v>
      </c>
      <c r="AD17" s="335">
        <f t="shared" si="30"/>
        <v>0.33950151057401812</v>
      </c>
      <c r="AE17" s="335">
        <f t="shared" si="30"/>
        <v>0.33185920577617328</v>
      </c>
      <c r="AF17" s="335">
        <f t="shared" si="30"/>
        <v>0.37474618334962773</v>
      </c>
      <c r="AG17" s="362">
        <f t="shared" si="30"/>
        <v>0.35191524796447077</v>
      </c>
      <c r="AH17" s="335">
        <f t="shared" si="30"/>
        <v>0.36806148590947907</v>
      </c>
      <c r="AI17" s="335">
        <f t="shared" si="30"/>
        <v>0.36490777650158773</v>
      </c>
      <c r="AJ17" s="335">
        <f t="shared" si="30"/>
        <v>0.36244682222508701</v>
      </c>
      <c r="AK17" s="363">
        <f>-AK16/AK$5</f>
        <v>0.40187276232442853</v>
      </c>
      <c r="AL17" s="364">
        <f t="shared" ref="AL17:CJ17" si="31">-AL16/AL$5</f>
        <v>0.3763615616030983</v>
      </c>
      <c r="AM17" s="335">
        <f t="shared" si="31"/>
        <v>0.39499036608863197</v>
      </c>
      <c r="AN17" s="335">
        <f t="shared" si="31"/>
        <v>0.35674808343733283</v>
      </c>
      <c r="AO17" s="337">
        <f t="shared" si="31"/>
        <v>0.3462632237515641</v>
      </c>
      <c r="AP17" s="363">
        <f t="shared" si="31"/>
        <v>0.37332992065523418</v>
      </c>
      <c r="AQ17" s="364">
        <f t="shared" si="31"/>
        <v>0.36579590473732942</v>
      </c>
      <c r="AR17" s="335">
        <f t="shared" si="31"/>
        <v>0.38316704216285807</v>
      </c>
      <c r="AS17" s="335">
        <f t="shared" si="31"/>
        <v>0.35107546481954066</v>
      </c>
      <c r="AT17" s="337">
        <f t="shared" si="31"/>
        <v>0.35166946913283692</v>
      </c>
      <c r="AU17" s="365">
        <f t="shared" si="31"/>
        <v>0.38212889646186227</v>
      </c>
      <c r="AV17" s="364">
        <f t="shared" si="31"/>
        <v>0.36677762169425271</v>
      </c>
      <c r="AW17" s="365">
        <f t="shared" si="31"/>
        <v>0.38780701057149669</v>
      </c>
      <c r="AX17" s="365">
        <f t="shared" si="31"/>
        <v>0.35163919795323378</v>
      </c>
      <c r="AY17" s="336">
        <f t="shared" si="31"/>
        <v>0.3583298834939973</v>
      </c>
      <c r="AZ17" s="336">
        <f>-AZ16/AZ$5</f>
        <v>0.39173874142558901</v>
      </c>
      <c r="BA17" s="364">
        <f t="shared" si="31"/>
        <v>0.37234058571105927</v>
      </c>
      <c r="BB17" s="336">
        <f>-BB16/BB$5</f>
        <v>0.38627901449734614</v>
      </c>
      <c r="BC17" s="336">
        <f>-BC16/BC$5</f>
        <v>0.35693145495442169</v>
      </c>
      <c r="BD17" s="336">
        <f t="shared" si="31"/>
        <v>0.35846207457312113</v>
      </c>
      <c r="BE17" s="363">
        <f>-BE16/BE$5</f>
        <v>0.39748345698816923</v>
      </c>
      <c r="BF17" s="364">
        <f>-BF16/BF$5</f>
        <v>0.37501312178516266</v>
      </c>
      <c r="BG17" s="336">
        <f t="shared" si="31"/>
        <v>0.39960710485389211</v>
      </c>
      <c r="BH17" s="336">
        <f t="shared" si="31"/>
        <v>0.36205488915405387</v>
      </c>
      <c r="BI17" s="336">
        <f t="shared" si="31"/>
        <v>0.36439899577490664</v>
      </c>
      <c r="BJ17" s="363">
        <f t="shared" si="31"/>
        <v>0.41608824320688725</v>
      </c>
      <c r="BK17" s="364">
        <f>-BK16/BK$5</f>
        <v>0.38586335955341283</v>
      </c>
      <c r="BL17" s="363">
        <f t="shared" si="31"/>
        <v>0.40128140279885349</v>
      </c>
      <c r="BM17" s="336">
        <f t="shared" si="31"/>
        <v>0.36563819421890226</v>
      </c>
      <c r="BN17" s="336">
        <f t="shared" si="31"/>
        <v>0.36987583452923189</v>
      </c>
      <c r="BO17" s="363">
        <f t="shared" si="31"/>
        <v>0.40789136561619266</v>
      </c>
      <c r="BP17" s="364">
        <f>-BP16/BP$5</f>
        <v>0.38658258889472763</v>
      </c>
      <c r="BQ17" s="547">
        <f t="shared" si="31"/>
        <v>0.40069715329072952</v>
      </c>
      <c r="BR17" s="336">
        <f t="shared" si="31"/>
        <v>0.36110757479312539</v>
      </c>
      <c r="BS17" s="336">
        <f t="shared" ref="BS17" si="32">-BS16/BS$5</f>
        <v>0.3666256157635468</v>
      </c>
      <c r="BT17" s="363">
        <f t="shared" si="31"/>
        <v>0.3953190617638021</v>
      </c>
      <c r="BU17" s="364">
        <f>-BU16/BU$5</f>
        <v>0.38054309327036601</v>
      </c>
      <c r="BV17" s="336">
        <f t="shared" si="31"/>
        <v>0.40835921807924908</v>
      </c>
      <c r="BW17" s="336">
        <f t="shared" si="31"/>
        <v>0.36161756459731254</v>
      </c>
      <c r="BX17" s="336">
        <f t="shared" si="31"/>
        <v>0.35723958083511442</v>
      </c>
      <c r="BY17" s="363">
        <f t="shared" si="31"/>
        <v>0.39279773212576208</v>
      </c>
      <c r="BZ17" s="364">
        <f t="shared" si="31"/>
        <v>0.37896977641871216</v>
      </c>
      <c r="CA17" s="336">
        <f t="shared" si="31"/>
        <v>0.40300033616453845</v>
      </c>
      <c r="CB17" s="336">
        <f t="shared" si="31"/>
        <v>0.35729277591423791</v>
      </c>
      <c r="CC17" s="336">
        <f t="shared" si="31"/>
        <v>0.35322498127156909</v>
      </c>
      <c r="CD17" s="363">
        <f t="shared" si="31"/>
        <v>0.39134711605296479</v>
      </c>
      <c r="CE17" s="364">
        <f t="shared" si="31"/>
        <v>0.37540862381938916</v>
      </c>
      <c r="CF17" s="336">
        <f t="shared" si="31"/>
        <v>0.3991095039361785</v>
      </c>
      <c r="CG17" s="336">
        <f t="shared" si="31"/>
        <v>0.35395245379322959</v>
      </c>
      <c r="CH17" s="336">
        <f t="shared" si="31"/>
        <v>0.35011123510351322</v>
      </c>
      <c r="CI17" s="363">
        <f t="shared" si="31"/>
        <v>0.38777952239163738</v>
      </c>
      <c r="CJ17" s="364">
        <f t="shared" si="31"/>
        <v>0.37194989046573951</v>
      </c>
      <c r="CK17" s="336">
        <f t="shared" ref="CK17:CT17" si="33">-CK16/CK$5</f>
        <v>0.3948315504605</v>
      </c>
      <c r="CL17" s="336">
        <f t="shared" si="33"/>
        <v>0.35020784699827245</v>
      </c>
      <c r="CM17" s="336">
        <f t="shared" si="33"/>
        <v>0.34658045402538412</v>
      </c>
      <c r="CN17" s="363">
        <f t="shared" si="33"/>
        <v>0.38384645153917624</v>
      </c>
      <c r="CO17" s="364">
        <f t="shared" si="33"/>
        <v>0.36809867655693984</v>
      </c>
      <c r="CP17" s="336">
        <f t="shared" si="33"/>
        <v>0.39057975689080482</v>
      </c>
      <c r="CQ17" s="336">
        <f t="shared" si="33"/>
        <v>0.34648586881426419</v>
      </c>
      <c r="CR17" s="336">
        <f t="shared" si="33"/>
        <v>0.34306808776633868</v>
      </c>
      <c r="CS17" s="363">
        <f t="shared" si="33"/>
        <v>0.37994907094421826</v>
      </c>
      <c r="CT17" s="364">
        <f t="shared" si="33"/>
        <v>0.36427358755900813</v>
      </c>
      <c r="CU17" s="313"/>
      <c r="CV17" s="313"/>
    </row>
    <row r="18" spans="1:100" ht="12.75" customHeight="1" x14ac:dyDescent="0.2">
      <c r="A18" s="313"/>
      <c r="B18" s="313" t="s">
        <v>48</v>
      </c>
      <c r="C18" s="313"/>
      <c r="D18" s="320"/>
      <c r="E18" s="320"/>
      <c r="F18" s="320"/>
      <c r="G18" s="320"/>
      <c r="H18" s="321"/>
      <c r="I18" s="320">
        <f t="shared" ref="I18:AJ18" si="34">I16/D16-1</f>
        <v>5.721716514954478E-2</v>
      </c>
      <c r="J18" s="320">
        <f t="shared" si="34"/>
        <v>7.9303675048356004E-2</v>
      </c>
      <c r="K18" s="320">
        <f t="shared" si="34"/>
        <v>0.13888888888888884</v>
      </c>
      <c r="L18" s="320">
        <f t="shared" si="34"/>
        <v>9.5009867493656586E-2</v>
      </c>
      <c r="M18" s="321">
        <f t="shared" si="34"/>
        <v>9.3735835373039533E-2</v>
      </c>
      <c r="N18" s="320">
        <f t="shared" si="34"/>
        <v>1.2300123001230068E-2</v>
      </c>
      <c r="O18" s="320">
        <f t="shared" si="34"/>
        <v>8.1003584229390579E-2</v>
      </c>
      <c r="P18" s="320">
        <f t="shared" si="34"/>
        <v>5.9959349593496025E-2</v>
      </c>
      <c r="Q18" s="320">
        <f t="shared" si="34"/>
        <v>3.7590113285272952E-2</v>
      </c>
      <c r="R18" s="321">
        <f t="shared" si="34"/>
        <v>4.7990053874844563E-2</v>
      </c>
      <c r="S18" s="322">
        <f t="shared" si="34"/>
        <v>7.4119076549210128E-2</v>
      </c>
      <c r="T18" s="322">
        <f t="shared" si="34"/>
        <v>9.6816976127320986E-2</v>
      </c>
      <c r="U18" s="322">
        <f t="shared" si="34"/>
        <v>9.8753595397890637E-2</v>
      </c>
      <c r="V18" s="322">
        <f t="shared" si="34"/>
        <v>0.17295285359801493</v>
      </c>
      <c r="W18" s="321">
        <f t="shared" si="34"/>
        <v>0.11713065485605823</v>
      </c>
      <c r="X18" s="322">
        <f t="shared" si="34"/>
        <v>0.10331825037707398</v>
      </c>
      <c r="Y18" s="322">
        <f t="shared" si="34"/>
        <v>0.12424425634824665</v>
      </c>
      <c r="Z18" s="322">
        <f t="shared" si="34"/>
        <v>0.10413030831878989</v>
      </c>
      <c r="AA18" s="322">
        <f t="shared" si="34"/>
        <v>-1.967421197376773E-2</v>
      </c>
      <c r="AB18" s="321">
        <f t="shared" si="34"/>
        <v>6.7256637168141564E-2</v>
      </c>
      <c r="AC18" s="322">
        <f t="shared" si="34"/>
        <v>1.0936431989063466E-2</v>
      </c>
      <c r="AD18" s="322">
        <f t="shared" si="34"/>
        <v>-3.3073406829792984E-2</v>
      </c>
      <c r="AE18" s="322">
        <f t="shared" si="34"/>
        <v>-3.1348788198103272E-2</v>
      </c>
      <c r="AF18" s="322">
        <f t="shared" si="34"/>
        <v>7.5312904618040521E-2</v>
      </c>
      <c r="AG18" s="321">
        <f t="shared" si="34"/>
        <v>9.2205638474294194E-3</v>
      </c>
      <c r="AH18" s="322">
        <f t="shared" si="34"/>
        <v>0.16565246788370525</v>
      </c>
      <c r="AI18" s="322">
        <f t="shared" si="34"/>
        <v>0.50194660734149044</v>
      </c>
      <c r="AJ18" s="322">
        <f t="shared" si="34"/>
        <v>0.52923579004623345</v>
      </c>
      <c r="AK18" s="322">
        <f t="shared" ref="AK18:AT18" si="35">AK16/AF16-1</f>
        <v>0.46417820590006031</v>
      </c>
      <c r="AL18" s="321">
        <f t="shared" si="35"/>
        <v>0.43078743262784269</v>
      </c>
      <c r="AM18" s="322">
        <f t="shared" si="35"/>
        <v>0.36745939675174011</v>
      </c>
      <c r="AN18" s="322">
        <f t="shared" si="35"/>
        <v>0.11146084058507677</v>
      </c>
      <c r="AO18" s="323">
        <f t="shared" si="35"/>
        <v>8.2696069713676046E-2</v>
      </c>
      <c r="AP18" s="322">
        <f t="shared" si="35"/>
        <v>-4.1118421052632748E-4</v>
      </c>
      <c r="AQ18" s="321">
        <f t="shared" si="35"/>
        <v>0.10708379272326352</v>
      </c>
      <c r="AR18" s="322">
        <f t="shared" si="35"/>
        <v>9.9681866383880546E-3</v>
      </c>
      <c r="AS18" s="322">
        <f t="shared" si="35"/>
        <v>-3.7481259370314879E-2</v>
      </c>
      <c r="AT18" s="323">
        <f t="shared" si="35"/>
        <v>-3.8107752956636043E-2</v>
      </c>
      <c r="AU18" s="322">
        <f>AU16/AP16-1</f>
        <v>4.5523104346633758E-2</v>
      </c>
      <c r="AV18" s="321">
        <f>AV16/AQ16-1</f>
        <v>-3.2366488236026392E-3</v>
      </c>
      <c r="AW18" s="322">
        <f>AW16/AR16-1</f>
        <v>2.4569508609827873E-2</v>
      </c>
      <c r="AX18" s="322">
        <f>AX16/AS16-1</f>
        <v>2.2845275181723856E-2</v>
      </c>
      <c r="AY18" s="320">
        <f t="shared" ref="AY18:BT18" si="36">AY16/AT16-1</f>
        <v>3.4665300546448119E-2</v>
      </c>
      <c r="AZ18" s="320">
        <f>AZ16/AU16-1</f>
        <v>3.3573770491803323E-2</v>
      </c>
      <c r="BA18" s="321">
        <f>BA16/AV16-1</f>
        <v>2.9474210066191997E-2</v>
      </c>
      <c r="BB18" s="320">
        <f>BB16/AW16-1</f>
        <v>-6.1488009838084334E-4</v>
      </c>
      <c r="BC18" s="320">
        <f>BC16/AX16-1</f>
        <v>2.0304568527918843E-2</v>
      </c>
      <c r="BD18" s="320">
        <f t="shared" si="36"/>
        <v>1.8649942234692185E-2</v>
      </c>
      <c r="BE18" s="322">
        <f>BE16/AZ16-1</f>
        <v>6.0905976398935024E-3</v>
      </c>
      <c r="BF18" s="321">
        <f>BF16/BA16-1</f>
        <v>1.1241861781713824E-2</v>
      </c>
      <c r="BG18" s="320">
        <f t="shared" si="36"/>
        <v>1.2305168170632097E-3</v>
      </c>
      <c r="BH18" s="320">
        <f t="shared" si="36"/>
        <v>-4.3946932006633466E-2</v>
      </c>
      <c r="BI18" s="320">
        <f t="shared" si="36"/>
        <v>-3.5806869734283819E-2</v>
      </c>
      <c r="BJ18" s="322">
        <f>BJ16/BE16-1</f>
        <v>-2.4719384537772782E-2</v>
      </c>
      <c r="BK18" s="321">
        <f>BK16/BF16-1</f>
        <v>-2.7032430919342598E-2</v>
      </c>
      <c r="BL18" s="322">
        <f t="shared" si="36"/>
        <v>-2.4989758295780429E-2</v>
      </c>
      <c r="BM18" s="320">
        <f t="shared" si="36"/>
        <v>-2.3590633130962657E-2</v>
      </c>
      <c r="BN18" s="320">
        <f t="shared" si="36"/>
        <v>-3.864896656024186E-3</v>
      </c>
      <c r="BO18" s="322">
        <f>BO16/BJ16-1</f>
        <v>2.9354713565239887E-2</v>
      </c>
      <c r="BP18" s="321">
        <f>BP16/BK16-1</f>
        <v>-2.2193909004972756E-3</v>
      </c>
      <c r="BQ18" s="580">
        <f t="shared" si="36"/>
        <v>1.4285714285714235E-2</v>
      </c>
      <c r="BR18" s="320">
        <f t="shared" si="36"/>
        <v>7.8166637058092459E-3</v>
      </c>
      <c r="BS18" s="320">
        <f t="shared" si="36"/>
        <v>4.3859649122806044E-3</v>
      </c>
      <c r="BT18" s="322">
        <f t="shared" si="36"/>
        <v>-3.0276381909547734E-2</v>
      </c>
      <c r="BU18" s="321">
        <f>BU16/BP16-1</f>
        <v>-4.242698850764115E-3</v>
      </c>
      <c r="BV18" s="320">
        <f t="shared" ref="BV18:CE18" si="37">BV16/BQ16-1</f>
        <v>5.7237668744285042E-2</v>
      </c>
      <c r="BW18" s="320">
        <f t="shared" si="37"/>
        <v>3.6492094191626689E-2</v>
      </c>
      <c r="BX18" s="320">
        <f t="shared" si="37"/>
        <v>9.2249167549507405E-3</v>
      </c>
      <c r="BY18" s="322">
        <f t="shared" si="37"/>
        <v>3.1533032875508571E-2</v>
      </c>
      <c r="BZ18" s="321">
        <f t="shared" si="37"/>
        <v>3.2336053204746307E-2</v>
      </c>
      <c r="CA18" s="320">
        <f t="shared" si="37"/>
        <v>1.5489280088023749E-2</v>
      </c>
      <c r="CB18" s="320">
        <f t="shared" si="37"/>
        <v>1.8642236804865542E-2</v>
      </c>
      <c r="CC18" s="320">
        <f t="shared" si="37"/>
        <v>1.8600855672683991E-2</v>
      </c>
      <c r="CD18" s="322">
        <f t="shared" si="37"/>
        <v>2.7505322072973293E-2</v>
      </c>
      <c r="CE18" s="321">
        <f t="shared" si="37"/>
        <v>2.0815249334184216E-2</v>
      </c>
      <c r="CF18" s="320">
        <f t="shared" ref="CF18:CO18" si="38">CF16/CA16-1</f>
        <v>1.8697990748742788E-2</v>
      </c>
      <c r="CG18" s="320">
        <f t="shared" si="38"/>
        <v>2.0511778246937729E-2</v>
      </c>
      <c r="CH18" s="320">
        <f t="shared" si="38"/>
        <v>2.0404304554583419E-2</v>
      </c>
      <c r="CI18" s="322">
        <f t="shared" si="38"/>
        <v>2.1183736198119973E-2</v>
      </c>
      <c r="CJ18" s="321">
        <f t="shared" si="38"/>
        <v>2.0332707818636608E-2</v>
      </c>
      <c r="CK18" s="320">
        <f t="shared" si="38"/>
        <v>1.7831458018475077E-2</v>
      </c>
      <c r="CL18" s="320">
        <f t="shared" si="38"/>
        <v>1.9500893482681247E-2</v>
      </c>
      <c r="CM18" s="320">
        <f t="shared" si="38"/>
        <v>1.937354261880242E-2</v>
      </c>
      <c r="CN18" s="322">
        <f t="shared" si="38"/>
        <v>2.0377875958274005E-2</v>
      </c>
      <c r="CO18" s="321">
        <f t="shared" si="38"/>
        <v>1.9413039660874043E-2</v>
      </c>
      <c r="CP18" s="320">
        <f>CP16/CK16-1</f>
        <v>1.8007751859669963E-2</v>
      </c>
      <c r="CQ18" s="320">
        <f>CQ16/CL16-1</f>
        <v>1.9706051423886928E-2</v>
      </c>
      <c r="CR18" s="320">
        <f>CR16/CM16-1</f>
        <v>1.959640082023073E-2</v>
      </c>
      <c r="CS18" s="322">
        <f>CS16/CN16-1</f>
        <v>2.0616726788498907E-2</v>
      </c>
      <c r="CT18" s="321">
        <f>CT16/CO16-1</f>
        <v>1.9628229943664532E-2</v>
      </c>
      <c r="CU18" s="313"/>
      <c r="CV18" s="313"/>
    </row>
    <row r="19" spans="1:100" ht="12.75" customHeight="1" x14ac:dyDescent="0.2">
      <c r="A19" s="313"/>
      <c r="B19" s="313" t="s">
        <v>26</v>
      </c>
      <c r="C19" s="313"/>
      <c r="D19" s="349"/>
      <c r="E19" s="349"/>
      <c r="F19" s="349"/>
      <c r="G19" s="349"/>
      <c r="H19" s="356"/>
      <c r="I19" s="349">
        <f t="shared" ref="I19:AJ19" si="39">+(I17-D17)*10000</f>
        <v>-58.97212307296784</v>
      </c>
      <c r="J19" s="349">
        <f t="shared" si="39"/>
        <v>-31.505322064714903</v>
      </c>
      <c r="K19" s="349">
        <f t="shared" si="39"/>
        <v>35.314270335407016</v>
      </c>
      <c r="L19" s="349">
        <f t="shared" si="39"/>
        <v>-16.082317275359912</v>
      </c>
      <c r="M19" s="356">
        <f t="shared" si="39"/>
        <v>-16.442223979992178</v>
      </c>
      <c r="N19" s="349">
        <f t="shared" si="39"/>
        <v>-29.218470993588873</v>
      </c>
      <c r="O19" s="349">
        <f t="shared" si="39"/>
        <v>-163.69179363360908</v>
      </c>
      <c r="P19" s="307">
        <f t="shared" si="39"/>
        <v>-181.37576275550683</v>
      </c>
      <c r="Q19" s="307">
        <f t="shared" si="39"/>
        <v>-200.54848427795091</v>
      </c>
      <c r="R19" s="356">
        <f t="shared" si="39"/>
        <v>-154.93617403132819</v>
      </c>
      <c r="S19" s="343">
        <f t="shared" si="39"/>
        <v>-66.490701057919651</v>
      </c>
      <c r="T19" s="343">
        <f t="shared" si="39"/>
        <v>-17.774507862937661</v>
      </c>
      <c r="U19" s="343">
        <f t="shared" si="39"/>
        <v>-45.463756537890141</v>
      </c>
      <c r="V19" s="343">
        <f t="shared" si="39"/>
        <v>16.093063131919493</v>
      </c>
      <c r="W19" s="356">
        <f t="shared" si="39"/>
        <v>-20.181219620529767</v>
      </c>
      <c r="X19" s="343">
        <f t="shared" si="39"/>
        <v>-96.822811687977691</v>
      </c>
      <c r="Y19" s="343">
        <f t="shared" si="39"/>
        <v>-45.423993459162702</v>
      </c>
      <c r="Z19" s="343">
        <f t="shared" si="39"/>
        <v>-4.1758361754307138</v>
      </c>
      <c r="AA19" s="343">
        <f t="shared" si="39"/>
        <v>-188.26452063035848</v>
      </c>
      <c r="AB19" s="356">
        <f t="shared" si="39"/>
        <v>-92.836162815772553</v>
      </c>
      <c r="AC19" s="343">
        <f t="shared" si="39"/>
        <v>68.473173393836518</v>
      </c>
      <c r="AD19" s="343">
        <f t="shared" si="39"/>
        <v>-2.8834780880510058</v>
      </c>
      <c r="AE19" s="343">
        <f t="shared" si="39"/>
        <v>-57.430709936595051</v>
      </c>
      <c r="AF19" s="343">
        <f t="shared" si="39"/>
        <v>106.95590215838713</v>
      </c>
      <c r="AG19" s="356">
        <f t="shared" si="39"/>
        <v>33.683935564802205</v>
      </c>
      <c r="AH19" s="343">
        <f t="shared" si="39"/>
        <v>100.80123208280945</v>
      </c>
      <c r="AI19" s="343">
        <f t="shared" si="39"/>
        <v>254.06265927569615</v>
      </c>
      <c r="AJ19" s="343">
        <f t="shared" si="39"/>
        <v>305.87616448913724</v>
      </c>
      <c r="AK19" s="343">
        <f>+(AK17-AF17)*10000</f>
        <v>271.2657897480081</v>
      </c>
      <c r="AL19" s="342">
        <f t="shared" ref="AL19:CJ19" si="40">+(AL17-AG17)*10000</f>
        <v>244.46313638627538</v>
      </c>
      <c r="AM19" s="343">
        <f t="shared" si="40"/>
        <v>269.28880179152901</v>
      </c>
      <c r="AN19" s="343">
        <f t="shared" si="40"/>
        <v>-81.596930642549026</v>
      </c>
      <c r="AO19" s="345">
        <f t="shared" si="40"/>
        <v>-161.83598473522909</v>
      </c>
      <c r="AP19" s="343">
        <f t="shared" si="40"/>
        <v>-285.42841669194354</v>
      </c>
      <c r="AQ19" s="342">
        <f t="shared" si="40"/>
        <v>-105.65656865768879</v>
      </c>
      <c r="AR19" s="343">
        <f t="shared" si="40"/>
        <v>-118.23323925773899</v>
      </c>
      <c r="AS19" s="343">
        <f t="shared" si="40"/>
        <v>-56.72618617792169</v>
      </c>
      <c r="AT19" s="345">
        <f t="shared" si="40"/>
        <v>54.062453812728229</v>
      </c>
      <c r="AU19" s="343">
        <f t="shared" si="40"/>
        <v>87.989758066280842</v>
      </c>
      <c r="AV19" s="342">
        <f t="shared" si="40"/>
        <v>9.817169569232842</v>
      </c>
      <c r="AW19" s="343">
        <f t="shared" si="40"/>
        <v>46.399684086386173</v>
      </c>
      <c r="AX19" s="343">
        <f t="shared" si="40"/>
        <v>5.6373313369312283</v>
      </c>
      <c r="AY19" s="307">
        <f t="shared" si="40"/>
        <v>66.604143611603831</v>
      </c>
      <c r="AZ19" s="307">
        <f>+(AZ17-AU17)*10000</f>
        <v>96.098449637267436</v>
      </c>
      <c r="BA19" s="342">
        <f t="shared" si="40"/>
        <v>55.629640168065599</v>
      </c>
      <c r="BB19" s="307">
        <f>+(BB17-AW17)*10000</f>
        <v>-15.279960741505505</v>
      </c>
      <c r="BC19" s="307">
        <f>+(BC17-AX17)*10000</f>
        <v>52.922570011879053</v>
      </c>
      <c r="BD19" s="307">
        <f>+(BD17-AY17)*10000</f>
        <v>1.3219107912382233</v>
      </c>
      <c r="BE19" s="343">
        <f>+(BE17-AZ17)*10000</f>
        <v>57.447155625802161</v>
      </c>
      <c r="BF19" s="342">
        <f t="shared" si="40"/>
        <v>26.725360741033931</v>
      </c>
      <c r="BG19" s="307">
        <f t="shared" si="40"/>
        <v>133.28090356545974</v>
      </c>
      <c r="BH19" s="307">
        <f t="shared" si="40"/>
        <v>51.234341996321817</v>
      </c>
      <c r="BI19" s="307">
        <f t="shared" si="40"/>
        <v>59.369212017855169</v>
      </c>
      <c r="BJ19" s="343">
        <f t="shared" si="40"/>
        <v>186.04786218718027</v>
      </c>
      <c r="BK19" s="342">
        <f t="shared" si="40"/>
        <v>108.5023776825017</v>
      </c>
      <c r="BL19" s="343">
        <f t="shared" si="40"/>
        <v>16.742979449613781</v>
      </c>
      <c r="BM19" s="307">
        <f t="shared" si="40"/>
        <v>35.833050648483855</v>
      </c>
      <c r="BN19" s="307">
        <f t="shared" si="40"/>
        <v>54.76838754325253</v>
      </c>
      <c r="BO19" s="343">
        <f t="shared" si="40"/>
        <v>-81.96877590694595</v>
      </c>
      <c r="BP19" s="342">
        <f t="shared" si="40"/>
        <v>7.1922934131479765</v>
      </c>
      <c r="BQ19" s="583">
        <f t="shared" si="40"/>
        <v>-5.8424950812396848</v>
      </c>
      <c r="BR19" s="307">
        <f t="shared" si="40"/>
        <v>-45.306194257768716</v>
      </c>
      <c r="BS19" s="307">
        <f t="shared" si="40"/>
        <v>-32.502187656850978</v>
      </c>
      <c r="BT19" s="343">
        <f t="shared" si="40"/>
        <v>-125.72303852390554</v>
      </c>
      <c r="BU19" s="342">
        <f t="shared" si="40"/>
        <v>-60.394956243616235</v>
      </c>
      <c r="BV19" s="307">
        <f t="shared" si="40"/>
        <v>76.62064788519551</v>
      </c>
      <c r="BW19" s="307">
        <f t="shared" si="40"/>
        <v>5.0998980418714979</v>
      </c>
      <c r="BX19" s="307">
        <f t="shared" si="40"/>
        <v>-93.860349284323746</v>
      </c>
      <c r="BY19" s="343">
        <f t="shared" si="40"/>
        <v>-25.213296380400262</v>
      </c>
      <c r="BZ19" s="342">
        <f t="shared" si="40"/>
        <v>-15.733168516538498</v>
      </c>
      <c r="CA19" s="307">
        <f t="shared" si="40"/>
        <v>-53.588819147106229</v>
      </c>
      <c r="CB19" s="307">
        <f t="shared" si="40"/>
        <v>-43.247886830746211</v>
      </c>
      <c r="CC19" s="307">
        <f t="shared" si="40"/>
        <v>-40.145995635453289</v>
      </c>
      <c r="CD19" s="343">
        <f t="shared" si="40"/>
        <v>-14.506160727972839</v>
      </c>
      <c r="CE19" s="342">
        <f t="shared" si="40"/>
        <v>-35.611525993229918</v>
      </c>
      <c r="CF19" s="307">
        <f t="shared" si="40"/>
        <v>-38.908322283599531</v>
      </c>
      <c r="CG19" s="307">
        <f t="shared" si="40"/>
        <v>-33.40322121008321</v>
      </c>
      <c r="CH19" s="307">
        <f t="shared" si="40"/>
        <v>-31.137461680558754</v>
      </c>
      <c r="CI19" s="343">
        <f t="shared" si="40"/>
        <v>-35.675936613274175</v>
      </c>
      <c r="CJ19" s="342">
        <f t="shared" si="40"/>
        <v>-34.587333536496566</v>
      </c>
      <c r="CK19" s="307">
        <f t="shared" ref="CK19:CT19" si="41">+(CK17-CF17)*10000</f>
        <v>-42.779534756784976</v>
      </c>
      <c r="CL19" s="307">
        <f t="shared" si="41"/>
        <v>-37.446067949571393</v>
      </c>
      <c r="CM19" s="307">
        <f t="shared" si="41"/>
        <v>-35.307810781290968</v>
      </c>
      <c r="CN19" s="343">
        <f t="shared" si="41"/>
        <v>-39.330708524611403</v>
      </c>
      <c r="CO19" s="342">
        <f t="shared" si="41"/>
        <v>-38.512139087996665</v>
      </c>
      <c r="CP19" s="307">
        <f t="shared" si="41"/>
        <v>-42.517935696951838</v>
      </c>
      <c r="CQ19" s="307">
        <f t="shared" si="41"/>
        <v>-37.219781840082675</v>
      </c>
      <c r="CR19" s="307">
        <f t="shared" si="41"/>
        <v>-35.123662590454408</v>
      </c>
      <c r="CS19" s="343">
        <f t="shared" si="41"/>
        <v>-38.973805949579777</v>
      </c>
      <c r="CT19" s="342">
        <f t="shared" si="41"/>
        <v>-38.250889979317137</v>
      </c>
      <c r="CU19" s="313"/>
      <c r="CV19" s="313"/>
    </row>
    <row r="20" spans="1:100" ht="12.75" customHeight="1" x14ac:dyDescent="0.2">
      <c r="A20" s="357"/>
      <c r="B20" s="357"/>
      <c r="C20" s="313"/>
      <c r="D20" s="294"/>
      <c r="E20" s="358"/>
      <c r="F20" s="358"/>
      <c r="G20" s="358"/>
      <c r="H20" s="351"/>
      <c r="I20" s="294"/>
      <c r="J20" s="358"/>
      <c r="K20" s="358"/>
      <c r="L20" s="358"/>
      <c r="M20" s="351"/>
      <c r="N20" s="294"/>
      <c r="O20" s="294"/>
      <c r="P20" s="358"/>
      <c r="Q20" s="358"/>
      <c r="R20" s="351"/>
      <c r="S20" s="359"/>
      <c r="T20" s="359"/>
      <c r="U20" s="359"/>
      <c r="V20" s="359"/>
      <c r="W20" s="351"/>
      <c r="X20" s="359"/>
      <c r="Y20" s="359"/>
      <c r="Z20" s="359"/>
      <c r="AA20" s="359"/>
      <c r="AB20" s="351"/>
      <c r="AC20" s="359"/>
      <c r="AD20" s="359"/>
      <c r="AE20" s="359"/>
      <c r="AF20" s="359"/>
      <c r="AG20" s="351"/>
      <c r="AH20" s="359"/>
      <c r="AI20" s="359"/>
      <c r="AJ20" s="358"/>
      <c r="AK20" s="358"/>
      <c r="AL20" s="351"/>
      <c r="AM20" s="358"/>
      <c r="AN20" s="358"/>
      <c r="AO20" s="360"/>
      <c r="AP20" s="358"/>
      <c r="AQ20" s="351"/>
      <c r="AR20" s="358"/>
      <c r="AS20" s="359"/>
      <c r="AT20" s="360"/>
      <c r="AU20" s="358"/>
      <c r="AV20" s="351"/>
      <c r="AW20" s="358"/>
      <c r="AX20" s="358"/>
      <c r="AY20" s="358"/>
      <c r="AZ20" s="349">
        <f>AVERAGE(AZ19,AU19)</f>
        <v>92.044103851774139</v>
      </c>
      <c r="BA20" s="351"/>
      <c r="BB20" s="358"/>
      <c r="BC20" s="358"/>
      <c r="BD20" s="358"/>
      <c r="BE20" s="358"/>
      <c r="BF20" s="351"/>
      <c r="BG20" s="349"/>
      <c r="BH20" s="349"/>
      <c r="BI20" s="349"/>
      <c r="BJ20" s="349"/>
      <c r="BK20" s="351"/>
      <c r="BL20" s="349"/>
      <c r="BM20" s="358"/>
      <c r="BN20" s="358"/>
      <c r="BO20" s="358"/>
      <c r="BP20" s="351"/>
      <c r="BQ20" s="592"/>
      <c r="BR20" s="358"/>
      <c r="BS20" s="358"/>
      <c r="BT20" s="358"/>
      <c r="BU20" s="351"/>
      <c r="BV20" s="358"/>
      <c r="BW20" s="358"/>
      <c r="BX20" s="358"/>
      <c r="BY20" s="358"/>
      <c r="BZ20" s="351"/>
      <c r="CA20" s="358"/>
      <c r="CB20" s="358"/>
      <c r="CC20" s="358"/>
      <c r="CD20" s="358"/>
      <c r="CE20" s="351"/>
      <c r="CF20" s="358"/>
      <c r="CG20" s="358"/>
      <c r="CH20" s="358"/>
      <c r="CI20" s="358"/>
      <c r="CJ20" s="351"/>
      <c r="CK20" s="358"/>
      <c r="CL20" s="358"/>
      <c r="CM20" s="358"/>
      <c r="CN20" s="358"/>
      <c r="CO20" s="351"/>
      <c r="CP20" s="358"/>
      <c r="CQ20" s="358"/>
      <c r="CR20" s="358"/>
      <c r="CS20" s="358"/>
      <c r="CT20" s="351"/>
      <c r="CU20" s="313"/>
      <c r="CV20" s="313"/>
    </row>
    <row r="21" spans="1:100" ht="12.75" customHeight="1" x14ac:dyDescent="0.2">
      <c r="A21" s="361" t="s">
        <v>11</v>
      </c>
      <c r="B21" s="361"/>
      <c r="C21" s="59"/>
      <c r="D21" s="330">
        <v>-32</v>
      </c>
      <c r="E21" s="330">
        <v>-33</v>
      </c>
      <c r="F21" s="330">
        <v>-35</v>
      </c>
      <c r="G21" s="330">
        <v>-47</v>
      </c>
      <c r="H21" s="331">
        <v>-147</v>
      </c>
      <c r="I21" s="330">
        <v>-29</v>
      </c>
      <c r="J21" s="330">
        <v>-37</v>
      </c>
      <c r="K21" s="330">
        <v>-38</v>
      </c>
      <c r="L21" s="330">
        <v>-47</v>
      </c>
      <c r="M21" s="331">
        <v>-151</v>
      </c>
      <c r="N21" s="330">
        <v>-31</v>
      </c>
      <c r="O21" s="330">
        <v>-36</v>
      </c>
      <c r="P21" s="330">
        <v>-41</v>
      </c>
      <c r="Q21" s="330">
        <v>-54</v>
      </c>
      <c r="R21" s="331">
        <v>-162</v>
      </c>
      <c r="S21" s="332">
        <f>W21-V21-U21-T21</f>
        <v>-11</v>
      </c>
      <c r="T21" s="332">
        <v>-11</v>
      </c>
      <c r="U21" s="332">
        <v>-15</v>
      </c>
      <c r="V21" s="332">
        <v>-21</v>
      </c>
      <c r="W21" s="331">
        <v>-58</v>
      </c>
      <c r="X21" s="332">
        <v>-12</v>
      </c>
      <c r="Y21" s="332">
        <v>-18</v>
      </c>
      <c r="Z21" s="332">
        <v>-13</v>
      </c>
      <c r="AA21" s="332">
        <v>-21</v>
      </c>
      <c r="AB21" s="331">
        <v>-64</v>
      </c>
      <c r="AC21" s="332">
        <v>-10</v>
      </c>
      <c r="AD21" s="332">
        <v>-14</v>
      </c>
      <c r="AE21" s="332">
        <v>-18</v>
      </c>
      <c r="AF21" s="332">
        <v>-21</v>
      </c>
      <c r="AG21" s="331">
        <v>-63</v>
      </c>
      <c r="AH21" s="332">
        <v>-16</v>
      </c>
      <c r="AI21" s="332">
        <v>-32</v>
      </c>
      <c r="AJ21" s="330">
        <v>-30</v>
      </c>
      <c r="AK21" s="330">
        <v>-39</v>
      </c>
      <c r="AL21" s="331">
        <f>+AH21+AI21+AJ21+AK21</f>
        <v>-117</v>
      </c>
      <c r="AM21" s="332">
        <v>-25</v>
      </c>
      <c r="AN21" s="332">
        <v>-40</v>
      </c>
      <c r="AO21" s="333">
        <v>-38</v>
      </c>
      <c r="AP21" s="330">
        <v>-29</v>
      </c>
      <c r="AQ21" s="366">
        <f>+AM21+AN21+AO21+AP21</f>
        <v>-132</v>
      </c>
      <c r="AR21" s="301">
        <v>-25</v>
      </c>
      <c r="AS21" s="301">
        <v>-30</v>
      </c>
      <c r="AT21" s="296">
        <v>-27</v>
      </c>
      <c r="AU21" s="298">
        <v>-37</v>
      </c>
      <c r="AV21" s="366">
        <f>SUM(AR21:AU21)</f>
        <v>-119</v>
      </c>
      <c r="AW21" s="298">
        <v>-23</v>
      </c>
      <c r="AX21" s="298">
        <v>-27</v>
      </c>
      <c r="AY21" s="298">
        <v>-25</v>
      </c>
      <c r="AZ21" s="298">
        <v>-35</v>
      </c>
      <c r="BA21" s="366">
        <f>SUM(AW21:AZ21)</f>
        <v>-110</v>
      </c>
      <c r="BB21" s="298">
        <v>-21</v>
      </c>
      <c r="BC21" s="298">
        <v>-22</v>
      </c>
      <c r="BD21" s="298">
        <v>-22</v>
      </c>
      <c r="BE21" s="332">
        <v>-27</v>
      </c>
      <c r="BF21" s="366">
        <f>SUM(BB21:BE21)</f>
        <v>-92</v>
      </c>
      <c r="BG21" s="332">
        <v>-16</v>
      </c>
      <c r="BH21" s="332">
        <v>-19</v>
      </c>
      <c r="BI21" s="332">
        <v>-18</v>
      </c>
      <c r="BJ21" s="332">
        <v>-22</v>
      </c>
      <c r="BK21" s="366">
        <f>SUM(BG21:BJ21)</f>
        <v>-75</v>
      </c>
      <c r="BL21" s="332">
        <v>-14</v>
      </c>
      <c r="BM21" s="332">
        <v>-17</v>
      </c>
      <c r="BN21" s="332">
        <v>-18</v>
      </c>
      <c r="BO21" s="332">
        <v>-21</v>
      </c>
      <c r="BP21" s="366">
        <f>SUM(BL21:BO21)</f>
        <v>-70</v>
      </c>
      <c r="BQ21" s="578">
        <v>-13</v>
      </c>
      <c r="BR21" s="578">
        <v>-16</v>
      </c>
      <c r="BS21" s="578">
        <v>-16</v>
      </c>
      <c r="BT21" s="330">
        <f>BU21-BS21-BR21-BQ21</f>
        <v>-23</v>
      </c>
      <c r="BU21" s="366">
        <v>-68</v>
      </c>
      <c r="BV21" s="368">
        <f>BQ21</f>
        <v>-13</v>
      </c>
      <c r="BW21" s="368">
        <f>BR21</f>
        <v>-16</v>
      </c>
      <c r="BX21" s="368">
        <f>BS21</f>
        <v>-16</v>
      </c>
      <c r="BY21" s="330">
        <f>BZ21-BX21-BW21-BV21</f>
        <v>-23</v>
      </c>
      <c r="BZ21" s="367">
        <f>BU21</f>
        <v>-68</v>
      </c>
      <c r="CA21" s="368">
        <v>-30</v>
      </c>
      <c r="CB21" s="368">
        <v>-30</v>
      </c>
      <c r="CC21" s="368">
        <v>-30</v>
      </c>
      <c r="CD21" s="330">
        <f>CE21-CC21-CB21-CA21</f>
        <v>22</v>
      </c>
      <c r="CE21" s="367">
        <f>BZ21</f>
        <v>-68</v>
      </c>
      <c r="CF21" s="368">
        <v>-30</v>
      </c>
      <c r="CG21" s="368">
        <v>-30</v>
      </c>
      <c r="CH21" s="368">
        <v>-30</v>
      </c>
      <c r="CI21" s="330">
        <f>CJ21-CH21-CG21-CF21</f>
        <v>22</v>
      </c>
      <c r="CJ21" s="367">
        <f>CE21</f>
        <v>-68</v>
      </c>
      <c r="CK21" s="368">
        <v>-30</v>
      </c>
      <c r="CL21" s="368">
        <v>-30</v>
      </c>
      <c r="CM21" s="368">
        <v>-30</v>
      </c>
      <c r="CN21" s="330">
        <f>CO21-CM21-CL21-CK21</f>
        <v>22</v>
      </c>
      <c r="CO21" s="367">
        <f>CJ21</f>
        <v>-68</v>
      </c>
      <c r="CP21" s="368">
        <v>-30</v>
      </c>
      <c r="CQ21" s="368">
        <v>-30</v>
      </c>
      <c r="CR21" s="368">
        <v>-30</v>
      </c>
      <c r="CS21" s="330">
        <f>CT21-CR21-CQ21-CP21</f>
        <v>22</v>
      </c>
      <c r="CT21" s="367">
        <f>CO21</f>
        <v>-68</v>
      </c>
      <c r="CU21" s="313"/>
      <c r="CV21" s="313"/>
    </row>
    <row r="22" spans="1:100" ht="12.75" customHeight="1" x14ac:dyDescent="0.2">
      <c r="A22" s="313"/>
      <c r="B22" s="313" t="s">
        <v>50</v>
      </c>
      <c r="C22" s="313"/>
      <c r="D22" s="319">
        <f t="shared" ref="D22:O22" si="42">-D21/D$5</f>
        <v>5.2193769368781605E-3</v>
      </c>
      <c r="E22" s="319">
        <f t="shared" si="42"/>
        <v>4.6676096181046678E-3</v>
      </c>
      <c r="F22" s="318">
        <f t="shared" si="42"/>
        <v>4.8229295852280554E-3</v>
      </c>
      <c r="G22" s="319">
        <f t="shared" si="42"/>
        <v>5.3390889469499036E-3</v>
      </c>
      <c r="H22" s="362">
        <f t="shared" si="42"/>
        <v>5.0237517514780767E-3</v>
      </c>
      <c r="I22" s="319">
        <f t="shared" si="42"/>
        <v>4.4039483675018982E-3</v>
      </c>
      <c r="J22" s="319">
        <f t="shared" si="42"/>
        <v>4.8070676887098868E-3</v>
      </c>
      <c r="K22" s="318">
        <f t="shared" si="42"/>
        <v>4.6432062561094821E-3</v>
      </c>
      <c r="L22" s="319">
        <f t="shared" si="42"/>
        <v>4.8563752841496175E-3</v>
      </c>
      <c r="M22" s="362">
        <f t="shared" si="42"/>
        <v>4.69761075161772E-3</v>
      </c>
      <c r="N22" s="319">
        <f t="shared" si="42"/>
        <v>4.6137818127697577E-3</v>
      </c>
      <c r="O22" s="319">
        <f t="shared" si="42"/>
        <v>4.1312829928850129E-3</v>
      </c>
      <c r="P22" s="318">
        <f t="shared" ref="P22:AL22" si="43">-P21/P$5</f>
        <v>4.4887234508430044E-3</v>
      </c>
      <c r="Q22" s="318">
        <f t="shared" si="43"/>
        <v>5.10879848628193E-3</v>
      </c>
      <c r="R22" s="362">
        <f t="shared" si="43"/>
        <v>4.6105245183140284E-3</v>
      </c>
      <c r="S22" s="335">
        <f t="shared" si="43"/>
        <v>1.4965986394557824E-3</v>
      </c>
      <c r="T22" s="335">
        <f t="shared" si="43"/>
        <v>1.1449984386384929E-3</v>
      </c>
      <c r="U22" s="335">
        <f t="shared" si="43"/>
        <v>1.4747812407826172E-3</v>
      </c>
      <c r="V22" s="335">
        <f t="shared" si="43"/>
        <v>1.7009557751498461E-3</v>
      </c>
      <c r="W22" s="362">
        <f t="shared" si="43"/>
        <v>1.4693215787607032E-3</v>
      </c>
      <c r="X22" s="335">
        <f t="shared" si="43"/>
        <v>1.4400576023040922E-3</v>
      </c>
      <c r="Y22" s="335">
        <f t="shared" si="43"/>
        <v>1.6445865692096848E-3</v>
      </c>
      <c r="Z22" s="335">
        <f t="shared" si="43"/>
        <v>1.1561721807186055E-3</v>
      </c>
      <c r="AA22" s="335">
        <f t="shared" si="43"/>
        <v>1.6497761018147536E-3</v>
      </c>
      <c r="AB22" s="362">
        <f t="shared" si="43"/>
        <v>1.4797345726110379E-3</v>
      </c>
      <c r="AC22" s="335">
        <f t="shared" si="43"/>
        <v>1.2102142079148009E-3</v>
      </c>
      <c r="AD22" s="335">
        <f t="shared" si="43"/>
        <v>1.3217522658610272E-3</v>
      </c>
      <c r="AE22" s="335">
        <f t="shared" si="43"/>
        <v>1.624548736462094E-3</v>
      </c>
      <c r="AF22" s="335">
        <f t="shared" si="43"/>
        <v>1.5793036023163118E-3</v>
      </c>
      <c r="AG22" s="362">
        <f t="shared" si="43"/>
        <v>1.4572538860103627E-3</v>
      </c>
      <c r="AH22" s="335">
        <f t="shared" si="43"/>
        <v>1.7079419299743809E-3</v>
      </c>
      <c r="AI22" s="335">
        <f t="shared" si="43"/>
        <v>2.1620160799945948E-3</v>
      </c>
      <c r="AJ22" s="335">
        <f t="shared" si="43"/>
        <v>1.9337372695629753E-3</v>
      </c>
      <c r="AK22" s="335">
        <f t="shared" si="43"/>
        <v>2.1481685486091986E-3</v>
      </c>
      <c r="AL22" s="362">
        <f t="shared" si="43"/>
        <v>2.0228915246032022E-3</v>
      </c>
      <c r="AM22" s="335">
        <f t="shared" ref="AM22:BR22" si="44">-AM21/AM$5</f>
        <v>2.0943285582642203E-3</v>
      </c>
      <c r="AN22" s="335">
        <f t="shared" si="44"/>
        <v>2.377131990253759E-3</v>
      </c>
      <c r="AO22" s="337">
        <f t="shared" si="44"/>
        <v>2.161301330906609E-3</v>
      </c>
      <c r="AP22" s="335">
        <f t="shared" si="44"/>
        <v>1.48451497312516E-3</v>
      </c>
      <c r="AQ22" s="364">
        <f t="shared" si="44"/>
        <v>2.0036125741867915E-3</v>
      </c>
      <c r="AR22" s="335">
        <f t="shared" si="44"/>
        <v>2.0115867396202124E-3</v>
      </c>
      <c r="AS22" s="335">
        <f t="shared" si="44"/>
        <v>1.8228217280349982E-3</v>
      </c>
      <c r="AT22" s="337">
        <f t="shared" si="44"/>
        <v>1.6214268556329571E-3</v>
      </c>
      <c r="AU22" s="335">
        <f t="shared" si="44"/>
        <v>1.85426480906084E-3</v>
      </c>
      <c r="AV22" s="364">
        <f t="shared" si="44"/>
        <v>1.8170158187259514E-3</v>
      </c>
      <c r="AW22" s="335">
        <f t="shared" si="44"/>
        <v>1.8281535648994515E-3</v>
      </c>
      <c r="AX22" s="335">
        <f t="shared" si="44"/>
        <v>1.6064734931873624E-3</v>
      </c>
      <c r="AY22" s="335">
        <f t="shared" si="44"/>
        <v>1.4785025725944764E-3</v>
      </c>
      <c r="AZ22" s="335">
        <f>-AZ21/AZ$5</f>
        <v>1.7397355601948504E-3</v>
      </c>
      <c r="BA22" s="364">
        <f t="shared" si="44"/>
        <v>1.6562523526311827E-3</v>
      </c>
      <c r="BB22" s="335">
        <f>-BB21/BB$5</f>
        <v>1.6636298819614989E-3</v>
      </c>
      <c r="BC22" s="335">
        <f t="shared" si="44"/>
        <v>1.302237480762401E-3</v>
      </c>
      <c r="BD22" s="335">
        <f>-BD21/BD$5</f>
        <v>1.27773260541294E-3</v>
      </c>
      <c r="BE22" s="335">
        <f>-BE21/BE$5</f>
        <v>1.3535191497894526E-3</v>
      </c>
      <c r="BF22" s="364">
        <f>-BF21/BF$5</f>
        <v>1.3796619828142106E-3</v>
      </c>
      <c r="BG22" s="335">
        <f t="shared" si="44"/>
        <v>1.3096504870262749E-3</v>
      </c>
      <c r="BH22" s="335">
        <f t="shared" si="44"/>
        <v>1.1932424794322677E-3</v>
      </c>
      <c r="BI22" s="335">
        <f t="shared" si="44"/>
        <v>1.1021982732227053E-3</v>
      </c>
      <c r="BJ22" s="335">
        <f t="shared" si="44"/>
        <v>1.1837503362927091E-3</v>
      </c>
      <c r="BK22" s="364">
        <f>-BK21/BK$5</f>
        <v>1.1894189292057853E-3</v>
      </c>
      <c r="BL22" s="335">
        <f t="shared" si="44"/>
        <v>1.1802394199966278E-3</v>
      </c>
      <c r="BM22" s="335">
        <f t="shared" si="44"/>
        <v>1.104254628126015E-3</v>
      </c>
      <c r="BN22" s="335">
        <f t="shared" si="44"/>
        <v>1.1231047607162912E-3</v>
      </c>
      <c r="BO22" s="335">
        <f t="shared" si="44"/>
        <v>1.0760953112990007E-3</v>
      </c>
      <c r="BP22" s="364">
        <f>-BP21/BP$5</f>
        <v>1.1146674310100479E-3</v>
      </c>
      <c r="BQ22" s="546">
        <f t="shared" si="44"/>
        <v>1.0789277118433064E-3</v>
      </c>
      <c r="BR22" s="335">
        <f t="shared" si="44"/>
        <v>1.0184595798854233E-3</v>
      </c>
      <c r="BS22" s="335">
        <f t="shared" ref="BS22:CJ22" si="45">-BS21/BS$5</f>
        <v>9.8522167487684722E-4</v>
      </c>
      <c r="BT22" s="335">
        <f t="shared" si="45"/>
        <v>1.1779166239885282E-3</v>
      </c>
      <c r="BU22" s="364">
        <f>-BU21/BU$5</f>
        <v>1.0704447068083432E-3</v>
      </c>
      <c r="BV22" s="335">
        <f t="shared" si="45"/>
        <v>1.0400299023265165E-3</v>
      </c>
      <c r="BW22" s="335">
        <f t="shared" si="45"/>
        <v>9.8399008466128006E-4</v>
      </c>
      <c r="BX22" s="335">
        <f t="shared" si="45"/>
        <v>9.5122391218593688E-4</v>
      </c>
      <c r="BY22" s="335">
        <f t="shared" si="45"/>
        <v>1.1346257271081354E-3</v>
      </c>
      <c r="BZ22" s="364">
        <f t="shared" si="45"/>
        <v>1.0326279493452749E-3</v>
      </c>
      <c r="CA22" s="335">
        <f t="shared" si="45"/>
        <v>2.3324450990322258E-3</v>
      </c>
      <c r="CB22" s="335">
        <f t="shared" si="45"/>
        <v>1.7895549273651331E-3</v>
      </c>
      <c r="CC22" s="335">
        <f t="shared" si="45"/>
        <v>1.731298027544599E-3</v>
      </c>
      <c r="CD22" s="335">
        <f t="shared" si="45"/>
        <v>-1.052341160993585E-3</v>
      </c>
      <c r="CE22" s="364">
        <f t="shared" si="45"/>
        <v>1.0020661594542714E-3</v>
      </c>
      <c r="CF22" s="335">
        <f t="shared" si="45"/>
        <v>2.267527912890718E-3</v>
      </c>
      <c r="CG22" s="335">
        <f t="shared" si="45"/>
        <v>1.7371915311641341E-3</v>
      </c>
      <c r="CH22" s="335">
        <f t="shared" si="45"/>
        <v>1.6817219357875856E-3</v>
      </c>
      <c r="CI22" s="335">
        <f t="shared" si="45"/>
        <v>-1.0211167537867417E-3</v>
      </c>
      <c r="CJ22" s="364">
        <f t="shared" si="45"/>
        <v>9.7304914975526713E-4</v>
      </c>
      <c r="CK22" s="335">
        <f t="shared" ref="CK22:CT22" si="46">-CK21/CK$5</f>
        <v>2.2039236840599545E-3</v>
      </c>
      <c r="CL22" s="335">
        <f t="shared" si="46"/>
        <v>1.6859358213843303E-3</v>
      </c>
      <c r="CM22" s="335">
        <f t="shared" si="46"/>
        <v>1.6331228310969045E-3</v>
      </c>
      <c r="CN22" s="335">
        <f t="shared" si="46"/>
        <v>-9.9057423336860345E-4</v>
      </c>
      <c r="CO22" s="364">
        <f t="shared" si="46"/>
        <v>9.4463582899448003E-4</v>
      </c>
      <c r="CP22" s="335">
        <f t="shared" si="46"/>
        <v>2.1416246081477556E-3</v>
      </c>
      <c r="CQ22" s="335">
        <f t="shared" si="46"/>
        <v>1.6357830195149396E-3</v>
      </c>
      <c r="CR22" s="335">
        <f t="shared" si="46"/>
        <v>1.5855020651956936E-3</v>
      </c>
      <c r="CS22" s="335">
        <f t="shared" si="46"/>
        <v>-9.6070975850373911E-4</v>
      </c>
      <c r="CT22" s="364">
        <f t="shared" si="46"/>
        <v>9.1682403436832535E-4</v>
      </c>
      <c r="CU22" s="313"/>
      <c r="CV22" s="313"/>
    </row>
    <row r="23" spans="1:100" ht="12.75" customHeight="1" x14ac:dyDescent="0.2">
      <c r="A23" s="59" t="s">
        <v>54</v>
      </c>
      <c r="B23" s="59"/>
      <c r="C23" s="59"/>
      <c r="D23" s="60">
        <f t="shared" ref="D23:AH23" si="47">+D12+D16+D21</f>
        <v>1127</v>
      </c>
      <c r="E23" s="60">
        <f t="shared" si="47"/>
        <v>1421</v>
      </c>
      <c r="F23" s="60">
        <f t="shared" si="47"/>
        <v>1512</v>
      </c>
      <c r="G23" s="60">
        <f t="shared" si="47"/>
        <v>1349</v>
      </c>
      <c r="H23" s="51">
        <f t="shared" si="47"/>
        <v>5409</v>
      </c>
      <c r="I23" s="60">
        <f t="shared" si="47"/>
        <v>1247</v>
      </c>
      <c r="J23" s="60">
        <f t="shared" si="47"/>
        <v>1556</v>
      </c>
      <c r="K23" s="60">
        <f t="shared" si="47"/>
        <v>1679</v>
      </c>
      <c r="L23" s="60">
        <f t="shared" si="47"/>
        <v>1447</v>
      </c>
      <c r="M23" s="51">
        <f t="shared" si="47"/>
        <v>5929</v>
      </c>
      <c r="N23" s="61">
        <f t="shared" si="47"/>
        <v>1257</v>
      </c>
      <c r="O23" s="60">
        <f t="shared" si="47"/>
        <v>1800</v>
      </c>
      <c r="P23" s="60">
        <f t="shared" si="47"/>
        <v>1856</v>
      </c>
      <c r="Q23" s="60">
        <f t="shared" si="47"/>
        <v>1656</v>
      </c>
      <c r="R23" s="51">
        <f t="shared" si="47"/>
        <v>6569</v>
      </c>
      <c r="S23" s="61">
        <f t="shared" si="47"/>
        <v>1402</v>
      </c>
      <c r="T23" s="61">
        <f t="shared" si="47"/>
        <v>1946</v>
      </c>
      <c r="U23" s="61">
        <f t="shared" si="47"/>
        <v>2091</v>
      </c>
      <c r="V23" s="61">
        <f t="shared" si="47"/>
        <v>1814</v>
      </c>
      <c r="W23" s="51">
        <f t="shared" si="47"/>
        <v>7253</v>
      </c>
      <c r="X23" s="61">
        <f t="shared" si="47"/>
        <v>1561</v>
      </c>
      <c r="Y23" s="61">
        <f t="shared" si="47"/>
        <v>2130</v>
      </c>
      <c r="Z23" s="61">
        <f t="shared" si="47"/>
        <v>2167</v>
      </c>
      <c r="AA23" s="61">
        <f t="shared" si="47"/>
        <v>1990</v>
      </c>
      <c r="AB23" s="51">
        <f t="shared" si="47"/>
        <v>7848</v>
      </c>
      <c r="AC23" s="61">
        <f t="shared" si="47"/>
        <v>1551</v>
      </c>
      <c r="AD23" s="61">
        <f t="shared" si="47"/>
        <v>2101</v>
      </c>
      <c r="AE23" s="61">
        <f t="shared" si="47"/>
        <v>2204</v>
      </c>
      <c r="AF23" s="61">
        <f t="shared" si="47"/>
        <v>2000</v>
      </c>
      <c r="AG23" s="51">
        <f t="shared" si="47"/>
        <v>7856</v>
      </c>
      <c r="AH23" s="61">
        <f t="shared" si="47"/>
        <v>1722</v>
      </c>
      <c r="AI23" s="61">
        <f t="shared" ref="AI23:AN23" si="48">+AI12+AI16+AI21</f>
        <v>2696</v>
      </c>
      <c r="AJ23" s="60">
        <f t="shared" si="48"/>
        <v>2870</v>
      </c>
      <c r="AK23" s="60">
        <f t="shared" si="48"/>
        <v>2485</v>
      </c>
      <c r="AL23" s="51">
        <f t="shared" si="48"/>
        <v>9773</v>
      </c>
      <c r="AM23" s="61">
        <f t="shared" si="48"/>
        <v>1784</v>
      </c>
      <c r="AN23" s="61">
        <f t="shared" si="48"/>
        <v>2825</v>
      </c>
      <c r="AO23" s="62">
        <f>+AO12+AO16+AO21</f>
        <v>3007</v>
      </c>
      <c r="AP23" s="62">
        <f>+AP12+AP16+AP21</f>
        <v>2752</v>
      </c>
      <c r="AQ23" s="51">
        <f>+AM23+AN23+AO23+AP23</f>
        <v>10368</v>
      </c>
      <c r="AR23" s="61">
        <f>+AR12+AR16+AR21</f>
        <v>1673</v>
      </c>
      <c r="AS23" s="61">
        <f>+AS12+AS16+AS21</f>
        <v>2673</v>
      </c>
      <c r="AT23" s="62">
        <f>+AT12+AT16+AT21</f>
        <v>2764</v>
      </c>
      <c r="AU23" s="62">
        <f>+AU12+AU16+AU21</f>
        <v>2572</v>
      </c>
      <c r="AV23" s="51">
        <f>+AR23+AS23+AT23+AU23</f>
        <v>9682</v>
      </c>
      <c r="AW23" s="62">
        <f>+AW12+AW16+AW21</f>
        <v>1797</v>
      </c>
      <c r="AX23" s="62">
        <f>+AX12+AX16+AX21</f>
        <v>2926</v>
      </c>
      <c r="AY23" s="62">
        <f>+AY12+AY16+AY21</f>
        <v>2815</v>
      </c>
      <c r="AZ23" s="62">
        <f>+AZ12+AZ16+AZ21</f>
        <v>2523</v>
      </c>
      <c r="BA23" s="51">
        <f>+AW23+AX23+AY23+AZ23</f>
        <v>10061</v>
      </c>
      <c r="BB23" s="62">
        <f>+BB12+BB16+BB21</f>
        <v>1871</v>
      </c>
      <c r="BC23" s="62">
        <f>+BC12+BC16+BC21</f>
        <v>2957</v>
      </c>
      <c r="BD23" s="62">
        <f>+BD12+BD16+BD21</f>
        <v>2948</v>
      </c>
      <c r="BE23" s="61">
        <f>+BE12+BE16+BE21</f>
        <v>2537</v>
      </c>
      <c r="BF23" s="51">
        <f>+BB23+BC23+BD23+BE23</f>
        <v>10313</v>
      </c>
      <c r="BG23" s="61">
        <f>+BG12+BG16+BG21</f>
        <v>1834</v>
      </c>
      <c r="BH23" s="61">
        <f>+BH12+BH16+BH21</f>
        <v>2886</v>
      </c>
      <c r="BI23" s="61">
        <f>+BI12+BI16+BI21</f>
        <v>2891</v>
      </c>
      <c r="BJ23" s="61">
        <f>+BJ12+BJ16+BJ21</f>
        <v>2326</v>
      </c>
      <c r="BK23" s="51">
        <f>+BG23+BH23+BI23+BJ23</f>
        <v>9937</v>
      </c>
      <c r="BL23" s="61">
        <f>+BL12+BL16+BL21</f>
        <v>1919</v>
      </c>
      <c r="BM23" s="61">
        <f>+BM12+BM16+BM21</f>
        <v>2856</v>
      </c>
      <c r="BN23" s="61">
        <f>+BN12+BN16+BN21</f>
        <v>2830</v>
      </c>
      <c r="BO23" s="61">
        <f>+BO12+BO16+BO21</f>
        <v>2560</v>
      </c>
      <c r="BP23" s="51">
        <f>+BL23+BM23+BN23+BO23</f>
        <v>10165</v>
      </c>
      <c r="BQ23" s="587">
        <f>+BQ12+BQ16+BQ21</f>
        <v>1903</v>
      </c>
      <c r="BR23" s="587">
        <f>+BR12+BR16+BR21</f>
        <v>2978</v>
      </c>
      <c r="BS23" s="587">
        <f>+BS12+BS16+BS21</f>
        <v>2903</v>
      </c>
      <c r="BT23" s="587">
        <f>+BT12+BT16+BT21</f>
        <v>2706</v>
      </c>
      <c r="BU23" s="51">
        <f>+BQ23+BR23+BS23+BT23</f>
        <v>10490</v>
      </c>
      <c r="BV23" s="60">
        <f>+Segments!BM102</f>
        <v>1810.1385938033688</v>
      </c>
      <c r="BW23" s="60">
        <f>+Segments!BN102</f>
        <v>3025.8072214013041</v>
      </c>
      <c r="BX23" s="60">
        <f>+Segments!BO102</f>
        <v>3207.2564683688406</v>
      </c>
      <c r="BY23" s="60">
        <f>+Segments!BP102</f>
        <v>2937.0564504928266</v>
      </c>
      <c r="BZ23" s="51">
        <f>+Segments!BQ102</f>
        <v>10980.258734066339</v>
      </c>
      <c r="CA23" s="60">
        <f>+Segments!BR102</f>
        <v>1940.6465506209504</v>
      </c>
      <c r="CB23" s="60">
        <f>+Segments!BS102</f>
        <v>3212.047139335803</v>
      </c>
      <c r="CC23" s="60">
        <f>+Segments!BT102</f>
        <v>3394.7485526676228</v>
      </c>
      <c r="CD23" s="60">
        <f>+Segments!BU102</f>
        <v>3147.1534961321249</v>
      </c>
      <c r="CE23" s="51">
        <f>+Segments!BV102</f>
        <v>11694.595738756501</v>
      </c>
      <c r="CF23" s="60">
        <f>+Segments!BW102</f>
        <v>2075.0015872512149</v>
      </c>
      <c r="CG23" s="60">
        <f>+Segments!BX102</f>
        <v>3401.9941063627966</v>
      </c>
      <c r="CH23" s="60">
        <f>+Segments!BY102</f>
        <v>3586.9313545064224</v>
      </c>
      <c r="CI23" s="60">
        <f>+Segments!BZ102</f>
        <v>3362.9125067519744</v>
      </c>
      <c r="CJ23" s="51">
        <f>+Segments!CA102</f>
        <v>12426.839554872411</v>
      </c>
      <c r="CK23" s="60">
        <f>+Segments!CB102</f>
        <v>2214.4009726006416</v>
      </c>
      <c r="CL23" s="60">
        <f>+Segments!CC102</f>
        <v>3599.6573231374491</v>
      </c>
      <c r="CM23" s="60">
        <f>+Segments!CD102</f>
        <v>3786.9794168319618</v>
      </c>
      <c r="CN23" s="60">
        <f>+Segments!CE102</f>
        <v>3586.8384321285025</v>
      </c>
      <c r="CO23" s="51">
        <f>+Segments!CF102</f>
        <v>13187.876144698554</v>
      </c>
      <c r="CP23" s="60">
        <f>+Segments!CG102</f>
        <v>2360.2612286286508</v>
      </c>
      <c r="CQ23" s="60">
        <f>+Segments!CH102</f>
        <v>3806.712186808657</v>
      </c>
      <c r="CR23" s="60">
        <f>+Segments!CI102</f>
        <v>3996.4641461937399</v>
      </c>
      <c r="CS23" s="60">
        <f>+Segments!CJ102</f>
        <v>3821.5116629513141</v>
      </c>
      <c r="CT23" s="51">
        <f>+Segments!CK102</f>
        <v>13984.949224582359</v>
      </c>
      <c r="CU23" s="59"/>
      <c r="CV23" s="59"/>
    </row>
    <row r="24" spans="1:100" ht="12.75" customHeight="1" x14ac:dyDescent="0.2">
      <c r="A24" s="65"/>
      <c r="B24" s="313" t="s">
        <v>55</v>
      </c>
      <c r="C24" s="65"/>
      <c r="D24" s="320">
        <f t="shared" ref="D24:O24" si="49">+D23/D5</f>
        <v>0.18381993149567771</v>
      </c>
      <c r="E24" s="320">
        <f t="shared" si="49"/>
        <v>0.200990099009901</v>
      </c>
      <c r="F24" s="320">
        <f t="shared" si="49"/>
        <v>0.20835055808185202</v>
      </c>
      <c r="G24" s="320">
        <f t="shared" si="49"/>
        <v>0.15324321254117915</v>
      </c>
      <c r="H24" s="321">
        <f t="shared" si="49"/>
        <v>0.18485355934520351</v>
      </c>
      <c r="I24" s="320">
        <f t="shared" si="49"/>
        <v>0.18936977980258163</v>
      </c>
      <c r="J24" s="320">
        <f t="shared" si="49"/>
        <v>0.20215668442250229</v>
      </c>
      <c r="K24" s="320">
        <f t="shared" si="49"/>
        <v>0.20515640273704791</v>
      </c>
      <c r="L24" s="320">
        <f t="shared" si="49"/>
        <v>0.14951436247158503</v>
      </c>
      <c r="M24" s="321">
        <f t="shared" si="49"/>
        <v>0.18445121951219512</v>
      </c>
      <c r="N24" s="320">
        <f t="shared" si="49"/>
        <v>0.18708141092424468</v>
      </c>
      <c r="O24" s="320">
        <f t="shared" si="49"/>
        <v>0.20656414964425063</v>
      </c>
      <c r="P24" s="320">
        <f t="shared" ref="P24:AW24" si="50">+P23/P5</f>
        <v>0.20319684694547843</v>
      </c>
      <c r="Q24" s="320">
        <f t="shared" si="50"/>
        <v>0.1566698202459792</v>
      </c>
      <c r="R24" s="321">
        <f t="shared" si="50"/>
        <v>0.18695392321484475</v>
      </c>
      <c r="S24" s="322">
        <f t="shared" si="50"/>
        <v>0.19074829931972789</v>
      </c>
      <c r="T24" s="322">
        <f t="shared" si="50"/>
        <v>0.20256063287186427</v>
      </c>
      <c r="U24" s="322">
        <f t="shared" si="50"/>
        <v>0.20558450496509684</v>
      </c>
      <c r="V24" s="322">
        <f t="shared" si="50"/>
        <v>0.1469301798153248</v>
      </c>
      <c r="W24" s="321">
        <f t="shared" si="50"/>
        <v>0.18374119673709277</v>
      </c>
      <c r="X24" s="322">
        <f t="shared" si="50"/>
        <v>0.18732749309972399</v>
      </c>
      <c r="Y24" s="322">
        <f t="shared" si="50"/>
        <v>0.19460941068981269</v>
      </c>
      <c r="Z24" s="322">
        <f t="shared" si="50"/>
        <v>0.19272500889363217</v>
      </c>
      <c r="AA24" s="322">
        <f t="shared" si="50"/>
        <v>0.15633592583863617</v>
      </c>
      <c r="AB24" s="321">
        <f t="shared" si="50"/>
        <v>0.18145245196642854</v>
      </c>
      <c r="AC24" s="322">
        <f t="shared" si="50"/>
        <v>0.18770422364758563</v>
      </c>
      <c r="AD24" s="322">
        <f t="shared" si="50"/>
        <v>0.19835725075528701</v>
      </c>
      <c r="AE24" s="322">
        <f t="shared" si="50"/>
        <v>0.19891696750902527</v>
      </c>
      <c r="AF24" s="322">
        <f t="shared" si="50"/>
        <v>0.15040986688726782</v>
      </c>
      <c r="AG24" s="321">
        <f t="shared" si="50"/>
        <v>0.18171724648408585</v>
      </c>
      <c r="AH24" s="322">
        <f t="shared" si="50"/>
        <v>0.18381725021349274</v>
      </c>
      <c r="AI24" s="322">
        <f t="shared" si="50"/>
        <v>0.18214985473954462</v>
      </c>
      <c r="AJ24" s="320">
        <f t="shared" si="50"/>
        <v>0.18499419878819132</v>
      </c>
      <c r="AK24" s="320">
        <f t="shared" si="50"/>
        <v>0.13687689341779125</v>
      </c>
      <c r="AL24" s="321">
        <f t="shared" si="50"/>
        <v>0.16897195615339397</v>
      </c>
      <c r="AM24" s="322">
        <f t="shared" si="50"/>
        <v>0.14945128591773477</v>
      </c>
      <c r="AN24" s="322">
        <f t="shared" si="50"/>
        <v>0.16788494681167171</v>
      </c>
      <c r="AO24" s="323">
        <f t="shared" si="50"/>
        <v>0.17102718689568877</v>
      </c>
      <c r="AP24" s="320">
        <f t="shared" si="50"/>
        <v>0.14087535193242898</v>
      </c>
      <c r="AQ24" s="321">
        <f t="shared" si="50"/>
        <v>0.15737466037248979</v>
      </c>
      <c r="AR24" s="322">
        <f t="shared" si="50"/>
        <v>0.13461538461538461</v>
      </c>
      <c r="AS24" s="322">
        <f t="shared" si="50"/>
        <v>0.16241341596791833</v>
      </c>
      <c r="AT24" s="323">
        <f t="shared" si="50"/>
        <v>0.16598606773961086</v>
      </c>
      <c r="AU24" s="323">
        <f t="shared" si="50"/>
        <v>0.12889646186228326</v>
      </c>
      <c r="AV24" s="321">
        <f t="shared" si="50"/>
        <v>0.14783485005802235</v>
      </c>
      <c r="AW24" s="323">
        <f t="shared" si="50"/>
        <v>0.14283443287497019</v>
      </c>
      <c r="AX24" s="323">
        <f t="shared" ref="AX24:CA24" si="51">+AX23/AX5</f>
        <v>0.17409412744689712</v>
      </c>
      <c r="AY24" s="323">
        <f t="shared" si="51"/>
        <v>0.16647938967413803</v>
      </c>
      <c r="AZ24" s="323">
        <f>+AZ23/AZ5</f>
        <v>0.12541008052490307</v>
      </c>
      <c r="BA24" s="321">
        <f t="shared" si="51"/>
        <v>0.15148686290747573</v>
      </c>
      <c r="BB24" s="320">
        <f>+BB23/BB5</f>
        <v>0.14822150043571258</v>
      </c>
      <c r="BC24" s="320">
        <f>+BC23/BC5</f>
        <v>0.17503255593701905</v>
      </c>
      <c r="BD24" s="320">
        <f t="shared" si="51"/>
        <v>0.17121616912533394</v>
      </c>
      <c r="BE24" s="322">
        <f>+BE23/BE5</f>
        <v>0.12718066974132744</v>
      </c>
      <c r="BF24" s="321">
        <f>+BF23/BF5</f>
        <v>0.15465710900829296</v>
      </c>
      <c r="BG24" s="320">
        <f t="shared" si="51"/>
        <v>0.15011868707538675</v>
      </c>
      <c r="BH24" s="320">
        <f t="shared" si="51"/>
        <v>0.1812472524021855</v>
      </c>
      <c r="BI24" s="320">
        <f t="shared" si="51"/>
        <v>0.17702528932704673</v>
      </c>
      <c r="BJ24" s="320">
        <f t="shared" si="51"/>
        <v>0.12515469464622006</v>
      </c>
      <c r="BK24" s="321">
        <f>+BK23/BK5</f>
        <v>0.15759007866023853</v>
      </c>
      <c r="BL24" s="320">
        <f t="shared" si="51"/>
        <v>0.16177710335525206</v>
      </c>
      <c r="BM24" s="320">
        <f t="shared" si="51"/>
        <v>0.18551477752517051</v>
      </c>
      <c r="BN24" s="320">
        <f t="shared" si="51"/>
        <v>0.17657702626817245</v>
      </c>
      <c r="BO24" s="320">
        <f t="shared" ref="BO24" si="52">+BO23/BO5</f>
        <v>0.13118114271073533</v>
      </c>
      <c r="BP24" s="321">
        <f>+BP23/BP5</f>
        <v>0.16186563480310195</v>
      </c>
      <c r="BQ24" s="580">
        <f>+BQ23/BQ5</f>
        <v>0.15793841812598555</v>
      </c>
      <c r="BR24" s="320">
        <f>+BR23/BR5</f>
        <v>0.1895607893061744</v>
      </c>
      <c r="BS24" s="320">
        <f t="shared" si="51"/>
        <v>0.17875615763546798</v>
      </c>
      <c r="BT24" s="320">
        <f>+BT23/BT5</f>
        <v>0.13858445150056334</v>
      </c>
      <c r="BU24" s="321">
        <f>+BU23/BU5</f>
        <v>0.16513183785911059</v>
      </c>
      <c r="BV24" s="320">
        <f t="shared" si="51"/>
        <v>0.14481525114698274</v>
      </c>
      <c r="BW24" s="320">
        <f t="shared" si="51"/>
        <v>0.18608526899721137</v>
      </c>
      <c r="BX24" s="320">
        <f t="shared" si="51"/>
        <v>0.19067619032659125</v>
      </c>
      <c r="BY24" s="320">
        <f t="shared" si="51"/>
        <v>0.14488955698687228</v>
      </c>
      <c r="BZ24" s="321">
        <f t="shared" si="51"/>
        <v>0.16674297146822747</v>
      </c>
      <c r="CA24" s="320">
        <f t="shared" si="51"/>
        <v>0.15088171786498766</v>
      </c>
      <c r="CB24" s="320">
        <f t="shared" ref="CB24:CJ24" si="53">+CB23/CB5</f>
        <v>0.19160449283758221</v>
      </c>
      <c r="CC24" s="320">
        <f t="shared" si="53"/>
        <v>0.19591071577477792</v>
      </c>
      <c r="CD24" s="320">
        <f t="shared" si="53"/>
        <v>0.1505399619974864</v>
      </c>
      <c r="CE24" s="321">
        <f t="shared" si="53"/>
        <v>0.17233468585744138</v>
      </c>
      <c r="CF24" s="320">
        <f t="shared" si="53"/>
        <v>0.15683746727948916</v>
      </c>
      <c r="CG24" s="320">
        <f t="shared" si="53"/>
        <v>0.19699717835479158</v>
      </c>
      <c r="CH24" s="320">
        <f t="shared" si="53"/>
        <v>0.2010740380345909</v>
      </c>
      <c r="CI24" s="320">
        <f t="shared" si="53"/>
        <v>0.15608755918924588</v>
      </c>
      <c r="CJ24" s="321">
        <f t="shared" si="53"/>
        <v>0.17782243622079003</v>
      </c>
      <c r="CK24" s="320">
        <f t="shared" ref="CK24:CT24" si="54">+CK23/CK5</f>
        <v>0.16267902498399839</v>
      </c>
      <c r="CL24" s="320">
        <f t="shared" si="54"/>
        <v>0.20229304085952848</v>
      </c>
      <c r="CM24" s="320">
        <f t="shared" si="54"/>
        <v>0.20615341821741059</v>
      </c>
      <c r="CN24" s="320">
        <f t="shared" si="54"/>
        <v>0.1615013513692152</v>
      </c>
      <c r="CO24" s="321">
        <f t="shared" si="54"/>
        <v>0.18320206345035067</v>
      </c>
      <c r="CP24" s="320">
        <f t="shared" si="54"/>
        <v>0.16849311762960581</v>
      </c>
      <c r="CQ24" s="320">
        <f t="shared" si="54"/>
        <v>0.20756517184540613</v>
      </c>
      <c r="CR24" s="320">
        <f t="shared" si="54"/>
        <v>0.21121340524235729</v>
      </c>
      <c r="CS24" s="320">
        <f t="shared" si="54"/>
        <v>0.16688016121968999</v>
      </c>
      <c r="CT24" s="321">
        <f t="shared" si="54"/>
        <v>0.18855496424290855</v>
      </c>
      <c r="CU24" s="65"/>
      <c r="CV24" s="65"/>
    </row>
    <row r="25" spans="1:100" ht="12.75" customHeight="1" x14ac:dyDescent="0.2">
      <c r="A25" s="370"/>
      <c r="B25" s="313" t="s">
        <v>48</v>
      </c>
      <c r="C25" s="370"/>
      <c r="D25" s="320"/>
      <c r="E25" s="320"/>
      <c r="F25" s="320"/>
      <c r="G25" s="320"/>
      <c r="H25" s="321"/>
      <c r="I25" s="320">
        <f t="shared" ref="I25:AG25" si="55">+I23/D23-1</f>
        <v>0.10647737355811882</v>
      </c>
      <c r="J25" s="320">
        <f t="shared" si="55"/>
        <v>9.5003518648838936E-2</v>
      </c>
      <c r="K25" s="320">
        <f t="shared" si="55"/>
        <v>0.11044973544973535</v>
      </c>
      <c r="L25" s="320">
        <f t="shared" si="55"/>
        <v>7.2646404744254989E-2</v>
      </c>
      <c r="M25" s="321">
        <f t="shared" si="55"/>
        <v>9.6136069513773403E-2</v>
      </c>
      <c r="N25" s="320">
        <f t="shared" si="55"/>
        <v>8.0192461908581425E-3</v>
      </c>
      <c r="O25" s="320">
        <f t="shared" si="55"/>
        <v>0.15681233933161964</v>
      </c>
      <c r="P25" s="320">
        <f t="shared" si="55"/>
        <v>0.10541989279332942</v>
      </c>
      <c r="Q25" s="320">
        <f t="shared" si="55"/>
        <v>0.14443676572218389</v>
      </c>
      <c r="R25" s="321">
        <f t="shared" si="55"/>
        <v>0.10794400404790006</v>
      </c>
      <c r="S25" s="322">
        <f t="shared" si="55"/>
        <v>0.11535401750198893</v>
      </c>
      <c r="T25" s="322">
        <f t="shared" si="55"/>
        <v>8.1111111111111134E-2</v>
      </c>
      <c r="U25" s="322">
        <f t="shared" si="55"/>
        <v>0.12661637931034475</v>
      </c>
      <c r="V25" s="322">
        <f t="shared" si="55"/>
        <v>9.5410628019323651E-2</v>
      </c>
      <c r="W25" s="321">
        <f t="shared" si="55"/>
        <v>0.10412543766174465</v>
      </c>
      <c r="X25" s="322">
        <f t="shared" si="55"/>
        <v>0.11340941512125524</v>
      </c>
      <c r="Y25" s="322">
        <f t="shared" si="55"/>
        <v>9.4552929085303106E-2</v>
      </c>
      <c r="Z25" s="322">
        <f t="shared" si="55"/>
        <v>3.6346245815399358E-2</v>
      </c>
      <c r="AA25" s="322">
        <f t="shared" si="55"/>
        <v>9.7023153252480787E-2</v>
      </c>
      <c r="AB25" s="321">
        <f t="shared" si="55"/>
        <v>8.2035019991727465E-2</v>
      </c>
      <c r="AC25" s="322">
        <f t="shared" si="55"/>
        <v>-6.4061499039077541E-3</v>
      </c>
      <c r="AD25" s="322">
        <f t="shared" si="55"/>
        <v>-1.3615023474178423E-2</v>
      </c>
      <c r="AE25" s="322">
        <f t="shared" si="55"/>
        <v>1.7074296262113542E-2</v>
      </c>
      <c r="AF25" s="322">
        <f t="shared" si="55"/>
        <v>5.0251256281406143E-3</v>
      </c>
      <c r="AG25" s="321">
        <f t="shared" si="55"/>
        <v>1.0193679918450993E-3</v>
      </c>
      <c r="AH25" s="322">
        <f t="shared" ref="AH25:BU25" si="56">+AH23/AC23-1</f>
        <v>0.1102514506769825</v>
      </c>
      <c r="AI25" s="322">
        <f t="shared" si="56"/>
        <v>0.2831984769157545</v>
      </c>
      <c r="AJ25" s="320">
        <f t="shared" si="56"/>
        <v>0.30217785843920142</v>
      </c>
      <c r="AK25" s="320">
        <f t="shared" si="56"/>
        <v>0.24249999999999994</v>
      </c>
      <c r="AL25" s="321">
        <f t="shared" si="56"/>
        <v>0.24401731160896123</v>
      </c>
      <c r="AM25" s="322">
        <f t="shared" si="56"/>
        <v>3.6004645760743248E-2</v>
      </c>
      <c r="AN25" s="322">
        <f t="shared" si="56"/>
        <v>4.78486646884273E-2</v>
      </c>
      <c r="AO25" s="323">
        <f t="shared" si="56"/>
        <v>4.7735191637630736E-2</v>
      </c>
      <c r="AP25" s="320">
        <f t="shared" si="56"/>
        <v>0.10744466800804831</v>
      </c>
      <c r="AQ25" s="321">
        <f t="shared" si="56"/>
        <v>6.0882021897063376E-2</v>
      </c>
      <c r="AR25" s="322">
        <f t="shared" si="56"/>
        <v>-6.2219730941704077E-2</v>
      </c>
      <c r="AS25" s="322">
        <f t="shared" si="56"/>
        <v>-5.3805309734513251E-2</v>
      </c>
      <c r="AT25" s="323">
        <f t="shared" si="56"/>
        <v>-8.081143997339546E-2</v>
      </c>
      <c r="AU25" s="323">
        <f t="shared" si="56"/>
        <v>-6.5406976744186052E-2</v>
      </c>
      <c r="AV25" s="321">
        <f t="shared" si="56"/>
        <v>-6.6165123456790154E-2</v>
      </c>
      <c r="AW25" s="323">
        <f>+AW23/AR23-1</f>
        <v>7.4118350268977951E-2</v>
      </c>
      <c r="AX25" s="323">
        <f t="shared" si="56"/>
        <v>9.4650205761316775E-2</v>
      </c>
      <c r="AY25" s="323">
        <f t="shared" si="56"/>
        <v>1.8451519536903049E-2</v>
      </c>
      <c r="AZ25" s="323">
        <f>+AZ23/AU23-1</f>
        <v>-1.9051321928460374E-2</v>
      </c>
      <c r="BA25" s="321">
        <f t="shared" si="56"/>
        <v>3.9144804792398347E-2</v>
      </c>
      <c r="BB25" s="320">
        <f>+BB23/AW23-1</f>
        <v>4.117974401780744E-2</v>
      </c>
      <c r="BC25" s="320">
        <f>+BC23/AX23-1</f>
        <v>1.0594668489405379E-2</v>
      </c>
      <c r="BD25" s="320">
        <f>+BD23/AY23-1</f>
        <v>4.7246891651864908E-2</v>
      </c>
      <c r="BE25" s="322">
        <f>+BE23/AZ23-1</f>
        <v>5.5489496630993784E-3</v>
      </c>
      <c r="BF25" s="321">
        <f t="shared" si="56"/>
        <v>2.5047212006758857E-2</v>
      </c>
      <c r="BG25" s="320">
        <f t="shared" si="56"/>
        <v>-1.9775521111704997E-2</v>
      </c>
      <c r="BH25" s="320">
        <f t="shared" si="56"/>
        <v>-2.4010821778829849E-2</v>
      </c>
      <c r="BI25" s="320">
        <f t="shared" si="56"/>
        <v>-1.9335142469470878E-2</v>
      </c>
      <c r="BJ25" s="320">
        <f t="shared" si="56"/>
        <v>-8.3169097359085509E-2</v>
      </c>
      <c r="BK25" s="321">
        <f t="shared" si="56"/>
        <v>-3.6458838359352264E-2</v>
      </c>
      <c r="BL25" s="320">
        <f t="shared" si="56"/>
        <v>4.6346782988004431E-2</v>
      </c>
      <c r="BM25" s="320">
        <f t="shared" si="56"/>
        <v>-1.039501039501034E-2</v>
      </c>
      <c r="BN25" s="320">
        <f t="shared" si="56"/>
        <v>-2.1099965409892785E-2</v>
      </c>
      <c r="BO25" s="320">
        <f t="shared" si="56"/>
        <v>0.10060189165950129</v>
      </c>
      <c r="BP25" s="321">
        <f t="shared" si="56"/>
        <v>2.2944550669216079E-2</v>
      </c>
      <c r="BQ25" s="580">
        <f>+BQ23/BL23-1</f>
        <v>-8.3376758728503919E-3</v>
      </c>
      <c r="BR25" s="320">
        <f>+BR23/BM23-1</f>
        <v>4.2717086834733964E-2</v>
      </c>
      <c r="BS25" s="320">
        <f t="shared" si="56"/>
        <v>2.5795053003533575E-2</v>
      </c>
      <c r="BT25" s="320">
        <f t="shared" si="56"/>
        <v>5.7031250000000089E-2</v>
      </c>
      <c r="BU25" s="321">
        <f t="shared" si="56"/>
        <v>3.1972454500737824E-2</v>
      </c>
      <c r="BV25" s="320">
        <f t="shared" ref="BV25:CE25" si="57">+BV23/BQ23-1</f>
        <v>-4.8797375825870293E-2</v>
      </c>
      <c r="BW25" s="320">
        <f t="shared" si="57"/>
        <v>1.605346588358092E-2</v>
      </c>
      <c r="BX25" s="320">
        <f t="shared" si="57"/>
        <v>0.10480760191830552</v>
      </c>
      <c r="BY25" s="320">
        <f t="shared" si="57"/>
        <v>8.5386714890179904E-2</v>
      </c>
      <c r="BZ25" s="321">
        <f t="shared" si="57"/>
        <v>4.6735818309469934E-2</v>
      </c>
      <c r="CA25" s="320">
        <f t="shared" si="57"/>
        <v>7.2098322893257016E-2</v>
      </c>
      <c r="CB25" s="320">
        <f t="shared" si="57"/>
        <v>6.1550490268262426E-2</v>
      </c>
      <c r="CC25" s="320">
        <f t="shared" si="57"/>
        <v>5.8458712656096923E-2</v>
      </c>
      <c r="CD25" s="320">
        <f t="shared" si="57"/>
        <v>7.1533199712264572E-2</v>
      </c>
      <c r="CE25" s="321">
        <f t="shared" si="57"/>
        <v>6.5056482000185101E-2</v>
      </c>
      <c r="CF25" s="320">
        <f t="shared" ref="CF25:CO25" si="58">+CF23/CA23-1</f>
        <v>6.9232100295272714E-2</v>
      </c>
      <c r="CG25" s="320">
        <f t="shared" si="58"/>
        <v>5.913579682590564E-2</v>
      </c>
      <c r="CH25" s="320">
        <f t="shared" si="58"/>
        <v>5.6611792849217357E-2</v>
      </c>
      <c r="CI25" s="320">
        <f t="shared" si="58"/>
        <v>6.8556875565497277E-2</v>
      </c>
      <c r="CJ25" s="321">
        <f t="shared" si="58"/>
        <v>6.2613863058918362E-2</v>
      </c>
      <c r="CK25" s="320">
        <f t="shared" si="58"/>
        <v>6.7180375285443183E-2</v>
      </c>
      <c r="CL25" s="320">
        <f t="shared" si="58"/>
        <v>5.8102163200388857E-2</v>
      </c>
      <c r="CM25" s="320">
        <f t="shared" si="58"/>
        <v>5.5771366261082811E-2</v>
      </c>
      <c r="CN25" s="320">
        <f t="shared" si="58"/>
        <v>6.6586901956841027E-2</v>
      </c>
      <c r="CO25" s="321">
        <f t="shared" si="58"/>
        <v>6.1241362815193767E-2</v>
      </c>
      <c r="CP25" s="320">
        <f>+CP23/CK23-1</f>
        <v>6.5868945070371554E-2</v>
      </c>
      <c r="CQ25" s="320">
        <f>+CQ23/CL23-1</f>
        <v>5.7520715191506033E-2</v>
      </c>
      <c r="CR25" s="320">
        <f>+CR23/CM23-1</f>
        <v>5.5317102710060295E-2</v>
      </c>
      <c r="CS25" s="320">
        <f>+CS23/CN23-1</f>
        <v>6.542620618781303E-2</v>
      </c>
      <c r="CT25" s="321">
        <f>+CT23/CO23-1</f>
        <v>6.0439836645282963E-2</v>
      </c>
      <c r="CU25" s="372"/>
      <c r="CV25" s="372"/>
    </row>
    <row r="26" spans="1:100" ht="12.75" customHeight="1" x14ac:dyDescent="0.2">
      <c r="A26" s="370"/>
      <c r="B26" s="313" t="s">
        <v>28</v>
      </c>
      <c r="C26" s="370"/>
      <c r="D26" s="349"/>
      <c r="E26" s="349"/>
      <c r="F26" s="349"/>
      <c r="G26" s="349"/>
      <c r="H26" s="356"/>
      <c r="I26" s="349">
        <f t="shared" ref="I26:AG26" si="59">+(I24-D24)*10000</f>
        <v>55.498483069039153</v>
      </c>
      <c r="J26" s="349">
        <f t="shared" si="59"/>
        <v>11.665854126012842</v>
      </c>
      <c r="K26" s="349">
        <f t="shared" si="59"/>
        <v>-31.941553448041059</v>
      </c>
      <c r="L26" s="349">
        <f t="shared" si="59"/>
        <v>-37.288500695941138</v>
      </c>
      <c r="M26" s="356">
        <f t="shared" si="59"/>
        <v>-4.0233983300838609</v>
      </c>
      <c r="N26" s="349">
        <f t="shared" si="59"/>
        <v>-22.883688783369436</v>
      </c>
      <c r="O26" s="349">
        <f t="shared" si="59"/>
        <v>44.074652217483411</v>
      </c>
      <c r="P26" s="349">
        <f t="shared" si="59"/>
        <v>-19.595557915694783</v>
      </c>
      <c r="Q26" s="349">
        <f t="shared" si="59"/>
        <v>71.554577743941636</v>
      </c>
      <c r="R26" s="356">
        <f t="shared" si="59"/>
        <v>25.027037026496281</v>
      </c>
      <c r="S26" s="344">
        <f t="shared" si="59"/>
        <v>36.66888395483209</v>
      </c>
      <c r="T26" s="344">
        <f t="shared" si="59"/>
        <v>-40.035167723863616</v>
      </c>
      <c r="U26" s="344">
        <f t="shared" si="59"/>
        <v>23.876580196184051</v>
      </c>
      <c r="V26" s="344">
        <f t="shared" si="59"/>
        <v>-97.396404306543943</v>
      </c>
      <c r="W26" s="356">
        <f t="shared" si="59"/>
        <v>-32.127264777519763</v>
      </c>
      <c r="X26" s="344">
        <f t="shared" si="59"/>
        <v>-34.208062200039024</v>
      </c>
      <c r="Y26" s="344">
        <f t="shared" si="59"/>
        <v>-79.512221820515762</v>
      </c>
      <c r="Z26" s="344">
        <f t="shared" si="59"/>
        <v>-128.59496071464665</v>
      </c>
      <c r="AA26" s="344">
        <f t="shared" si="59"/>
        <v>94.05746023311373</v>
      </c>
      <c r="AB26" s="356">
        <f t="shared" si="59"/>
        <v>-22.887447706642362</v>
      </c>
      <c r="AC26" s="344">
        <f t="shared" si="59"/>
        <v>3.7673054786163673</v>
      </c>
      <c r="AD26" s="344">
        <f t="shared" si="59"/>
        <v>37.478400654743226</v>
      </c>
      <c r="AE26" s="344">
        <f t="shared" si="59"/>
        <v>61.91958615393095</v>
      </c>
      <c r="AF26" s="344">
        <f t="shared" si="59"/>
        <v>-59.26058951368357</v>
      </c>
      <c r="AG26" s="356">
        <f t="shared" si="59"/>
        <v>2.6479451765731854</v>
      </c>
      <c r="AH26" s="344">
        <f t="shared" ref="AH26:BU26" si="60">+(AH24-AC24)*10000</f>
        <v>-38.869734340928886</v>
      </c>
      <c r="AI26" s="344">
        <f t="shared" si="60"/>
        <v>-162.07396015742393</v>
      </c>
      <c r="AJ26" s="349">
        <f t="shared" si="60"/>
        <v>-139.22768720833949</v>
      </c>
      <c r="AK26" s="349">
        <f t="shared" si="60"/>
        <v>-135.32973469476573</v>
      </c>
      <c r="AL26" s="356">
        <f t="shared" si="60"/>
        <v>-127.45290330691883</v>
      </c>
      <c r="AM26" s="344">
        <f t="shared" si="60"/>
        <v>-343.65964295757971</v>
      </c>
      <c r="AN26" s="344">
        <f t="shared" si="60"/>
        <v>-142.64907927872912</v>
      </c>
      <c r="AO26" s="346">
        <f t="shared" si="60"/>
        <v>-139.67011892502546</v>
      </c>
      <c r="AP26" s="349">
        <f t="shared" si="60"/>
        <v>39.984585146377313</v>
      </c>
      <c r="AQ26" s="356">
        <f t="shared" si="60"/>
        <v>-115.97295780904182</v>
      </c>
      <c r="AR26" s="344">
        <f t="shared" si="60"/>
        <v>-148.35901302350157</v>
      </c>
      <c r="AS26" s="344">
        <f t="shared" si="60"/>
        <v>-54.71530843753375</v>
      </c>
      <c r="AT26" s="346">
        <f t="shared" si="60"/>
        <v>-50.411191560779109</v>
      </c>
      <c r="AU26" s="346">
        <f t="shared" si="60"/>
        <v>-119.78890070145715</v>
      </c>
      <c r="AV26" s="356">
        <f t="shared" si="60"/>
        <v>-95.398103144674337</v>
      </c>
      <c r="AW26" s="346">
        <f t="shared" si="60"/>
        <v>82.190482595855812</v>
      </c>
      <c r="AX26" s="346">
        <f>+(AX24-AS24)*10000</f>
        <v>116.80711478978783</v>
      </c>
      <c r="AY26" s="346">
        <f>+(AY24-AT24)*10000</f>
        <v>4.9332193452716888</v>
      </c>
      <c r="AZ26" s="346">
        <f>+(AZ24-AU24)*10000</f>
        <v>-34.863813373801896</v>
      </c>
      <c r="BA26" s="356">
        <f t="shared" si="60"/>
        <v>36.520128494533786</v>
      </c>
      <c r="BB26" s="349">
        <f>+(BB24-AW24)*10000</f>
        <v>53.870675607423927</v>
      </c>
      <c r="BC26" s="349">
        <f>+(BC24-AX24)*10000</f>
        <v>9.3842849012193419</v>
      </c>
      <c r="BD26" s="349">
        <f>+(BD24-AY24)*10000</f>
        <v>47.367794511959104</v>
      </c>
      <c r="BE26" s="344">
        <f>+(BE24-AZ24)*10000</f>
        <v>17.705892164243675</v>
      </c>
      <c r="BF26" s="356">
        <f t="shared" si="60"/>
        <v>31.70246100817231</v>
      </c>
      <c r="BG26" s="349">
        <f t="shared" si="60"/>
        <v>18.971866396741699</v>
      </c>
      <c r="BH26" s="349">
        <f t="shared" si="60"/>
        <v>62.146964651664526</v>
      </c>
      <c r="BI26" s="349">
        <f t="shared" si="60"/>
        <v>58.091202017127863</v>
      </c>
      <c r="BJ26" s="349">
        <f t="shared" si="60"/>
        <v>-20.259750951073798</v>
      </c>
      <c r="BK26" s="356">
        <f t="shared" si="60"/>
        <v>29.329696519455606</v>
      </c>
      <c r="BL26" s="349">
        <f t="shared" si="60"/>
        <v>116.58416279865303</v>
      </c>
      <c r="BM26" s="349">
        <f t="shared" si="60"/>
        <v>42.675251229850055</v>
      </c>
      <c r="BN26" s="349">
        <f t="shared" si="60"/>
        <v>-4.4826305887427083</v>
      </c>
      <c r="BO26" s="349">
        <f t="shared" si="60"/>
        <v>60.264480645152716</v>
      </c>
      <c r="BP26" s="356">
        <f t="shared" si="60"/>
        <v>42.755561428634294</v>
      </c>
      <c r="BQ26" s="589">
        <f>+(BQ24-BL24)*10000</f>
        <v>-38.386852292665033</v>
      </c>
      <c r="BR26" s="349">
        <f>+(BR24-BM24)*10000</f>
        <v>40.460117810038888</v>
      </c>
      <c r="BS26" s="349">
        <f t="shared" si="60"/>
        <v>21.791313672955283</v>
      </c>
      <c r="BT26" s="349">
        <f>+(BT24-BO24)*10000</f>
        <v>74.033087898280058</v>
      </c>
      <c r="BU26" s="356">
        <f t="shared" si="60"/>
        <v>32.662030560086372</v>
      </c>
      <c r="BV26" s="349">
        <f t="shared" ref="BV26:CE26" si="61">+(BV24-BQ24)*10000</f>
        <v>-131.23166979002815</v>
      </c>
      <c r="BW26" s="349">
        <f t="shared" si="61"/>
        <v>-34.755203089630314</v>
      </c>
      <c r="BX26" s="349">
        <f t="shared" si="61"/>
        <v>119.20032691123266</v>
      </c>
      <c r="BY26" s="349">
        <f t="shared" si="61"/>
        <v>63.051054863089426</v>
      </c>
      <c r="BZ26" s="356">
        <f t="shared" si="61"/>
        <v>16.111336091168827</v>
      </c>
      <c r="CA26" s="349">
        <f t="shared" si="61"/>
        <v>60.664667180049257</v>
      </c>
      <c r="CB26" s="349">
        <f t="shared" si="61"/>
        <v>55.192238403708458</v>
      </c>
      <c r="CC26" s="349">
        <f t="shared" si="61"/>
        <v>52.345254481866718</v>
      </c>
      <c r="CD26" s="349">
        <f t="shared" si="61"/>
        <v>56.504050106141179</v>
      </c>
      <c r="CE26" s="356">
        <f t="shared" si="61"/>
        <v>55.917143892139087</v>
      </c>
      <c r="CF26" s="349">
        <f t="shared" ref="CF26:CO26" si="62">+(CF24-CA24)*10000</f>
        <v>59.557494145014985</v>
      </c>
      <c r="CG26" s="349">
        <f t="shared" si="62"/>
        <v>53.926855172093667</v>
      </c>
      <c r="CH26" s="349">
        <f t="shared" si="62"/>
        <v>51.633222598129748</v>
      </c>
      <c r="CI26" s="349">
        <f t="shared" si="62"/>
        <v>55.475971917594848</v>
      </c>
      <c r="CJ26" s="356">
        <f t="shared" si="62"/>
        <v>54.877503633486427</v>
      </c>
      <c r="CK26" s="349">
        <f t="shared" si="62"/>
        <v>58.415577045092263</v>
      </c>
      <c r="CL26" s="349">
        <f t="shared" si="62"/>
        <v>52.958625047369033</v>
      </c>
      <c r="CM26" s="349">
        <f t="shared" si="62"/>
        <v>50.793801828196983</v>
      </c>
      <c r="CN26" s="349">
        <f t="shared" si="62"/>
        <v>54.137921799693181</v>
      </c>
      <c r="CO26" s="356">
        <f t="shared" si="62"/>
        <v>53.796272295606464</v>
      </c>
      <c r="CP26" s="349">
        <f>+(CP24-CK24)*10000</f>
        <v>58.140926456074219</v>
      </c>
      <c r="CQ26" s="349">
        <f>+(CQ24-CL24)*10000</f>
        <v>52.721309858776436</v>
      </c>
      <c r="CR26" s="349">
        <f>+(CR24-CM24)*10000</f>
        <v>50.599870249466996</v>
      </c>
      <c r="CS26" s="349">
        <f>+(CS24-CN24)*10000</f>
        <v>53.788098504747865</v>
      </c>
      <c r="CT26" s="356">
        <f>+(CT24-CO24)*10000</f>
        <v>53.529007925578739</v>
      </c>
      <c r="CU26" s="372"/>
      <c r="CV26" s="372"/>
    </row>
    <row r="27" spans="1:100" ht="12.75" customHeight="1" x14ac:dyDescent="0.2">
      <c r="A27" s="313"/>
      <c r="B27" s="313"/>
      <c r="C27" s="313"/>
      <c r="D27" s="294"/>
      <c r="E27" s="358"/>
      <c r="F27" s="358"/>
      <c r="G27" s="358"/>
      <c r="H27" s="351"/>
      <c r="I27" s="294"/>
      <c r="J27" s="358"/>
      <c r="K27" s="358"/>
      <c r="L27" s="358"/>
      <c r="M27" s="351"/>
      <c r="N27" s="294"/>
      <c r="O27" s="294"/>
      <c r="P27" s="358"/>
      <c r="Q27" s="358"/>
      <c r="R27" s="351"/>
      <c r="S27" s="359"/>
      <c r="T27" s="359"/>
      <c r="U27" s="359"/>
      <c r="V27" s="359"/>
      <c r="W27" s="351"/>
      <c r="X27" s="359"/>
      <c r="Y27" s="359"/>
      <c r="Z27" s="359"/>
      <c r="AA27" s="359"/>
      <c r="AB27" s="351"/>
      <c r="AC27" s="359"/>
      <c r="AD27" s="359"/>
      <c r="AE27" s="359"/>
      <c r="AF27" s="359"/>
      <c r="AG27" s="351"/>
      <c r="AH27" s="304"/>
      <c r="AI27" s="359"/>
      <c r="AJ27" s="358"/>
      <c r="AK27" s="358"/>
      <c r="AL27" s="351"/>
      <c r="AM27" s="358"/>
      <c r="AN27" s="358"/>
      <c r="AO27" s="360"/>
      <c r="AP27" s="358"/>
      <c r="AQ27" s="351"/>
      <c r="AR27" s="358"/>
      <c r="AS27" s="359"/>
      <c r="AT27" s="360"/>
      <c r="AU27" s="358"/>
      <c r="AV27" s="351"/>
      <c r="AW27" s="358"/>
      <c r="AX27" s="358"/>
      <c r="AY27" s="358"/>
      <c r="AZ27" s="358"/>
      <c r="BA27" s="351"/>
      <c r="BB27" s="358"/>
      <c r="BC27" s="358"/>
      <c r="BD27" s="358"/>
      <c r="BE27" s="359"/>
      <c r="BF27" s="351"/>
      <c r="BG27" s="562"/>
      <c r="BH27" s="562"/>
      <c r="BI27" s="562"/>
      <c r="BJ27" s="562"/>
      <c r="BK27" s="563"/>
      <c r="BL27" s="320"/>
      <c r="BM27" s="358"/>
      <c r="BN27" s="358"/>
      <c r="BO27" s="358"/>
      <c r="BP27" s="351"/>
      <c r="BQ27" s="592"/>
      <c r="BR27" s="358"/>
      <c r="BS27" s="358"/>
      <c r="BT27" s="358"/>
      <c r="BU27" s="351"/>
      <c r="BV27" s="319"/>
      <c r="BW27" s="358"/>
      <c r="BX27" s="358"/>
      <c r="BY27" s="358"/>
      <c r="BZ27" s="351"/>
      <c r="CA27" s="358"/>
      <c r="CB27" s="358"/>
      <c r="CC27" s="358"/>
      <c r="CD27" s="358"/>
      <c r="CE27" s="351"/>
      <c r="CF27" s="358"/>
      <c r="CG27" s="358"/>
      <c r="CH27" s="358"/>
      <c r="CI27" s="358"/>
      <c r="CJ27" s="351"/>
      <c r="CK27" s="358"/>
      <c r="CL27" s="358"/>
      <c r="CM27" s="358"/>
      <c r="CN27" s="358"/>
      <c r="CO27" s="351"/>
      <c r="CP27" s="358"/>
      <c r="CQ27" s="358"/>
      <c r="CR27" s="358"/>
      <c r="CS27" s="358"/>
      <c r="CT27" s="351"/>
      <c r="CU27" s="313"/>
      <c r="CV27" s="313"/>
    </row>
    <row r="28" spans="1:100" ht="12.75" hidden="1" customHeight="1" outlineLevel="1" x14ac:dyDescent="0.2">
      <c r="A28" s="313" t="s">
        <v>56</v>
      </c>
      <c r="B28" s="313"/>
      <c r="C28" s="313"/>
      <c r="D28" s="294">
        <f t="shared" ref="D28:AG28" si="63">D113</f>
        <v>275</v>
      </c>
      <c r="E28" s="294">
        <f t="shared" si="63"/>
        <v>293</v>
      </c>
      <c r="F28" s="294">
        <f t="shared" si="63"/>
        <v>295</v>
      </c>
      <c r="G28" s="294">
        <f t="shared" si="63"/>
        <v>401</v>
      </c>
      <c r="H28" s="373">
        <f t="shared" si="63"/>
        <v>1264</v>
      </c>
      <c r="I28" s="294">
        <f t="shared" si="63"/>
        <v>282</v>
      </c>
      <c r="J28" s="294">
        <f t="shared" si="63"/>
        <v>306</v>
      </c>
      <c r="K28" s="294">
        <f t="shared" si="63"/>
        <v>308</v>
      </c>
      <c r="L28" s="294">
        <f t="shared" si="63"/>
        <v>412</v>
      </c>
      <c r="M28" s="373">
        <f t="shared" si="63"/>
        <v>1308</v>
      </c>
      <c r="N28" s="294">
        <f t="shared" si="63"/>
        <v>286</v>
      </c>
      <c r="O28" s="294">
        <f t="shared" si="63"/>
        <v>324</v>
      </c>
      <c r="P28" s="294">
        <f t="shared" si="63"/>
        <v>330</v>
      </c>
      <c r="Q28" s="294">
        <f t="shared" si="63"/>
        <v>466</v>
      </c>
      <c r="R28" s="373">
        <f t="shared" si="63"/>
        <v>1406</v>
      </c>
      <c r="S28" s="374">
        <f t="shared" si="63"/>
        <v>276</v>
      </c>
      <c r="T28" s="374">
        <f t="shared" si="63"/>
        <v>332</v>
      </c>
      <c r="U28" s="374">
        <f t="shared" si="63"/>
        <v>340</v>
      </c>
      <c r="V28" s="374">
        <f t="shared" si="63"/>
        <v>478</v>
      </c>
      <c r="W28" s="373">
        <f t="shared" si="63"/>
        <v>1426</v>
      </c>
      <c r="X28" s="374">
        <f t="shared" si="63"/>
        <v>303</v>
      </c>
      <c r="Y28" s="374">
        <f t="shared" si="63"/>
        <v>375</v>
      </c>
      <c r="Z28" s="374">
        <f t="shared" si="63"/>
        <v>377</v>
      </c>
      <c r="AA28" s="374">
        <f t="shared" si="63"/>
        <v>488</v>
      </c>
      <c r="AB28" s="373">
        <f t="shared" si="63"/>
        <v>1543</v>
      </c>
      <c r="AC28" s="374">
        <f t="shared" si="63"/>
        <v>314</v>
      </c>
      <c r="AD28" s="374">
        <f t="shared" si="63"/>
        <v>371</v>
      </c>
      <c r="AE28" s="374">
        <f t="shared" si="63"/>
        <v>398</v>
      </c>
      <c r="AF28" s="374">
        <f t="shared" si="63"/>
        <v>552</v>
      </c>
      <c r="AG28" s="373">
        <f t="shared" si="63"/>
        <v>1635</v>
      </c>
      <c r="AH28" s="374">
        <f t="shared" ref="AH28:AQ28" si="64">AH113</f>
        <v>376</v>
      </c>
      <c r="AI28" s="374">
        <f t="shared" si="64"/>
        <v>593</v>
      </c>
      <c r="AJ28" s="294">
        <f t="shared" si="64"/>
        <v>611</v>
      </c>
      <c r="AK28" s="294">
        <f t="shared" si="64"/>
        <v>747</v>
      </c>
      <c r="AL28" s="373">
        <f t="shared" si="64"/>
        <v>2327</v>
      </c>
      <c r="AM28" s="294">
        <f t="shared" si="64"/>
        <v>523</v>
      </c>
      <c r="AN28" s="294">
        <f t="shared" si="64"/>
        <v>664</v>
      </c>
      <c r="AO28" s="375">
        <f t="shared" si="64"/>
        <v>690</v>
      </c>
      <c r="AP28" s="294">
        <f t="shared" si="64"/>
        <v>860</v>
      </c>
      <c r="AQ28" s="373">
        <f t="shared" si="64"/>
        <v>2737</v>
      </c>
      <c r="AR28" s="375">
        <f t="shared" ref="AR28:BU28" si="65">AR113</f>
        <v>555</v>
      </c>
      <c r="AS28" s="374">
        <f t="shared" si="65"/>
        <v>646</v>
      </c>
      <c r="AT28" s="375">
        <f t="shared" si="65"/>
        <v>636</v>
      </c>
      <c r="AU28" s="294">
        <f t="shared" si="65"/>
        <v>852</v>
      </c>
      <c r="AV28" s="373">
        <f t="shared" si="65"/>
        <v>2689</v>
      </c>
      <c r="AW28" s="294">
        <f t="shared" si="65"/>
        <v>551</v>
      </c>
      <c r="AX28" s="294">
        <f t="shared" si="65"/>
        <v>634</v>
      </c>
      <c r="AY28" s="294">
        <f t="shared" si="65"/>
        <v>630</v>
      </c>
      <c r="AZ28" s="294">
        <f t="shared" si="65"/>
        <v>848</v>
      </c>
      <c r="BA28" s="373">
        <f t="shared" si="65"/>
        <v>2663</v>
      </c>
      <c r="BB28" s="294">
        <f t="shared" ref="BB28:BK28" si="66">BB113</f>
        <v>532</v>
      </c>
      <c r="BC28" s="294">
        <f t="shared" si="66"/>
        <v>630</v>
      </c>
      <c r="BD28" s="294">
        <f t="shared" si="66"/>
        <v>632</v>
      </c>
      <c r="BE28" s="294">
        <f t="shared" si="66"/>
        <v>831</v>
      </c>
      <c r="BF28" s="373">
        <f t="shared" si="66"/>
        <v>2625</v>
      </c>
      <c r="BG28" s="294">
        <f t="shared" si="66"/>
        <v>496</v>
      </c>
      <c r="BH28" s="294">
        <f t="shared" si="66"/>
        <v>579</v>
      </c>
      <c r="BI28" s="294">
        <f t="shared" si="66"/>
        <v>569</v>
      </c>
      <c r="BJ28" s="294">
        <f t="shared" si="66"/>
        <v>772</v>
      </c>
      <c r="BK28" s="373">
        <f t="shared" si="66"/>
        <v>2416</v>
      </c>
      <c r="BL28" s="294">
        <f t="shared" si="65"/>
        <v>481</v>
      </c>
      <c r="BM28" s="294">
        <f t="shared" si="65"/>
        <v>563</v>
      </c>
      <c r="BN28" s="294">
        <f t="shared" si="65"/>
        <v>567</v>
      </c>
      <c r="BO28" s="294">
        <f t="shared" si="65"/>
        <v>757</v>
      </c>
      <c r="BP28" s="373">
        <f t="shared" si="65"/>
        <v>2368</v>
      </c>
      <c r="BQ28" s="593">
        <f t="shared" si="65"/>
        <v>477</v>
      </c>
      <c r="BR28" s="294">
        <f t="shared" si="65"/>
        <v>554</v>
      </c>
      <c r="BS28" s="294">
        <f t="shared" si="65"/>
        <v>573</v>
      </c>
      <c r="BT28" s="294">
        <f t="shared" ref="BT28" si="67">BT113</f>
        <v>765</v>
      </c>
      <c r="BU28" s="373">
        <f t="shared" si="65"/>
        <v>2369</v>
      </c>
      <c r="BV28" s="294">
        <f t="shared" ref="BV28:CE28" si="68">BV113</f>
        <v>495.65909227894639</v>
      </c>
      <c r="BW28" s="294">
        <f t="shared" si="68"/>
        <v>571.85862819723582</v>
      </c>
      <c r="BX28" s="294">
        <f t="shared" si="68"/>
        <v>593.49513763936591</v>
      </c>
      <c r="BY28" s="294">
        <f t="shared" si="68"/>
        <v>790.07993249672029</v>
      </c>
      <c r="BZ28" s="373">
        <f t="shared" si="68"/>
        <v>2451.0927906122683</v>
      </c>
      <c r="CA28" s="294">
        <f t="shared" si="68"/>
        <v>528.99841319203267</v>
      </c>
      <c r="CB28" s="294">
        <f t="shared" si="68"/>
        <v>605.90940090277013</v>
      </c>
      <c r="CC28" s="294">
        <f t="shared" si="68"/>
        <v>622.95956261095284</v>
      </c>
      <c r="CD28" s="294">
        <f t="shared" si="68"/>
        <v>821.59452574782711</v>
      </c>
      <c r="CE28" s="373">
        <f t="shared" si="68"/>
        <v>2579.4619024535828</v>
      </c>
      <c r="CF28" s="294">
        <f t="shared" ref="CF28:CO28" si="69">CF113</f>
        <v>546.08015020775554</v>
      </c>
      <c r="CG28" s="294">
        <f t="shared" si="69"/>
        <v>624.99317757964616</v>
      </c>
      <c r="CH28" s="294">
        <f t="shared" si="69"/>
        <v>641.96157548080055</v>
      </c>
      <c r="CI28" s="294">
        <f t="shared" si="69"/>
        <v>845.82146314427848</v>
      </c>
      <c r="CJ28" s="373">
        <f t="shared" si="69"/>
        <v>2658.8563664124808</v>
      </c>
      <c r="CK28" s="294">
        <f t="shared" si="69"/>
        <v>561.61357569698669</v>
      </c>
      <c r="CL28" s="294">
        <f t="shared" si="69"/>
        <v>642.32297894243084</v>
      </c>
      <c r="CM28" s="294">
        <f t="shared" si="69"/>
        <v>659.20771816172487</v>
      </c>
      <c r="CN28" s="294">
        <f t="shared" si="69"/>
        <v>867.7987861736874</v>
      </c>
      <c r="CO28" s="373">
        <f t="shared" si="69"/>
        <v>2730.9430589748299</v>
      </c>
      <c r="CP28" s="294">
        <f>CP113</f>
        <v>575.79468144040857</v>
      </c>
      <c r="CQ28" s="294">
        <f>CQ113</f>
        <v>658.11819757398848</v>
      </c>
      <c r="CR28" s="294">
        <f>CR113</f>
        <v>674.91505466015349</v>
      </c>
      <c r="CS28" s="294">
        <f>CS113</f>
        <v>887.80134958444773</v>
      </c>
      <c r="CT28" s="373">
        <f>CT113</f>
        <v>2796.6292832589979</v>
      </c>
      <c r="CU28" s="313"/>
      <c r="CV28" s="313"/>
    </row>
    <row r="29" spans="1:100" ht="12.75" hidden="1" customHeight="1" outlineLevel="1" x14ac:dyDescent="0.2">
      <c r="A29" s="313" t="s">
        <v>57</v>
      </c>
      <c r="B29" s="377"/>
      <c r="C29" s="377"/>
      <c r="D29" s="330">
        <f t="shared" ref="D29:O29" si="70">+D23+D28</f>
        <v>1402</v>
      </c>
      <c r="E29" s="330">
        <f t="shared" si="70"/>
        <v>1714</v>
      </c>
      <c r="F29" s="330">
        <f t="shared" si="70"/>
        <v>1807</v>
      </c>
      <c r="G29" s="330">
        <f t="shared" si="70"/>
        <v>1750</v>
      </c>
      <c r="H29" s="331">
        <f t="shared" si="70"/>
        <v>6673</v>
      </c>
      <c r="I29" s="330">
        <f t="shared" si="70"/>
        <v>1529</v>
      </c>
      <c r="J29" s="330">
        <f t="shared" si="70"/>
        <v>1862</v>
      </c>
      <c r="K29" s="330">
        <f t="shared" si="70"/>
        <v>1987</v>
      </c>
      <c r="L29" s="330">
        <f t="shared" si="70"/>
        <v>1859</v>
      </c>
      <c r="M29" s="331">
        <f t="shared" si="70"/>
        <v>7237</v>
      </c>
      <c r="N29" s="330">
        <f t="shared" si="70"/>
        <v>1543</v>
      </c>
      <c r="O29" s="330">
        <f t="shared" si="70"/>
        <v>2124</v>
      </c>
      <c r="P29" s="330">
        <f t="shared" ref="P29:AG29" si="71">+P23+P28</f>
        <v>2186</v>
      </c>
      <c r="Q29" s="330">
        <f t="shared" si="71"/>
        <v>2122</v>
      </c>
      <c r="R29" s="331">
        <f t="shared" si="71"/>
        <v>7975</v>
      </c>
      <c r="S29" s="332">
        <f t="shared" si="71"/>
        <v>1678</v>
      </c>
      <c r="T29" s="332">
        <f t="shared" si="71"/>
        <v>2278</v>
      </c>
      <c r="U29" s="332">
        <f t="shared" si="71"/>
        <v>2431</v>
      </c>
      <c r="V29" s="332">
        <f t="shared" si="71"/>
        <v>2292</v>
      </c>
      <c r="W29" s="331">
        <f t="shared" si="71"/>
        <v>8679</v>
      </c>
      <c r="X29" s="332">
        <f t="shared" si="71"/>
        <v>1864</v>
      </c>
      <c r="Y29" s="332">
        <f t="shared" si="71"/>
        <v>2505</v>
      </c>
      <c r="Z29" s="332">
        <f t="shared" si="71"/>
        <v>2544</v>
      </c>
      <c r="AA29" s="332">
        <f t="shared" si="71"/>
        <v>2478</v>
      </c>
      <c r="AB29" s="331">
        <f t="shared" si="71"/>
        <v>9391</v>
      </c>
      <c r="AC29" s="332">
        <f t="shared" si="71"/>
        <v>1865</v>
      </c>
      <c r="AD29" s="332">
        <f t="shared" si="71"/>
        <v>2472</v>
      </c>
      <c r="AE29" s="332">
        <f t="shared" si="71"/>
        <v>2602</v>
      </c>
      <c r="AF29" s="332">
        <f t="shared" si="71"/>
        <v>2552</v>
      </c>
      <c r="AG29" s="331">
        <f t="shared" si="71"/>
        <v>9491</v>
      </c>
      <c r="AH29" s="332">
        <f t="shared" ref="AH29:BU29" si="72">+AH23+AH28</f>
        <v>2098</v>
      </c>
      <c r="AI29" s="332">
        <f t="shared" si="72"/>
        <v>3289</v>
      </c>
      <c r="AJ29" s="330">
        <f t="shared" si="72"/>
        <v>3481</v>
      </c>
      <c r="AK29" s="330">
        <f t="shared" si="72"/>
        <v>3232</v>
      </c>
      <c r="AL29" s="331">
        <f t="shared" si="72"/>
        <v>12100</v>
      </c>
      <c r="AM29" s="330">
        <f t="shared" si="72"/>
        <v>2307</v>
      </c>
      <c r="AN29" s="330">
        <f t="shared" si="72"/>
        <v>3489</v>
      </c>
      <c r="AO29" s="333">
        <f t="shared" si="72"/>
        <v>3697</v>
      </c>
      <c r="AP29" s="330">
        <f t="shared" si="72"/>
        <v>3612</v>
      </c>
      <c r="AQ29" s="331">
        <f t="shared" si="72"/>
        <v>13105</v>
      </c>
      <c r="AR29" s="333">
        <f t="shared" si="72"/>
        <v>2228</v>
      </c>
      <c r="AS29" s="332">
        <f t="shared" si="72"/>
        <v>3319</v>
      </c>
      <c r="AT29" s="333">
        <f t="shared" si="72"/>
        <v>3400</v>
      </c>
      <c r="AU29" s="330">
        <f t="shared" si="72"/>
        <v>3424</v>
      </c>
      <c r="AV29" s="331">
        <f t="shared" si="72"/>
        <v>12371</v>
      </c>
      <c r="AW29" s="330">
        <f t="shared" si="72"/>
        <v>2348</v>
      </c>
      <c r="AX29" s="330">
        <f t="shared" si="72"/>
        <v>3560</v>
      </c>
      <c r="AY29" s="330">
        <f t="shared" si="72"/>
        <v>3445</v>
      </c>
      <c r="AZ29" s="330">
        <f t="shared" si="72"/>
        <v>3371</v>
      </c>
      <c r="BA29" s="331">
        <f t="shared" si="72"/>
        <v>12724</v>
      </c>
      <c r="BB29" s="330">
        <f t="shared" ref="BB29:BK29" si="73">+BB23+BB28</f>
        <v>2403</v>
      </c>
      <c r="BC29" s="330">
        <f t="shared" si="73"/>
        <v>3587</v>
      </c>
      <c r="BD29" s="330">
        <f t="shared" si="73"/>
        <v>3580</v>
      </c>
      <c r="BE29" s="330">
        <f t="shared" si="73"/>
        <v>3368</v>
      </c>
      <c r="BF29" s="331">
        <f t="shared" si="73"/>
        <v>12938</v>
      </c>
      <c r="BG29" s="330">
        <f t="shared" si="73"/>
        <v>2330</v>
      </c>
      <c r="BH29" s="330">
        <f t="shared" si="73"/>
        <v>3465</v>
      </c>
      <c r="BI29" s="330">
        <f t="shared" si="73"/>
        <v>3460</v>
      </c>
      <c r="BJ29" s="330">
        <f t="shared" si="73"/>
        <v>3098</v>
      </c>
      <c r="BK29" s="331">
        <f t="shared" si="73"/>
        <v>12353</v>
      </c>
      <c r="BL29" s="330">
        <f t="shared" si="72"/>
        <v>2400</v>
      </c>
      <c r="BM29" s="330">
        <f t="shared" si="72"/>
        <v>3419</v>
      </c>
      <c r="BN29" s="330">
        <f t="shared" si="72"/>
        <v>3397</v>
      </c>
      <c r="BO29" s="330">
        <f t="shared" si="72"/>
        <v>3317</v>
      </c>
      <c r="BP29" s="331">
        <f t="shared" si="72"/>
        <v>12533</v>
      </c>
      <c r="BQ29" s="578">
        <f t="shared" si="72"/>
        <v>2380</v>
      </c>
      <c r="BR29" s="330">
        <f t="shared" si="72"/>
        <v>3532</v>
      </c>
      <c r="BS29" s="330">
        <f t="shared" si="72"/>
        <v>3476</v>
      </c>
      <c r="BT29" s="330">
        <f t="shared" ref="BT29" si="74">+BT23+BT28</f>
        <v>3471</v>
      </c>
      <c r="BU29" s="331">
        <f t="shared" si="72"/>
        <v>12859</v>
      </c>
      <c r="BV29" s="330">
        <f t="shared" ref="BV29:CE29" si="75">+BV23+BV28</f>
        <v>2305.7976860823151</v>
      </c>
      <c r="BW29" s="330">
        <f t="shared" si="75"/>
        <v>3597.6658495985398</v>
      </c>
      <c r="BX29" s="330">
        <f t="shared" si="75"/>
        <v>3800.7516060082066</v>
      </c>
      <c r="BY29" s="330">
        <f t="shared" si="75"/>
        <v>3727.1363829895467</v>
      </c>
      <c r="BZ29" s="331">
        <f t="shared" si="75"/>
        <v>13431.351524678608</v>
      </c>
      <c r="CA29" s="330">
        <f t="shared" si="75"/>
        <v>2469.644963812983</v>
      </c>
      <c r="CB29" s="330">
        <f t="shared" si="75"/>
        <v>3817.9565402385733</v>
      </c>
      <c r="CC29" s="330">
        <f t="shared" si="75"/>
        <v>4017.7081152785759</v>
      </c>
      <c r="CD29" s="330">
        <f t="shared" si="75"/>
        <v>3968.7480218799519</v>
      </c>
      <c r="CE29" s="331">
        <f t="shared" si="75"/>
        <v>14274.057641210084</v>
      </c>
      <c r="CF29" s="330">
        <f t="shared" ref="CF29:CO29" si="76">+CF23+CF28</f>
        <v>2621.0817374589706</v>
      </c>
      <c r="CG29" s="330">
        <f t="shared" si="76"/>
        <v>4026.9872839424429</v>
      </c>
      <c r="CH29" s="330">
        <f t="shared" si="76"/>
        <v>4228.8929299872234</v>
      </c>
      <c r="CI29" s="330">
        <f t="shared" si="76"/>
        <v>4208.7339698962533</v>
      </c>
      <c r="CJ29" s="331">
        <f t="shared" si="76"/>
        <v>15085.695921284892</v>
      </c>
      <c r="CK29" s="330">
        <f t="shared" si="76"/>
        <v>2776.0145482976282</v>
      </c>
      <c r="CL29" s="330">
        <f t="shared" si="76"/>
        <v>4241.9803020798799</v>
      </c>
      <c r="CM29" s="330">
        <f t="shared" si="76"/>
        <v>4446.1871349936864</v>
      </c>
      <c r="CN29" s="330">
        <f t="shared" si="76"/>
        <v>4454.6372183021904</v>
      </c>
      <c r="CO29" s="331">
        <f t="shared" si="76"/>
        <v>15918.819203673384</v>
      </c>
      <c r="CP29" s="330">
        <f>+CP23+CP28</f>
        <v>2936.0559100690593</v>
      </c>
      <c r="CQ29" s="330">
        <f>+CQ23+CQ28</f>
        <v>4464.8303843826452</v>
      </c>
      <c r="CR29" s="330">
        <f>+CR23+CR28</f>
        <v>4671.3792008538931</v>
      </c>
      <c r="CS29" s="330">
        <f>+CS23+CS28</f>
        <v>4709.313012535762</v>
      </c>
      <c r="CT29" s="331">
        <f>+CT23+CT28</f>
        <v>16781.578507841357</v>
      </c>
      <c r="CU29" s="313"/>
      <c r="CV29" s="313"/>
    </row>
    <row r="30" spans="1:100" ht="12.75" hidden="1" customHeight="1" outlineLevel="1" x14ac:dyDescent="0.2">
      <c r="A30" s="65" t="s">
        <v>58</v>
      </c>
      <c r="B30" s="65"/>
      <c r="C30" s="65"/>
      <c r="D30" s="320">
        <f t="shared" ref="D30:O30" si="77">+D29/D5</f>
        <v>0.22867395204697438</v>
      </c>
      <c r="E30" s="320">
        <f t="shared" si="77"/>
        <v>0.24243281471004244</v>
      </c>
      <c r="F30" s="320">
        <f t="shared" si="77"/>
        <v>0.24900096458591706</v>
      </c>
      <c r="G30" s="320">
        <f t="shared" si="77"/>
        <v>0.19879586504600705</v>
      </c>
      <c r="H30" s="321">
        <f t="shared" si="77"/>
        <v>0.22805098937151841</v>
      </c>
      <c r="I30" s="320">
        <f t="shared" si="77"/>
        <v>0.23219438116932423</v>
      </c>
      <c r="J30" s="320">
        <f t="shared" si="77"/>
        <v>0.24191243341561647</v>
      </c>
      <c r="K30" s="320">
        <f t="shared" si="77"/>
        <v>0.24279081133919844</v>
      </c>
      <c r="L30" s="320">
        <f t="shared" si="77"/>
        <v>0.19208514155817319</v>
      </c>
      <c r="M30" s="321">
        <f t="shared" si="77"/>
        <v>0.22514310602289697</v>
      </c>
      <c r="N30" s="320">
        <f t="shared" si="77"/>
        <v>0.2296472689388302</v>
      </c>
      <c r="O30" s="320">
        <f t="shared" si="77"/>
        <v>0.24374569658021575</v>
      </c>
      <c r="P30" s="320">
        <f t="shared" ref="P30:AU30" si="78">+P29/P5</f>
        <v>0.23932559667177578</v>
      </c>
      <c r="Q30" s="320">
        <f t="shared" si="78"/>
        <v>0.20075685903500473</v>
      </c>
      <c r="R30" s="321">
        <f t="shared" si="78"/>
        <v>0.22696872242934799</v>
      </c>
      <c r="S30" s="322">
        <f t="shared" si="78"/>
        <v>0.22829931972789116</v>
      </c>
      <c r="T30" s="322">
        <f t="shared" si="78"/>
        <v>0.23711876756531697</v>
      </c>
      <c r="U30" s="322">
        <f t="shared" si="78"/>
        <v>0.2390128797561695</v>
      </c>
      <c r="V30" s="322">
        <f t="shared" si="78"/>
        <v>0.18564717317349749</v>
      </c>
      <c r="W30" s="321">
        <f t="shared" si="78"/>
        <v>0.21986624107007144</v>
      </c>
      <c r="X30" s="322">
        <f t="shared" si="78"/>
        <v>0.22368894755790231</v>
      </c>
      <c r="Y30" s="322">
        <f t="shared" si="78"/>
        <v>0.22887163088168114</v>
      </c>
      <c r="Z30" s="322">
        <f t="shared" si="78"/>
        <v>0.22625400213447172</v>
      </c>
      <c r="AA30" s="322">
        <f t="shared" si="78"/>
        <v>0.19467358001414095</v>
      </c>
      <c r="AB30" s="321">
        <f t="shared" si="78"/>
        <v>0.21712792767797276</v>
      </c>
      <c r="AC30" s="322">
        <f t="shared" si="78"/>
        <v>0.22570494977611036</v>
      </c>
      <c r="AD30" s="322">
        <f t="shared" si="78"/>
        <v>0.23338368580060423</v>
      </c>
      <c r="AE30" s="322">
        <f t="shared" si="78"/>
        <v>0.2348375451263538</v>
      </c>
      <c r="AF30" s="322">
        <f t="shared" si="78"/>
        <v>0.19192299014815373</v>
      </c>
      <c r="AG30" s="321">
        <f t="shared" si="78"/>
        <v>0.21953645447816433</v>
      </c>
      <c r="AH30" s="322">
        <f t="shared" si="78"/>
        <v>0.2239538855678907</v>
      </c>
      <c r="AI30" s="322">
        <f t="shared" si="78"/>
        <v>0.22221471522194447</v>
      </c>
      <c r="AJ30" s="320">
        <f t="shared" si="78"/>
        <v>0.22437798117829058</v>
      </c>
      <c r="AK30" s="320">
        <f t="shared" si="78"/>
        <v>0.17802258331038281</v>
      </c>
      <c r="AL30" s="321">
        <f t="shared" si="78"/>
        <v>0.20920502092050208</v>
      </c>
      <c r="AM30" s="320">
        <f t="shared" si="78"/>
        <v>0.19326463935662228</v>
      </c>
      <c r="AN30" s="320">
        <f t="shared" si="78"/>
        <v>0.20734533784988413</v>
      </c>
      <c r="AO30" s="323">
        <f t="shared" si="78"/>
        <v>0.21027186895688774</v>
      </c>
      <c r="AP30" s="320">
        <f t="shared" si="78"/>
        <v>0.18489889941131302</v>
      </c>
      <c r="AQ30" s="321">
        <f t="shared" si="78"/>
        <v>0.19891926352059017</v>
      </c>
      <c r="AR30" s="323">
        <f t="shared" si="78"/>
        <v>0.17927261023495333</v>
      </c>
      <c r="AS30" s="322">
        <f t="shared" si="78"/>
        <v>0.20166484384493863</v>
      </c>
      <c r="AT30" s="323">
        <f t="shared" si="78"/>
        <v>0.20417967811674273</v>
      </c>
      <c r="AU30" s="320">
        <f t="shared" si="78"/>
        <v>0.17159466773579232</v>
      </c>
      <c r="AV30" s="321">
        <f t="shared" ref="AV30:CA30" si="79">+AV29/AV5</f>
        <v>0.18889329994503146</v>
      </c>
      <c r="AW30" s="320">
        <f t="shared" si="79"/>
        <v>0.18663063349495271</v>
      </c>
      <c r="AX30" s="320">
        <f t="shared" si="79"/>
        <v>0.21181650502766705</v>
      </c>
      <c r="AY30" s="320">
        <f t="shared" si="79"/>
        <v>0.20373765450351883</v>
      </c>
      <c r="AZ30" s="320">
        <f t="shared" si="79"/>
        <v>0.16756138781190974</v>
      </c>
      <c r="BA30" s="321">
        <f t="shared" si="79"/>
        <v>0.19158322668071973</v>
      </c>
      <c r="BB30" s="320">
        <f t="shared" ref="BB30:BK30" si="80">+BB29/BB5</f>
        <v>0.19036679077873722</v>
      </c>
      <c r="BC30" s="320">
        <f t="shared" si="80"/>
        <v>0.21232390197703327</v>
      </c>
      <c r="BD30" s="320">
        <f t="shared" si="80"/>
        <v>0.20792194215356022</v>
      </c>
      <c r="BE30" s="320">
        <f t="shared" si="80"/>
        <v>0.16883898135151393</v>
      </c>
      <c r="BF30" s="321">
        <f t="shared" si="80"/>
        <v>0.19402246449619842</v>
      </c>
      <c r="BG30" s="320">
        <f t="shared" si="80"/>
        <v>0.19071785217320128</v>
      </c>
      <c r="BH30" s="320">
        <f t="shared" si="80"/>
        <v>0.21760974690698989</v>
      </c>
      <c r="BI30" s="320">
        <f t="shared" si="80"/>
        <v>0.21186700140836445</v>
      </c>
      <c r="BJ30" s="320">
        <f t="shared" si="80"/>
        <v>0.16669357008340061</v>
      </c>
      <c r="BK30" s="321">
        <f t="shared" si="80"/>
        <v>0.19590522709972089</v>
      </c>
      <c r="BL30" s="320">
        <f t="shared" si="79"/>
        <v>0.20232675771370764</v>
      </c>
      <c r="BM30" s="320">
        <f t="shared" si="79"/>
        <v>0.22208509256252029</v>
      </c>
      <c r="BN30" s="320">
        <f t="shared" si="79"/>
        <v>0.21195482623073564</v>
      </c>
      <c r="BO30" s="320">
        <f t="shared" si="79"/>
        <v>0.16997181655137075</v>
      </c>
      <c r="BP30" s="321">
        <f t="shared" si="79"/>
        <v>0.19957324161212758</v>
      </c>
      <c r="BQ30" s="580">
        <f t="shared" si="79"/>
        <v>0.19752676570669764</v>
      </c>
      <c r="BR30" s="320">
        <f t="shared" si="79"/>
        <v>0.22482495225970719</v>
      </c>
      <c r="BS30" s="320">
        <f t="shared" si="79"/>
        <v>0.21403940886699507</v>
      </c>
      <c r="BT30" s="320">
        <f t="shared" ref="BT30" si="81">+BT29/BT5</f>
        <v>0.177762982689747</v>
      </c>
      <c r="BU30" s="321">
        <f t="shared" si="79"/>
        <v>0.20242424242424242</v>
      </c>
      <c r="BV30" s="320">
        <f t="shared" si="79"/>
        <v>0.18446911863391521</v>
      </c>
      <c r="BW30" s="320">
        <f t="shared" si="79"/>
        <v>0.22125422024559147</v>
      </c>
      <c r="BX30" s="320">
        <f t="shared" si="79"/>
        <v>0.22596036324463181</v>
      </c>
      <c r="BY30" s="320">
        <f t="shared" si="79"/>
        <v>0.18386542732959565</v>
      </c>
      <c r="BZ30" s="321">
        <f t="shared" si="79"/>
        <v>0.20396454385094709</v>
      </c>
      <c r="CA30" s="320">
        <f t="shared" si="79"/>
        <v>0.19201037640650701</v>
      </c>
      <c r="CB30" s="320">
        <f t="shared" ref="CB30:CJ30" si="82">+CB29/CB5</f>
        <v>0.22774809796832918</v>
      </c>
      <c r="CC30" s="320">
        <f t="shared" si="82"/>
        <v>0.23186167117439088</v>
      </c>
      <c r="CD30" s="320">
        <f t="shared" si="82"/>
        <v>0.18983985913800649</v>
      </c>
      <c r="CE30" s="321">
        <f t="shared" si="82"/>
        <v>0.21034632529935712</v>
      </c>
      <c r="CF30" s="320">
        <f t="shared" si="82"/>
        <v>0.1981125333885439</v>
      </c>
      <c r="CG30" s="320">
        <f t="shared" si="82"/>
        <v>0.23318827352568233</v>
      </c>
      <c r="CH30" s="320">
        <f t="shared" si="82"/>
        <v>0.23706073348188492</v>
      </c>
      <c r="CI30" s="320">
        <f t="shared" si="82"/>
        <v>0.1953458531314749</v>
      </c>
      <c r="CJ30" s="321">
        <f t="shared" si="82"/>
        <v>0.21586946455401126</v>
      </c>
      <c r="CK30" s="320">
        <f t="shared" ref="CK30:CT30" si="83">+CK29/CK5</f>
        <v>0.2039374736762713</v>
      </c>
      <c r="CL30" s="320">
        <f t="shared" si="83"/>
        <v>0.23839021816277306</v>
      </c>
      <c r="CM30" s="320">
        <f t="shared" si="83"/>
        <v>0.24203899071625079</v>
      </c>
      <c r="CN30" s="320">
        <f t="shared" si="83"/>
        <v>0.2005749476115882</v>
      </c>
      <c r="CO30" s="321">
        <f t="shared" si="83"/>
        <v>0.22113951433934198</v>
      </c>
      <c r="CP30" s="320">
        <f t="shared" si="83"/>
        <v>0.2095976529300517</v>
      </c>
      <c r="CQ30" s="320">
        <f t="shared" si="83"/>
        <v>0.24344979092624974</v>
      </c>
      <c r="CR30" s="320">
        <f t="shared" si="83"/>
        <v>0.24688271234220185</v>
      </c>
      <c r="CS30" s="320">
        <f t="shared" si="83"/>
        <v>0.2056492257723522</v>
      </c>
      <c r="CT30" s="321">
        <f t="shared" si="83"/>
        <v>0.22626109574452788</v>
      </c>
      <c r="CU30" s="65"/>
      <c r="CV30" s="65"/>
    </row>
    <row r="31" spans="1:100" ht="12.75" customHeight="1" collapsed="1" x14ac:dyDescent="0.2">
      <c r="A31" s="313"/>
      <c r="B31" s="313"/>
      <c r="C31" s="313"/>
      <c r="D31" s="358"/>
      <c r="E31" s="358"/>
      <c r="F31" s="358"/>
      <c r="G31" s="358"/>
      <c r="H31" s="351"/>
      <c r="I31" s="358"/>
      <c r="J31" s="358"/>
      <c r="K31" s="358"/>
      <c r="L31" s="358"/>
      <c r="M31" s="351"/>
      <c r="N31" s="358"/>
      <c r="O31" s="358"/>
      <c r="P31" s="358"/>
      <c r="Q31" s="358"/>
      <c r="R31" s="351"/>
      <c r="S31" s="359"/>
      <c r="T31" s="359"/>
      <c r="U31" s="359"/>
      <c r="V31" s="359"/>
      <c r="W31" s="351"/>
      <c r="X31" s="359"/>
      <c r="Y31" s="359"/>
      <c r="Z31" s="359"/>
      <c r="AA31" s="359"/>
      <c r="AB31" s="351"/>
      <c r="AC31" s="359"/>
      <c r="AD31" s="359"/>
      <c r="AE31" s="359"/>
      <c r="AF31" s="359"/>
      <c r="AG31" s="351"/>
      <c r="AH31" s="359"/>
      <c r="AI31" s="359"/>
      <c r="AJ31" s="358"/>
      <c r="AK31" s="358"/>
      <c r="AL31" s="351"/>
      <c r="AM31" s="378"/>
      <c r="AN31" s="358"/>
      <c r="AO31" s="375"/>
      <c r="AP31" s="379"/>
      <c r="AQ31" s="373"/>
      <c r="AR31" s="294"/>
      <c r="AS31" s="359"/>
      <c r="AT31" s="375"/>
      <c r="AU31" s="294"/>
      <c r="AV31" s="380"/>
      <c r="AW31" s="294"/>
      <c r="AX31" s="381"/>
      <c r="AY31" s="330"/>
      <c r="AZ31" s="319"/>
      <c r="BA31" s="382"/>
      <c r="BB31" s="383"/>
      <c r="BC31" s="349"/>
      <c r="BD31" s="384"/>
      <c r="BE31" s="507"/>
      <c r="BF31" s="355"/>
      <c r="BG31" s="320"/>
      <c r="BH31" s="320"/>
      <c r="BI31" s="320"/>
      <c r="BJ31" s="349"/>
      <c r="BK31" s="321"/>
      <c r="BL31" s="349"/>
      <c r="BM31" s="320"/>
      <c r="BN31" s="320"/>
      <c r="BO31" s="320"/>
      <c r="BP31" s="321"/>
      <c r="BQ31" s="592"/>
      <c r="BR31" s="358"/>
      <c r="BS31" s="358"/>
      <c r="BT31" s="330"/>
      <c r="BU31" s="351"/>
      <c r="BV31" s="358"/>
      <c r="BW31" s="358"/>
      <c r="BX31" s="358"/>
      <c r="BY31" s="358"/>
      <c r="BZ31" s="351"/>
      <c r="CA31" s="358"/>
      <c r="CB31" s="358"/>
      <c r="CC31" s="358"/>
      <c r="CD31" s="358"/>
      <c r="CE31" s="351"/>
      <c r="CF31" s="358"/>
      <c r="CG31" s="358"/>
      <c r="CH31" s="358"/>
      <c r="CI31" s="358"/>
      <c r="CJ31" s="351"/>
      <c r="CK31" s="358"/>
      <c r="CL31" s="358"/>
      <c r="CM31" s="358"/>
      <c r="CN31" s="358"/>
      <c r="CO31" s="351"/>
      <c r="CP31" s="358"/>
      <c r="CQ31" s="358"/>
      <c r="CR31" s="358"/>
      <c r="CS31" s="358"/>
      <c r="CT31" s="351"/>
      <c r="CU31" s="313"/>
      <c r="CV31" s="313"/>
    </row>
    <row r="32" spans="1:100" ht="12.75" customHeight="1" x14ac:dyDescent="0.2">
      <c r="A32" s="313" t="s">
        <v>12</v>
      </c>
      <c r="B32" s="313"/>
      <c r="C32" s="313"/>
      <c r="D32" s="294">
        <v>39</v>
      </c>
      <c r="E32" s="294">
        <v>106</v>
      </c>
      <c r="F32" s="294">
        <v>147</v>
      </c>
      <c r="G32" s="294">
        <v>88</v>
      </c>
      <c r="H32" s="373">
        <v>380</v>
      </c>
      <c r="I32" s="294">
        <v>65</v>
      </c>
      <c r="J32" s="294">
        <v>156</v>
      </c>
      <c r="K32" s="294">
        <v>209</v>
      </c>
      <c r="L32" s="294">
        <v>118</v>
      </c>
      <c r="M32" s="373">
        <v>548</v>
      </c>
      <c r="N32" s="374">
        <v>75</v>
      </c>
      <c r="O32" s="374">
        <v>161</v>
      </c>
      <c r="P32" s="374">
        <v>204</v>
      </c>
      <c r="Q32" s="374">
        <v>92</v>
      </c>
      <c r="R32" s="373">
        <f>553-21</f>
        <v>532</v>
      </c>
      <c r="S32" s="332">
        <f>W32-V32-U32-T32</f>
        <v>74</v>
      </c>
      <c r="T32" s="374">
        <v>173</v>
      </c>
      <c r="U32" s="374">
        <v>218</v>
      </c>
      <c r="V32" s="374">
        <v>95</v>
      </c>
      <c r="W32" s="373">
        <v>560</v>
      </c>
      <c r="X32" s="374">
        <v>70</v>
      </c>
      <c r="Y32" s="374">
        <v>168</v>
      </c>
      <c r="Z32" s="374">
        <v>201</v>
      </c>
      <c r="AA32" s="374">
        <v>73</v>
      </c>
      <c r="AB32" s="373">
        <v>512</v>
      </c>
      <c r="AC32" s="374">
        <v>25</v>
      </c>
      <c r="AD32" s="374">
        <v>119</v>
      </c>
      <c r="AE32" s="374">
        <v>154</v>
      </c>
      <c r="AF32" s="374">
        <v>78</v>
      </c>
      <c r="AG32" s="373">
        <v>376</v>
      </c>
      <c r="AH32" s="374">
        <v>-17</v>
      </c>
      <c r="AI32" s="374">
        <v>9</v>
      </c>
      <c r="AJ32" s="385">
        <v>10</v>
      </c>
      <c r="AK32" s="301">
        <v>7</v>
      </c>
      <c r="AL32" s="373">
        <f>+AH32+AI32+AJ32+AK32</f>
        <v>9</v>
      </c>
      <c r="AM32" s="301">
        <v>0</v>
      </c>
      <c r="AN32" s="301">
        <v>0</v>
      </c>
      <c r="AO32" s="386">
        <v>0</v>
      </c>
      <c r="AP32" s="368">
        <v>0</v>
      </c>
      <c r="AQ32" s="373">
        <f>+AM32+AN32+AO32+AP32</f>
        <v>0</v>
      </c>
      <c r="AR32" s="368">
        <f>+AM32*1.05</f>
        <v>0</v>
      </c>
      <c r="AS32" s="368">
        <f>+AN32*1.05</f>
        <v>0</v>
      </c>
      <c r="AT32" s="386">
        <f>+AO32*1.05</f>
        <v>0</v>
      </c>
      <c r="AU32" s="368">
        <f>+AP32*1.05</f>
        <v>0</v>
      </c>
      <c r="AV32" s="373">
        <f>+AR32+AS32+AT32+AU32</f>
        <v>0</v>
      </c>
      <c r="AW32" s="368">
        <f>+AR32*1.025</f>
        <v>0</v>
      </c>
      <c r="AX32" s="368">
        <f>+AS32*1.025</f>
        <v>0</v>
      </c>
      <c r="AY32" s="368">
        <f>+AT32*1.025</f>
        <v>0</v>
      </c>
      <c r="AZ32" s="368">
        <f>+AU32*1.025</f>
        <v>0</v>
      </c>
      <c r="BA32" s="373">
        <f>+AW32+AX32+AY32+AZ32</f>
        <v>0</v>
      </c>
      <c r="BB32" s="368">
        <f>+AW32*1.025</f>
        <v>0</v>
      </c>
      <c r="BC32" s="368">
        <f>+AX32*1.025</f>
        <v>0</v>
      </c>
      <c r="BD32" s="368">
        <f>+AY32*1.025</f>
        <v>0</v>
      </c>
      <c r="BE32" s="368">
        <f>+AZ32*1.025</f>
        <v>0</v>
      </c>
      <c r="BF32" s="373">
        <f>+BB32+BC32+BD32+BE32</f>
        <v>0</v>
      </c>
      <c r="BG32" s="368">
        <f>+BB32*1.025</f>
        <v>0</v>
      </c>
      <c r="BH32" s="368">
        <f>+BC32*1.025</f>
        <v>0</v>
      </c>
      <c r="BI32" s="368">
        <f>+BD32*1.025</f>
        <v>0</v>
      </c>
      <c r="BJ32" s="368">
        <f>+BE32*1.025</f>
        <v>0</v>
      </c>
      <c r="BK32" s="373">
        <f>+BG32+BH32+BI32+BJ32</f>
        <v>0</v>
      </c>
      <c r="BL32" s="368">
        <v>0</v>
      </c>
      <c r="BM32" s="368">
        <v>0</v>
      </c>
      <c r="BN32" s="368">
        <v>0</v>
      </c>
      <c r="BO32" s="577">
        <v>0</v>
      </c>
      <c r="BP32" s="373">
        <f>+BL32+BM32+BN32+BO32</f>
        <v>0</v>
      </c>
      <c r="BQ32" s="577">
        <v>0</v>
      </c>
      <c r="BR32" s="577">
        <v>0</v>
      </c>
      <c r="BS32" s="368">
        <v>0</v>
      </c>
      <c r="BT32" s="368">
        <v>0</v>
      </c>
      <c r="BU32" s="373">
        <f>+BQ32+BR32+BS32+BT32</f>
        <v>0</v>
      </c>
      <c r="BV32" s="368">
        <f>+BQ32*1.025</f>
        <v>0</v>
      </c>
      <c r="BW32" s="368">
        <f>+BR32*1.025</f>
        <v>0</v>
      </c>
      <c r="BX32" s="368">
        <f>+BS32*1.025</f>
        <v>0</v>
      </c>
      <c r="BY32" s="368">
        <f>+BT32*1.025</f>
        <v>0</v>
      </c>
      <c r="BZ32" s="373">
        <f>+BV32+BW32+BX32+BY32</f>
        <v>0</v>
      </c>
      <c r="CA32" s="368">
        <f>+BV32*1.025</f>
        <v>0</v>
      </c>
      <c r="CB32" s="368">
        <f>+BW32*1.025</f>
        <v>0</v>
      </c>
      <c r="CC32" s="368">
        <f>+BX32*1.025</f>
        <v>0</v>
      </c>
      <c r="CD32" s="368">
        <f>+BY32*1.025</f>
        <v>0</v>
      </c>
      <c r="CE32" s="373">
        <f>+CA32+CB32+CC32+CD32</f>
        <v>0</v>
      </c>
      <c r="CF32" s="368">
        <f>+CA32*1.025</f>
        <v>0</v>
      </c>
      <c r="CG32" s="368">
        <f>+CB32*1.025</f>
        <v>0</v>
      </c>
      <c r="CH32" s="368">
        <f>+CC32*1.025</f>
        <v>0</v>
      </c>
      <c r="CI32" s="368">
        <f>+CD32*1.025</f>
        <v>0</v>
      </c>
      <c r="CJ32" s="373">
        <f>+CF32+CG32+CH32+CI32</f>
        <v>0</v>
      </c>
      <c r="CK32" s="368">
        <f>+CF32*1.025</f>
        <v>0</v>
      </c>
      <c r="CL32" s="368">
        <f>+CG32*1.025</f>
        <v>0</v>
      </c>
      <c r="CM32" s="368">
        <f>+CH32*1.025</f>
        <v>0</v>
      </c>
      <c r="CN32" s="368">
        <f>+CI32*1.025</f>
        <v>0</v>
      </c>
      <c r="CO32" s="373">
        <f>+CK32+CL32+CM32+CN32</f>
        <v>0</v>
      </c>
      <c r="CP32" s="368">
        <f>+CK32*1.025</f>
        <v>0</v>
      </c>
      <c r="CQ32" s="368">
        <f>+CL32*1.025</f>
        <v>0</v>
      </c>
      <c r="CR32" s="368">
        <f>+CM32*1.025</f>
        <v>0</v>
      </c>
      <c r="CS32" s="368">
        <f>+CN32*1.025</f>
        <v>0</v>
      </c>
      <c r="CT32" s="373">
        <f>+CP32+CQ32+CR32+CS32</f>
        <v>0</v>
      </c>
      <c r="CU32" s="313"/>
      <c r="CV32" s="313"/>
    </row>
    <row r="33" spans="1:100" ht="12.75" customHeight="1" x14ac:dyDescent="0.2">
      <c r="A33" s="313" t="s">
        <v>59</v>
      </c>
      <c r="B33" s="377"/>
      <c r="C33" s="377"/>
      <c r="D33" s="330">
        <v>-35</v>
      </c>
      <c r="E33" s="330">
        <v>-37</v>
      </c>
      <c r="F33" s="330">
        <v>-41</v>
      </c>
      <c r="G33" s="330">
        <v>-54</v>
      </c>
      <c r="H33" s="331">
        <f>SUM(D33:G33)</f>
        <v>-167</v>
      </c>
      <c r="I33" s="330">
        <v>-50</v>
      </c>
      <c r="J33" s="330">
        <v>-53</v>
      </c>
      <c r="K33" s="330">
        <v>-58</v>
      </c>
      <c r="L33" s="330">
        <v>-90</v>
      </c>
      <c r="M33" s="331">
        <f>SUM(I33:L33)</f>
        <v>-251</v>
      </c>
      <c r="N33" s="330">
        <v>-62</v>
      </c>
      <c r="O33" s="330">
        <v>-59</v>
      </c>
      <c r="P33" s="330">
        <v>-51</v>
      </c>
      <c r="Q33" s="330">
        <v>-67</v>
      </c>
      <c r="R33" s="331">
        <v>-239</v>
      </c>
      <c r="S33" s="332">
        <v>-42</v>
      </c>
      <c r="T33" s="332">
        <v>-54</v>
      </c>
      <c r="U33" s="332">
        <v>-57</v>
      </c>
      <c r="V33" s="332">
        <v>-71</v>
      </c>
      <c r="W33" s="331">
        <v>-224</v>
      </c>
      <c r="X33" s="332">
        <v>-58</v>
      </c>
      <c r="Y33" s="332">
        <v>-74</v>
      </c>
      <c r="Z33" s="332">
        <v>-73</v>
      </c>
      <c r="AA33" s="332">
        <v>-124</v>
      </c>
      <c r="AB33" s="331">
        <v>-329</v>
      </c>
      <c r="AC33" s="332">
        <v>-98</v>
      </c>
      <c r="AD33" s="332">
        <v>-101</v>
      </c>
      <c r="AE33" s="332">
        <v>-86</v>
      </c>
      <c r="AF33" s="332">
        <v>-112</v>
      </c>
      <c r="AG33" s="331">
        <v>-397</v>
      </c>
      <c r="AH33" s="332">
        <v>-124</v>
      </c>
      <c r="AI33" s="332">
        <v>-172</v>
      </c>
      <c r="AJ33" s="330">
        <v>-169</v>
      </c>
      <c r="AK33" s="330">
        <v>-230</v>
      </c>
      <c r="AL33" s="331">
        <f>+AH33+AI33+AJ33+AK33</f>
        <v>-695</v>
      </c>
      <c r="AM33" s="298">
        <v>-180</v>
      </c>
      <c r="AN33" s="330">
        <v>-199</v>
      </c>
      <c r="AO33" s="333">
        <v>-189</v>
      </c>
      <c r="AP33" s="330">
        <v>-256</v>
      </c>
      <c r="AQ33" s="331">
        <f>+AM33+AN33+AO33+AP33</f>
        <v>-824</v>
      </c>
      <c r="AR33" s="330">
        <v>-198</v>
      </c>
      <c r="AS33" s="332">
        <v>-209</v>
      </c>
      <c r="AT33" s="333">
        <v>-204</v>
      </c>
      <c r="AU33" s="330">
        <v>-283</v>
      </c>
      <c r="AV33" s="331">
        <f>+AR33+AS33+AT33+AU33</f>
        <v>-894</v>
      </c>
      <c r="AW33" s="330">
        <v>-214</v>
      </c>
      <c r="AX33" s="330">
        <v>-208</v>
      </c>
      <c r="AY33" s="330">
        <v>-220</v>
      </c>
      <c r="AZ33" s="330">
        <v>-269</v>
      </c>
      <c r="BA33" s="331">
        <f>+AW33+AX33+AY33+AZ33</f>
        <v>-911</v>
      </c>
      <c r="BB33" s="330">
        <v>-201</v>
      </c>
      <c r="BC33" s="330">
        <v>-209</v>
      </c>
      <c r="BD33" s="330">
        <v>-215</v>
      </c>
      <c r="BE33" s="332">
        <v>-284</v>
      </c>
      <c r="BF33" s="331">
        <f>+BB33+BC33+BD33+BE33</f>
        <v>-909</v>
      </c>
      <c r="BG33" s="332">
        <v>-211</v>
      </c>
      <c r="BH33" s="332">
        <v>-217</v>
      </c>
      <c r="BI33" s="332">
        <v>-225</v>
      </c>
      <c r="BJ33" s="332">
        <v>-317</v>
      </c>
      <c r="BK33" s="331">
        <f>+BG33+BH33+BI33+BJ33</f>
        <v>-970</v>
      </c>
      <c r="BL33" s="332">
        <v>-246</v>
      </c>
      <c r="BM33" s="332">
        <v>-255</v>
      </c>
      <c r="BN33" s="332">
        <v>-247</v>
      </c>
      <c r="BO33" s="578">
        <v>-361</v>
      </c>
      <c r="BP33" s="331">
        <f>+BL33+BM33+BN33+BO33</f>
        <v>-1109</v>
      </c>
      <c r="BQ33" s="578">
        <v>-252</v>
      </c>
      <c r="BR33" s="578">
        <v>-265</v>
      </c>
      <c r="BS33" s="578">
        <v>-269</v>
      </c>
      <c r="BT33" s="578">
        <v>-365</v>
      </c>
      <c r="BU33" s="331">
        <f>+BQ33+BR33+BS33+BT33</f>
        <v>-1151</v>
      </c>
      <c r="BV33" s="330">
        <f ca="1">-BV186*((BU183+BV183)/2)/(13/3)</f>
        <v>-265.63910129083092</v>
      </c>
      <c r="BW33" s="330">
        <f ca="1">-BW186*((BV183+BW183)/2)/(13/3)</f>
        <v>-273.32129739600674</v>
      </c>
      <c r="BX33" s="330">
        <f ca="1">-BX186*((BW183+BX183)/2)/(13/3)</f>
        <v>-270.42540213023113</v>
      </c>
      <c r="BY33" s="330">
        <f ca="1">-BY186*((BX183+BY183)/2)/(13/4)</f>
        <v>-355.61644971525772</v>
      </c>
      <c r="BZ33" s="331">
        <f ca="1">+BV33+BW33+BX33+BY33</f>
        <v>-1165.0022505323263</v>
      </c>
      <c r="CA33" s="330">
        <f ca="1">-CA186*((BZ183+CA183)/2)/(13/3)</f>
        <v>-272.32570515536429</v>
      </c>
      <c r="CB33" s="330">
        <f ca="1">-CB186*((CA183+CB183)/2)/(13/3)</f>
        <v>-277.00057810934078</v>
      </c>
      <c r="CC33" s="330">
        <f ca="1">-CC186*((CB183+CC183)/2)/(13/3)</f>
        <v>-270.51375765582338</v>
      </c>
      <c r="CD33" s="330">
        <f ca="1">-CD186*((CC183+CD183)/2)/(13/4)</f>
        <v>-351.09299540189073</v>
      </c>
      <c r="CE33" s="331">
        <f ca="1">+CA33+CB33+CC33+CD33</f>
        <v>-1170.9330363224192</v>
      </c>
      <c r="CF33" s="330">
        <f ca="1">-CF186*((CE183+CF183)/2)/(13/3)</f>
        <v>-267.25324384845891</v>
      </c>
      <c r="CG33" s="330">
        <f ca="1">-CG186*((CF183+CG183)/2)/(13/3)</f>
        <v>-271.58484064171688</v>
      </c>
      <c r="CH33" s="330">
        <f ca="1">-CH186*((CG183+CH183)/2)/(13/3)</f>
        <v>-264.39862372218943</v>
      </c>
      <c r="CI33" s="330">
        <f ca="1">-CI186*((CH183+CI183)/2)/(13/4)</f>
        <v>-341.85407223071468</v>
      </c>
      <c r="CJ33" s="331">
        <f ca="1">+CF33+CG33+CH33+CI33</f>
        <v>-1145.0907804430799</v>
      </c>
      <c r="CK33" s="330">
        <f ca="1">-CK186*((CJ183+CK183)/2)/(13/3)</f>
        <v>-259.81825814550848</v>
      </c>
      <c r="CL33" s="330">
        <f ca="1">-CL186*((CK183+CL183)/2)/(13/3)</f>
        <v>-263.75064828043264</v>
      </c>
      <c r="CM33" s="330">
        <f ca="1">-CM186*((CL183+CM183)/2)/(13/3)</f>
        <v>-255.8428342428403</v>
      </c>
      <c r="CN33" s="330">
        <f ca="1">-CN186*((CM183+CN183)/2)/(13/4)</f>
        <v>-329.32761847533834</v>
      </c>
      <c r="CO33" s="331">
        <f ca="1">+CK33+CL33+CM33+CN33</f>
        <v>-1108.7393591441198</v>
      </c>
      <c r="CP33" s="330">
        <f ca="1">-CP186*((CO183+CP183)/2)/(13/3)</f>
        <v>-249.95206168149269</v>
      </c>
      <c r="CQ33" s="330">
        <f ca="1">-CQ186*((CP183+CQ183)/2)/(13/3)</f>
        <v>-253.51967681486124</v>
      </c>
      <c r="CR33" s="330">
        <f ca="1">-CR186*((CQ183+CR183)/2)/(13/3)</f>
        <v>-244.86525605521572</v>
      </c>
      <c r="CS33" s="330">
        <f ca="1">-CS186*((CR183+CS183)/2)/(13/4)</f>
        <v>-313.53177605078622</v>
      </c>
      <c r="CT33" s="331">
        <f ca="1">+CP33+CQ33+CR33+CS33</f>
        <v>-1061.8687706023559</v>
      </c>
      <c r="CU33" s="313"/>
      <c r="CV33" s="313"/>
    </row>
    <row r="34" spans="1:100" ht="12.75" customHeight="1" x14ac:dyDescent="0.2">
      <c r="A34" s="313" t="s">
        <v>236</v>
      </c>
      <c r="B34" s="377"/>
      <c r="C34" s="377"/>
      <c r="D34" s="330">
        <v>10</v>
      </c>
      <c r="E34" s="330">
        <v>12</v>
      </c>
      <c r="F34" s="330">
        <v>15</v>
      </c>
      <c r="G34" s="330">
        <v>37</v>
      </c>
      <c r="H34" s="331">
        <f>SUM(D34:G34)</f>
        <v>74</v>
      </c>
      <c r="I34" s="330">
        <v>23</v>
      </c>
      <c r="J34" s="330">
        <v>28</v>
      </c>
      <c r="K34" s="330">
        <v>37</v>
      </c>
      <c r="L34" s="330">
        <v>68</v>
      </c>
      <c r="M34" s="331">
        <f>SUM(I34:L34)</f>
        <v>156</v>
      </c>
      <c r="N34" s="330">
        <v>45</v>
      </c>
      <c r="O34" s="330">
        <v>26</v>
      </c>
      <c r="P34" s="330">
        <v>39</v>
      </c>
      <c r="Q34" s="330">
        <v>63</v>
      </c>
      <c r="R34" s="331">
        <v>173</v>
      </c>
      <c r="S34" s="332">
        <v>22</v>
      </c>
      <c r="T34" s="332">
        <v>39</v>
      </c>
      <c r="U34" s="332">
        <v>21</v>
      </c>
      <c r="V34" s="301">
        <v>43</v>
      </c>
      <c r="W34" s="366">
        <f>-99-W33</f>
        <v>125</v>
      </c>
      <c r="X34" s="332">
        <v>1</v>
      </c>
      <c r="Y34" s="332">
        <v>38</v>
      </c>
      <c r="Z34" s="332">
        <v>14</v>
      </c>
      <c r="AA34" s="332">
        <v>-12</v>
      </c>
      <c r="AB34" s="331">
        <v>41</v>
      </c>
      <c r="AC34" s="332">
        <v>0</v>
      </c>
      <c r="AD34" s="332">
        <v>28</v>
      </c>
      <c r="AE34" s="332">
        <v>16</v>
      </c>
      <c r="AF34" s="332">
        <v>23</v>
      </c>
      <c r="AG34" s="331">
        <v>67</v>
      </c>
      <c r="AH34" s="332">
        <v>6</v>
      </c>
      <c r="AI34" s="332">
        <v>2</v>
      </c>
      <c r="AJ34" s="330">
        <v>18</v>
      </c>
      <c r="AK34" s="330">
        <v>42</v>
      </c>
      <c r="AL34" s="331">
        <f>+AH34+AI34+AJ34+AK34</f>
        <v>68</v>
      </c>
      <c r="AM34" s="298">
        <v>17</v>
      </c>
      <c r="AN34" s="330">
        <v>20</v>
      </c>
      <c r="AO34" s="333">
        <v>-4</v>
      </c>
      <c r="AP34" s="330">
        <v>23</v>
      </c>
      <c r="AQ34" s="331">
        <f>+AM34+AN34+AO34+AP34</f>
        <v>56</v>
      </c>
      <c r="AR34" s="330">
        <v>23</v>
      </c>
      <c r="AS34" s="332">
        <v>1</v>
      </c>
      <c r="AT34" s="333">
        <v>23</v>
      </c>
      <c r="AU34" s="330">
        <v>44</v>
      </c>
      <c r="AV34" s="331">
        <f>+AR34+AS34+AT34+AU34</f>
        <v>91</v>
      </c>
      <c r="AW34" s="330">
        <v>27</v>
      </c>
      <c r="AX34" s="330">
        <v>18</v>
      </c>
      <c r="AY34" s="330">
        <v>17</v>
      </c>
      <c r="AZ34" s="330">
        <v>35</v>
      </c>
      <c r="BA34" s="331">
        <f>+AW34+AX34+AY34+AZ34</f>
        <v>97</v>
      </c>
      <c r="BB34" s="330">
        <v>10</v>
      </c>
      <c r="BC34" s="330">
        <v>18</v>
      </c>
      <c r="BD34" s="330">
        <v>23</v>
      </c>
      <c r="BE34" s="332">
        <v>34</v>
      </c>
      <c r="BF34" s="331">
        <f>+BB34+BC34+BD34+BE34</f>
        <v>85</v>
      </c>
      <c r="BG34" s="332">
        <v>15</v>
      </c>
      <c r="BH34" s="332">
        <v>14</v>
      </c>
      <c r="BI34" s="332">
        <v>2</v>
      </c>
      <c r="BJ34" s="332">
        <v>28</v>
      </c>
      <c r="BK34" s="331">
        <f>+BG34+BH34+BI34+BJ34</f>
        <v>59</v>
      </c>
      <c r="BL34" s="332">
        <v>14</v>
      </c>
      <c r="BM34" s="332">
        <v>22</v>
      </c>
      <c r="BN34" s="332">
        <v>30</v>
      </c>
      <c r="BO34" s="578">
        <v>44</v>
      </c>
      <c r="BP34" s="331">
        <f>+BL34+BM34+BN34+BO34</f>
        <v>110</v>
      </c>
      <c r="BQ34" s="578">
        <v>40</v>
      </c>
      <c r="BR34" s="578">
        <v>46</v>
      </c>
      <c r="BS34" s="578">
        <v>52</v>
      </c>
      <c r="BT34" s="578">
        <v>103</v>
      </c>
      <c r="BU34" s="331">
        <f>+BQ34+BR34+BS34+BT34</f>
        <v>241</v>
      </c>
      <c r="BV34" s="330">
        <f ca="1">BV187*((BU184+BV184)/2)/(13/3)</f>
        <v>48.969230769230776</v>
      </c>
      <c r="BW34" s="330">
        <f ca="1">BW187*((BV184+BW184)/2)/(13/3)</f>
        <v>61.211538461538467</v>
      </c>
      <c r="BX34" s="330">
        <f ca="1">+BX187*((BW184+BX184)/2)/(13/3)</f>
        <v>61.211538461538467</v>
      </c>
      <c r="BY34" s="330">
        <f ca="1">BY187*((BX184+BY184)/2)/(13/4)</f>
        <v>81.615384615384613</v>
      </c>
      <c r="BZ34" s="331">
        <f ca="1">+BV34+BW34+BX34+BY34</f>
        <v>253.00769230769234</v>
      </c>
      <c r="CA34" s="330">
        <f ca="1">CA187*((BZ184+CA184)/2)/(13/3)</f>
        <v>61.211538461538467</v>
      </c>
      <c r="CB34" s="330">
        <f ca="1">CB187*((CA184+CB184)/2)/(13/3)</f>
        <v>61.211538461538467</v>
      </c>
      <c r="CC34" s="330">
        <f ca="1">+CC187*((CB184+CC184)/2)/(13/3)</f>
        <v>61.211538461538467</v>
      </c>
      <c r="CD34" s="330">
        <f ca="1">CD187*((CC184+CD184)/2)/(13/4)</f>
        <v>81.615384615384613</v>
      </c>
      <c r="CE34" s="331">
        <f ca="1">+CA34+CB34+CC34+CD34</f>
        <v>265.25</v>
      </c>
      <c r="CF34" s="330">
        <f ca="1">CF187*((CE184+CF184)/2)/(13/3)</f>
        <v>61.211538461538467</v>
      </c>
      <c r="CG34" s="330">
        <f ca="1">CG187*((CF184+CG184)/2)/(13/3)</f>
        <v>61.211538461538467</v>
      </c>
      <c r="CH34" s="330">
        <f ca="1">+CH187*((CG184+CH184)/2)/(13/3)</f>
        <v>61.211538461538467</v>
      </c>
      <c r="CI34" s="330">
        <f ca="1">CI187*((CH184+CI184)/2)/(13/4)</f>
        <v>81.615384615384613</v>
      </c>
      <c r="CJ34" s="331">
        <f ca="1">+CF34+CG34+CH34+CI34</f>
        <v>265.25</v>
      </c>
      <c r="CK34" s="330">
        <f ca="1">CK187*((CJ184+CK184)/2)/(13/3)</f>
        <v>61.211538461538467</v>
      </c>
      <c r="CL34" s="330">
        <f ca="1">CL187*((CK184+CL184)/2)/(13/3)</f>
        <v>61.211538461538467</v>
      </c>
      <c r="CM34" s="330">
        <f ca="1">+CM187*((CL184+CM184)/2)/(13/3)</f>
        <v>61.211538461538467</v>
      </c>
      <c r="CN34" s="330">
        <f ca="1">CN187*((CM184+CN184)/2)/(13/4)</f>
        <v>81.615384615384613</v>
      </c>
      <c r="CO34" s="331">
        <f ca="1">+CK34+CL34+CM34+CN34</f>
        <v>265.25</v>
      </c>
      <c r="CP34" s="330">
        <f ca="1">CP187*((CO184+CP184)/2)/(13/3)</f>
        <v>61.211538461538467</v>
      </c>
      <c r="CQ34" s="330">
        <f ca="1">CQ187*((CP184+CQ184)/2)/(13/3)</f>
        <v>61.211538461538467</v>
      </c>
      <c r="CR34" s="330">
        <f ca="1">+CR187*((CQ184+CR184)/2)/(13/3)</f>
        <v>61.211538461538467</v>
      </c>
      <c r="CS34" s="330">
        <f ca="1">CS187*((CR184+CS184)/2)/(13/4)</f>
        <v>81.615384615384613</v>
      </c>
      <c r="CT34" s="331">
        <f ca="1">+CP34+CQ34+CR34+CS34</f>
        <v>265.25</v>
      </c>
      <c r="CU34" s="313"/>
      <c r="CV34" s="313"/>
    </row>
    <row r="35" spans="1:100" ht="12.75" customHeight="1" x14ac:dyDescent="0.2">
      <c r="A35" s="313" t="s">
        <v>336</v>
      </c>
      <c r="B35" s="313"/>
      <c r="C35" s="313"/>
      <c r="D35" s="376">
        <v>0</v>
      </c>
      <c r="E35" s="376">
        <v>0</v>
      </c>
      <c r="F35" s="376">
        <v>0</v>
      </c>
      <c r="G35" s="376">
        <v>0</v>
      </c>
      <c r="H35" s="387">
        <v>0</v>
      </c>
      <c r="I35" s="376">
        <v>0</v>
      </c>
      <c r="J35" s="376">
        <v>0</v>
      </c>
      <c r="K35" s="376">
        <v>0</v>
      </c>
      <c r="L35" s="376">
        <v>0</v>
      </c>
      <c r="M35" s="387">
        <v>0</v>
      </c>
      <c r="N35" s="376">
        <v>0</v>
      </c>
      <c r="O35" s="376">
        <v>0</v>
      </c>
      <c r="P35" s="376">
        <v>0</v>
      </c>
      <c r="Q35" s="376">
        <v>0</v>
      </c>
      <c r="R35" s="387">
        <v>0</v>
      </c>
      <c r="S35" s="385">
        <v>0</v>
      </c>
      <c r="T35" s="385">
        <v>0</v>
      </c>
      <c r="U35" s="385">
        <v>0</v>
      </c>
      <c r="V35" s="385">
        <v>0</v>
      </c>
      <c r="W35" s="387">
        <v>0</v>
      </c>
      <c r="X35" s="385">
        <v>0</v>
      </c>
      <c r="Y35" s="385">
        <v>0</v>
      </c>
      <c r="Z35" s="385">
        <v>0</v>
      </c>
      <c r="AA35" s="385">
        <v>0</v>
      </c>
      <c r="AB35" s="387">
        <v>0</v>
      </c>
      <c r="AC35" s="385">
        <v>0</v>
      </c>
      <c r="AD35" s="385">
        <v>0</v>
      </c>
      <c r="AE35" s="385">
        <v>0</v>
      </c>
      <c r="AF35" s="385">
        <v>0</v>
      </c>
      <c r="AG35" s="387">
        <v>0</v>
      </c>
      <c r="AH35" s="385">
        <v>0</v>
      </c>
      <c r="AI35" s="385">
        <v>0</v>
      </c>
      <c r="AJ35" s="385">
        <v>0</v>
      </c>
      <c r="AK35" s="376">
        <f>+AL35-AH35-AI35-AJ35</f>
        <v>0</v>
      </c>
      <c r="AL35" s="388">
        <v>0</v>
      </c>
      <c r="AM35" s="389">
        <v>0</v>
      </c>
      <c r="AN35" s="389">
        <v>0</v>
      </c>
      <c r="AO35" s="390">
        <v>0</v>
      </c>
      <c r="AP35" s="376">
        <f>+AQ35-AM35-AN35-AO35</f>
        <v>0</v>
      </c>
      <c r="AQ35" s="388">
        <v>0</v>
      </c>
      <c r="AR35" s="389">
        <f>+AV35/4</f>
        <v>0</v>
      </c>
      <c r="AS35" s="21">
        <f>+AR35</f>
        <v>0</v>
      </c>
      <c r="AT35" s="390">
        <f>+AS35</f>
        <v>0</v>
      </c>
      <c r="AU35" s="376">
        <f>+AV35-AR35-AS35-AT35</f>
        <v>0</v>
      </c>
      <c r="AV35" s="388">
        <f>+AQ35*1.05</f>
        <v>0</v>
      </c>
      <c r="AW35" s="376">
        <f>+BA35/4</f>
        <v>0</v>
      </c>
      <c r="AX35" s="376">
        <f>+AW35</f>
        <v>0</v>
      </c>
      <c r="AY35" s="376">
        <f>+AX35</f>
        <v>0</v>
      </c>
      <c r="AZ35" s="376">
        <f>+BA35-AW35-AX35-AY35</f>
        <v>0</v>
      </c>
      <c r="BA35" s="387">
        <v>0</v>
      </c>
      <c r="BB35" s="376">
        <f>+BF35/4</f>
        <v>0</v>
      </c>
      <c r="BC35" s="376">
        <f>+BB35</f>
        <v>0</v>
      </c>
      <c r="BD35" s="376">
        <f>+BC35</f>
        <v>0</v>
      </c>
      <c r="BE35" s="385">
        <f>+BF35-BB35-BC35-BD35</f>
        <v>0</v>
      </c>
      <c r="BF35" s="387">
        <v>0</v>
      </c>
      <c r="BG35" s="385">
        <v>0</v>
      </c>
      <c r="BH35" s="385">
        <v>0</v>
      </c>
      <c r="BI35" s="385">
        <v>0</v>
      </c>
      <c r="BJ35" s="385">
        <v>0</v>
      </c>
      <c r="BK35" s="561">
        <v>0</v>
      </c>
      <c r="BL35" s="385">
        <f>BP35/4</f>
        <v>57</v>
      </c>
      <c r="BM35" s="385">
        <f>BL35</f>
        <v>57</v>
      </c>
      <c r="BN35" s="385">
        <f>+BM35</f>
        <v>57</v>
      </c>
      <c r="BO35" s="385">
        <f>+BN35</f>
        <v>57</v>
      </c>
      <c r="BP35" s="331">
        <f>-19+242+1+2+2</f>
        <v>228</v>
      </c>
      <c r="BQ35" s="579">
        <v>71</v>
      </c>
      <c r="BR35" s="579">
        <v>72</v>
      </c>
      <c r="BS35" s="579">
        <v>71</v>
      </c>
      <c r="BT35" s="579">
        <f>23+12+2+10+7+31</f>
        <v>85</v>
      </c>
      <c r="BU35" s="331">
        <f>+BQ35+BR35+BS35+BT35</f>
        <v>299</v>
      </c>
      <c r="BV35" s="389">
        <f>BQ35</f>
        <v>71</v>
      </c>
      <c r="BW35" s="389">
        <f>BR35</f>
        <v>72</v>
      </c>
      <c r="BX35" s="389">
        <f>BS35</f>
        <v>71</v>
      </c>
      <c r="BY35" s="376">
        <f>+BZ35-BV35-BW35-BX35</f>
        <v>85</v>
      </c>
      <c r="BZ35" s="388">
        <f>+BU35</f>
        <v>299</v>
      </c>
      <c r="CA35" s="389">
        <f>BV35</f>
        <v>71</v>
      </c>
      <c r="CB35" s="389">
        <f>BW35</f>
        <v>72</v>
      </c>
      <c r="CC35" s="389">
        <f>BX35</f>
        <v>71</v>
      </c>
      <c r="CD35" s="376">
        <f>+CE35-CA35-CB35-CC35</f>
        <v>85</v>
      </c>
      <c r="CE35" s="388">
        <f>+BZ35</f>
        <v>299</v>
      </c>
      <c r="CF35" s="389">
        <f>CA35</f>
        <v>71</v>
      </c>
      <c r="CG35" s="389">
        <f>CB35</f>
        <v>72</v>
      </c>
      <c r="CH35" s="389">
        <f>CC35</f>
        <v>71</v>
      </c>
      <c r="CI35" s="376">
        <f>+CJ35-CF35-CG35-CH35</f>
        <v>85</v>
      </c>
      <c r="CJ35" s="388">
        <f>+CE35</f>
        <v>299</v>
      </c>
      <c r="CK35" s="389">
        <f>CF35</f>
        <v>71</v>
      </c>
      <c r="CL35" s="389">
        <f>CG35</f>
        <v>72</v>
      </c>
      <c r="CM35" s="389">
        <f>CH35</f>
        <v>71</v>
      </c>
      <c r="CN35" s="376">
        <f>+CO35-CK35-CL35-CM35</f>
        <v>85</v>
      </c>
      <c r="CO35" s="388">
        <f>+CJ35</f>
        <v>299</v>
      </c>
      <c r="CP35" s="389">
        <f>CK35</f>
        <v>71</v>
      </c>
      <c r="CQ35" s="389">
        <f>CL35</f>
        <v>72</v>
      </c>
      <c r="CR35" s="389">
        <f>CM35</f>
        <v>71</v>
      </c>
      <c r="CS35" s="376">
        <f>+CT35-CP35-CQ35-CR35</f>
        <v>85</v>
      </c>
      <c r="CT35" s="388">
        <f>+CO35</f>
        <v>299</v>
      </c>
      <c r="CU35" s="313"/>
      <c r="CV35" s="313"/>
    </row>
    <row r="36" spans="1:100" ht="12.75" customHeight="1" x14ac:dyDescent="0.2">
      <c r="A36" s="313"/>
      <c r="B36" s="313"/>
      <c r="C36" s="313"/>
      <c r="D36" s="313"/>
      <c r="E36" s="313"/>
      <c r="F36" s="391"/>
      <c r="G36" s="391"/>
      <c r="H36" s="66"/>
      <c r="I36" s="391"/>
      <c r="J36" s="391"/>
      <c r="K36" s="391"/>
      <c r="L36" s="391"/>
      <c r="M36" s="66"/>
      <c r="N36" s="392"/>
      <c r="O36" s="392"/>
      <c r="P36" s="392"/>
      <c r="Q36" s="392"/>
      <c r="R36" s="66"/>
      <c r="S36" s="393"/>
      <c r="T36" s="393"/>
      <c r="U36" s="393"/>
      <c r="V36" s="393"/>
      <c r="W36" s="66"/>
      <c r="X36" s="393"/>
      <c r="Y36" s="393"/>
      <c r="Z36" s="393"/>
      <c r="AA36" s="393"/>
      <c r="AB36" s="66"/>
      <c r="AC36" s="393"/>
      <c r="AD36" s="393"/>
      <c r="AE36" s="393"/>
      <c r="AF36" s="393"/>
      <c r="AG36" s="66"/>
      <c r="AH36" s="393"/>
      <c r="AI36" s="393"/>
      <c r="AJ36" s="392"/>
      <c r="AK36" s="392"/>
      <c r="AL36" s="66"/>
      <c r="AM36" s="392"/>
      <c r="AN36" s="392"/>
      <c r="AO36" s="369"/>
      <c r="AP36" s="392"/>
      <c r="AQ36" s="66"/>
      <c r="AR36" s="392"/>
      <c r="AS36" s="393"/>
      <c r="AT36" s="369"/>
      <c r="AU36" s="392"/>
      <c r="AV36" s="66"/>
      <c r="AW36" s="392"/>
      <c r="AX36" s="392"/>
      <c r="AY36" s="392"/>
      <c r="AZ36" s="392"/>
      <c r="BA36" s="66"/>
      <c r="BB36" s="392"/>
      <c r="BC36" s="392"/>
      <c r="BD36" s="392"/>
      <c r="BE36" s="393"/>
      <c r="BF36" s="66"/>
      <c r="BG36" s="392"/>
      <c r="BH36" s="392"/>
      <c r="BI36" s="392"/>
      <c r="BJ36" s="392"/>
      <c r="BK36" s="66"/>
      <c r="BL36" s="392"/>
      <c r="BM36" s="392"/>
      <c r="BN36" s="392"/>
      <c r="BO36" s="392"/>
      <c r="BP36" s="66"/>
      <c r="BQ36" s="594"/>
      <c r="BR36" s="392"/>
      <c r="BS36" s="392"/>
      <c r="BT36" s="392"/>
      <c r="BU36" s="66"/>
      <c r="BV36" s="392"/>
      <c r="BW36" s="392"/>
      <c r="BX36" s="392"/>
      <c r="BY36" s="392"/>
      <c r="BZ36" s="66"/>
      <c r="CA36" s="392"/>
      <c r="CB36" s="392"/>
      <c r="CC36" s="392"/>
      <c r="CD36" s="392"/>
      <c r="CE36" s="66"/>
      <c r="CF36" s="392"/>
      <c r="CG36" s="392"/>
      <c r="CH36" s="392"/>
      <c r="CI36" s="392"/>
      <c r="CJ36" s="66"/>
      <c r="CK36" s="392"/>
      <c r="CL36" s="392"/>
      <c r="CM36" s="392"/>
      <c r="CN36" s="392"/>
      <c r="CO36" s="66"/>
      <c r="CP36" s="392"/>
      <c r="CQ36" s="392"/>
      <c r="CR36" s="392"/>
      <c r="CS36" s="392"/>
      <c r="CT36" s="66"/>
      <c r="CU36" s="313"/>
      <c r="CV36" s="313"/>
    </row>
    <row r="37" spans="1:100" ht="12.75" customHeight="1" x14ac:dyDescent="0.2">
      <c r="A37" s="59" t="s">
        <v>60</v>
      </c>
      <c r="B37" s="91"/>
      <c r="C37" s="91"/>
      <c r="D37" s="60">
        <f t="shared" ref="D37:AH37" si="84">+D23+D32+D33+D34+D35</f>
        <v>1141</v>
      </c>
      <c r="E37" s="60">
        <f t="shared" si="84"/>
        <v>1502</v>
      </c>
      <c r="F37" s="60">
        <f t="shared" si="84"/>
        <v>1633</v>
      </c>
      <c r="G37" s="60">
        <f t="shared" si="84"/>
        <v>1420</v>
      </c>
      <c r="H37" s="51">
        <f t="shared" si="84"/>
        <v>5696</v>
      </c>
      <c r="I37" s="60">
        <f t="shared" si="84"/>
        <v>1285</v>
      </c>
      <c r="J37" s="60">
        <f t="shared" si="84"/>
        <v>1687</v>
      </c>
      <c r="K37" s="60">
        <f t="shared" si="84"/>
        <v>1867</v>
      </c>
      <c r="L37" s="60">
        <f t="shared" si="84"/>
        <v>1543</v>
      </c>
      <c r="M37" s="51">
        <f t="shared" si="84"/>
        <v>6382</v>
      </c>
      <c r="N37" s="60">
        <f t="shared" si="84"/>
        <v>1315</v>
      </c>
      <c r="O37" s="60">
        <f t="shared" si="84"/>
        <v>1928</v>
      </c>
      <c r="P37" s="60">
        <f t="shared" si="84"/>
        <v>2048</v>
      </c>
      <c r="Q37" s="60">
        <f t="shared" si="84"/>
        <v>1744</v>
      </c>
      <c r="R37" s="51">
        <f>+R23+R32+R33+R34+R35</f>
        <v>7035</v>
      </c>
      <c r="S37" s="61">
        <f t="shared" si="84"/>
        <v>1456</v>
      </c>
      <c r="T37" s="61">
        <f t="shared" si="84"/>
        <v>2104</v>
      </c>
      <c r="U37" s="61">
        <f t="shared" si="84"/>
        <v>2273</v>
      </c>
      <c r="V37" s="61">
        <f t="shared" si="84"/>
        <v>1881</v>
      </c>
      <c r="W37" s="51">
        <f t="shared" si="84"/>
        <v>7714</v>
      </c>
      <c r="X37" s="61">
        <f t="shared" si="84"/>
        <v>1574</v>
      </c>
      <c r="Y37" s="61">
        <f t="shared" si="84"/>
        <v>2262</v>
      </c>
      <c r="Z37" s="61">
        <f t="shared" si="84"/>
        <v>2309</v>
      </c>
      <c r="AA37" s="61">
        <f t="shared" si="84"/>
        <v>1927</v>
      </c>
      <c r="AB37" s="51">
        <f t="shared" si="84"/>
        <v>8072</v>
      </c>
      <c r="AC37" s="61">
        <f t="shared" si="84"/>
        <v>1478</v>
      </c>
      <c r="AD37" s="61">
        <f t="shared" si="84"/>
        <v>2147</v>
      </c>
      <c r="AE37" s="61">
        <f t="shared" si="84"/>
        <v>2288</v>
      </c>
      <c r="AF37" s="61">
        <f t="shared" si="84"/>
        <v>1989</v>
      </c>
      <c r="AG37" s="51">
        <f t="shared" si="84"/>
        <v>7902</v>
      </c>
      <c r="AH37" s="61">
        <f t="shared" si="84"/>
        <v>1587</v>
      </c>
      <c r="AI37" s="61">
        <f t="shared" ref="AI37:BJ37" si="85">+AI23+AI32+AI33+AI34+AI35</f>
        <v>2535</v>
      </c>
      <c r="AJ37" s="60">
        <f t="shared" si="85"/>
        <v>2729</v>
      </c>
      <c r="AK37" s="60">
        <f t="shared" si="85"/>
        <v>2304</v>
      </c>
      <c r="AL37" s="51">
        <f t="shared" si="85"/>
        <v>9155</v>
      </c>
      <c r="AM37" s="60">
        <f t="shared" si="85"/>
        <v>1621</v>
      </c>
      <c r="AN37" s="60">
        <f t="shared" si="85"/>
        <v>2646</v>
      </c>
      <c r="AO37" s="62">
        <f t="shared" si="85"/>
        <v>2814</v>
      </c>
      <c r="AP37" s="60">
        <f t="shared" si="85"/>
        <v>2519</v>
      </c>
      <c r="AQ37" s="51">
        <f t="shared" si="85"/>
        <v>9600</v>
      </c>
      <c r="AR37" s="60">
        <f t="shared" si="85"/>
        <v>1498</v>
      </c>
      <c r="AS37" s="61">
        <f t="shared" si="85"/>
        <v>2465</v>
      </c>
      <c r="AT37" s="62">
        <f t="shared" si="85"/>
        <v>2583</v>
      </c>
      <c r="AU37" s="60">
        <f t="shared" si="85"/>
        <v>2333</v>
      </c>
      <c r="AV37" s="51">
        <f t="shared" si="85"/>
        <v>8879</v>
      </c>
      <c r="AW37" s="60">
        <f t="shared" si="85"/>
        <v>1610</v>
      </c>
      <c r="AX37" s="60">
        <f>+AX23+AX32+AX33+AX34+AX35</f>
        <v>2736</v>
      </c>
      <c r="AY37" s="60">
        <f t="shared" si="85"/>
        <v>2612</v>
      </c>
      <c r="AZ37" s="60">
        <f>+AZ23+AZ32+AZ33+AZ34+AZ35</f>
        <v>2289</v>
      </c>
      <c r="BA37" s="51">
        <f>+BA23+BA32+BA33+BA34+BA35</f>
        <v>9247</v>
      </c>
      <c r="BB37" s="60">
        <f>+BB23+BB32+BB33+BB34+BB35</f>
        <v>1680</v>
      </c>
      <c r="BC37" s="60">
        <f>+BC23+BC32+BC33+BC34+BC35</f>
        <v>2766</v>
      </c>
      <c r="BD37" s="60">
        <f t="shared" si="85"/>
        <v>2756</v>
      </c>
      <c r="BE37" s="61">
        <f t="shared" si="85"/>
        <v>2287</v>
      </c>
      <c r="BF37" s="51">
        <f>+BF23+BF32+BF33+BF34+BF35</f>
        <v>9489</v>
      </c>
      <c r="BG37" s="60">
        <f>+BG23+BG32+BG33+BG34+BG35</f>
        <v>1638</v>
      </c>
      <c r="BH37" s="60">
        <f t="shared" si="85"/>
        <v>2683</v>
      </c>
      <c r="BI37" s="60">
        <f t="shared" si="85"/>
        <v>2668</v>
      </c>
      <c r="BJ37" s="60">
        <f t="shared" si="85"/>
        <v>2037</v>
      </c>
      <c r="BK37" s="51">
        <f>+BK23+BK32+BK33+BK34+BK35</f>
        <v>9026</v>
      </c>
      <c r="BL37" s="60">
        <f>+BL23+BL32+BL33+BL34+BL35</f>
        <v>1744</v>
      </c>
      <c r="BM37" s="60">
        <f>+BM23+BM32+BM33+BM34+BM35</f>
        <v>2680</v>
      </c>
      <c r="BN37" s="60">
        <f>+BN23+BN32+BN33+BN34+BN35</f>
        <v>2670</v>
      </c>
      <c r="BO37" s="60">
        <f>+BO23+BO32+BO33+BO34+BO35</f>
        <v>2300</v>
      </c>
      <c r="BP37" s="51">
        <f t="shared" ref="BP37:CO37" si="86">+BP23+BP32+BP33+BP34+BP35</f>
        <v>9394</v>
      </c>
      <c r="BQ37" s="587">
        <f>+BQ23+BQ32+BQ33+BQ34+BQ35</f>
        <v>1762</v>
      </c>
      <c r="BR37" s="60">
        <f>+BR23+BR32+BR33+BR34+BR35</f>
        <v>2831</v>
      </c>
      <c r="BS37" s="60">
        <f t="shared" si="86"/>
        <v>2757</v>
      </c>
      <c r="BT37" s="60">
        <f>+BT23+BT32+BT33+BT34+BT35</f>
        <v>2529</v>
      </c>
      <c r="BU37" s="51">
        <f t="shared" si="86"/>
        <v>9879</v>
      </c>
      <c r="BV37" s="60">
        <f t="shared" ca="1" si="86"/>
        <v>1664.4687232817687</v>
      </c>
      <c r="BW37" s="60">
        <f t="shared" ca="1" si="86"/>
        <v>2885.697462466836</v>
      </c>
      <c r="BX37" s="60">
        <f t="shared" ca="1" si="86"/>
        <v>3069.0426047001479</v>
      </c>
      <c r="BY37" s="60">
        <f t="shared" ca="1" si="86"/>
        <v>2748.0553853929537</v>
      </c>
      <c r="BZ37" s="51">
        <f t="shared" ca="1" si="86"/>
        <v>10367.264175841705</v>
      </c>
      <c r="CA37" s="60">
        <f t="shared" ca="1" si="86"/>
        <v>1800.5323839271246</v>
      </c>
      <c r="CB37" s="60">
        <f t="shared" ca="1" si="86"/>
        <v>3068.2580996880006</v>
      </c>
      <c r="CC37" s="60">
        <f t="shared" ca="1" si="86"/>
        <v>3256.4463334733377</v>
      </c>
      <c r="CD37" s="60">
        <f t="shared" ca="1" si="86"/>
        <v>2962.675885345619</v>
      </c>
      <c r="CE37" s="51">
        <f t="shared" ca="1" si="86"/>
        <v>11087.912702434081</v>
      </c>
      <c r="CF37" s="60">
        <f t="shared" ca="1" si="86"/>
        <v>1939.9598818642946</v>
      </c>
      <c r="CG37" s="60">
        <f t="shared" ca="1" si="86"/>
        <v>3263.6208041826185</v>
      </c>
      <c r="CH37" s="60">
        <f t="shared" ca="1" si="86"/>
        <v>3454.7442692457716</v>
      </c>
      <c r="CI37" s="60">
        <f t="shared" ca="1" si="86"/>
        <v>3187.6738191366444</v>
      </c>
      <c r="CJ37" s="51">
        <f t="shared" ca="1" si="86"/>
        <v>11845.998774429332</v>
      </c>
      <c r="CK37" s="60">
        <f t="shared" ca="1" si="86"/>
        <v>2086.7942529166717</v>
      </c>
      <c r="CL37" s="60">
        <f t="shared" ca="1" si="86"/>
        <v>3469.1182133185553</v>
      </c>
      <c r="CM37" s="60">
        <f t="shared" ca="1" si="86"/>
        <v>3663.3481210506602</v>
      </c>
      <c r="CN37" s="60">
        <f t="shared" ca="1" si="86"/>
        <v>3424.1261982685492</v>
      </c>
      <c r="CO37" s="51">
        <f t="shared" ca="1" si="86"/>
        <v>12643.386785554434</v>
      </c>
      <c r="CP37" s="60">
        <f ca="1">+CP23+CP32+CP33+CP34+CP35</f>
        <v>2242.5207054086968</v>
      </c>
      <c r="CQ37" s="60">
        <f ca="1">+CQ23+CQ32+CQ33+CQ34+CQ35</f>
        <v>3686.4040484553343</v>
      </c>
      <c r="CR37" s="60">
        <f ca="1">+CR23+CR32+CR33+CR34+CR35</f>
        <v>3883.8104286000626</v>
      </c>
      <c r="CS37" s="60">
        <f ca="1">+CS23+CS32+CS33+CS34+CS35</f>
        <v>3674.5952715159128</v>
      </c>
      <c r="CT37" s="51">
        <f ca="1">+CT23+CT32+CT33+CT34+CT35</f>
        <v>13487.330453980003</v>
      </c>
      <c r="CU37" s="59"/>
      <c r="CV37" s="59"/>
    </row>
    <row r="38" spans="1:100" ht="12.75" customHeight="1" x14ac:dyDescent="0.2">
      <c r="A38" s="313"/>
      <c r="B38" s="313"/>
      <c r="C38" s="313"/>
      <c r="D38" s="358"/>
      <c r="E38" s="358"/>
      <c r="F38" s="358"/>
      <c r="G38" s="358"/>
      <c r="H38" s="351"/>
      <c r="I38" s="358"/>
      <c r="J38" s="358"/>
      <c r="K38" s="358"/>
      <c r="L38" s="358"/>
      <c r="M38" s="351"/>
      <c r="N38" s="358"/>
      <c r="O38" s="358"/>
      <c r="P38" s="358"/>
      <c r="Q38" s="358"/>
      <c r="R38" s="351"/>
      <c r="S38" s="359"/>
      <c r="T38" s="359"/>
      <c r="U38" s="359"/>
      <c r="V38" s="359"/>
      <c r="W38" s="351"/>
      <c r="X38" s="359"/>
      <c r="Y38" s="359"/>
      <c r="Z38" s="359"/>
      <c r="AA38" s="359"/>
      <c r="AB38" s="351"/>
      <c r="AC38" s="359"/>
      <c r="AD38" s="359"/>
      <c r="AE38" s="359"/>
      <c r="AF38" s="359"/>
      <c r="AG38" s="351"/>
      <c r="AH38" s="359"/>
      <c r="AI38" s="359"/>
      <c r="AJ38" s="358"/>
      <c r="AK38" s="358"/>
      <c r="AL38" s="351"/>
      <c r="AM38" s="358"/>
      <c r="AN38" s="358"/>
      <c r="AO38" s="360"/>
      <c r="AP38" s="358"/>
      <c r="AQ38" s="351"/>
      <c r="AR38" s="358"/>
      <c r="AS38" s="359"/>
      <c r="AT38" s="360"/>
      <c r="AU38" s="358"/>
      <c r="AV38" s="351"/>
      <c r="AW38" s="358"/>
      <c r="AX38" s="358"/>
      <c r="AY38" s="358"/>
      <c r="AZ38" s="358"/>
      <c r="BA38" s="351"/>
      <c r="BB38" s="330"/>
      <c r="BC38" s="358"/>
      <c r="BD38" s="358"/>
      <c r="BE38" s="359"/>
      <c r="BF38" s="351"/>
      <c r="BG38" s="330"/>
      <c r="BH38" s="358"/>
      <c r="BI38" s="358"/>
      <c r="BJ38" s="358"/>
      <c r="BK38" s="351"/>
      <c r="BL38" s="358"/>
      <c r="BM38" s="358"/>
      <c r="BN38" s="358"/>
      <c r="BO38" s="358"/>
      <c r="BP38" s="351"/>
      <c r="BQ38" s="592"/>
      <c r="BR38" s="358"/>
      <c r="BS38" s="358"/>
      <c r="BT38" s="358"/>
      <c r="BU38" s="351"/>
      <c r="BV38" s="358"/>
      <c r="BW38" s="358"/>
      <c r="BX38" s="358"/>
      <c r="BY38" s="358"/>
      <c r="BZ38" s="351"/>
      <c r="CA38" s="358"/>
      <c r="CB38" s="358"/>
      <c r="CC38" s="358"/>
      <c r="CD38" s="358"/>
      <c r="CE38" s="351"/>
      <c r="CF38" s="358"/>
      <c r="CG38" s="358"/>
      <c r="CH38" s="358"/>
      <c r="CI38" s="358"/>
      <c r="CJ38" s="351"/>
      <c r="CK38" s="358"/>
      <c r="CL38" s="358"/>
      <c r="CM38" s="358"/>
      <c r="CN38" s="358"/>
      <c r="CO38" s="351"/>
      <c r="CP38" s="358"/>
      <c r="CQ38" s="358"/>
      <c r="CR38" s="358"/>
      <c r="CS38" s="358"/>
      <c r="CT38" s="351"/>
      <c r="CU38" s="313"/>
      <c r="CV38" s="313"/>
    </row>
    <row r="39" spans="1:100" ht="12.75" customHeight="1" x14ac:dyDescent="0.2">
      <c r="A39" s="313" t="s">
        <v>61</v>
      </c>
      <c r="B39" s="313"/>
      <c r="C39" s="313"/>
      <c r="D39" s="330">
        <v>-336.59500000000003</v>
      </c>
      <c r="E39" s="330">
        <v>-443.09</v>
      </c>
      <c r="F39" s="330">
        <v>-489.9</v>
      </c>
      <c r="G39" s="330">
        <v>-418.9</v>
      </c>
      <c r="H39" s="373">
        <v>-1688.4849999999999</v>
      </c>
      <c r="I39" s="330">
        <v>-373</v>
      </c>
      <c r="J39" s="330">
        <v>-493</v>
      </c>
      <c r="K39" s="330">
        <v>-541.42999999999995</v>
      </c>
      <c r="L39" s="330">
        <v>-445</v>
      </c>
      <c r="M39" s="373">
        <v>-1852.43</v>
      </c>
      <c r="N39" s="332">
        <v>-368</v>
      </c>
      <c r="O39" s="332">
        <v>-553</v>
      </c>
      <c r="P39" s="332">
        <v>-554</v>
      </c>
      <c r="Q39" s="332">
        <v>-495</v>
      </c>
      <c r="R39" s="331">
        <f>+SUM(N39:Q39)</f>
        <v>-1970</v>
      </c>
      <c r="S39" s="332">
        <f>W39-V39-U39-T39</f>
        <v>-371.97069999999997</v>
      </c>
      <c r="T39" s="332">
        <f>ROUND(-T40*T37,0)</f>
        <v>-557</v>
      </c>
      <c r="U39" s="332">
        <f t="shared" ref="U39:Z39" si="87">-U40*U37</f>
        <v>-623.02930000000003</v>
      </c>
      <c r="V39" s="332">
        <f t="shared" si="87"/>
        <v>-575</v>
      </c>
      <c r="W39" s="331">
        <f t="shared" si="87"/>
        <v>-2127</v>
      </c>
      <c r="X39" s="332">
        <f t="shared" si="87"/>
        <v>-419</v>
      </c>
      <c r="Y39" s="332">
        <f t="shared" si="87"/>
        <v>-596</v>
      </c>
      <c r="Z39" s="332">
        <f t="shared" si="87"/>
        <v>-614</v>
      </c>
      <c r="AA39" s="332">
        <f t="shared" ref="AA39:AI39" si="88">-AA40*AA37</f>
        <v>-532</v>
      </c>
      <c r="AB39" s="331">
        <f t="shared" si="88"/>
        <v>-2161</v>
      </c>
      <c r="AC39" s="332">
        <f t="shared" si="88"/>
        <v>-358</v>
      </c>
      <c r="AD39" s="332">
        <f t="shared" si="88"/>
        <v>-534</v>
      </c>
      <c r="AE39" s="332">
        <f t="shared" si="88"/>
        <v>-567</v>
      </c>
      <c r="AF39" s="332">
        <f t="shared" si="88"/>
        <v>-564</v>
      </c>
      <c r="AG39" s="331">
        <f t="shared" si="88"/>
        <v>-2023</v>
      </c>
      <c r="AH39" s="332">
        <f t="shared" si="88"/>
        <v>-363</v>
      </c>
      <c r="AI39" s="332">
        <f t="shared" si="88"/>
        <v>-732</v>
      </c>
      <c r="AJ39" s="332">
        <f>-AJ40*AJ37</f>
        <v>-747</v>
      </c>
      <c r="AK39" s="330">
        <v>-620</v>
      </c>
      <c r="AL39" s="331">
        <f>+AH39+AI39+AJ39+AK39</f>
        <v>-2462</v>
      </c>
      <c r="AM39" s="330">
        <v>-421</v>
      </c>
      <c r="AN39" s="330">
        <v>-688</v>
      </c>
      <c r="AO39" s="333">
        <v>-714</v>
      </c>
      <c r="AP39" s="330">
        <f>-AP40*AP37</f>
        <v>-717</v>
      </c>
      <c r="AQ39" s="331">
        <f>+AM39+AN39+AO39+AP39</f>
        <v>-2540</v>
      </c>
      <c r="AR39" s="330">
        <v>-400</v>
      </c>
      <c r="AS39" s="332">
        <v>-687</v>
      </c>
      <c r="AT39" s="333">
        <v>-679</v>
      </c>
      <c r="AU39" s="330">
        <v>-623</v>
      </c>
      <c r="AV39" s="331">
        <f>+AR39+AS39+AT39+AU39</f>
        <v>-2389</v>
      </c>
      <c r="AW39" s="330">
        <v>-394</v>
      </c>
      <c r="AX39" s="330">
        <v>-671</v>
      </c>
      <c r="AY39" s="330">
        <v>-666</v>
      </c>
      <c r="AZ39" s="330">
        <v>-646</v>
      </c>
      <c r="BA39" s="331">
        <f>+AW39+AX39+AY39+AZ39</f>
        <v>-2377</v>
      </c>
      <c r="BB39" s="330">
        <v>-398</v>
      </c>
      <c r="BC39" s="330">
        <v>-727</v>
      </c>
      <c r="BD39" s="330">
        <v>-667</v>
      </c>
      <c r="BE39" s="332">
        <v>-583</v>
      </c>
      <c r="BF39" s="331">
        <f>+BB39+BC39+BD39+BE39</f>
        <v>-2375</v>
      </c>
      <c r="BG39" s="332">
        <v>-377</v>
      </c>
      <c r="BH39" s="332">
        <v>-697</v>
      </c>
      <c r="BI39" s="332">
        <v>-657</v>
      </c>
      <c r="BJ39" s="332">
        <v>-458</v>
      </c>
      <c r="BK39" s="331">
        <f>+BG39+BH39+BI39+BJ39</f>
        <v>-2189</v>
      </c>
      <c r="BL39" s="332">
        <v>-430</v>
      </c>
      <c r="BM39" s="332">
        <v>-698</v>
      </c>
      <c r="BN39" s="332">
        <v>-622</v>
      </c>
      <c r="BO39" s="332">
        <v>-551</v>
      </c>
      <c r="BP39" s="331">
        <f>+BL39+BM39+BN39+BO39</f>
        <v>-2301</v>
      </c>
      <c r="BQ39" s="578">
        <v>-397</v>
      </c>
      <c r="BR39" s="578">
        <v>-666</v>
      </c>
      <c r="BS39" s="578">
        <v>-611</v>
      </c>
      <c r="BT39" s="578">
        <v>-633</v>
      </c>
      <c r="BU39" s="331">
        <f>+BQ39+BR39+BS39+BT39</f>
        <v>-2307</v>
      </c>
      <c r="BV39" s="330">
        <f ca="1">-BV40*BV37</f>
        <v>-349.53843188917142</v>
      </c>
      <c r="BW39" s="330">
        <f ca="1">-BW40*BW37</f>
        <v>-605.99646711803553</v>
      </c>
      <c r="BX39" s="330">
        <f ca="1">-BX40*BX37</f>
        <v>-644.49894698703099</v>
      </c>
      <c r="BY39" s="330">
        <f ca="1">-BY40*BY37</f>
        <v>-577.09163093252027</v>
      </c>
      <c r="BZ39" s="331">
        <f ca="1">+BV39+BW39+BX39+BY39</f>
        <v>-2177.125476926758</v>
      </c>
      <c r="CA39" s="330">
        <f ca="1">-CA40*CA37</f>
        <v>-378.11180062469612</v>
      </c>
      <c r="CB39" s="330">
        <f ca="1">-CB40*CB37</f>
        <v>-644.33420093448012</v>
      </c>
      <c r="CC39" s="330">
        <f ca="1">-CC40*CC37</f>
        <v>-683.85373002940094</v>
      </c>
      <c r="CD39" s="330">
        <f ca="1">-CD40*CD37</f>
        <v>-622.16193592257991</v>
      </c>
      <c r="CE39" s="331">
        <f ca="1">+CA39+CB39+CC39+CD39</f>
        <v>-2328.4616675111574</v>
      </c>
      <c r="CF39" s="330">
        <f ca="1">-CF40*CF37</f>
        <v>-407.39157519150183</v>
      </c>
      <c r="CG39" s="330">
        <f ca="1">-CG40*CG37</f>
        <v>-685.36036887834985</v>
      </c>
      <c r="CH39" s="330">
        <f ca="1">-CH40*CH37</f>
        <v>-725.49629654161197</v>
      </c>
      <c r="CI39" s="330">
        <f ca="1">-CI40*CI37</f>
        <v>-669.41150201869527</v>
      </c>
      <c r="CJ39" s="331">
        <f ca="1">+CF39+CG39+CH39+CI39</f>
        <v>-2487.6597426301587</v>
      </c>
      <c r="CK39" s="330">
        <f ca="1">-CK40*CK37</f>
        <v>-438.22679311250101</v>
      </c>
      <c r="CL39" s="330">
        <f ca="1">-CL40*CL37</f>
        <v>-728.51482479689662</v>
      </c>
      <c r="CM39" s="330">
        <f ca="1">-CM40*CM37</f>
        <v>-769.30310542063864</v>
      </c>
      <c r="CN39" s="330">
        <f ca="1">-CN40*CN37</f>
        <v>-719.06650163639529</v>
      </c>
      <c r="CO39" s="331">
        <f ca="1">+CK39+CL39+CM39+CN39</f>
        <v>-2655.1112249664311</v>
      </c>
      <c r="CP39" s="330">
        <f ca="1">-CP40*CP37</f>
        <v>-470.92934813582633</v>
      </c>
      <c r="CQ39" s="330">
        <f ca="1">-CQ40*CQ37</f>
        <v>-774.14485017562015</v>
      </c>
      <c r="CR39" s="330">
        <f ca="1">-CR40*CR37</f>
        <v>-815.60019000601312</v>
      </c>
      <c r="CS39" s="330">
        <f ca="1">-CS40*CS37</f>
        <v>-771.66500701834161</v>
      </c>
      <c r="CT39" s="331">
        <f ca="1">+CP39+CQ39+CR39+CS39</f>
        <v>-2832.3393953358009</v>
      </c>
      <c r="CU39" s="313"/>
      <c r="CV39" s="313"/>
    </row>
    <row r="40" spans="1:100" ht="12.75" customHeight="1" x14ac:dyDescent="0.2">
      <c r="A40" s="313"/>
      <c r="B40" s="313" t="s">
        <v>62</v>
      </c>
      <c r="C40" s="313"/>
      <c r="D40" s="324">
        <f>(73.9+3.8)/224.6</f>
        <v>0.34594835262689227</v>
      </c>
      <c r="E40" s="324">
        <f>(79.4+24.8)/315.5</f>
        <v>0.33026941362916007</v>
      </c>
      <c r="F40" s="324">
        <f>(79.2+8.7)/258</f>
        <v>0.34069767441860466</v>
      </c>
      <c r="G40" s="324">
        <f>(98.1+22.6)/389.4</f>
        <v>0.30996404725218285</v>
      </c>
      <c r="H40" s="362">
        <f>-H39/H37</f>
        <v>0.29643346207865168</v>
      </c>
      <c r="I40" s="324">
        <f>79.8/253.7</f>
        <v>0.31454473787938508</v>
      </c>
      <c r="J40" s="324">
        <f>(10.3+99.6)/340.8</f>
        <v>0.32247652582159619</v>
      </c>
      <c r="K40" s="324">
        <f>77/242.1</f>
        <v>0.31805039239983479</v>
      </c>
      <c r="L40" s="324">
        <f>(102.6-3.2)/287.6</f>
        <v>0.34561891515994431</v>
      </c>
      <c r="M40" s="362">
        <f>-M39/M37</f>
        <v>0.29025853964274523</v>
      </c>
      <c r="N40" s="324">
        <f>(14.5+12.6)/71.3</f>
        <v>0.38008415147265079</v>
      </c>
      <c r="O40" s="324">
        <f>(66.6+3.5)/217.3</f>
        <v>0.32259549010584443</v>
      </c>
      <c r="P40" s="324">
        <f>(61.5-12.2)/149</f>
        <v>0.3308724832214765</v>
      </c>
      <c r="Q40" s="324">
        <f>(80.8+14.3)/265.9</f>
        <v>0.35765325310267021</v>
      </c>
      <c r="R40" s="362">
        <f>-R39/R37</f>
        <v>0.28002842928216065</v>
      </c>
      <c r="S40" s="363">
        <f>-S39/S37</f>
        <v>0.25547438186813182</v>
      </c>
      <c r="T40" s="363">
        <f>560/2117</f>
        <v>0.26452527161076994</v>
      </c>
      <c r="U40" s="363">
        <v>0.27410000000000001</v>
      </c>
      <c r="V40" s="363">
        <f>575/V37</f>
        <v>0.3056884635832004</v>
      </c>
      <c r="W40" s="362">
        <f>2127/W37</f>
        <v>0.27573243453461238</v>
      </c>
      <c r="X40" s="363">
        <f>419/X37</f>
        <v>0.26620076238881829</v>
      </c>
      <c r="Y40" s="363">
        <f>596/Y37</f>
        <v>0.26348364279398762</v>
      </c>
      <c r="Z40" s="363">
        <f>614/Z37</f>
        <v>0.26591598094413166</v>
      </c>
      <c r="AA40" s="363">
        <f>532/AA37</f>
        <v>0.2760768033212247</v>
      </c>
      <c r="AB40" s="362">
        <f>2161/AB37</f>
        <v>0.26771555996035679</v>
      </c>
      <c r="AC40" s="363">
        <f>358/AC37</f>
        <v>0.2422192151556157</v>
      </c>
      <c r="AD40" s="363">
        <f>534/AD37</f>
        <v>0.24871914299021891</v>
      </c>
      <c r="AE40" s="363">
        <f>567/AE37</f>
        <v>0.24781468531468531</v>
      </c>
      <c r="AF40" s="363">
        <f>564/AF37</f>
        <v>0.28355957767722473</v>
      </c>
      <c r="AG40" s="362">
        <f>2023/AG37</f>
        <v>0.25601113642115919</v>
      </c>
      <c r="AH40" s="363">
        <f>363/AH37</f>
        <v>0.22873345935727787</v>
      </c>
      <c r="AI40" s="363">
        <f>732/AI37</f>
        <v>0.28875739644970416</v>
      </c>
      <c r="AJ40" s="363">
        <f>747/AJ37</f>
        <v>0.27372663979479661</v>
      </c>
      <c r="AK40" s="363">
        <f>-AK39/AK37</f>
        <v>0.26909722222222221</v>
      </c>
      <c r="AL40" s="362">
        <f>-AL39/AL37</f>
        <v>0.26892408519934463</v>
      </c>
      <c r="AM40" s="363">
        <f>-AM39/AM37</f>
        <v>0.25971622455274523</v>
      </c>
      <c r="AN40" s="363">
        <f>-AN39/AN37</f>
        <v>0.26001511715797432</v>
      </c>
      <c r="AO40" s="365">
        <f>-AO39/AO37</f>
        <v>0.2537313432835821</v>
      </c>
      <c r="AP40" s="363">
        <f>717/2519</f>
        <v>0.28463676061929338</v>
      </c>
      <c r="AQ40" s="362">
        <f t="shared" ref="AQ40:AY40" si="89">-AQ39/AQ37</f>
        <v>0.26458333333333334</v>
      </c>
      <c r="AR40" s="363">
        <f t="shared" si="89"/>
        <v>0.26702269692923897</v>
      </c>
      <c r="AS40" s="363">
        <f t="shared" si="89"/>
        <v>0.27870182555780931</v>
      </c>
      <c r="AT40" s="365">
        <f t="shared" si="89"/>
        <v>0.26287262872628725</v>
      </c>
      <c r="AU40" s="365">
        <f t="shared" si="89"/>
        <v>0.26703814830690098</v>
      </c>
      <c r="AV40" s="362">
        <f t="shared" si="89"/>
        <v>0.26906183128730715</v>
      </c>
      <c r="AW40" s="365">
        <f t="shared" si="89"/>
        <v>0.24472049689440994</v>
      </c>
      <c r="AX40" s="365">
        <f t="shared" si="89"/>
        <v>0.24524853801169591</v>
      </c>
      <c r="AY40" s="365">
        <f t="shared" si="89"/>
        <v>0.25497702909647779</v>
      </c>
      <c r="AZ40" s="365">
        <f t="shared" ref="AZ40:BJ40" si="90">-AZ39/AZ37</f>
        <v>0.28221930974224552</v>
      </c>
      <c r="BA40" s="362">
        <f t="shared" si="90"/>
        <v>0.25705634259759924</v>
      </c>
      <c r="BB40" s="365">
        <f t="shared" si="90"/>
        <v>0.2369047619047619</v>
      </c>
      <c r="BC40" s="365">
        <f t="shared" si="90"/>
        <v>0.26283441793203183</v>
      </c>
      <c r="BD40" s="365">
        <f t="shared" si="90"/>
        <v>0.24201741654571843</v>
      </c>
      <c r="BE40" s="363">
        <f t="shared" si="90"/>
        <v>0.254919108001749</v>
      </c>
      <c r="BF40" s="362">
        <f t="shared" si="90"/>
        <v>0.25028980925281907</v>
      </c>
      <c r="BG40" s="363">
        <f t="shared" si="90"/>
        <v>0.23015873015873015</v>
      </c>
      <c r="BH40" s="363">
        <f t="shared" si="90"/>
        <v>0.25978382407752515</v>
      </c>
      <c r="BI40" s="363">
        <f t="shared" si="90"/>
        <v>0.24625187406296853</v>
      </c>
      <c r="BJ40" s="363">
        <f t="shared" si="90"/>
        <v>0.22484045164457536</v>
      </c>
      <c r="BK40" s="362">
        <f t="shared" ref="BK40:BT40" si="91">-BK39/BK37</f>
        <v>0.24252160425437624</v>
      </c>
      <c r="BL40" s="363">
        <f t="shared" si="91"/>
        <v>0.24655963302752293</v>
      </c>
      <c r="BM40" s="363">
        <f t="shared" si="91"/>
        <v>0.26044776119402985</v>
      </c>
      <c r="BN40" s="363">
        <f t="shared" si="91"/>
        <v>0.23295880149812734</v>
      </c>
      <c r="BO40" s="363">
        <f t="shared" si="91"/>
        <v>0.23956521739130435</v>
      </c>
      <c r="BP40" s="362">
        <f t="shared" si="91"/>
        <v>0.24494358100915478</v>
      </c>
      <c r="BQ40" s="595">
        <f t="shared" si="91"/>
        <v>0.22531214528944382</v>
      </c>
      <c r="BR40" s="595">
        <f t="shared" si="91"/>
        <v>0.23525256093253266</v>
      </c>
      <c r="BS40" s="595">
        <f t="shared" si="91"/>
        <v>0.2216177003989844</v>
      </c>
      <c r="BT40" s="595">
        <f t="shared" si="91"/>
        <v>0.25029655990510086</v>
      </c>
      <c r="BU40" s="362">
        <f>-BU39/BU37</f>
        <v>0.23352566049195261</v>
      </c>
      <c r="BV40" s="394">
        <v>0.21</v>
      </c>
      <c r="BW40" s="394">
        <v>0.21</v>
      </c>
      <c r="BX40" s="394">
        <v>0.21</v>
      </c>
      <c r="BY40" s="394">
        <v>0.21</v>
      </c>
      <c r="BZ40" s="362">
        <f ca="1">-BZ39/BZ37</f>
        <v>0.21</v>
      </c>
      <c r="CA40" s="394">
        <f>BY40</f>
        <v>0.21</v>
      </c>
      <c r="CB40" s="394">
        <f>CA40</f>
        <v>0.21</v>
      </c>
      <c r="CC40" s="394">
        <f>CB40</f>
        <v>0.21</v>
      </c>
      <c r="CD40" s="394">
        <f>CC40</f>
        <v>0.21</v>
      </c>
      <c r="CE40" s="362">
        <f ca="1">-CE39/CE37</f>
        <v>0.21000000000000002</v>
      </c>
      <c r="CF40" s="394">
        <f>CD40</f>
        <v>0.21</v>
      </c>
      <c r="CG40" s="394">
        <f>CF40</f>
        <v>0.21</v>
      </c>
      <c r="CH40" s="394">
        <f>CG40</f>
        <v>0.21</v>
      </c>
      <c r="CI40" s="394">
        <f>CH40</f>
        <v>0.21</v>
      </c>
      <c r="CJ40" s="362">
        <f ca="1">-CJ39/CJ37</f>
        <v>0.20999999999999991</v>
      </c>
      <c r="CK40" s="394">
        <f>CI40</f>
        <v>0.21</v>
      </c>
      <c r="CL40" s="394">
        <f>CK40</f>
        <v>0.21</v>
      </c>
      <c r="CM40" s="394">
        <f>CL40</f>
        <v>0.21</v>
      </c>
      <c r="CN40" s="394">
        <f>CM40</f>
        <v>0.21</v>
      </c>
      <c r="CO40" s="362">
        <f ca="1">-CO39/CO37</f>
        <v>0.21</v>
      </c>
      <c r="CP40" s="394">
        <f>CN40</f>
        <v>0.21</v>
      </c>
      <c r="CQ40" s="394">
        <f>CP40</f>
        <v>0.21</v>
      </c>
      <c r="CR40" s="394">
        <f>CQ40</f>
        <v>0.21</v>
      </c>
      <c r="CS40" s="394">
        <f>CR40</f>
        <v>0.21</v>
      </c>
      <c r="CT40" s="362">
        <f ca="1">-CT39/CT37</f>
        <v>0.21000000000000002</v>
      </c>
      <c r="CU40" s="313"/>
      <c r="CV40" s="313"/>
    </row>
    <row r="41" spans="1:100" ht="12.75" customHeight="1" x14ac:dyDescent="0.2">
      <c r="A41" s="313"/>
      <c r="B41" s="313"/>
      <c r="C41" s="313"/>
      <c r="D41" s="358"/>
      <c r="E41" s="358"/>
      <c r="F41" s="358"/>
      <c r="G41" s="358"/>
      <c r="H41" s="351"/>
      <c r="I41" s="358"/>
      <c r="J41" s="358"/>
      <c r="K41" s="358"/>
      <c r="L41" s="358"/>
      <c r="M41" s="351"/>
      <c r="N41" s="358"/>
      <c r="O41" s="358"/>
      <c r="P41" s="358"/>
      <c r="Q41" s="358"/>
      <c r="R41" s="351"/>
      <c r="S41" s="359"/>
      <c r="T41" s="359"/>
      <c r="U41" s="359"/>
      <c r="V41" s="359"/>
      <c r="W41" s="351"/>
      <c r="X41" s="359"/>
      <c r="Y41" s="359"/>
      <c r="Z41" s="359"/>
      <c r="AA41" s="359"/>
      <c r="AB41" s="351"/>
      <c r="AC41" s="359"/>
      <c r="AD41" s="359"/>
      <c r="AE41" s="359"/>
      <c r="AF41" s="359"/>
      <c r="AG41" s="351"/>
      <c r="AH41" s="359"/>
      <c r="AI41" s="359"/>
      <c r="AJ41" s="358"/>
      <c r="AK41" s="358"/>
      <c r="AL41" s="351"/>
      <c r="AM41" s="358"/>
      <c r="AN41" s="358"/>
      <c r="AO41" s="360"/>
      <c r="AP41" s="358"/>
      <c r="AQ41" s="351"/>
      <c r="AR41" s="358"/>
      <c r="AS41" s="359"/>
      <c r="AT41" s="360"/>
      <c r="AU41" s="358"/>
      <c r="AV41" s="351"/>
      <c r="AW41" s="358"/>
      <c r="AX41" s="358"/>
      <c r="AY41" s="358"/>
      <c r="AZ41" s="358"/>
      <c r="BA41" s="351"/>
      <c r="BB41" s="358"/>
      <c r="BC41" s="358"/>
      <c r="BD41" s="358"/>
      <c r="BE41" s="359"/>
      <c r="BF41" s="351"/>
      <c r="BG41" s="358"/>
      <c r="BH41" s="358"/>
      <c r="BI41" s="358"/>
      <c r="BJ41" s="358"/>
      <c r="BK41" s="351"/>
      <c r="BL41" s="358"/>
      <c r="BM41" s="358"/>
      <c r="BN41" s="358"/>
      <c r="BO41" s="358"/>
      <c r="BP41" s="351"/>
      <c r="BQ41" s="592"/>
      <c r="BR41" s="358"/>
      <c r="BS41" s="358"/>
      <c r="BT41" s="358"/>
      <c r="BU41" s="351"/>
      <c r="BV41" s="358"/>
      <c r="BW41" s="358"/>
      <c r="BX41" s="358"/>
      <c r="BY41" s="358"/>
      <c r="BZ41" s="351"/>
      <c r="CA41" s="358"/>
      <c r="CB41" s="358"/>
      <c r="CC41" s="358"/>
      <c r="CD41" s="358"/>
      <c r="CE41" s="351"/>
      <c r="CF41" s="358"/>
      <c r="CG41" s="358"/>
      <c r="CH41" s="358"/>
      <c r="CI41" s="358"/>
      <c r="CJ41" s="351"/>
      <c r="CK41" s="358"/>
      <c r="CL41" s="358"/>
      <c r="CM41" s="358"/>
      <c r="CN41" s="358"/>
      <c r="CO41" s="351"/>
      <c r="CP41" s="358"/>
      <c r="CQ41" s="358"/>
      <c r="CR41" s="358"/>
      <c r="CS41" s="358"/>
      <c r="CT41" s="351"/>
      <c r="CU41" s="313"/>
      <c r="CV41" s="313"/>
    </row>
    <row r="42" spans="1:100" ht="12.75" customHeight="1" x14ac:dyDescent="0.2">
      <c r="A42" s="313" t="s">
        <v>63</v>
      </c>
      <c r="B42" s="313"/>
      <c r="C42" s="313"/>
      <c r="D42" s="294">
        <v>0</v>
      </c>
      <c r="E42" s="294">
        <v>0</v>
      </c>
      <c r="F42" s="294">
        <v>0</v>
      </c>
      <c r="G42" s="294">
        <v>0</v>
      </c>
      <c r="H42" s="373">
        <v>0</v>
      </c>
      <c r="I42" s="294">
        <v>0</v>
      </c>
      <c r="J42" s="294">
        <v>0</v>
      </c>
      <c r="K42" s="294">
        <v>0</v>
      </c>
      <c r="L42" s="294">
        <v>0</v>
      </c>
      <c r="M42" s="373">
        <v>0</v>
      </c>
      <c r="N42" s="294">
        <v>0</v>
      </c>
      <c r="O42" s="294">
        <v>0</v>
      </c>
      <c r="P42" s="294">
        <v>0</v>
      </c>
      <c r="Q42" s="294">
        <v>0</v>
      </c>
      <c r="R42" s="373">
        <v>0</v>
      </c>
      <c r="S42" s="374">
        <v>0</v>
      </c>
      <c r="T42" s="374">
        <v>0</v>
      </c>
      <c r="U42" s="374">
        <v>0</v>
      </c>
      <c r="V42" s="374">
        <v>0</v>
      </c>
      <c r="W42" s="373">
        <v>0</v>
      </c>
      <c r="X42" s="374">
        <v>-4</v>
      </c>
      <c r="Y42" s="374">
        <v>-6</v>
      </c>
      <c r="Z42" s="374">
        <v>-7</v>
      </c>
      <c r="AA42" s="374">
        <v>-7</v>
      </c>
      <c r="AB42" s="373">
        <v>-24</v>
      </c>
      <c r="AC42" s="374">
        <v>-6</v>
      </c>
      <c r="AD42" s="374">
        <v>-8</v>
      </c>
      <c r="AE42" s="374">
        <f>+AG42-AF42-AC42-AD42</f>
        <v>-16</v>
      </c>
      <c r="AF42" s="374">
        <v>-3</v>
      </c>
      <c r="AG42" s="373">
        <v>-33</v>
      </c>
      <c r="AH42" s="374">
        <v>-4</v>
      </c>
      <c r="AI42" s="395">
        <v>-10</v>
      </c>
      <c r="AJ42" s="385">
        <v>-8</v>
      </c>
      <c r="AK42" s="301">
        <v>4</v>
      </c>
      <c r="AL42" s="373">
        <f>+AH42+AI42+AJ42+AK42</f>
        <v>-18</v>
      </c>
      <c r="AM42" s="374">
        <v>-6</v>
      </c>
      <c r="AN42" s="374">
        <v>-21</v>
      </c>
      <c r="AO42" s="375">
        <v>-11</v>
      </c>
      <c r="AP42" s="301">
        <v>13</v>
      </c>
      <c r="AQ42" s="373">
        <f>+AM42+AN42+AO42+AP42</f>
        <v>-25</v>
      </c>
      <c r="AR42" s="301">
        <v>-6</v>
      </c>
      <c r="AS42" s="301">
        <v>-13</v>
      </c>
      <c r="AT42" s="296">
        <v>-11</v>
      </c>
      <c r="AU42" s="301">
        <v>-6</v>
      </c>
      <c r="AV42" s="373">
        <f>+AR42+AS42+AT42+AU42</f>
        <v>-36</v>
      </c>
      <c r="AW42" s="301">
        <v>-10</v>
      </c>
      <c r="AX42" s="301">
        <v>-15</v>
      </c>
      <c r="AY42" s="301">
        <v>-10</v>
      </c>
      <c r="AZ42" s="301">
        <v>-12</v>
      </c>
      <c r="BA42" s="373">
        <f>+AW42+AX42+AY42+AZ42</f>
        <v>-47</v>
      </c>
      <c r="BB42" s="301">
        <v>-11</v>
      </c>
      <c r="BC42" s="301">
        <v>-12</v>
      </c>
      <c r="BD42" s="301">
        <v>-10</v>
      </c>
      <c r="BE42" s="301">
        <v>-15</v>
      </c>
      <c r="BF42" s="373">
        <f>+BB42+BC42+BD42+BE42</f>
        <v>-48</v>
      </c>
      <c r="BG42" s="301">
        <v>-10</v>
      </c>
      <c r="BH42" s="301">
        <v>-14</v>
      </c>
      <c r="BI42" s="301">
        <v>-10</v>
      </c>
      <c r="BJ42" s="301">
        <v>-15</v>
      </c>
      <c r="BK42" s="373">
        <f>+BG42+BH42+BI42+BJ42</f>
        <v>-49</v>
      </c>
      <c r="BL42" s="301">
        <v>-14</v>
      </c>
      <c r="BM42" s="301">
        <v>-11</v>
      </c>
      <c r="BN42" s="301">
        <v>-12</v>
      </c>
      <c r="BO42" s="301">
        <v>-16</v>
      </c>
      <c r="BP42" s="373">
        <f>+BL42+BM42+BN42+BO42</f>
        <v>-53</v>
      </c>
      <c r="BQ42" s="596">
        <v>-11</v>
      </c>
      <c r="BR42" s="596">
        <v>-10</v>
      </c>
      <c r="BS42" s="596">
        <v>-12</v>
      </c>
      <c r="BT42" s="596">
        <v>-15</v>
      </c>
      <c r="BU42" s="373">
        <f>+BQ42+BR42+BS42+BT42</f>
        <v>-48</v>
      </c>
      <c r="BV42" s="368">
        <f>+BQ42*1.015</f>
        <v>-11.164999999999999</v>
      </c>
      <c r="BW42" s="368">
        <f>+BR42*1.015</f>
        <v>-10.149999999999999</v>
      </c>
      <c r="BX42" s="368">
        <f>+BS42*1.015</f>
        <v>-12.18</v>
      </c>
      <c r="BY42" s="368">
        <f>+BT42*1.015</f>
        <v>-15.224999999999998</v>
      </c>
      <c r="BZ42" s="373">
        <f>+BV42+BW42+BX42+BY42</f>
        <v>-48.72</v>
      </c>
      <c r="CA42" s="368">
        <f>+BV42*1.015</f>
        <v>-11.332474999999999</v>
      </c>
      <c r="CB42" s="368">
        <f>+BW42*1.015</f>
        <v>-10.302249999999997</v>
      </c>
      <c r="CC42" s="368">
        <f>+BX42*1.015</f>
        <v>-12.362699999999998</v>
      </c>
      <c r="CD42" s="368">
        <f>+BY42*1.015</f>
        <v>-15.453374999999996</v>
      </c>
      <c r="CE42" s="373">
        <f>+CA42+CB42+CC42+CD42</f>
        <v>-49.450799999999987</v>
      </c>
      <c r="CF42" s="368">
        <f>+CA42*1.05</f>
        <v>-11.899098749999999</v>
      </c>
      <c r="CG42" s="368">
        <f>+CB42*1.05</f>
        <v>-10.817362499999998</v>
      </c>
      <c r="CH42" s="368">
        <f>+CC42*1.05</f>
        <v>-12.980834999999999</v>
      </c>
      <c r="CI42" s="368">
        <f>+CD42*1.05</f>
        <v>-16.226043749999995</v>
      </c>
      <c r="CJ42" s="373">
        <f>+CF42+CG42+CH42+CI42</f>
        <v>-51.923339999999989</v>
      </c>
      <c r="CK42" s="368">
        <f>+CF42*1.05</f>
        <v>-12.494053687499999</v>
      </c>
      <c r="CL42" s="368">
        <f>+CG42*1.05</f>
        <v>-11.358230624999999</v>
      </c>
      <c r="CM42" s="368">
        <f>+CH42*1.05</f>
        <v>-13.629876749999999</v>
      </c>
      <c r="CN42" s="368">
        <f>+CI42*1.05</f>
        <v>-17.037345937499996</v>
      </c>
      <c r="CO42" s="373">
        <f>+CK42+CL42+CM42+CN42</f>
        <v>-54.51950699999999</v>
      </c>
      <c r="CP42" s="368">
        <f>+CK42*1.05</f>
        <v>-13.118756371875</v>
      </c>
      <c r="CQ42" s="368">
        <f>+CL42*1.05</f>
        <v>-11.92614215625</v>
      </c>
      <c r="CR42" s="368">
        <f>+CM42*1.05</f>
        <v>-14.311370587499999</v>
      </c>
      <c r="CS42" s="368">
        <f>+CN42*1.05</f>
        <v>-17.889213234374996</v>
      </c>
      <c r="CT42" s="373">
        <f>+CP42+CQ42+CR42+CS42</f>
        <v>-57.245482349999989</v>
      </c>
      <c r="CU42" s="313"/>
      <c r="CV42" s="313"/>
    </row>
    <row r="43" spans="1:100" ht="12.75" customHeight="1" x14ac:dyDescent="0.2">
      <c r="A43" s="59" t="s">
        <v>13</v>
      </c>
      <c r="B43" s="59"/>
      <c r="C43" s="59"/>
      <c r="D43" s="60">
        <f t="shared" ref="D43:O43" si="92">+D37+D39+D42</f>
        <v>804.40499999999997</v>
      </c>
      <c r="E43" s="60">
        <f t="shared" si="92"/>
        <v>1058.9100000000001</v>
      </c>
      <c r="F43" s="60">
        <f t="shared" si="92"/>
        <v>1143.0999999999999</v>
      </c>
      <c r="G43" s="60">
        <f t="shared" si="92"/>
        <v>1001.1</v>
      </c>
      <c r="H43" s="51">
        <f t="shared" si="92"/>
        <v>4007.5150000000003</v>
      </c>
      <c r="I43" s="60">
        <f t="shared" si="92"/>
        <v>912</v>
      </c>
      <c r="J43" s="60">
        <f t="shared" si="92"/>
        <v>1194</v>
      </c>
      <c r="K43" s="60">
        <f t="shared" si="92"/>
        <v>1325.5700000000002</v>
      </c>
      <c r="L43" s="60">
        <f t="shared" si="92"/>
        <v>1098</v>
      </c>
      <c r="M43" s="51">
        <f t="shared" si="92"/>
        <v>4529.57</v>
      </c>
      <c r="N43" s="60">
        <f t="shared" si="92"/>
        <v>947</v>
      </c>
      <c r="O43" s="60">
        <f t="shared" si="92"/>
        <v>1375</v>
      </c>
      <c r="P43" s="60">
        <f t="shared" ref="P43:AG43" si="93">+P37+P39+P42</f>
        <v>1494</v>
      </c>
      <c r="Q43" s="60">
        <f t="shared" si="93"/>
        <v>1249</v>
      </c>
      <c r="R43" s="51">
        <f t="shared" si="93"/>
        <v>5065</v>
      </c>
      <c r="S43" s="61">
        <f t="shared" si="93"/>
        <v>1084.0293000000001</v>
      </c>
      <c r="T43" s="61">
        <f t="shared" si="93"/>
        <v>1547</v>
      </c>
      <c r="U43" s="61">
        <f t="shared" si="93"/>
        <v>1649.9706999999999</v>
      </c>
      <c r="V43" s="61">
        <f t="shared" si="93"/>
        <v>1306</v>
      </c>
      <c r="W43" s="51">
        <f t="shared" si="93"/>
        <v>5587</v>
      </c>
      <c r="X43" s="61">
        <f t="shared" si="93"/>
        <v>1151</v>
      </c>
      <c r="Y43" s="61">
        <f t="shared" si="93"/>
        <v>1660</v>
      </c>
      <c r="Z43" s="61">
        <f t="shared" si="93"/>
        <v>1688</v>
      </c>
      <c r="AA43" s="61">
        <f t="shared" si="93"/>
        <v>1388</v>
      </c>
      <c r="AB43" s="51">
        <f t="shared" si="93"/>
        <v>5887</v>
      </c>
      <c r="AC43" s="61">
        <f>+AC37+AC39+AC42</f>
        <v>1114</v>
      </c>
      <c r="AD43" s="61">
        <f t="shared" si="93"/>
        <v>1605</v>
      </c>
      <c r="AE43" s="61">
        <f t="shared" si="93"/>
        <v>1705</v>
      </c>
      <c r="AF43" s="61">
        <f t="shared" si="93"/>
        <v>1422</v>
      </c>
      <c r="AG43" s="51">
        <f t="shared" si="93"/>
        <v>5846</v>
      </c>
      <c r="AH43" s="61">
        <f t="shared" ref="AH43:BM43" si="94">+AH37+AH39+AH42</f>
        <v>1220</v>
      </c>
      <c r="AI43" s="61">
        <f t="shared" si="94"/>
        <v>1793</v>
      </c>
      <c r="AJ43" s="60">
        <f t="shared" si="94"/>
        <v>1974</v>
      </c>
      <c r="AK43" s="60">
        <f t="shared" si="94"/>
        <v>1688</v>
      </c>
      <c r="AL43" s="51">
        <f t="shared" si="94"/>
        <v>6675</v>
      </c>
      <c r="AM43" s="60">
        <f t="shared" si="94"/>
        <v>1194</v>
      </c>
      <c r="AN43" s="60">
        <f t="shared" si="94"/>
        <v>1937</v>
      </c>
      <c r="AO43" s="62">
        <f t="shared" si="94"/>
        <v>2089</v>
      </c>
      <c r="AP43" s="60">
        <f t="shared" si="94"/>
        <v>1815</v>
      </c>
      <c r="AQ43" s="51">
        <f t="shared" si="94"/>
        <v>7035</v>
      </c>
      <c r="AR43" s="60">
        <f t="shared" si="94"/>
        <v>1092</v>
      </c>
      <c r="AS43" s="61">
        <f t="shared" si="94"/>
        <v>1765</v>
      </c>
      <c r="AT43" s="62">
        <f t="shared" si="94"/>
        <v>1893</v>
      </c>
      <c r="AU43" s="60">
        <f t="shared" si="94"/>
        <v>1704</v>
      </c>
      <c r="AV43" s="51">
        <f t="shared" si="94"/>
        <v>6454</v>
      </c>
      <c r="AW43" s="60">
        <f t="shared" si="94"/>
        <v>1206</v>
      </c>
      <c r="AX43" s="60">
        <f t="shared" si="94"/>
        <v>2050</v>
      </c>
      <c r="AY43" s="60">
        <f t="shared" si="94"/>
        <v>1936</v>
      </c>
      <c r="AZ43" s="60">
        <f>+AZ37+AZ39+AZ42</f>
        <v>1631</v>
      </c>
      <c r="BA43" s="51">
        <f t="shared" si="94"/>
        <v>6823</v>
      </c>
      <c r="BB43" s="60">
        <f>+BB37+BB39+BB42</f>
        <v>1271</v>
      </c>
      <c r="BC43" s="60">
        <f>+BC37+BC39+BC42</f>
        <v>2027</v>
      </c>
      <c r="BD43" s="60">
        <f>+BD37+BD39+BD42</f>
        <v>2079</v>
      </c>
      <c r="BE43" s="61">
        <f>+BE37+BE39+BE42</f>
        <v>1689</v>
      </c>
      <c r="BF43" s="51">
        <f t="shared" si="94"/>
        <v>7066</v>
      </c>
      <c r="BG43" s="60">
        <f t="shared" si="94"/>
        <v>1251</v>
      </c>
      <c r="BH43" s="60">
        <f t="shared" si="94"/>
        <v>1972</v>
      </c>
      <c r="BI43" s="60">
        <f t="shared" si="94"/>
        <v>2001</v>
      </c>
      <c r="BJ43" s="60">
        <f t="shared" si="94"/>
        <v>1564</v>
      </c>
      <c r="BK43" s="51">
        <f t="shared" si="94"/>
        <v>6788</v>
      </c>
      <c r="BL43" s="60">
        <f t="shared" si="94"/>
        <v>1300</v>
      </c>
      <c r="BM43" s="60">
        <f t="shared" si="94"/>
        <v>1971</v>
      </c>
      <c r="BN43" s="60">
        <f t="shared" ref="BN43:CO43" si="95">+BN37+BN39+BN42</f>
        <v>2036</v>
      </c>
      <c r="BO43" s="60">
        <f t="shared" si="95"/>
        <v>1733</v>
      </c>
      <c r="BP43" s="51">
        <f t="shared" si="95"/>
        <v>7040</v>
      </c>
      <c r="BQ43" s="587">
        <f>+BQ37+BQ39+BQ42</f>
        <v>1354</v>
      </c>
      <c r="BR43" s="60">
        <f>+BR37+BR39+BR42</f>
        <v>2155</v>
      </c>
      <c r="BS43" s="60">
        <f>+BS37+BS39+BS42</f>
        <v>2134</v>
      </c>
      <c r="BT43" s="60">
        <f>+BT37+BT39+BT42</f>
        <v>1881</v>
      </c>
      <c r="BU43" s="51">
        <f t="shared" si="95"/>
        <v>7524</v>
      </c>
      <c r="BV43" s="60">
        <f t="shared" ca="1" si="95"/>
        <v>1303.7652913925972</v>
      </c>
      <c r="BW43" s="60">
        <f t="shared" ca="1" si="95"/>
        <v>2269.5509953488004</v>
      </c>
      <c r="BX43" s="60">
        <f t="shared" ca="1" si="95"/>
        <v>2412.3636577131169</v>
      </c>
      <c r="BY43" s="60">
        <f t="shared" ca="1" si="95"/>
        <v>2155.7387544604335</v>
      </c>
      <c r="BZ43" s="51">
        <f t="shared" ca="1" si="95"/>
        <v>8141.4186989149466</v>
      </c>
      <c r="CA43" s="60">
        <f t="shared" ca="1" si="95"/>
        <v>1411.0881083024285</v>
      </c>
      <c r="CB43" s="60">
        <f t="shared" ca="1" si="95"/>
        <v>2413.6216487535203</v>
      </c>
      <c r="CC43" s="60">
        <f t="shared" ca="1" si="95"/>
        <v>2560.2299034439366</v>
      </c>
      <c r="CD43" s="60">
        <f t="shared" ca="1" si="95"/>
        <v>2325.0605744230388</v>
      </c>
      <c r="CE43" s="51">
        <f t="shared" ca="1" si="95"/>
        <v>8710.0002349229235</v>
      </c>
      <c r="CF43" s="60">
        <f t="shared" ca="1" si="95"/>
        <v>1520.669207922793</v>
      </c>
      <c r="CG43" s="60">
        <f t="shared" ca="1" si="95"/>
        <v>2567.4430728042689</v>
      </c>
      <c r="CH43" s="60">
        <f t="shared" ca="1" si="95"/>
        <v>2716.2671377041597</v>
      </c>
      <c r="CI43" s="60">
        <f t="shared" ca="1" si="95"/>
        <v>2502.0362733679494</v>
      </c>
      <c r="CJ43" s="51">
        <f t="shared" ca="1" si="95"/>
        <v>9306.4156917991731</v>
      </c>
      <c r="CK43" s="60">
        <f t="shared" ca="1" si="95"/>
        <v>1636.0734061166706</v>
      </c>
      <c r="CL43" s="60">
        <f t="shared" ca="1" si="95"/>
        <v>2729.2451578966584</v>
      </c>
      <c r="CM43" s="60">
        <f t="shared" ca="1" si="95"/>
        <v>2880.4151388800215</v>
      </c>
      <c r="CN43" s="60">
        <f t="shared" ca="1" si="95"/>
        <v>2688.0223506946536</v>
      </c>
      <c r="CO43" s="51">
        <f t="shared" ca="1" si="95"/>
        <v>9933.756053588002</v>
      </c>
      <c r="CP43" s="60">
        <f ca="1">+CP37+CP39+CP42</f>
        <v>1758.4726009009955</v>
      </c>
      <c r="CQ43" s="60">
        <f ca="1">+CQ37+CQ39+CQ42</f>
        <v>2900.3330561234638</v>
      </c>
      <c r="CR43" s="60">
        <f ca="1">+CR37+CR39+CR42</f>
        <v>3053.8988680065495</v>
      </c>
      <c r="CS43" s="60">
        <f ca="1">+CS37+CS39+CS42</f>
        <v>2885.0410512631966</v>
      </c>
      <c r="CT43" s="51">
        <f ca="1">+CT37+CT39+CT42</f>
        <v>10597.745576294203</v>
      </c>
      <c r="CU43" s="59"/>
      <c r="CV43" s="59"/>
    </row>
    <row r="44" spans="1:100" ht="12.75" customHeight="1" x14ac:dyDescent="0.2">
      <c r="A44" s="59"/>
      <c r="B44" s="59"/>
      <c r="C44" s="59"/>
      <c r="D44" s="70"/>
      <c r="E44" s="70"/>
      <c r="F44" s="70"/>
      <c r="G44" s="70"/>
      <c r="H44" s="397"/>
      <c r="I44" s="70"/>
      <c r="J44" s="70"/>
      <c r="K44" s="70"/>
      <c r="L44" s="70"/>
      <c r="M44" s="397"/>
      <c r="N44" s="70"/>
      <c r="O44" s="70"/>
      <c r="P44" s="70"/>
      <c r="Q44" s="70"/>
      <c r="R44" s="397"/>
      <c r="S44" s="398"/>
      <c r="T44" s="398"/>
      <c r="U44" s="398"/>
      <c r="V44" s="398"/>
      <c r="W44" s="397"/>
      <c r="X44" s="398"/>
      <c r="Y44" s="398"/>
      <c r="Z44" s="398"/>
      <c r="AA44" s="398"/>
      <c r="AB44" s="397"/>
      <c r="AC44" s="398"/>
      <c r="AD44" s="398"/>
      <c r="AE44" s="398"/>
      <c r="AF44" s="398"/>
      <c r="AG44" s="397"/>
      <c r="AH44" s="399"/>
      <c r="AI44" s="400"/>
      <c r="AJ44" s="71"/>
      <c r="AK44" s="71"/>
      <c r="AL44" s="72"/>
      <c r="AM44" s="73"/>
      <c r="AN44" s="73"/>
      <c r="AO44" s="401"/>
      <c r="AP44" s="73"/>
      <c r="AQ44" s="74"/>
      <c r="AR44" s="75"/>
      <c r="AS44" s="402"/>
      <c r="AT44" s="403"/>
      <c r="AU44" s="75"/>
      <c r="AV44" s="76"/>
      <c r="AW44" s="75"/>
      <c r="AX44" s="75"/>
      <c r="AY44" s="75"/>
      <c r="AZ44" s="75"/>
      <c r="BA44" s="76"/>
      <c r="BB44" s="404"/>
      <c r="BC44" s="404"/>
      <c r="BD44" s="404"/>
      <c r="BE44" s="508"/>
      <c r="BF44" s="405"/>
      <c r="BG44" s="404"/>
      <c r="BH44" s="404"/>
      <c r="BI44" s="404"/>
      <c r="BJ44" s="404"/>
      <c r="BK44" s="405"/>
      <c r="BL44" s="404"/>
      <c r="BM44" s="404"/>
      <c r="BN44" s="404"/>
      <c r="BO44" s="404"/>
      <c r="BP44" s="405"/>
      <c r="BQ44" s="404"/>
      <c r="BR44" s="404"/>
      <c r="BS44" s="404"/>
      <c r="BT44" s="404"/>
      <c r="BU44" s="405"/>
      <c r="BV44" s="404"/>
      <c r="BW44" s="404"/>
      <c r="BX44" s="404"/>
      <c r="BY44" s="404"/>
      <c r="BZ44" s="405"/>
      <c r="CA44" s="404"/>
      <c r="CB44" s="404"/>
      <c r="CC44" s="404"/>
      <c r="CD44" s="404"/>
      <c r="CE44" s="405"/>
      <c r="CF44" s="404"/>
      <c r="CG44" s="404"/>
      <c r="CH44" s="404"/>
      <c r="CI44" s="404"/>
      <c r="CJ44" s="405"/>
      <c r="CK44" s="404"/>
      <c r="CL44" s="404"/>
      <c r="CM44" s="404"/>
      <c r="CN44" s="404"/>
      <c r="CO44" s="405"/>
      <c r="CP44" s="404"/>
      <c r="CQ44" s="404"/>
      <c r="CR44" s="404"/>
      <c r="CS44" s="404"/>
      <c r="CT44" s="405"/>
      <c r="CU44" s="59"/>
      <c r="CV44" s="59"/>
    </row>
    <row r="45" spans="1:100" ht="12.75" customHeight="1" x14ac:dyDescent="0.2">
      <c r="A45" s="59" t="s">
        <v>14</v>
      </c>
      <c r="B45" s="59"/>
      <c r="C45" s="59"/>
      <c r="D45" s="71">
        <f>D43/D54</f>
        <v>0.46336693548387098</v>
      </c>
      <c r="E45" s="71">
        <f>E43/E54</f>
        <v>0.60752151462994841</v>
      </c>
      <c r="F45" s="71">
        <f>F43/F54</f>
        <v>0.66189924724956561</v>
      </c>
      <c r="G45" s="71">
        <f>(G43/G54)</f>
        <v>0.58441330998248686</v>
      </c>
      <c r="H45" s="72">
        <f>(H43/H54)</f>
        <v>2.3178224407171779</v>
      </c>
      <c r="I45" s="71">
        <f>I43/I54</f>
        <v>0.53239929947460596</v>
      </c>
      <c r="J45" s="71">
        <f>J43/J54</f>
        <v>0.69742990654205606</v>
      </c>
      <c r="K45" s="71">
        <f>K43/K54</f>
        <v>0.77837345860246632</v>
      </c>
      <c r="L45" s="71">
        <f>L43/L54</f>
        <v>0.64588235294117646</v>
      </c>
      <c r="M45" s="72">
        <f>(M43/M54)</f>
        <v>2.6550820633059788</v>
      </c>
      <c r="N45" s="71">
        <f>N43/N54</f>
        <v>0.55870206489675511</v>
      </c>
      <c r="O45" s="71">
        <f>O43/O54</f>
        <v>0.81409117821195975</v>
      </c>
      <c r="P45" s="71">
        <f>P43/P54</f>
        <v>0.88507109004739337</v>
      </c>
      <c r="Q45" s="71">
        <f>Q43/Q54</f>
        <v>0.7430101130279595</v>
      </c>
      <c r="R45" s="72">
        <f>(R43/R54)</f>
        <v>3.002371072910492</v>
      </c>
      <c r="S45" s="399">
        <f>S43/S54</f>
        <v>0.64795534967124935</v>
      </c>
      <c r="T45" s="399">
        <f>T43/T54</f>
        <v>0.92912912912912915</v>
      </c>
      <c r="U45" s="399">
        <f>U43/U54</f>
        <v>0.99937655966081151</v>
      </c>
      <c r="V45" s="399">
        <f>V43/V54</f>
        <v>0.79392097264437689</v>
      </c>
      <c r="W45" s="72">
        <f>(W43/W54)</f>
        <v>3.3697225572979495</v>
      </c>
      <c r="X45" s="399">
        <f>X43/X54</f>
        <v>0.7052696078431373</v>
      </c>
      <c r="Y45" s="399">
        <f>Y43/Y54</f>
        <v>1.0297766749379653</v>
      </c>
      <c r="Z45" s="399">
        <f>Z43/Z54</f>
        <v>1.0596359070935342</v>
      </c>
      <c r="AA45" s="399">
        <f>AA43/AA54</f>
        <v>0.87959442332065907</v>
      </c>
      <c r="AB45" s="72">
        <f>(AB43/AB54)</f>
        <v>3.6756993006993008</v>
      </c>
      <c r="AC45" s="399">
        <f>AC43/AC54</f>
        <v>0.70955414012738849</v>
      </c>
      <c r="AD45" s="399">
        <f>AD43/AD54</f>
        <v>1.0209923664122138</v>
      </c>
      <c r="AE45" s="399">
        <f>AE43/AE54</f>
        <v>1.0811667723525682</v>
      </c>
      <c r="AF45" s="399">
        <f>AF43/AF54</f>
        <v>0.89772727272727271</v>
      </c>
      <c r="AG45" s="72">
        <f>(AG43/AG54)</f>
        <v>3.7070386810399492</v>
      </c>
      <c r="AH45" s="399">
        <f>AH43/AH54</f>
        <v>0.75965130759651311</v>
      </c>
      <c r="AI45" s="399">
        <f>AI43/AI54</f>
        <v>1.0973072215422277</v>
      </c>
      <c r="AJ45" s="71">
        <f>AJ43/AJ54</f>
        <v>1.2245657568238213</v>
      </c>
      <c r="AK45" s="71">
        <f>AK43/AK54</f>
        <v>1.0504044803982577</v>
      </c>
      <c r="AL45" s="72">
        <f>(AL43/AL54)</f>
        <v>4.1337668369716676</v>
      </c>
      <c r="AM45" s="71">
        <f>AM43/AM54</f>
        <v>0.74392523364485985</v>
      </c>
      <c r="AN45" s="71">
        <f>AN43/AN54</f>
        <v>1.206853582554517</v>
      </c>
      <c r="AO45" s="406">
        <f>AO43/AO54</f>
        <v>1.306441525953721</v>
      </c>
      <c r="AP45" s="71">
        <f>AP43/AP54</f>
        <v>1.1458333333333333</v>
      </c>
      <c r="AQ45" s="72">
        <f>(AQ43/AQ54)</f>
        <v>4.4016893477240728</v>
      </c>
      <c r="AR45" s="71">
        <f>AR43/AR54</f>
        <v>0.68939393939393945</v>
      </c>
      <c r="AS45" s="399">
        <f>AS43/AS54</f>
        <v>1.1163820366856421</v>
      </c>
      <c r="AT45" s="406">
        <f>AT43/AT54</f>
        <v>1.2019047619047618</v>
      </c>
      <c r="AU45" s="71">
        <f>AU43/AU54</f>
        <v>1.0895140664961638</v>
      </c>
      <c r="AV45" s="72">
        <f>(AV43/AV54)</f>
        <v>4.095177664974619</v>
      </c>
      <c r="AW45" s="71">
        <f>AW43/AW54</f>
        <v>0.77159309021113243</v>
      </c>
      <c r="AX45" s="71">
        <f>AX43/AX54</f>
        <v>1.3082322910019144</v>
      </c>
      <c r="AY45" s="71">
        <f>AY43/AY54</f>
        <v>1.2402306213965406</v>
      </c>
      <c r="AZ45" s="71">
        <f>AZ43/AZ54</f>
        <v>1.0509020618556701</v>
      </c>
      <c r="BA45" s="72">
        <f>(BA43/BA54)</f>
        <v>4.3716162101553744</v>
      </c>
      <c r="BB45" s="71">
        <f>BB43/BB54</f>
        <v>0.82532467532467535</v>
      </c>
      <c r="BC45" s="71">
        <f>BC43/BC54</f>
        <v>1.323107049608355</v>
      </c>
      <c r="BD45" s="71">
        <f>BD43/BD54</f>
        <v>1.3632786885245902</v>
      </c>
      <c r="BE45" s="399">
        <f>BE43/BE54</f>
        <v>1.1155878467635403</v>
      </c>
      <c r="BF45" s="72">
        <f>(BF43/BF54)</f>
        <v>4.6251022745868111</v>
      </c>
      <c r="BG45" s="71">
        <f>BG43/BG54</f>
        <v>0.83233532934131738</v>
      </c>
      <c r="BH45" s="71">
        <f>BH43/BH54</f>
        <v>1.3226022803487592</v>
      </c>
      <c r="BI45" s="71">
        <f>BI43/BI54</f>
        <v>1.349291975724882</v>
      </c>
      <c r="BJ45" s="71">
        <f>BJ43/BJ54</f>
        <v>1.0639455782312925</v>
      </c>
      <c r="BK45" s="72">
        <f>(BK43/BK54)</f>
        <v>4.5656633596771483</v>
      </c>
      <c r="BL45" s="71">
        <f>BL43/BL54</f>
        <v>0.89102124742974642</v>
      </c>
      <c r="BM45" s="71">
        <f>BM43/BM54</f>
        <v>1.3537087912087913</v>
      </c>
      <c r="BN45" s="71">
        <f>BN43/BN54</f>
        <v>1.4022038567493114</v>
      </c>
      <c r="BO45" s="71">
        <f>BO43/BO54</f>
        <v>1.2001385041551247</v>
      </c>
      <c r="BP45" s="72">
        <f>(BP43/BP54)</f>
        <v>4.8484848484848486</v>
      </c>
      <c r="BQ45" s="597">
        <f>BQ43/BQ54</f>
        <v>0.94027777777777777</v>
      </c>
      <c r="BR45" s="71">
        <f>BR43/BR54</f>
        <v>1.4954892435808467</v>
      </c>
      <c r="BS45" s="71">
        <f>BS43/BS54</f>
        <v>1.4840055632823366</v>
      </c>
      <c r="BT45" s="71">
        <f>BT43/BT54</f>
        <v>1.3117154811715481</v>
      </c>
      <c r="BU45" s="72">
        <f>(BU43/BU54)</f>
        <v>5.2322670375521554</v>
      </c>
      <c r="BV45" s="71">
        <f ca="1">BV43/BV54</f>
        <v>0.91053632346959401</v>
      </c>
      <c r="BW45" s="71">
        <f ca="1">BW43/BW54</f>
        <v>1.5871962300558951</v>
      </c>
      <c r="BX45" s="71">
        <f ca="1">BX43/BX54</f>
        <v>1.6897077408335921</v>
      </c>
      <c r="BY45" s="71">
        <f ca="1">BY43/BY54</f>
        <v>1.512086024387004</v>
      </c>
      <c r="BZ45" s="72">
        <f ca="1">(BZ43/BZ54)</f>
        <v>5.6981508887652996</v>
      </c>
      <c r="CA45" s="71">
        <f ca="1">CA43/CA54</f>
        <v>0.99094310808820263</v>
      </c>
      <c r="CB45" s="71">
        <f ca="1">CB43/CB54</f>
        <v>1.6971999857985178</v>
      </c>
      <c r="CC45" s="71">
        <f ca="1">CC43/CC54</f>
        <v>1.803008941434296</v>
      </c>
      <c r="CD45" s="71">
        <f ca="1">CD43/CD54</f>
        <v>1.6396131333867809</v>
      </c>
      <c r="CE45" s="72">
        <f ca="1">(CE43/CE54)</f>
        <v>6.1293404420324711</v>
      </c>
      <c r="CF45" s="71">
        <f ca="1">CF43/CF54</f>
        <v>1.0735747338464983</v>
      </c>
      <c r="CG45" s="71">
        <f ca="1">CG43/CG54</f>
        <v>1.8148642584952153</v>
      </c>
      <c r="CH45" s="71">
        <f ca="1">CH43/CH54</f>
        <v>1.9228613256170066</v>
      </c>
      <c r="CI45" s="71">
        <f ca="1">CI43/CI54</f>
        <v>1.7735117671641112</v>
      </c>
      <c r="CJ45" s="72">
        <f ca="1">(CJ43/CJ54)</f>
        <v>6.583338041884975</v>
      </c>
      <c r="CK45" s="71">
        <f ca="1">CK43/CK54</f>
        <v>1.1609406649104379</v>
      </c>
      <c r="CL45" s="71">
        <f ca="1">CL43/CL54</f>
        <v>1.9389753531001184</v>
      </c>
      <c r="CM45" s="71">
        <f ca="1">CM43/CM54</f>
        <v>2.0492464550239338</v>
      </c>
      <c r="CN45" s="71">
        <f ca="1">CN43/CN54</f>
        <v>1.9147580572018754</v>
      </c>
      <c r="CO45" s="72">
        <f ca="1">(CO43/CO54)</f>
        <v>7.0624000269036902</v>
      </c>
      <c r="CP45" s="71">
        <f ca="1">CP43/CP54</f>
        <v>1.2538913980345885</v>
      </c>
      <c r="CQ45" s="71">
        <f ca="1">CQ43/CQ54</f>
        <v>2.0704824748040478</v>
      </c>
      <c r="CR45" s="71">
        <f ca="1">CR43/CR54</f>
        <v>2.1830569125786892</v>
      </c>
      <c r="CS45" s="71">
        <f ca="1">CS43/CS54</f>
        <v>2.06481630861115</v>
      </c>
      <c r="CT45" s="72">
        <f ca="1">(CT43/CT54)</f>
        <v>7.5706824029006246</v>
      </c>
      <c r="CU45" s="59"/>
      <c r="CV45" s="59"/>
    </row>
    <row r="46" spans="1:100" ht="12.75" customHeight="1" x14ac:dyDescent="0.2">
      <c r="A46" s="407"/>
      <c r="B46" s="407" t="s">
        <v>73</v>
      </c>
      <c r="C46" s="407"/>
      <c r="D46" s="320"/>
      <c r="E46" s="320"/>
      <c r="F46" s="320"/>
      <c r="G46" s="320"/>
      <c r="H46" s="321"/>
      <c r="I46" s="320">
        <f t="shared" ref="I46:AG46" si="96">+I45/D45-1</f>
        <v>0.14897990923467153</v>
      </c>
      <c r="J46" s="320">
        <f t="shared" si="96"/>
        <v>0.14799211179685101</v>
      </c>
      <c r="K46" s="320">
        <f t="shared" si="96"/>
        <v>0.17596969906959981</v>
      </c>
      <c r="L46" s="320">
        <f t="shared" si="96"/>
        <v>0.10518077173932205</v>
      </c>
      <c r="M46" s="321">
        <f t="shared" si="96"/>
        <v>0.14550710039913439</v>
      </c>
      <c r="N46" s="320">
        <f t="shared" si="96"/>
        <v>4.9404207421207769E-2</v>
      </c>
      <c r="O46" s="320">
        <f t="shared" si="96"/>
        <v>0.16727311314813664</v>
      </c>
      <c r="P46" s="358">
        <f t="shared" si="96"/>
        <v>0.13707768458150893</v>
      </c>
      <c r="Q46" s="320">
        <f t="shared" si="96"/>
        <v>0.15037995641851665</v>
      </c>
      <c r="R46" s="321">
        <f t="shared" si="96"/>
        <v>0.1308016103924432</v>
      </c>
      <c r="S46" s="322">
        <f t="shared" si="96"/>
        <v>0.15975112744748432</v>
      </c>
      <c r="T46" s="322">
        <f t="shared" si="96"/>
        <v>0.14130843570843576</v>
      </c>
      <c r="U46" s="322">
        <f t="shared" si="96"/>
        <v>0.12914834853242962</v>
      </c>
      <c r="V46" s="322">
        <f t="shared" si="96"/>
        <v>6.8519739804001389E-2</v>
      </c>
      <c r="W46" s="321">
        <f t="shared" si="96"/>
        <v>0.12235379154227854</v>
      </c>
      <c r="X46" s="322">
        <f t="shared" si="96"/>
        <v>8.8454024186955582E-2</v>
      </c>
      <c r="Y46" s="322">
        <f t="shared" si="96"/>
        <v>0.10832460489444884</v>
      </c>
      <c r="Z46" s="322">
        <f t="shared" si="96"/>
        <v>6.0296938976810432E-2</v>
      </c>
      <c r="AA46" s="322">
        <f t="shared" si="96"/>
        <v>0.10791181191614418</v>
      </c>
      <c r="AB46" s="321">
        <f t="shared" si="96"/>
        <v>9.0801761331562592E-2</v>
      </c>
      <c r="AC46" s="322">
        <f t="shared" si="96"/>
        <v>6.0750275307541735E-3</v>
      </c>
      <c r="AD46" s="322">
        <f t="shared" si="96"/>
        <v>-8.5303044238020931E-3</v>
      </c>
      <c r="AE46" s="322">
        <f t="shared" si="96"/>
        <v>2.0319116325616893E-2</v>
      </c>
      <c r="AF46" s="322">
        <f t="shared" si="96"/>
        <v>2.0615011789363313E-2</v>
      </c>
      <c r="AG46" s="321">
        <f t="shared" si="96"/>
        <v>8.5261001449945528E-3</v>
      </c>
      <c r="AH46" s="322">
        <f t="shared" ref="AH46:BM46" si="97">+AH45/AC45-1</f>
        <v>7.0603727941225936E-2</v>
      </c>
      <c r="AI46" s="322">
        <f t="shared" si="97"/>
        <v>7.474576465070526E-2</v>
      </c>
      <c r="AJ46" s="320">
        <f t="shared" si="97"/>
        <v>0.13263354751388046</v>
      </c>
      <c r="AK46" s="320">
        <f t="shared" si="97"/>
        <v>0.17007081360818588</v>
      </c>
      <c r="AL46" s="321">
        <f t="shared" si="97"/>
        <v>0.11511294935072192</v>
      </c>
      <c r="AM46" s="320">
        <f t="shared" si="97"/>
        <v>-2.0701700628159903E-2</v>
      </c>
      <c r="AN46" s="320">
        <f t="shared" si="97"/>
        <v>9.9831987670987665E-2</v>
      </c>
      <c r="AO46" s="323">
        <f t="shared" si="97"/>
        <v>6.6861063747415628E-2</v>
      </c>
      <c r="AP46" s="320">
        <f t="shared" si="97"/>
        <v>9.0849624802527451E-2</v>
      </c>
      <c r="AQ46" s="321">
        <f t="shared" si="97"/>
        <v>6.4813164679767166E-2</v>
      </c>
      <c r="AR46" s="320">
        <f t="shared" si="97"/>
        <v>-7.3302116643825133E-2</v>
      </c>
      <c r="AS46" s="322">
        <f t="shared" si="97"/>
        <v>-7.4964806979630483E-2</v>
      </c>
      <c r="AT46" s="323">
        <f t="shared" si="97"/>
        <v>-8.0016412500854783E-2</v>
      </c>
      <c r="AU46" s="320">
        <f t="shared" si="97"/>
        <v>-4.9151360148802503E-2</v>
      </c>
      <c r="AV46" s="321">
        <f t="shared" si="97"/>
        <v>-6.9635010228047522E-2</v>
      </c>
      <c r="AW46" s="320">
        <f t="shared" si="97"/>
        <v>0.1192339330535106</v>
      </c>
      <c r="AX46" s="320">
        <f t="shared" si="97"/>
        <v>0.17185000117508586</v>
      </c>
      <c r="AY46" s="320">
        <f t="shared" si="97"/>
        <v>3.1887601003460997E-2</v>
      </c>
      <c r="AZ46" s="320">
        <f t="shared" si="97"/>
        <v>-3.5439656841392053E-2</v>
      </c>
      <c r="BA46" s="321">
        <f t="shared" si="97"/>
        <v>6.7503431547082604E-2</v>
      </c>
      <c r="BB46" s="320">
        <f t="shared" si="97"/>
        <v>6.9637203592427532E-2</v>
      </c>
      <c r="BC46" s="320">
        <f>+BC45/AX45-1</f>
        <v>1.1370120359166958E-2</v>
      </c>
      <c r="BD46" s="320">
        <f t="shared" si="97"/>
        <v>9.9213859910581403E-2</v>
      </c>
      <c r="BE46" s="322">
        <f>+BE45/AZ45-1</f>
        <v>6.1552629170456452E-2</v>
      </c>
      <c r="BF46" s="321">
        <f>+BF45/BA45-1</f>
        <v>5.7984519282040958E-2</v>
      </c>
      <c r="BG46" s="320">
        <f t="shared" si="97"/>
        <v>8.4944195008880286E-3</v>
      </c>
      <c r="BH46" s="320">
        <f t="shared" si="97"/>
        <v>-3.8150296285188734E-4</v>
      </c>
      <c r="BI46" s="320">
        <f t="shared" si="97"/>
        <v>-1.0259613766019693E-2</v>
      </c>
      <c r="BJ46" s="320">
        <f t="shared" si="97"/>
        <v>-4.6291530229616962E-2</v>
      </c>
      <c r="BK46" s="321">
        <f>+BK45/BF45-1</f>
        <v>-1.2851373089900586E-2</v>
      </c>
      <c r="BL46" s="320">
        <f t="shared" si="97"/>
        <v>7.0507541876026369E-2</v>
      </c>
      <c r="BM46" s="320">
        <f t="shared" si="97"/>
        <v>2.3519172257762566E-2</v>
      </c>
      <c r="BN46" s="320">
        <f t="shared" ref="BN46:CO46" si="98">+BN45/BI45-1</f>
        <v>3.9214552503362698E-2</v>
      </c>
      <c r="BO46" s="320">
        <f t="shared" si="98"/>
        <v>0.12800741758825662</v>
      </c>
      <c r="BP46" s="321">
        <f>+BP45/BK45-1</f>
        <v>6.1945322404957093E-2</v>
      </c>
      <c r="BQ46" s="580">
        <f t="shared" si="98"/>
        <v>5.5280982905982823E-2</v>
      </c>
      <c r="BR46" s="320">
        <f t="shared" si="98"/>
        <v>0.10473482427890035</v>
      </c>
      <c r="BS46" s="320">
        <f t="shared" si="98"/>
        <v>5.8337955739662384E-2</v>
      </c>
      <c r="BT46" s="320">
        <f t="shared" si="98"/>
        <v>9.2970083561289885E-2</v>
      </c>
      <c r="BU46" s="321">
        <f t="shared" si="98"/>
        <v>7.9155076495132093E-2</v>
      </c>
      <c r="BV46" s="320">
        <f t="shared" ca="1" si="98"/>
        <v>-3.163049793484829E-2</v>
      </c>
      <c r="BW46" s="320">
        <f t="shared" ca="1" si="98"/>
        <v>6.1322397916726112E-2</v>
      </c>
      <c r="BX46" s="320">
        <f t="shared" ca="1" si="98"/>
        <v>0.13861280755328287</v>
      </c>
      <c r="BY46" s="320">
        <f t="shared" ca="1" si="98"/>
        <v>0.15275457680540327</v>
      </c>
      <c r="BZ46" s="321">
        <f t="shared" ca="1" si="98"/>
        <v>8.9040534030369711E-2</v>
      </c>
      <c r="CA46" s="320">
        <f t="shared" ca="1" si="98"/>
        <v>8.8307058758753332E-2</v>
      </c>
      <c r="CB46" s="320">
        <f t="shared" ca="1" si="98"/>
        <v>6.9306966372235435E-2</v>
      </c>
      <c r="CC46" s="320">
        <f t="shared" ca="1" si="98"/>
        <v>6.7053726430115423E-2</v>
      </c>
      <c r="CD46" s="320">
        <f t="shared" ca="1" si="98"/>
        <v>8.4338527665101637E-2</v>
      </c>
      <c r="CE46" s="321">
        <f t="shared" ca="1" si="98"/>
        <v>7.5671838405915404E-2</v>
      </c>
      <c r="CF46" s="320">
        <f t="shared" ca="1" si="98"/>
        <v>8.3386851458823408E-2</v>
      </c>
      <c r="CG46" s="320">
        <f t="shared" ca="1" si="98"/>
        <v>6.9328466698836078E-2</v>
      </c>
      <c r="CH46" s="320">
        <f t="shared" ca="1" si="98"/>
        <v>6.6473538443668323E-2</v>
      </c>
      <c r="CI46" s="320">
        <f t="shared" ca="1" si="98"/>
        <v>8.1664772653259776E-2</v>
      </c>
      <c r="CJ46" s="321">
        <f t="shared" ca="1" si="98"/>
        <v>7.4069568193533053E-2</v>
      </c>
      <c r="CK46" s="320">
        <f t="shared" ca="1" si="98"/>
        <v>8.1378527558037206E-2</v>
      </c>
      <c r="CL46" s="320">
        <f t="shared" ca="1" si="98"/>
        <v>6.8385882869173464E-2</v>
      </c>
      <c r="CM46" s="320">
        <f t="shared" ca="1" si="98"/>
        <v>6.5727636061520434E-2</v>
      </c>
      <c r="CN46" s="320">
        <f t="shared" ca="1" si="98"/>
        <v>7.9642149915712501E-2</v>
      </c>
      <c r="CO46" s="321">
        <f t="shared" ca="1" si="98"/>
        <v>7.2768857070804049E-2</v>
      </c>
      <c r="CP46" s="320">
        <f ca="1">+CP45/CK45-1</f>
        <v>8.0065016183511251E-2</v>
      </c>
      <c r="CQ46" s="320">
        <f ca="1">+CQ45/CL45-1</f>
        <v>6.7822998107567534E-2</v>
      </c>
      <c r="CR46" s="320">
        <f ca="1">+CR45/CM45-1</f>
        <v>6.5297396136372754E-2</v>
      </c>
      <c r="CS46" s="320">
        <f ca="1">+CS45/CN45-1</f>
        <v>7.8369301460760932E-2</v>
      </c>
      <c r="CT46" s="321">
        <f ca="1">+CT45/CO45-1</f>
        <v>7.1970204754852496E-2</v>
      </c>
      <c r="CU46" s="408"/>
      <c r="CV46" s="408"/>
    </row>
    <row r="47" spans="1:100" ht="12.75" customHeight="1" x14ac:dyDescent="0.2">
      <c r="A47" s="408"/>
      <c r="B47" s="408"/>
      <c r="C47" s="408"/>
      <c r="D47" s="409"/>
      <c r="E47" s="409"/>
      <c r="F47" s="410"/>
      <c r="G47" s="409"/>
      <c r="H47" s="411"/>
      <c r="I47" s="409"/>
      <c r="J47" s="409"/>
      <c r="K47" s="410"/>
      <c r="L47" s="409"/>
      <c r="M47" s="411"/>
      <c r="N47" s="320"/>
      <c r="O47" s="320"/>
      <c r="P47" s="376"/>
      <c r="Q47" s="376"/>
      <c r="R47" s="321"/>
      <c r="S47" s="322"/>
      <c r="T47" s="322"/>
      <c r="U47" s="322"/>
      <c r="V47" s="322"/>
      <c r="W47" s="321"/>
      <c r="X47" s="322"/>
      <c r="Y47" s="322"/>
      <c r="Z47" s="322"/>
      <c r="AA47" s="322"/>
      <c r="AB47" s="321"/>
      <c r="AC47" s="357"/>
      <c r="AD47" s="304"/>
      <c r="AE47" s="304"/>
      <c r="AF47" s="304"/>
      <c r="AG47" s="412"/>
      <c r="AH47" s="357"/>
      <c r="AI47" s="413"/>
      <c r="AJ47" s="410"/>
      <c r="AK47" s="410"/>
      <c r="AL47" s="414"/>
      <c r="AM47" s="415"/>
      <c r="AN47" s="415"/>
      <c r="AO47" s="416"/>
      <c r="AP47" s="415"/>
      <c r="AQ47" s="321">
        <f>0.04/AL45</f>
        <v>9.6764044943820227E-3</v>
      </c>
      <c r="AR47" s="320"/>
      <c r="AS47" s="322"/>
      <c r="AT47" s="323"/>
      <c r="AU47" s="320"/>
      <c r="AV47" s="321"/>
      <c r="AW47" s="320"/>
      <c r="AX47" s="320"/>
      <c r="AY47" s="320"/>
      <c r="AZ47" s="320"/>
      <c r="BA47" s="321"/>
      <c r="BB47" s="410">
        <f>((-31)*(1-BB40))/BB54</f>
        <v>-1.5361008039579467E-2</v>
      </c>
      <c r="BC47" s="320"/>
      <c r="BD47" s="320"/>
      <c r="BE47" s="322"/>
      <c r="BF47" s="321"/>
      <c r="BG47" s="410"/>
      <c r="BH47" s="320"/>
      <c r="BI47" s="320"/>
      <c r="BJ47" s="320"/>
      <c r="BK47" s="321"/>
      <c r="BL47" s="320"/>
      <c r="BM47" s="320"/>
      <c r="BN47" s="320"/>
      <c r="BO47" s="580"/>
      <c r="BP47" s="321"/>
      <c r="BQ47" s="598"/>
      <c r="BR47" s="452"/>
      <c r="BS47" s="320"/>
      <c r="BT47" s="644"/>
      <c r="BU47" s="575"/>
      <c r="BV47" s="452"/>
      <c r="BW47" s="320"/>
      <c r="BX47" s="320"/>
      <c r="BY47" s="320"/>
      <c r="BZ47" s="575"/>
      <c r="CA47" s="320"/>
      <c r="CB47" s="320"/>
      <c r="CC47" s="320"/>
      <c r="CD47" s="320"/>
      <c r="CE47" s="321"/>
      <c r="CF47" s="320"/>
      <c r="CG47" s="320"/>
      <c r="CH47" s="320"/>
      <c r="CI47" s="320"/>
      <c r="CJ47" s="321"/>
      <c r="CK47" s="320"/>
      <c r="CL47" s="320"/>
      <c r="CM47" s="320"/>
      <c r="CN47" s="320"/>
      <c r="CO47" s="321"/>
      <c r="CP47" s="320"/>
      <c r="CQ47" s="320"/>
      <c r="CR47" s="320"/>
      <c r="CS47" s="320"/>
      <c r="CT47" s="321"/>
      <c r="CU47" s="408"/>
      <c r="CV47" s="408"/>
    </row>
    <row r="48" spans="1:100" ht="12.75" hidden="1" customHeight="1" outlineLevel="1" x14ac:dyDescent="0.2">
      <c r="A48" s="417" t="s">
        <v>75</v>
      </c>
      <c r="B48" s="417"/>
      <c r="C48" s="407"/>
      <c r="D48" s="418"/>
      <c r="E48" s="418"/>
      <c r="F48" s="418"/>
      <c r="G48" s="418"/>
      <c r="H48" s="419">
        <f>+H49-H43</f>
        <v>165.48499999999967</v>
      </c>
      <c r="I48" s="418"/>
      <c r="J48" s="418"/>
      <c r="K48" s="418"/>
      <c r="L48" s="418"/>
      <c r="M48" s="419">
        <f>+M49-M43</f>
        <v>-451.56999999999971</v>
      </c>
      <c r="N48" s="418"/>
      <c r="O48" s="418"/>
      <c r="P48" s="418"/>
      <c r="Q48" s="418"/>
      <c r="R48" s="419">
        <f>+R49-R43</f>
        <v>577</v>
      </c>
      <c r="S48" s="301">
        <f>W48-V48-U48-T48</f>
        <v>12</v>
      </c>
      <c r="T48" s="301">
        <f>1557-1547</f>
        <v>10</v>
      </c>
      <c r="U48" s="301">
        <f>1743-1650</f>
        <v>93</v>
      </c>
      <c r="V48" s="301">
        <f>1262-1306</f>
        <v>-44</v>
      </c>
      <c r="W48" s="366">
        <f>5658-W43</f>
        <v>71</v>
      </c>
      <c r="X48" s="301">
        <f>1148-1151</f>
        <v>-3</v>
      </c>
      <c r="Y48" s="301">
        <f>1699-1660</f>
        <v>39</v>
      </c>
      <c r="Z48" s="301">
        <f>1576-1688</f>
        <v>-112</v>
      </c>
      <c r="AA48" s="301">
        <f>719-1388</f>
        <v>-669</v>
      </c>
      <c r="AB48" s="366">
        <f>5142-AB43</f>
        <v>-745</v>
      </c>
      <c r="AC48" s="301">
        <f>1135-1114</f>
        <v>21</v>
      </c>
      <c r="AD48" s="301">
        <f>1660-1605</f>
        <v>55</v>
      </c>
      <c r="AE48" s="301">
        <f>1717-1705</f>
        <v>12</v>
      </c>
      <c r="AF48" s="301">
        <f>1434-1422</f>
        <v>12</v>
      </c>
      <c r="AG48" s="366">
        <f>5946-5846</f>
        <v>100</v>
      </c>
      <c r="AH48" s="301">
        <f>1430-1220</f>
        <v>210</v>
      </c>
      <c r="AI48" s="301">
        <f>1603-1793</f>
        <v>-190</v>
      </c>
      <c r="AJ48" s="301">
        <f>1922-1974</f>
        <v>-52</v>
      </c>
      <c r="AK48" s="298">
        <f>1365-1688</f>
        <v>-323</v>
      </c>
      <c r="AL48" s="366">
        <f>+AH48+AI48+AJ48+AK48</f>
        <v>-355</v>
      </c>
      <c r="AM48" s="298">
        <f>1143-1194</f>
        <v>-51</v>
      </c>
      <c r="AN48" s="298">
        <f>1885-1937</f>
        <v>-52</v>
      </c>
      <c r="AO48" s="296">
        <f>2000-2089</f>
        <v>-89</v>
      </c>
      <c r="AP48" s="298">
        <f>1415-1815</f>
        <v>-400</v>
      </c>
      <c r="AQ48" s="366">
        <f>+AM48+AN48+AO48+AP48</f>
        <v>-592</v>
      </c>
      <c r="AR48" s="298">
        <f>1127-1092</f>
        <v>35</v>
      </c>
      <c r="AS48" s="301">
        <f>1488-1765</f>
        <v>-277</v>
      </c>
      <c r="AT48" s="296">
        <f>1902-1893</f>
        <v>9</v>
      </c>
      <c r="AU48" s="296">
        <f>1661-1704</f>
        <v>-43</v>
      </c>
      <c r="AV48" s="366">
        <f>+AR48+AS48+AT48+AU48</f>
        <v>-276</v>
      </c>
      <c r="AW48" s="296">
        <f>1075-AW43</f>
        <v>-131</v>
      </c>
      <c r="AX48" s="296">
        <f>2010-AX43</f>
        <v>-40</v>
      </c>
      <c r="AY48" s="296">
        <f>1913-AY43</f>
        <v>-23</v>
      </c>
      <c r="AZ48" s="78"/>
      <c r="BA48" s="366">
        <f>+AW48+AX48+AY48+AZ48</f>
        <v>-194</v>
      </c>
      <c r="BB48" s="511">
        <f>BB45+BB47</f>
        <v>0.80996366728509583</v>
      </c>
      <c r="BC48" s="236"/>
      <c r="BD48" s="236"/>
      <c r="BE48" s="236"/>
      <c r="BF48" s="334"/>
      <c r="BG48" s="511"/>
      <c r="BH48" s="513"/>
      <c r="BI48" s="512"/>
      <c r="BJ48" s="78"/>
      <c r="BK48" s="362"/>
      <c r="BL48" s="512"/>
      <c r="BM48" s="78"/>
      <c r="BN48" s="78"/>
      <c r="BO48" s="78"/>
      <c r="BP48" s="548"/>
      <c r="BQ48" s="599"/>
      <c r="BR48" s="512"/>
      <c r="BS48" s="512"/>
      <c r="BT48" s="512"/>
      <c r="BU48" s="575"/>
      <c r="BV48" s="648"/>
      <c r="BW48" s="78"/>
      <c r="BX48" s="78"/>
      <c r="BY48" s="78"/>
      <c r="BZ48" s="575" t="e">
        <f ca="1">BZ45/BZ44-1</f>
        <v>#DIV/0!</v>
      </c>
      <c r="CA48" s="78"/>
      <c r="CB48" s="78"/>
      <c r="CC48" s="78"/>
      <c r="CD48" s="78"/>
      <c r="CE48" s="575" t="e">
        <f ca="1">CE45/CE44-1</f>
        <v>#DIV/0!</v>
      </c>
      <c r="CF48" s="78"/>
      <c r="CG48" s="78"/>
      <c r="CH48" s="78"/>
      <c r="CI48" s="78"/>
      <c r="CJ48" s="366"/>
      <c r="CK48" s="78"/>
      <c r="CL48" s="78"/>
      <c r="CM48" s="78"/>
      <c r="CN48" s="78"/>
      <c r="CO48" s="366"/>
      <c r="CP48" s="78"/>
      <c r="CQ48" s="78"/>
      <c r="CR48" s="78"/>
      <c r="CS48" s="78"/>
      <c r="CT48" s="366"/>
      <c r="CU48" s="408"/>
      <c r="CV48" s="408"/>
    </row>
    <row r="49" spans="1:100" ht="12.75" hidden="1" customHeight="1" outlineLevel="1" x14ac:dyDescent="0.2">
      <c r="A49" s="417" t="s">
        <v>15</v>
      </c>
      <c r="B49" s="417"/>
      <c r="C49" s="407"/>
      <c r="D49" s="418"/>
      <c r="E49" s="418"/>
      <c r="F49" s="418"/>
      <c r="G49" s="418"/>
      <c r="H49" s="366">
        <v>4173</v>
      </c>
      <c r="I49" s="418"/>
      <c r="J49" s="418"/>
      <c r="K49" s="418"/>
      <c r="L49" s="418"/>
      <c r="M49" s="366">
        <v>4078</v>
      </c>
      <c r="N49" s="418"/>
      <c r="O49" s="418"/>
      <c r="P49" s="418"/>
      <c r="Q49" s="418"/>
      <c r="R49" s="366">
        <v>5642</v>
      </c>
      <c r="S49" s="332">
        <f t="shared" ref="S49:AK49" si="99">+S48+S43</f>
        <v>1096.0293000000001</v>
      </c>
      <c r="T49" s="332">
        <f t="shared" si="99"/>
        <v>1557</v>
      </c>
      <c r="U49" s="332">
        <f t="shared" si="99"/>
        <v>1742.9706999999999</v>
      </c>
      <c r="V49" s="332">
        <f t="shared" si="99"/>
        <v>1262</v>
      </c>
      <c r="W49" s="366">
        <f t="shared" si="99"/>
        <v>5658</v>
      </c>
      <c r="X49" s="332">
        <f t="shared" si="99"/>
        <v>1148</v>
      </c>
      <c r="Y49" s="332">
        <f t="shared" si="99"/>
        <v>1699</v>
      </c>
      <c r="Z49" s="332">
        <f t="shared" si="99"/>
        <v>1576</v>
      </c>
      <c r="AA49" s="332">
        <f t="shared" si="99"/>
        <v>719</v>
      </c>
      <c r="AB49" s="366">
        <f t="shared" si="99"/>
        <v>5142</v>
      </c>
      <c r="AC49" s="332">
        <f t="shared" si="99"/>
        <v>1135</v>
      </c>
      <c r="AD49" s="332">
        <f t="shared" si="99"/>
        <v>1660</v>
      </c>
      <c r="AE49" s="332">
        <f t="shared" si="99"/>
        <v>1717</v>
      </c>
      <c r="AF49" s="332">
        <f t="shared" si="99"/>
        <v>1434</v>
      </c>
      <c r="AG49" s="366">
        <f t="shared" si="99"/>
        <v>5946</v>
      </c>
      <c r="AH49" s="332">
        <f t="shared" si="99"/>
        <v>1430</v>
      </c>
      <c r="AI49" s="332">
        <f t="shared" si="99"/>
        <v>1603</v>
      </c>
      <c r="AJ49" s="332">
        <f t="shared" si="99"/>
        <v>1922</v>
      </c>
      <c r="AK49" s="332">
        <f t="shared" si="99"/>
        <v>1365</v>
      </c>
      <c r="AL49" s="366">
        <f>+AH49+AI49+AJ49+AK49</f>
        <v>6320</v>
      </c>
      <c r="AM49" s="332">
        <f t="shared" ref="AM49:AX49" si="100">+AM48+AM43</f>
        <v>1143</v>
      </c>
      <c r="AN49" s="332">
        <f t="shared" si="100"/>
        <v>1885</v>
      </c>
      <c r="AO49" s="333">
        <f t="shared" si="100"/>
        <v>2000</v>
      </c>
      <c r="AP49" s="332">
        <f t="shared" si="100"/>
        <v>1415</v>
      </c>
      <c r="AQ49" s="366">
        <f t="shared" si="100"/>
        <v>6443</v>
      </c>
      <c r="AR49" s="332">
        <f t="shared" si="100"/>
        <v>1127</v>
      </c>
      <c r="AS49" s="332">
        <f t="shared" si="100"/>
        <v>1488</v>
      </c>
      <c r="AT49" s="333">
        <f t="shared" si="100"/>
        <v>1902</v>
      </c>
      <c r="AU49" s="333">
        <f t="shared" si="100"/>
        <v>1661</v>
      </c>
      <c r="AV49" s="366">
        <f t="shared" si="100"/>
        <v>6178</v>
      </c>
      <c r="AW49" s="333">
        <f t="shared" si="100"/>
        <v>1075</v>
      </c>
      <c r="AX49" s="333">
        <f t="shared" si="100"/>
        <v>2010</v>
      </c>
      <c r="AY49" s="330">
        <f>+AY43</f>
        <v>1936</v>
      </c>
      <c r="AZ49" s="330">
        <f>+AZ43</f>
        <v>1631</v>
      </c>
      <c r="BA49" s="366">
        <f>+BA48+BA43</f>
        <v>6629</v>
      </c>
      <c r="BB49" s="330">
        <f>+BB43</f>
        <v>1271</v>
      </c>
      <c r="BC49" s="330">
        <f t="shared" ref="BC49:CT49" si="101">+BC43</f>
        <v>2027</v>
      </c>
      <c r="BD49" s="330">
        <f t="shared" si="101"/>
        <v>2079</v>
      </c>
      <c r="BE49" s="330">
        <f t="shared" si="101"/>
        <v>1689</v>
      </c>
      <c r="BF49" s="366">
        <f t="shared" si="101"/>
        <v>7066</v>
      </c>
      <c r="BG49" s="330">
        <f t="shared" si="101"/>
        <v>1251</v>
      </c>
      <c r="BH49" s="330">
        <f t="shared" si="101"/>
        <v>1972</v>
      </c>
      <c r="BI49" s="330">
        <f t="shared" si="101"/>
        <v>2001</v>
      </c>
      <c r="BJ49" s="330">
        <f t="shared" si="101"/>
        <v>1564</v>
      </c>
      <c r="BK49" s="366">
        <f t="shared" si="101"/>
        <v>6788</v>
      </c>
      <c r="BL49" s="330">
        <f t="shared" si="101"/>
        <v>1300</v>
      </c>
      <c r="BM49" s="330">
        <f t="shared" si="101"/>
        <v>1971</v>
      </c>
      <c r="BN49" s="330">
        <f t="shared" si="101"/>
        <v>2036</v>
      </c>
      <c r="BO49" s="330">
        <f t="shared" si="101"/>
        <v>1733</v>
      </c>
      <c r="BP49" s="366">
        <f t="shared" si="101"/>
        <v>7040</v>
      </c>
      <c r="BQ49" s="578">
        <f t="shared" si="101"/>
        <v>1354</v>
      </c>
      <c r="BR49" s="330">
        <f t="shared" si="101"/>
        <v>2155</v>
      </c>
      <c r="BS49" s="330">
        <f t="shared" si="101"/>
        <v>2134</v>
      </c>
      <c r="BT49" s="330">
        <f t="shared" si="101"/>
        <v>1881</v>
      </c>
      <c r="BU49" s="366">
        <f t="shared" si="101"/>
        <v>7524</v>
      </c>
      <c r="BV49" s="330">
        <f t="shared" ca="1" si="101"/>
        <v>1303.7652913925972</v>
      </c>
      <c r="BW49" s="330">
        <f t="shared" ca="1" si="101"/>
        <v>2269.5509953488004</v>
      </c>
      <c r="BX49" s="330">
        <f t="shared" ca="1" si="101"/>
        <v>2412.3636577131169</v>
      </c>
      <c r="BY49" s="330">
        <f t="shared" ca="1" si="101"/>
        <v>2155.7387544604335</v>
      </c>
      <c r="BZ49" s="366">
        <f t="shared" ca="1" si="101"/>
        <v>8141.4186989149466</v>
      </c>
      <c r="CA49" s="330">
        <f t="shared" ca="1" si="101"/>
        <v>1411.0881083024285</v>
      </c>
      <c r="CB49" s="330">
        <f t="shared" ca="1" si="101"/>
        <v>2413.6216487535203</v>
      </c>
      <c r="CC49" s="330">
        <f t="shared" ca="1" si="101"/>
        <v>2560.2299034439366</v>
      </c>
      <c r="CD49" s="330">
        <f t="shared" ca="1" si="101"/>
        <v>2325.0605744230388</v>
      </c>
      <c r="CE49" s="366">
        <f t="shared" ca="1" si="101"/>
        <v>8710.0002349229235</v>
      </c>
      <c r="CF49" s="330">
        <f t="shared" ca="1" si="101"/>
        <v>1520.669207922793</v>
      </c>
      <c r="CG49" s="330">
        <f t="shared" ca="1" si="101"/>
        <v>2567.4430728042689</v>
      </c>
      <c r="CH49" s="330">
        <f t="shared" ca="1" si="101"/>
        <v>2716.2671377041597</v>
      </c>
      <c r="CI49" s="330">
        <f t="shared" ca="1" si="101"/>
        <v>2502.0362733679494</v>
      </c>
      <c r="CJ49" s="366">
        <f t="shared" ca="1" si="101"/>
        <v>9306.4156917991731</v>
      </c>
      <c r="CK49" s="330">
        <f t="shared" ca="1" si="101"/>
        <v>1636.0734061166706</v>
      </c>
      <c r="CL49" s="330">
        <f t="shared" ca="1" si="101"/>
        <v>2729.2451578966584</v>
      </c>
      <c r="CM49" s="330">
        <f t="shared" ca="1" si="101"/>
        <v>2880.4151388800215</v>
      </c>
      <c r="CN49" s="330">
        <f t="shared" ca="1" si="101"/>
        <v>2688.0223506946536</v>
      </c>
      <c r="CO49" s="366">
        <f t="shared" ca="1" si="101"/>
        <v>9933.756053588002</v>
      </c>
      <c r="CP49" s="330">
        <f t="shared" ca="1" si="101"/>
        <v>1758.4726009009955</v>
      </c>
      <c r="CQ49" s="330">
        <f t="shared" ca="1" si="101"/>
        <v>2900.3330561234638</v>
      </c>
      <c r="CR49" s="330">
        <f t="shared" ca="1" si="101"/>
        <v>3053.8988680065495</v>
      </c>
      <c r="CS49" s="330">
        <f t="shared" ca="1" si="101"/>
        <v>2885.0410512631966</v>
      </c>
      <c r="CT49" s="366">
        <f t="shared" ca="1" si="101"/>
        <v>10597.745576294203</v>
      </c>
      <c r="CU49" s="408"/>
      <c r="CV49" s="408"/>
    </row>
    <row r="50" spans="1:100" ht="12.75" hidden="1" customHeight="1" outlineLevel="1" x14ac:dyDescent="0.2">
      <c r="A50" s="417" t="s">
        <v>76</v>
      </c>
      <c r="B50" s="417"/>
      <c r="C50" s="407"/>
      <c r="D50" s="418"/>
      <c r="E50" s="418"/>
      <c r="F50" s="418"/>
      <c r="G50" s="418"/>
      <c r="H50" s="414">
        <f>+H49/H54</f>
        <v>2.4135338345864663</v>
      </c>
      <c r="I50" s="418"/>
      <c r="J50" s="418"/>
      <c r="K50" s="418"/>
      <c r="L50" s="418"/>
      <c r="M50" s="414">
        <f>+M49/M54</f>
        <v>2.3903868698710435</v>
      </c>
      <c r="N50" s="418"/>
      <c r="O50" s="418"/>
      <c r="P50" s="418"/>
      <c r="Q50" s="418"/>
      <c r="R50" s="414">
        <f>+R49/R54</f>
        <v>3.3443983402489628</v>
      </c>
      <c r="S50" s="413">
        <f t="shared" ref="S50:AG50" si="102">+S49/S54</f>
        <v>0.65512809324566657</v>
      </c>
      <c r="T50" s="413">
        <f t="shared" si="102"/>
        <v>0.93513513513513513</v>
      </c>
      <c r="U50" s="413">
        <f t="shared" si="102"/>
        <v>1.0557060569351906</v>
      </c>
      <c r="V50" s="413">
        <f t="shared" si="102"/>
        <v>0.76717325227963529</v>
      </c>
      <c r="W50" s="414">
        <f t="shared" si="102"/>
        <v>3.4125452352231602</v>
      </c>
      <c r="X50" s="413">
        <f t="shared" si="102"/>
        <v>0.70343137254901966</v>
      </c>
      <c r="Y50" s="413">
        <f t="shared" si="102"/>
        <v>1.0539702233250621</v>
      </c>
      <c r="Z50" s="413">
        <f t="shared" si="102"/>
        <v>0.98932831136220967</v>
      </c>
      <c r="AA50" s="413">
        <f t="shared" si="102"/>
        <v>0.45564005069708491</v>
      </c>
      <c r="AB50" s="414">
        <f t="shared" si="102"/>
        <v>3.2105394605394606</v>
      </c>
      <c r="AC50" s="413">
        <f>+AC49/AC54</f>
        <v>0.72292993630573243</v>
      </c>
      <c r="AD50" s="413">
        <f t="shared" si="102"/>
        <v>1.0559796437659033</v>
      </c>
      <c r="AE50" s="413">
        <f t="shared" si="102"/>
        <v>1.0887761572606214</v>
      </c>
      <c r="AF50" s="413">
        <f t="shared" si="102"/>
        <v>0.90530303030303028</v>
      </c>
      <c r="AG50" s="414">
        <f t="shared" si="102"/>
        <v>3.770450221940393</v>
      </c>
      <c r="AH50" s="413">
        <f t="shared" ref="AH50:BB50" si="103">+AH49/AH54</f>
        <v>0.8904109589041096</v>
      </c>
      <c r="AI50" s="413">
        <f t="shared" si="103"/>
        <v>0.98102815177478575</v>
      </c>
      <c r="AJ50" s="410">
        <f t="shared" si="103"/>
        <v>1.1923076923076923</v>
      </c>
      <c r="AK50" s="410">
        <f t="shared" si="103"/>
        <v>0.84940883634100806</v>
      </c>
      <c r="AL50" s="414">
        <f t="shared" si="103"/>
        <v>3.9139185632450846</v>
      </c>
      <c r="AM50" s="410">
        <f t="shared" si="103"/>
        <v>0.71214953271028036</v>
      </c>
      <c r="AN50" s="410">
        <f t="shared" si="103"/>
        <v>1.1744548286604362</v>
      </c>
      <c r="AO50" s="421">
        <f t="shared" si="103"/>
        <v>1.2507817385866167</v>
      </c>
      <c r="AP50" s="410">
        <f t="shared" si="103"/>
        <v>0.89330808080808077</v>
      </c>
      <c r="AQ50" s="414">
        <f t="shared" si="103"/>
        <v>4.031284217112467</v>
      </c>
      <c r="AR50" s="410">
        <f t="shared" si="103"/>
        <v>0.71148989898989901</v>
      </c>
      <c r="AS50" s="413">
        <f t="shared" si="103"/>
        <v>0.94117647058823528</v>
      </c>
      <c r="AT50" s="421">
        <f t="shared" si="103"/>
        <v>1.2076190476190476</v>
      </c>
      <c r="AU50" s="421">
        <f t="shared" si="103"/>
        <v>1.0620204603580563</v>
      </c>
      <c r="AV50" s="414">
        <f t="shared" si="103"/>
        <v>3.9200507614213196</v>
      </c>
      <c r="AW50" s="421">
        <f t="shared" si="103"/>
        <v>0.68777991042866282</v>
      </c>
      <c r="AX50" s="421">
        <f t="shared" si="103"/>
        <v>1.2827058072750479</v>
      </c>
      <c r="AY50" s="410">
        <f>+AY49/AY54</f>
        <v>1.2402306213965406</v>
      </c>
      <c r="AZ50" s="410">
        <f t="shared" si="103"/>
        <v>1.0509020618556701</v>
      </c>
      <c r="BA50" s="414">
        <f t="shared" si="103"/>
        <v>4.2473169950344385</v>
      </c>
      <c r="BB50" s="410">
        <f t="shared" si="103"/>
        <v>0.82532467532467535</v>
      </c>
      <c r="BC50" s="410">
        <f t="shared" ref="BC50:CT50" si="104">+BC49/BC54</f>
        <v>1.323107049608355</v>
      </c>
      <c r="BD50" s="410">
        <f t="shared" si="104"/>
        <v>1.3632786885245902</v>
      </c>
      <c r="BE50" s="410">
        <f t="shared" si="104"/>
        <v>1.1155878467635403</v>
      </c>
      <c r="BF50" s="414">
        <f t="shared" si="104"/>
        <v>4.6251022745868111</v>
      </c>
      <c r="BG50" s="410">
        <f t="shared" si="104"/>
        <v>0.83233532934131738</v>
      </c>
      <c r="BH50" s="410">
        <f t="shared" si="104"/>
        <v>1.3226022803487592</v>
      </c>
      <c r="BI50" s="410">
        <f t="shared" si="104"/>
        <v>1.349291975724882</v>
      </c>
      <c r="BJ50" s="410">
        <f t="shared" si="104"/>
        <v>1.0639455782312925</v>
      </c>
      <c r="BK50" s="414">
        <f t="shared" si="104"/>
        <v>4.5656633596771483</v>
      </c>
      <c r="BL50" s="410">
        <f t="shared" si="104"/>
        <v>0.89102124742974642</v>
      </c>
      <c r="BM50" s="410">
        <f t="shared" si="104"/>
        <v>1.3537087912087913</v>
      </c>
      <c r="BN50" s="410">
        <f t="shared" si="104"/>
        <v>1.4022038567493114</v>
      </c>
      <c r="BO50" s="410">
        <f t="shared" si="104"/>
        <v>1.2001385041551247</v>
      </c>
      <c r="BP50" s="414">
        <f t="shared" si="104"/>
        <v>4.8484848484848486</v>
      </c>
      <c r="BQ50" s="600">
        <f t="shared" si="104"/>
        <v>0.94027777777777777</v>
      </c>
      <c r="BR50" s="410">
        <f t="shared" si="104"/>
        <v>1.4954892435808467</v>
      </c>
      <c r="BS50" s="410">
        <f t="shared" si="104"/>
        <v>1.4840055632823366</v>
      </c>
      <c r="BT50" s="410">
        <f t="shared" si="104"/>
        <v>1.3117154811715481</v>
      </c>
      <c r="BU50" s="414">
        <f t="shared" si="104"/>
        <v>5.2322670375521554</v>
      </c>
      <c r="BV50" s="410">
        <f t="shared" ca="1" si="104"/>
        <v>0.91053632346959401</v>
      </c>
      <c r="BW50" s="410">
        <f t="shared" ca="1" si="104"/>
        <v>1.5871962300558951</v>
      </c>
      <c r="BX50" s="410">
        <f t="shared" ca="1" si="104"/>
        <v>1.6897077408335921</v>
      </c>
      <c r="BY50" s="410">
        <f t="shared" ca="1" si="104"/>
        <v>1.512086024387004</v>
      </c>
      <c r="BZ50" s="414">
        <f t="shared" ca="1" si="104"/>
        <v>5.6981508887652996</v>
      </c>
      <c r="CA50" s="410">
        <f t="shared" ca="1" si="104"/>
        <v>0.99094310808820263</v>
      </c>
      <c r="CB50" s="410">
        <f t="shared" ca="1" si="104"/>
        <v>1.6971999857985178</v>
      </c>
      <c r="CC50" s="410">
        <f t="shared" ca="1" si="104"/>
        <v>1.803008941434296</v>
      </c>
      <c r="CD50" s="410">
        <f t="shared" ca="1" si="104"/>
        <v>1.6396131333867809</v>
      </c>
      <c r="CE50" s="414">
        <f t="shared" ca="1" si="104"/>
        <v>6.1293404420324711</v>
      </c>
      <c r="CF50" s="410">
        <f t="shared" ca="1" si="104"/>
        <v>1.0735747338464983</v>
      </c>
      <c r="CG50" s="410">
        <f t="shared" ca="1" si="104"/>
        <v>1.8148642584952153</v>
      </c>
      <c r="CH50" s="410">
        <f t="shared" ca="1" si="104"/>
        <v>1.9228613256170066</v>
      </c>
      <c r="CI50" s="410">
        <f t="shared" ca="1" si="104"/>
        <v>1.7735117671641112</v>
      </c>
      <c r="CJ50" s="414">
        <f t="shared" ca="1" si="104"/>
        <v>6.583338041884975</v>
      </c>
      <c r="CK50" s="410">
        <f t="shared" ca="1" si="104"/>
        <v>1.1609406649104379</v>
      </c>
      <c r="CL50" s="410">
        <f t="shared" ca="1" si="104"/>
        <v>1.9389753531001184</v>
      </c>
      <c r="CM50" s="410">
        <f t="shared" ca="1" si="104"/>
        <v>2.0492464550239338</v>
      </c>
      <c r="CN50" s="410">
        <f t="shared" ca="1" si="104"/>
        <v>1.9147580572018754</v>
      </c>
      <c r="CO50" s="414">
        <f t="shared" ca="1" si="104"/>
        <v>7.0624000269036902</v>
      </c>
      <c r="CP50" s="410">
        <f t="shared" ca="1" si="104"/>
        <v>1.2538913980345885</v>
      </c>
      <c r="CQ50" s="410">
        <f t="shared" ca="1" si="104"/>
        <v>2.0704824748040478</v>
      </c>
      <c r="CR50" s="410">
        <f t="shared" ca="1" si="104"/>
        <v>2.1830569125786892</v>
      </c>
      <c r="CS50" s="410">
        <f t="shared" ca="1" si="104"/>
        <v>2.06481630861115</v>
      </c>
      <c r="CT50" s="414">
        <f t="shared" ca="1" si="104"/>
        <v>7.5706824029006246</v>
      </c>
      <c r="CU50" s="408"/>
      <c r="CV50" s="408"/>
    </row>
    <row r="51" spans="1:100" ht="12.75" hidden="1" customHeight="1" outlineLevel="1" x14ac:dyDescent="0.2">
      <c r="A51" s="417" t="s">
        <v>211</v>
      </c>
      <c r="B51" s="417"/>
      <c r="C51" s="407"/>
      <c r="D51" s="418"/>
      <c r="E51" s="418"/>
      <c r="F51" s="418"/>
      <c r="G51" s="418"/>
      <c r="H51" s="366">
        <f>+H49-H42</f>
        <v>4173</v>
      </c>
      <c r="I51" s="418"/>
      <c r="J51" s="418"/>
      <c r="K51" s="418"/>
      <c r="L51" s="418"/>
      <c r="M51" s="366">
        <f>+M49-M42</f>
        <v>4078</v>
      </c>
      <c r="N51" s="418"/>
      <c r="O51" s="418"/>
      <c r="P51" s="418"/>
      <c r="Q51" s="418"/>
      <c r="R51" s="366">
        <f t="shared" ref="R51:AJ51" si="105">+R49-R42</f>
        <v>5642</v>
      </c>
      <c r="S51" s="332">
        <f t="shared" si="105"/>
        <v>1096.0293000000001</v>
      </c>
      <c r="T51" s="332">
        <f t="shared" si="105"/>
        <v>1557</v>
      </c>
      <c r="U51" s="332">
        <f t="shared" si="105"/>
        <v>1742.9706999999999</v>
      </c>
      <c r="V51" s="332">
        <f t="shared" si="105"/>
        <v>1262</v>
      </c>
      <c r="W51" s="366">
        <f t="shared" si="105"/>
        <v>5658</v>
      </c>
      <c r="X51" s="332">
        <f t="shared" si="105"/>
        <v>1152</v>
      </c>
      <c r="Y51" s="332">
        <f t="shared" si="105"/>
        <v>1705</v>
      </c>
      <c r="Z51" s="332">
        <f t="shared" si="105"/>
        <v>1583</v>
      </c>
      <c r="AA51" s="332">
        <f t="shared" si="105"/>
        <v>726</v>
      </c>
      <c r="AB51" s="366">
        <f t="shared" si="105"/>
        <v>5166</v>
      </c>
      <c r="AC51" s="332">
        <f t="shared" si="105"/>
        <v>1141</v>
      </c>
      <c r="AD51" s="332">
        <f t="shared" si="105"/>
        <v>1668</v>
      </c>
      <c r="AE51" s="332">
        <f t="shared" si="105"/>
        <v>1733</v>
      </c>
      <c r="AF51" s="332">
        <f t="shared" si="105"/>
        <v>1437</v>
      </c>
      <c r="AG51" s="366">
        <f t="shared" si="105"/>
        <v>5979</v>
      </c>
      <c r="AH51" s="332">
        <f t="shared" si="105"/>
        <v>1434</v>
      </c>
      <c r="AI51" s="332">
        <f t="shared" si="105"/>
        <v>1613</v>
      </c>
      <c r="AJ51" s="330">
        <f t="shared" si="105"/>
        <v>1930</v>
      </c>
      <c r="AK51" s="330">
        <f t="shared" ref="AK51:BB51" si="106">+AK49-AK42</f>
        <v>1361</v>
      </c>
      <c r="AL51" s="366">
        <f t="shared" si="106"/>
        <v>6338</v>
      </c>
      <c r="AM51" s="330">
        <f t="shared" si="106"/>
        <v>1149</v>
      </c>
      <c r="AN51" s="330">
        <f t="shared" si="106"/>
        <v>1906</v>
      </c>
      <c r="AO51" s="333">
        <f t="shared" si="106"/>
        <v>2011</v>
      </c>
      <c r="AP51" s="330">
        <f t="shared" si="106"/>
        <v>1402</v>
      </c>
      <c r="AQ51" s="366">
        <f t="shared" si="106"/>
        <v>6468</v>
      </c>
      <c r="AR51" s="330">
        <f t="shared" si="106"/>
        <v>1133</v>
      </c>
      <c r="AS51" s="332">
        <f t="shared" si="106"/>
        <v>1501</v>
      </c>
      <c r="AT51" s="333">
        <f>+AT49-AT42</f>
        <v>1913</v>
      </c>
      <c r="AU51" s="333">
        <f t="shared" si="106"/>
        <v>1667</v>
      </c>
      <c r="AV51" s="366">
        <f t="shared" si="106"/>
        <v>6214</v>
      </c>
      <c r="AW51" s="333">
        <f t="shared" si="106"/>
        <v>1085</v>
      </c>
      <c r="AX51" s="333">
        <f t="shared" si="106"/>
        <v>2025</v>
      </c>
      <c r="AY51" s="330">
        <f>+AY49-AY42</f>
        <v>1946</v>
      </c>
      <c r="AZ51" s="330">
        <f t="shared" si="106"/>
        <v>1643</v>
      </c>
      <c r="BA51" s="366">
        <f>+BA49-BA42</f>
        <v>6676</v>
      </c>
      <c r="BB51" s="330">
        <f t="shared" si="106"/>
        <v>1282</v>
      </c>
      <c r="BC51" s="330">
        <f t="shared" ref="BC51:CT51" si="107">+BC49-BC42</f>
        <v>2039</v>
      </c>
      <c r="BD51" s="330">
        <f t="shared" si="107"/>
        <v>2089</v>
      </c>
      <c r="BE51" s="330">
        <f t="shared" si="107"/>
        <v>1704</v>
      </c>
      <c r="BF51" s="366">
        <f t="shared" si="107"/>
        <v>7114</v>
      </c>
      <c r="BG51" s="330">
        <f t="shared" si="107"/>
        <v>1261</v>
      </c>
      <c r="BH51" s="330">
        <f t="shared" si="107"/>
        <v>1986</v>
      </c>
      <c r="BI51" s="330">
        <f t="shared" si="107"/>
        <v>2011</v>
      </c>
      <c r="BJ51" s="330">
        <f t="shared" si="107"/>
        <v>1579</v>
      </c>
      <c r="BK51" s="366">
        <f t="shared" si="107"/>
        <v>6837</v>
      </c>
      <c r="BL51" s="330">
        <f t="shared" si="107"/>
        <v>1314</v>
      </c>
      <c r="BM51" s="330">
        <f t="shared" si="107"/>
        <v>1982</v>
      </c>
      <c r="BN51" s="330">
        <f t="shared" si="107"/>
        <v>2048</v>
      </c>
      <c r="BO51" s="330">
        <f t="shared" si="107"/>
        <v>1749</v>
      </c>
      <c r="BP51" s="366">
        <f t="shared" si="107"/>
        <v>7093</v>
      </c>
      <c r="BQ51" s="578">
        <f t="shared" si="107"/>
        <v>1365</v>
      </c>
      <c r="BR51" s="330">
        <f t="shared" si="107"/>
        <v>2165</v>
      </c>
      <c r="BS51" s="330">
        <f t="shared" si="107"/>
        <v>2146</v>
      </c>
      <c r="BT51" s="330">
        <f t="shared" si="107"/>
        <v>1896</v>
      </c>
      <c r="BU51" s="366">
        <f t="shared" si="107"/>
        <v>7572</v>
      </c>
      <c r="BV51" s="330">
        <f t="shared" ca="1" si="107"/>
        <v>1314.9302913925972</v>
      </c>
      <c r="BW51" s="330">
        <f t="shared" ca="1" si="107"/>
        <v>2279.7009953488005</v>
      </c>
      <c r="BX51" s="330">
        <f t="shared" ca="1" si="107"/>
        <v>2424.5436577131168</v>
      </c>
      <c r="BY51" s="330">
        <f t="shared" ca="1" si="107"/>
        <v>2170.9637544604334</v>
      </c>
      <c r="BZ51" s="366">
        <f t="shared" ca="1" si="107"/>
        <v>8190.1386989149469</v>
      </c>
      <c r="CA51" s="330">
        <f t="shared" ca="1" si="107"/>
        <v>1422.4205833024284</v>
      </c>
      <c r="CB51" s="330">
        <f t="shared" ca="1" si="107"/>
        <v>2423.9238987535205</v>
      </c>
      <c r="CC51" s="330">
        <f t="shared" ca="1" si="107"/>
        <v>2572.5926034439367</v>
      </c>
      <c r="CD51" s="330">
        <f t="shared" ca="1" si="107"/>
        <v>2340.5139494230389</v>
      </c>
      <c r="CE51" s="366">
        <f t="shared" ca="1" si="107"/>
        <v>8759.451034922924</v>
      </c>
      <c r="CF51" s="330">
        <f t="shared" ca="1" si="107"/>
        <v>1532.5683066727929</v>
      </c>
      <c r="CG51" s="330">
        <f t="shared" ca="1" si="107"/>
        <v>2578.2604353042689</v>
      </c>
      <c r="CH51" s="330">
        <f t="shared" ca="1" si="107"/>
        <v>2729.2479727041596</v>
      </c>
      <c r="CI51" s="330">
        <f t="shared" ca="1" si="107"/>
        <v>2518.2623171179494</v>
      </c>
      <c r="CJ51" s="366">
        <f t="shared" ca="1" si="107"/>
        <v>9358.3390317991725</v>
      </c>
      <c r="CK51" s="330">
        <f t="shared" ca="1" si="107"/>
        <v>1648.5674598041705</v>
      </c>
      <c r="CL51" s="330">
        <f t="shared" ca="1" si="107"/>
        <v>2740.6033885216584</v>
      </c>
      <c r="CM51" s="330">
        <f t="shared" ca="1" si="107"/>
        <v>2894.0450156300217</v>
      </c>
      <c r="CN51" s="330">
        <f t="shared" ca="1" si="107"/>
        <v>2705.0596966321536</v>
      </c>
      <c r="CO51" s="366">
        <f t="shared" ca="1" si="107"/>
        <v>9988.2755605880029</v>
      </c>
      <c r="CP51" s="330">
        <f t="shared" ca="1" si="107"/>
        <v>1771.5913572728705</v>
      </c>
      <c r="CQ51" s="330">
        <f t="shared" ca="1" si="107"/>
        <v>2912.2591982797139</v>
      </c>
      <c r="CR51" s="330">
        <f t="shared" ca="1" si="107"/>
        <v>3068.2102385940493</v>
      </c>
      <c r="CS51" s="330">
        <f t="shared" ca="1" si="107"/>
        <v>2902.9302644975714</v>
      </c>
      <c r="CT51" s="366">
        <f t="shared" ca="1" si="107"/>
        <v>10654.991058644202</v>
      </c>
      <c r="CU51" s="408"/>
      <c r="CV51" s="408"/>
    </row>
    <row r="52" spans="1:100" ht="12.75" hidden="1" customHeight="1" outlineLevel="1" x14ac:dyDescent="0.2">
      <c r="A52" s="313"/>
      <c r="B52" s="313"/>
      <c r="C52" s="313"/>
      <c r="D52" s="359"/>
      <c r="E52" s="413"/>
      <c r="F52" s="422"/>
      <c r="G52" s="422"/>
      <c r="H52" s="74"/>
      <c r="I52" s="359"/>
      <c r="J52" s="413"/>
      <c r="K52" s="413"/>
      <c r="L52" s="359"/>
      <c r="M52" s="74"/>
      <c r="N52" s="359"/>
      <c r="O52" s="359"/>
      <c r="P52" s="413"/>
      <c r="Q52" s="413"/>
      <c r="R52" s="74"/>
      <c r="S52" s="413"/>
      <c r="T52" s="413"/>
      <c r="U52" s="413"/>
      <c r="V52" s="413"/>
      <c r="W52" s="414"/>
      <c r="X52" s="413"/>
      <c r="Y52" s="413"/>
      <c r="Z52" s="413"/>
      <c r="AA52" s="413"/>
      <c r="AB52" s="414"/>
      <c r="AC52" s="413"/>
      <c r="AD52" s="413"/>
      <c r="AE52" s="413"/>
      <c r="AF52" s="413"/>
      <c r="AG52" s="414"/>
      <c r="AH52" s="413"/>
      <c r="AI52" s="413"/>
      <c r="AJ52" s="410"/>
      <c r="AK52" s="410"/>
      <c r="AL52" s="74"/>
      <c r="AM52" s="410"/>
      <c r="AN52" s="410"/>
      <c r="AO52" s="421"/>
      <c r="AP52" s="410"/>
      <c r="AQ52" s="79"/>
      <c r="AR52" s="410"/>
      <c r="AS52" s="413"/>
      <c r="AT52" s="421"/>
      <c r="AU52" s="410"/>
      <c r="AV52" s="74"/>
      <c r="AW52" s="410"/>
      <c r="AX52" s="410"/>
      <c r="AY52" s="410"/>
      <c r="AZ52" s="73"/>
      <c r="BA52" s="79"/>
      <c r="BB52" s="73"/>
      <c r="BC52" s="73"/>
      <c r="BD52" s="73"/>
      <c r="BE52" s="73"/>
      <c r="BF52" s="79"/>
      <c r="BG52" s="410"/>
      <c r="BH52" s="410"/>
      <c r="BI52" s="410"/>
      <c r="BJ52" s="410"/>
      <c r="BK52" s="74"/>
      <c r="BL52" s="410"/>
      <c r="BM52" s="410"/>
      <c r="BN52" s="410"/>
      <c r="BO52" s="410"/>
      <c r="BP52" s="74"/>
      <c r="BQ52" s="600"/>
      <c r="BR52" s="410"/>
      <c r="BS52" s="410"/>
      <c r="BT52" s="410"/>
      <c r="BU52" s="74"/>
      <c r="BV52" s="410"/>
      <c r="BW52" s="410"/>
      <c r="BX52" s="410"/>
      <c r="BY52" s="410"/>
      <c r="BZ52" s="74"/>
      <c r="CA52" s="410"/>
      <c r="CB52" s="410"/>
      <c r="CC52" s="410"/>
      <c r="CD52" s="410"/>
      <c r="CE52" s="74"/>
      <c r="CF52" s="410"/>
      <c r="CG52" s="410"/>
      <c r="CH52" s="410"/>
      <c r="CI52" s="410"/>
      <c r="CJ52" s="74"/>
      <c r="CK52" s="410"/>
      <c r="CL52" s="410"/>
      <c r="CM52" s="410"/>
      <c r="CN52" s="410"/>
      <c r="CO52" s="74"/>
      <c r="CP52" s="410"/>
      <c r="CQ52" s="410"/>
      <c r="CR52" s="410"/>
      <c r="CS52" s="410"/>
      <c r="CT52" s="74"/>
      <c r="CU52" s="313"/>
      <c r="CV52" s="313"/>
    </row>
    <row r="53" spans="1:100" ht="12.75" customHeight="1" collapsed="1" x14ac:dyDescent="0.2">
      <c r="A53" s="313" t="s">
        <v>77</v>
      </c>
      <c r="B53" s="341"/>
      <c r="C53" s="341"/>
      <c r="D53" s="343"/>
      <c r="E53" s="343"/>
      <c r="F53" s="343"/>
      <c r="G53" s="343"/>
      <c r="H53" s="356">
        <v>1696</v>
      </c>
      <c r="I53" s="343"/>
      <c r="J53" s="343"/>
      <c r="K53" s="343"/>
      <c r="L53" s="343"/>
      <c r="M53" s="356">
        <v>1669</v>
      </c>
      <c r="N53" s="343"/>
      <c r="O53" s="343"/>
      <c r="P53" s="343"/>
      <c r="Q53" s="343"/>
      <c r="R53" s="356">
        <v>1649</v>
      </c>
      <c r="S53" s="343">
        <v>1637</v>
      </c>
      <c r="T53" s="343">
        <v>1628</v>
      </c>
      <c r="U53" s="343">
        <v>1615</v>
      </c>
      <c r="V53" s="343">
        <v>1608</v>
      </c>
      <c r="W53" s="342">
        <v>1621</v>
      </c>
      <c r="X53" s="343">
        <v>1599</v>
      </c>
      <c r="Y53" s="343">
        <v>1582</v>
      </c>
      <c r="Z53" s="343">
        <v>1564</v>
      </c>
      <c r="AA53" s="343">
        <v>1554</v>
      </c>
      <c r="AB53" s="342">
        <v>1573</v>
      </c>
      <c r="AC53" s="343">
        <v>1555</v>
      </c>
      <c r="AD53" s="343">
        <v>1557</v>
      </c>
      <c r="AE53" s="343">
        <v>1558</v>
      </c>
      <c r="AF53" s="343">
        <v>1562</v>
      </c>
      <c r="AG53" s="342">
        <v>1558</v>
      </c>
      <c r="AH53" s="343">
        <v>1582</v>
      </c>
      <c r="AI53" s="343">
        <v>1608</v>
      </c>
      <c r="AJ53" s="343">
        <v>1588</v>
      </c>
      <c r="AK53" s="343">
        <v>1582</v>
      </c>
      <c r="AL53" s="342">
        <f>AVERAGE(AH53:AK53)</f>
        <v>1590</v>
      </c>
      <c r="AM53" s="343">
        <v>1583</v>
      </c>
      <c r="AN53" s="345">
        <v>1583</v>
      </c>
      <c r="AO53" s="345">
        <v>1578</v>
      </c>
      <c r="AP53" s="307">
        <v>1564</v>
      </c>
      <c r="AQ53" s="342">
        <f>AVERAGE(AM53:AP53)</f>
        <v>1577</v>
      </c>
      <c r="AR53" s="307">
        <v>1568</v>
      </c>
      <c r="AS53" s="343">
        <v>1563</v>
      </c>
      <c r="AT53" s="345">
        <v>1556</v>
      </c>
      <c r="AU53" s="345">
        <v>1546</v>
      </c>
      <c r="AV53" s="342">
        <f>AVERAGE(AR53:AU53)</f>
        <v>1558.25</v>
      </c>
      <c r="AW53" s="345">
        <v>1544</v>
      </c>
      <c r="AX53" s="345">
        <v>1548</v>
      </c>
      <c r="AY53" s="307">
        <v>1542</v>
      </c>
      <c r="AZ53" s="307">
        <v>1532</v>
      </c>
      <c r="BA53" s="342">
        <f>AVERAGE(AW53:AZ53)</f>
        <v>1541.5</v>
      </c>
      <c r="BB53" s="307">
        <v>1524</v>
      </c>
      <c r="BC53" s="307">
        <v>1515</v>
      </c>
      <c r="BD53" s="307">
        <v>1507</v>
      </c>
      <c r="BE53" s="307">
        <v>1494</v>
      </c>
      <c r="BF53" s="342">
        <f>AVERAGE(BB53:BE53)</f>
        <v>1510</v>
      </c>
      <c r="BG53" s="307">
        <v>1484</v>
      </c>
      <c r="BH53" s="307">
        <v>1476</v>
      </c>
      <c r="BI53" s="307">
        <v>1467</v>
      </c>
      <c r="BJ53" s="307">
        <v>1454</v>
      </c>
      <c r="BK53" s="342">
        <f>AVERAGE(BG53:BJ53)</f>
        <v>1470.25</v>
      </c>
      <c r="BL53" s="307">
        <v>1446</v>
      </c>
      <c r="BM53" s="307">
        <v>1443</v>
      </c>
      <c r="BN53" s="307">
        <v>1438</v>
      </c>
      <c r="BO53" s="583">
        <v>1431</v>
      </c>
      <c r="BP53" s="342">
        <v>1439</v>
      </c>
      <c r="BQ53" s="583">
        <v>1428</v>
      </c>
      <c r="BR53" s="583">
        <v>1428</v>
      </c>
      <c r="BS53" s="583">
        <v>1425</v>
      </c>
      <c r="BT53" s="307">
        <v>1421</v>
      </c>
      <c r="BU53" s="342">
        <v>1425</v>
      </c>
      <c r="BV53" s="307">
        <f ca="1">+BV59</f>
        <v>1418.8652180998185</v>
      </c>
      <c r="BW53" s="307">
        <f ca="1">+BW59</f>
        <v>1416.9120375738767</v>
      </c>
      <c r="BX53" s="307">
        <f ca="1">+BX59</f>
        <v>1414.6810121749299</v>
      </c>
      <c r="BY53" s="307">
        <f ca="1">+BY59</f>
        <v>1412.6720316784654</v>
      </c>
      <c r="BZ53" s="342">
        <f ca="1">AVERAGE(BV53:BY53)</f>
        <v>1415.7825748817727</v>
      </c>
      <c r="CA53" s="307">
        <f ca="1">+CA59</f>
        <v>1410.9849864083512</v>
      </c>
      <c r="CB53" s="307">
        <f ca="1">+CB59</f>
        <v>1409.1197672341084</v>
      </c>
      <c r="CC53" s="307">
        <f ca="1">+CC59</f>
        <v>1406.9762655681952</v>
      </c>
      <c r="CD53" s="307">
        <f ca="1">+CD59</f>
        <v>1405.0543733633062</v>
      </c>
      <c r="CE53" s="342">
        <f ca="1">AVERAGE(CA53:CD53)</f>
        <v>1408.0338481434901</v>
      </c>
      <c r="CF53" s="307">
        <f ca="1">+CF59</f>
        <v>1403.4539831096856</v>
      </c>
      <c r="CG53" s="307">
        <f ca="1">+CG59</f>
        <v>1401.6749878324511</v>
      </c>
      <c r="CH53" s="307">
        <f ca="1">+CH59</f>
        <v>1399.6172810889343</v>
      </c>
      <c r="CI53" s="307">
        <f ca="1">+CI59</f>
        <v>1397.7807569660317</v>
      </c>
      <c r="CJ53" s="342">
        <f ca="1">AVERAGE(CF53:CI53)</f>
        <v>1400.6317522492757</v>
      </c>
      <c r="CK53" s="307">
        <f ca="1">+CK59</f>
        <v>1396.2653100775717</v>
      </c>
      <c r="CL53" s="307">
        <f ca="1">+CL59</f>
        <v>1394.570835561691</v>
      </c>
      <c r="CM53" s="307">
        <f ca="1">+CM59</f>
        <v>1392.5972290782274</v>
      </c>
      <c r="CN53" s="307">
        <f ca="1">+CN59</f>
        <v>1390.8443868061247</v>
      </c>
      <c r="CO53" s="342">
        <f ca="1">AVERAGE(CK53:CN53)</f>
        <v>1393.5694403809036</v>
      </c>
      <c r="CP53" s="307">
        <f ca="1">+CP59</f>
        <v>1389.4122054408481</v>
      </c>
      <c r="CQ53" s="307">
        <f ca="1">+CQ59</f>
        <v>1387.8005821918168</v>
      </c>
      <c r="CR53" s="307">
        <f ca="1">+CR59</f>
        <v>1385.9094147798451</v>
      </c>
      <c r="CS53" s="307">
        <f ca="1">+CS59</f>
        <v>1384.2386014346</v>
      </c>
      <c r="CT53" s="342">
        <f ca="1">AVERAGE(CP53:CS53)</f>
        <v>1386.8402009617776</v>
      </c>
      <c r="CU53" s="313"/>
      <c r="CV53" s="313"/>
    </row>
    <row r="54" spans="1:100" ht="12.75" customHeight="1" x14ac:dyDescent="0.2">
      <c r="A54" s="313" t="s">
        <v>78</v>
      </c>
      <c r="B54" s="341"/>
      <c r="C54" s="341"/>
      <c r="D54" s="343">
        <v>1736</v>
      </c>
      <c r="E54" s="343">
        <v>1743</v>
      </c>
      <c r="F54" s="343">
        <v>1727</v>
      </c>
      <c r="G54" s="343">
        <v>1713</v>
      </c>
      <c r="H54" s="356">
        <v>1729</v>
      </c>
      <c r="I54" s="344">
        <v>1713</v>
      </c>
      <c r="J54" s="343">
        <v>1712</v>
      </c>
      <c r="K54" s="343">
        <v>1703</v>
      </c>
      <c r="L54" s="343">
        <v>1700</v>
      </c>
      <c r="M54" s="356">
        <v>1706</v>
      </c>
      <c r="N54" s="343">
        <v>1695</v>
      </c>
      <c r="O54" s="343">
        <v>1689</v>
      </c>
      <c r="P54" s="343">
        <v>1688</v>
      </c>
      <c r="Q54" s="343">
        <v>1681</v>
      </c>
      <c r="R54" s="356">
        <v>1687</v>
      </c>
      <c r="S54" s="343">
        <v>1673</v>
      </c>
      <c r="T54" s="343">
        <v>1665</v>
      </c>
      <c r="U54" s="343">
        <v>1651</v>
      </c>
      <c r="V54" s="343">
        <v>1645</v>
      </c>
      <c r="W54" s="356">
        <v>1658</v>
      </c>
      <c r="X54" s="343">
        <v>1632</v>
      </c>
      <c r="Y54" s="343">
        <v>1612</v>
      </c>
      <c r="Z54" s="343">
        <v>1593</v>
      </c>
      <c r="AA54" s="343">
        <v>1578</v>
      </c>
      <c r="AB54" s="356">
        <v>1601.6</v>
      </c>
      <c r="AC54" s="343">
        <v>1570</v>
      </c>
      <c r="AD54" s="343">
        <v>1572</v>
      </c>
      <c r="AE54" s="343">
        <v>1577</v>
      </c>
      <c r="AF54" s="343">
        <v>1584</v>
      </c>
      <c r="AG54" s="356">
        <v>1577</v>
      </c>
      <c r="AH54" s="343">
        <v>1606</v>
      </c>
      <c r="AI54" s="343">
        <v>1634</v>
      </c>
      <c r="AJ54" s="343">
        <v>1612</v>
      </c>
      <c r="AK54" s="307">
        <v>1607</v>
      </c>
      <c r="AL54" s="342">
        <f>AVERAGE(AH54:AK54)</f>
        <v>1614.75</v>
      </c>
      <c r="AM54" s="307">
        <v>1605</v>
      </c>
      <c r="AN54" s="345">
        <v>1605</v>
      </c>
      <c r="AO54" s="345">
        <v>1599</v>
      </c>
      <c r="AP54" s="307">
        <v>1584</v>
      </c>
      <c r="AQ54" s="356">
        <f>AVERAGE(AM54:AP54)</f>
        <v>1598.25</v>
      </c>
      <c r="AR54" s="307">
        <v>1584</v>
      </c>
      <c r="AS54" s="343">
        <v>1581</v>
      </c>
      <c r="AT54" s="345">
        <v>1575</v>
      </c>
      <c r="AU54" s="345">
        <v>1564</v>
      </c>
      <c r="AV54" s="356">
        <f>AVERAGE(AR54:AU54)</f>
        <v>1576</v>
      </c>
      <c r="AW54" s="345">
        <v>1563</v>
      </c>
      <c r="AX54" s="345">
        <v>1567</v>
      </c>
      <c r="AY54" s="307">
        <v>1561</v>
      </c>
      <c r="AZ54" s="307">
        <v>1552</v>
      </c>
      <c r="BA54" s="356">
        <f>AVERAGE(AW54:AZ54)</f>
        <v>1560.75</v>
      </c>
      <c r="BB54" s="307">
        <v>1540</v>
      </c>
      <c r="BC54" s="307">
        <v>1532</v>
      </c>
      <c r="BD54" s="307">
        <v>1525</v>
      </c>
      <c r="BE54" s="307">
        <v>1514</v>
      </c>
      <c r="BF54" s="356">
        <f>AVERAGE(BB54:BE54)</f>
        <v>1527.75</v>
      </c>
      <c r="BG54" s="307">
        <v>1503</v>
      </c>
      <c r="BH54" s="307">
        <v>1491</v>
      </c>
      <c r="BI54" s="307">
        <v>1483</v>
      </c>
      <c r="BJ54" s="307">
        <v>1470</v>
      </c>
      <c r="BK54" s="356">
        <f>AVERAGE(BG54:BJ54)</f>
        <v>1486.75</v>
      </c>
      <c r="BL54" s="307">
        <v>1459</v>
      </c>
      <c r="BM54" s="307">
        <v>1456</v>
      </c>
      <c r="BN54" s="307">
        <v>1452</v>
      </c>
      <c r="BO54" s="583">
        <v>1444</v>
      </c>
      <c r="BP54" s="356">
        <v>1452</v>
      </c>
      <c r="BQ54" s="583">
        <v>1440</v>
      </c>
      <c r="BR54" s="583">
        <v>1441</v>
      </c>
      <c r="BS54" s="583">
        <v>1438</v>
      </c>
      <c r="BT54" s="583">
        <f>BT61</f>
        <v>1434</v>
      </c>
      <c r="BU54" s="356">
        <v>1438</v>
      </c>
      <c r="BV54" s="307">
        <f ca="1">+BV61</f>
        <v>1431.8652180998185</v>
      </c>
      <c r="BW54" s="307">
        <f ca="1">+BW61</f>
        <v>1429.9120375738767</v>
      </c>
      <c r="BX54" s="307">
        <f ca="1">+BX61</f>
        <v>1427.6810121749299</v>
      </c>
      <c r="BY54" s="307">
        <f ca="1">+BY61</f>
        <v>1425.6720316784654</v>
      </c>
      <c r="BZ54" s="356">
        <f ca="1">AVERAGE(BV54:BY54)</f>
        <v>1428.7825748817727</v>
      </c>
      <c r="CA54" s="307">
        <f ca="1">+CA61</f>
        <v>1423.9849864083512</v>
      </c>
      <c r="CB54" s="307">
        <f ca="1">+CB61</f>
        <v>1422.1197672341084</v>
      </c>
      <c r="CC54" s="307">
        <f ca="1">+CC61</f>
        <v>1419.9762655681952</v>
      </c>
      <c r="CD54" s="307">
        <f ca="1">+CD61</f>
        <v>1418.0543733633062</v>
      </c>
      <c r="CE54" s="356">
        <f ca="1">AVERAGE(CA54:CD54)</f>
        <v>1421.0338481434901</v>
      </c>
      <c r="CF54" s="307">
        <f ca="1">+CF61</f>
        <v>1416.4539831096856</v>
      </c>
      <c r="CG54" s="307">
        <f ca="1">+CG61</f>
        <v>1414.6749878324511</v>
      </c>
      <c r="CH54" s="307">
        <f ca="1">+CH61</f>
        <v>1412.6172810889343</v>
      </c>
      <c r="CI54" s="307">
        <f ca="1">+CI61</f>
        <v>1410.7807569660317</v>
      </c>
      <c r="CJ54" s="356">
        <f ca="1">AVERAGE(CF54:CI54)</f>
        <v>1413.6317522492757</v>
      </c>
      <c r="CK54" s="307">
        <f ca="1">+CK61</f>
        <v>1409.2653100775717</v>
      </c>
      <c r="CL54" s="307">
        <f ca="1">+CL61</f>
        <v>1407.570835561691</v>
      </c>
      <c r="CM54" s="307">
        <f ca="1">+CM61</f>
        <v>1405.5972290782274</v>
      </c>
      <c r="CN54" s="307">
        <f ca="1">+CN61</f>
        <v>1403.8443868061247</v>
      </c>
      <c r="CO54" s="356">
        <f ca="1">AVERAGE(CK54:CN54)</f>
        <v>1406.5694403809036</v>
      </c>
      <c r="CP54" s="307">
        <f ca="1">+CP61</f>
        <v>1402.4122054408481</v>
      </c>
      <c r="CQ54" s="307">
        <f ca="1">+CQ61</f>
        <v>1400.8005821918168</v>
      </c>
      <c r="CR54" s="307">
        <f ca="1">+CR61</f>
        <v>1398.9094147798451</v>
      </c>
      <c r="CS54" s="307">
        <f ca="1">+CS61</f>
        <v>1397.2386014346</v>
      </c>
      <c r="CT54" s="356">
        <f ca="1">AVERAGE(CP54:CS54)</f>
        <v>1399.8402009617776</v>
      </c>
      <c r="CU54" s="407"/>
      <c r="CV54" s="313"/>
    </row>
    <row r="55" spans="1:100" ht="12.75" hidden="1" customHeight="1" outlineLevel="1" x14ac:dyDescent="0.2">
      <c r="A55" s="417" t="s">
        <v>79</v>
      </c>
      <c r="B55" s="423"/>
      <c r="C55" s="341"/>
      <c r="D55" s="343"/>
      <c r="E55" s="343"/>
      <c r="F55" s="343"/>
      <c r="G55" s="343"/>
      <c r="H55" s="356">
        <v>1705</v>
      </c>
      <c r="I55" s="343"/>
      <c r="J55" s="343"/>
      <c r="K55" s="343"/>
      <c r="L55" s="343"/>
      <c r="M55" s="356">
        <v>1679</v>
      </c>
      <c r="N55" s="343"/>
      <c r="O55" s="343"/>
      <c r="P55" s="343"/>
      <c r="Q55" s="343"/>
      <c r="R55" s="356">
        <v>1656</v>
      </c>
      <c r="S55" s="343">
        <v>1639</v>
      </c>
      <c r="T55" s="343">
        <v>1632</v>
      </c>
      <c r="U55" s="343">
        <v>1621</v>
      </c>
      <c r="V55" s="343">
        <v>1610</v>
      </c>
      <c r="W55" s="342">
        <v>1639</v>
      </c>
      <c r="X55" s="343">
        <v>1605</v>
      </c>
      <c r="Y55" s="343">
        <v>1591</v>
      </c>
      <c r="Z55" s="343">
        <v>1572</v>
      </c>
      <c r="AA55" s="343">
        <v>1557</v>
      </c>
      <c r="AB55" s="342">
        <v>1605</v>
      </c>
      <c r="AC55" s="343">
        <v>1553</v>
      </c>
      <c r="AD55" s="343">
        <v>1556</v>
      </c>
      <c r="AE55" s="343">
        <v>1557</v>
      </c>
      <c r="AF55" s="343">
        <v>1559</v>
      </c>
      <c r="AG55" s="342">
        <v>1553</v>
      </c>
      <c r="AH55" s="343">
        <v>1565</v>
      </c>
      <c r="AI55" s="343">
        <v>1627</v>
      </c>
      <c r="AJ55" s="343">
        <v>1594</v>
      </c>
      <c r="AK55" s="307">
        <f>+AJ58</f>
        <v>1583</v>
      </c>
      <c r="AL55" s="342">
        <f>+AG58</f>
        <v>1565</v>
      </c>
      <c r="AM55" s="307">
        <f>+AL58</f>
        <v>1582</v>
      </c>
      <c r="AN55" s="307">
        <f>+AM58</f>
        <v>1581</v>
      </c>
      <c r="AO55" s="345">
        <f>+AN58</f>
        <v>1585</v>
      </c>
      <c r="AP55" s="345">
        <f>+AO58</f>
        <v>1568</v>
      </c>
      <c r="AQ55" s="342">
        <f>+AL58</f>
        <v>1582</v>
      </c>
      <c r="AR55" s="307">
        <f>+AQ58</f>
        <v>1565</v>
      </c>
      <c r="AS55" s="343">
        <f>+AR58</f>
        <v>1568</v>
      </c>
      <c r="AT55" s="345">
        <f>+AS58</f>
        <v>1559</v>
      </c>
      <c r="AU55" s="307">
        <f>+AT58</f>
        <v>1552</v>
      </c>
      <c r="AV55" s="342">
        <f>+AQ58</f>
        <v>1565</v>
      </c>
      <c r="AW55" s="307">
        <f>+AV58</f>
        <v>1544</v>
      </c>
      <c r="AX55" s="307">
        <f ca="1">+AW58</f>
        <v>1545</v>
      </c>
      <c r="AY55" s="307">
        <f ca="1">+AX58</f>
        <v>1547</v>
      </c>
      <c r="AZ55" s="307">
        <f ca="1">+AY58</f>
        <v>1536.8</v>
      </c>
      <c r="BA55" s="342">
        <f>+AV58</f>
        <v>1544</v>
      </c>
      <c r="BB55" s="307">
        <f ca="1">+BA58</f>
        <v>1529</v>
      </c>
      <c r="BC55" s="307">
        <f ca="1">+BB58</f>
        <v>1518.5973609569614</v>
      </c>
      <c r="BD55" s="307">
        <f ca="1">+BC58</f>
        <v>1510.5973609569614</v>
      </c>
      <c r="BE55" s="307">
        <f ca="1">+BD58</f>
        <v>1502.5973609569614</v>
      </c>
      <c r="BF55" s="342">
        <f ca="1">+BA58</f>
        <v>1529</v>
      </c>
      <c r="BG55" s="307">
        <f ca="1">+BF58</f>
        <v>1487.5973609569614</v>
      </c>
      <c r="BH55" s="307">
        <f ca="1">+BG58</f>
        <v>1478.5973609569614</v>
      </c>
      <c r="BI55" s="307">
        <f ca="1">+BH58</f>
        <v>1471.5973609569614</v>
      </c>
      <c r="BJ55" s="307">
        <f ca="1">+BI58</f>
        <v>1461.5973609569614</v>
      </c>
      <c r="BK55" s="342">
        <f ca="1">+BF58</f>
        <v>1487.5973609569614</v>
      </c>
      <c r="BL55" s="307">
        <f ca="1">+BK58</f>
        <v>1447.5973609569614</v>
      </c>
      <c r="BM55" s="307">
        <f ca="1">+BL58</f>
        <v>1445.5973609569614</v>
      </c>
      <c r="BN55" s="307">
        <f ca="1">+BM58</f>
        <v>1440.5973609569614</v>
      </c>
      <c r="BO55" s="583">
        <f ca="1">+BN58</f>
        <v>1435.5973609569614</v>
      </c>
      <c r="BP55" s="342">
        <f ca="1">+BK58</f>
        <v>1447.5973609569614</v>
      </c>
      <c r="BQ55" s="583">
        <f ca="1">+BP58</f>
        <v>1427.5973609569614</v>
      </c>
      <c r="BR55" s="307">
        <f ca="1">+BQ58</f>
        <v>1429.5973609569614</v>
      </c>
      <c r="BS55" s="307">
        <f ca="1">+BR58</f>
        <v>1425.5973609569614</v>
      </c>
      <c r="BT55" s="307">
        <f ca="1">+BS58</f>
        <v>1422.5973609569614</v>
      </c>
      <c r="BU55" s="342">
        <f ca="1">+BP58</f>
        <v>1427.5973609569614</v>
      </c>
      <c r="BV55" s="307">
        <f ca="1">+BU58</f>
        <v>1419.5973609569614</v>
      </c>
      <c r="BW55" s="307">
        <f ca="1">+BV58</f>
        <v>1418.1330752426757</v>
      </c>
      <c r="BX55" s="307">
        <f ca="1">+BW58</f>
        <v>1415.6909999050779</v>
      </c>
      <c r="BY55" s="307">
        <f ca="1">+BX58</f>
        <v>1413.6710244447818</v>
      </c>
      <c r="BZ55" s="342">
        <f ca="1">+BU58</f>
        <v>1419.5973609569614</v>
      </c>
      <c r="CA55" s="307">
        <f ca="1">+BZ58</f>
        <v>1411.6730389121487</v>
      </c>
      <c r="CB55" s="307">
        <f ca="1">+CA58</f>
        <v>1410.2969339045537</v>
      </c>
      <c r="CC55" s="307">
        <f ca="1">+CB58</f>
        <v>1407.9426005636631</v>
      </c>
      <c r="CD55" s="307">
        <f ca="1">+CC58</f>
        <v>1406.0099305727272</v>
      </c>
      <c r="CE55" s="342">
        <f ca="1">+BZ58</f>
        <v>1411.6730389121487</v>
      </c>
      <c r="CF55" s="307">
        <f ca="1">+CE58</f>
        <v>1404.0988161538855</v>
      </c>
      <c r="CG55" s="307">
        <f ca="1">+CF58</f>
        <v>1402.8091500654857</v>
      </c>
      <c r="CH55" s="307">
        <f ca="1">+CG58</f>
        <v>1400.5408255994164</v>
      </c>
      <c r="CI55" s="307">
        <f ca="1">+CH58</f>
        <v>1398.693736578452</v>
      </c>
      <c r="CJ55" s="342">
        <f ca="1">+CE58</f>
        <v>1404.0988161538855</v>
      </c>
      <c r="CK55" s="307">
        <f ca="1">+CJ58</f>
        <v>1396.8677773536117</v>
      </c>
      <c r="CL55" s="307">
        <f ca="1">+CK58</f>
        <v>1395.6628428015317</v>
      </c>
      <c r="CM55" s="307">
        <f ca="1">+CL58</f>
        <v>1393.4788283218502</v>
      </c>
      <c r="CN55" s="307">
        <f ca="1">+CM58</f>
        <v>1391.7156298346049</v>
      </c>
      <c r="CO55" s="342">
        <f ca="1">+CJ58</f>
        <v>1396.8677773536117</v>
      </c>
      <c r="CP55" s="307">
        <f ca="1">+CO58</f>
        <v>1389.9731437776445</v>
      </c>
      <c r="CQ55" s="307">
        <f ca="1">+CP58</f>
        <v>1388.8512671040519</v>
      </c>
      <c r="CR55" s="307">
        <f ca="1">+CQ58</f>
        <v>1386.7498972795815</v>
      </c>
      <c r="CS55" s="307">
        <f ca="1">+CR58</f>
        <v>1385.0689322801088</v>
      </c>
      <c r="CT55" s="342">
        <f ca="1">+CO58</f>
        <v>1389.9731437776445</v>
      </c>
      <c r="CU55" s="407"/>
      <c r="CV55" s="313"/>
    </row>
    <row r="56" spans="1:100" ht="12.75" hidden="1" customHeight="1" outlineLevel="1" x14ac:dyDescent="0.2">
      <c r="A56" s="417" t="s">
        <v>80</v>
      </c>
      <c r="B56" s="423"/>
      <c r="C56" s="341"/>
      <c r="D56" s="343"/>
      <c r="E56" s="343"/>
      <c r="F56" s="343"/>
      <c r="G56" s="343"/>
      <c r="H56" s="356">
        <v>32</v>
      </c>
      <c r="I56" s="343"/>
      <c r="J56" s="343"/>
      <c r="K56" s="343"/>
      <c r="L56" s="343"/>
      <c r="M56" s="356">
        <v>31</v>
      </c>
      <c r="N56" s="343"/>
      <c r="O56" s="343"/>
      <c r="P56" s="343"/>
      <c r="Q56" s="343"/>
      <c r="R56" s="356">
        <v>31</v>
      </c>
      <c r="S56" s="343">
        <v>8</v>
      </c>
      <c r="T56" s="343">
        <v>6</v>
      </c>
      <c r="U56" s="343">
        <v>6</v>
      </c>
      <c r="V56" s="343">
        <v>10</v>
      </c>
      <c r="W56" s="342">
        <v>30</v>
      </c>
      <c r="X56" s="343">
        <v>7</v>
      </c>
      <c r="Y56" s="343">
        <v>3</v>
      </c>
      <c r="Z56" s="343">
        <v>4</v>
      </c>
      <c r="AA56" s="343">
        <v>3</v>
      </c>
      <c r="AB56" s="342">
        <v>16</v>
      </c>
      <c r="AC56" s="343">
        <v>3</v>
      </c>
      <c r="AD56" s="343">
        <v>1</v>
      </c>
      <c r="AE56" s="343">
        <v>2</v>
      </c>
      <c r="AF56" s="343">
        <v>6</v>
      </c>
      <c r="AG56" s="342">
        <v>12</v>
      </c>
      <c r="AH56" s="343">
        <f>67+9</f>
        <v>76</v>
      </c>
      <c r="AI56" s="343">
        <v>4</v>
      </c>
      <c r="AJ56" s="343">
        <v>5</v>
      </c>
      <c r="AK56" s="307">
        <v>8</v>
      </c>
      <c r="AL56" s="342">
        <f>+AH56+AI56+AJ56+AK56</f>
        <v>93</v>
      </c>
      <c r="AM56" s="307">
        <v>6</v>
      </c>
      <c r="AN56" s="307">
        <v>9</v>
      </c>
      <c r="AO56" s="345">
        <v>2</v>
      </c>
      <c r="AP56" s="307">
        <v>5</v>
      </c>
      <c r="AQ56" s="342">
        <f>+AM56+AN56+AO56+AP56</f>
        <v>22</v>
      </c>
      <c r="AR56" s="307">
        <v>8</v>
      </c>
      <c r="AS56" s="343">
        <v>5</v>
      </c>
      <c r="AT56" s="345">
        <v>9</v>
      </c>
      <c r="AU56" s="345">
        <v>4</v>
      </c>
      <c r="AV56" s="342">
        <f>+AR56+AS56+AT56+AU56</f>
        <v>26</v>
      </c>
      <c r="AW56" s="345">
        <v>10</v>
      </c>
      <c r="AX56" s="345">
        <v>8</v>
      </c>
      <c r="AY56" s="345">
        <v>2</v>
      </c>
      <c r="AZ56" s="345">
        <f>BA56-SUM(AW56:AY56)</f>
        <v>2</v>
      </c>
      <c r="BA56" s="342">
        <v>22</v>
      </c>
      <c r="BB56" s="307">
        <v>5</v>
      </c>
      <c r="BC56" s="307">
        <v>4</v>
      </c>
      <c r="BD56" s="307">
        <v>3</v>
      </c>
      <c r="BE56" s="307">
        <v>4</v>
      </c>
      <c r="BF56" s="342">
        <f>+BB56+BC56+BD56+BE56</f>
        <v>16</v>
      </c>
      <c r="BG56" s="307">
        <v>3</v>
      </c>
      <c r="BH56" s="307">
        <v>4</v>
      </c>
      <c r="BI56" s="307">
        <v>1</v>
      </c>
      <c r="BJ56" s="307">
        <v>4</v>
      </c>
      <c r="BK56" s="342">
        <f>+BG56+BH56+BI56+BJ56</f>
        <v>12</v>
      </c>
      <c r="BL56" s="307">
        <v>5</v>
      </c>
      <c r="BM56" s="307">
        <v>2</v>
      </c>
      <c r="BN56" s="568">
        <v>2</v>
      </c>
      <c r="BO56" s="568">
        <v>0</v>
      </c>
      <c r="BP56" s="342">
        <f>+BL56+BM56+BN56+BO56</f>
        <v>9</v>
      </c>
      <c r="BQ56" s="624">
        <v>6</v>
      </c>
      <c r="BR56" s="624">
        <v>0</v>
      </c>
      <c r="BS56" s="624">
        <v>2</v>
      </c>
      <c r="BT56" s="624">
        <v>2</v>
      </c>
      <c r="BU56" s="342">
        <f>+BQ56+BR56+BS56+BT56</f>
        <v>10</v>
      </c>
      <c r="BV56" s="266">
        <v>3</v>
      </c>
      <c r="BW56" s="266">
        <v>2</v>
      </c>
      <c r="BX56" s="266">
        <v>2.4</v>
      </c>
      <c r="BY56" s="266">
        <v>2.4</v>
      </c>
      <c r="BZ56" s="342">
        <f>+BV56+BW56+BX56+BY56</f>
        <v>9.8000000000000007</v>
      </c>
      <c r="CA56" s="266">
        <f>+BV56</f>
        <v>3</v>
      </c>
      <c r="CB56" s="266">
        <f>+BW56</f>
        <v>2</v>
      </c>
      <c r="CC56" s="266">
        <f>+BX56</f>
        <v>2.4</v>
      </c>
      <c r="CD56" s="266">
        <f>+BY56</f>
        <v>2.4</v>
      </c>
      <c r="CE56" s="342">
        <f>+CA56+CB56+CC56+CD56</f>
        <v>9.8000000000000007</v>
      </c>
      <c r="CF56" s="266">
        <f>+CA56</f>
        <v>3</v>
      </c>
      <c r="CG56" s="266">
        <f>+CB56</f>
        <v>2</v>
      </c>
      <c r="CH56" s="266">
        <f>+CC56</f>
        <v>2.4</v>
      </c>
      <c r="CI56" s="266">
        <f>+CD56</f>
        <v>2.4</v>
      </c>
      <c r="CJ56" s="342">
        <f>+CF56+CG56+CH56+CI56</f>
        <v>9.8000000000000007</v>
      </c>
      <c r="CK56" s="266">
        <f>+CF56</f>
        <v>3</v>
      </c>
      <c r="CL56" s="266">
        <f>+CG56</f>
        <v>2</v>
      </c>
      <c r="CM56" s="266">
        <f>+CH56</f>
        <v>2.4</v>
      </c>
      <c r="CN56" s="266">
        <f>+CI56</f>
        <v>2.4</v>
      </c>
      <c r="CO56" s="342">
        <f>+CK56+CL56+CM56+CN56</f>
        <v>9.8000000000000007</v>
      </c>
      <c r="CP56" s="266">
        <f>+CK56</f>
        <v>3</v>
      </c>
      <c r="CQ56" s="266">
        <f>+CL56</f>
        <v>2</v>
      </c>
      <c r="CR56" s="266">
        <f>+CM56</f>
        <v>2.4</v>
      </c>
      <c r="CS56" s="266">
        <f>+CN56</f>
        <v>2.4</v>
      </c>
      <c r="CT56" s="342">
        <f>+CP56+CQ56+CR56+CS56</f>
        <v>9.8000000000000007</v>
      </c>
      <c r="CU56" s="407"/>
      <c r="CV56" s="313"/>
    </row>
    <row r="57" spans="1:100" ht="12.75" hidden="1" customHeight="1" outlineLevel="1" x14ac:dyDescent="0.2">
      <c r="A57" s="417" t="s">
        <v>81</v>
      </c>
      <c r="B57" s="423"/>
      <c r="C57" s="341"/>
      <c r="D57" s="343"/>
      <c r="E57" s="343"/>
      <c r="F57" s="343"/>
      <c r="G57" s="343"/>
      <c r="H57" s="356">
        <v>58</v>
      </c>
      <c r="I57" s="343"/>
      <c r="J57" s="343"/>
      <c r="K57" s="343"/>
      <c r="L57" s="343"/>
      <c r="M57" s="356">
        <v>54</v>
      </c>
      <c r="N57" s="343"/>
      <c r="O57" s="343"/>
      <c r="P57" s="343"/>
      <c r="Q57" s="343"/>
      <c r="R57" s="356">
        <v>48</v>
      </c>
      <c r="S57" s="343">
        <v>15</v>
      </c>
      <c r="T57" s="343">
        <v>17</v>
      </c>
      <c r="U57" s="343">
        <v>17</v>
      </c>
      <c r="V57" s="343">
        <v>15</v>
      </c>
      <c r="W57" s="342">
        <v>64</v>
      </c>
      <c r="X57" s="343">
        <v>21</v>
      </c>
      <c r="Y57" s="343">
        <v>22</v>
      </c>
      <c r="Z57" s="343">
        <v>19</v>
      </c>
      <c r="AA57" s="343">
        <v>7</v>
      </c>
      <c r="AB57" s="342">
        <v>68</v>
      </c>
      <c r="AC57" s="343">
        <v>0</v>
      </c>
      <c r="AD57" s="343">
        <v>0</v>
      </c>
      <c r="AE57" s="343">
        <v>0</v>
      </c>
      <c r="AF57" s="343">
        <v>0</v>
      </c>
      <c r="AG57" s="342">
        <v>0</v>
      </c>
      <c r="AH57" s="343">
        <v>14</v>
      </c>
      <c r="AI57" s="343">
        <v>37</v>
      </c>
      <c r="AJ57" s="343">
        <v>16</v>
      </c>
      <c r="AK57" s="307">
        <v>9</v>
      </c>
      <c r="AL57" s="342">
        <f>+AH57+AI57+AJ57+AK57</f>
        <v>76</v>
      </c>
      <c r="AM57" s="307">
        <v>7</v>
      </c>
      <c r="AN57" s="307">
        <v>5</v>
      </c>
      <c r="AO57" s="345">
        <v>19</v>
      </c>
      <c r="AP57" s="307">
        <v>8</v>
      </c>
      <c r="AQ57" s="342">
        <f>+AM57+AN57+AO57+AP57</f>
        <v>39</v>
      </c>
      <c r="AR57" s="307">
        <v>5</v>
      </c>
      <c r="AS57" s="343">
        <v>14</v>
      </c>
      <c r="AT57" s="345">
        <v>16</v>
      </c>
      <c r="AU57" s="345">
        <v>12</v>
      </c>
      <c r="AV57" s="342">
        <f>+AR57+AS57+AT57+AU57</f>
        <v>47</v>
      </c>
      <c r="AW57" s="307">
        <f ca="1">+AW179</f>
        <v>9</v>
      </c>
      <c r="AX57" s="307">
        <f>+AX179</f>
        <v>6</v>
      </c>
      <c r="AY57" s="307">
        <f>+AY179</f>
        <v>12.2</v>
      </c>
      <c r="AZ57" s="307">
        <f ca="1">+AZ179</f>
        <v>9.8000000000000007</v>
      </c>
      <c r="BA57" s="342">
        <f ca="1">+AW57+AX57+AY57+AZ57</f>
        <v>37</v>
      </c>
      <c r="BB57" s="307">
        <f>+BB179</f>
        <v>15.402639043038599</v>
      </c>
      <c r="BC57" s="307">
        <v>12</v>
      </c>
      <c r="BD57" s="307">
        <v>11</v>
      </c>
      <c r="BE57" s="307">
        <v>19</v>
      </c>
      <c r="BF57" s="342">
        <f>+BB57+BC57+BD57+BE57</f>
        <v>57.402639043038597</v>
      </c>
      <c r="BG57" s="307">
        <v>12</v>
      </c>
      <c r="BH57" s="307">
        <v>11</v>
      </c>
      <c r="BI57" s="307">
        <v>11</v>
      </c>
      <c r="BJ57" s="307">
        <v>18</v>
      </c>
      <c r="BK57" s="342">
        <f>+BG57+BH57+BI57+BJ57</f>
        <v>52</v>
      </c>
      <c r="BL57" s="307">
        <v>7</v>
      </c>
      <c r="BM57" s="307">
        <v>7</v>
      </c>
      <c r="BN57" s="307">
        <v>7</v>
      </c>
      <c r="BO57" s="583">
        <v>8</v>
      </c>
      <c r="BP57" s="342">
        <f>+BL57+BM57+BN57+BO57</f>
        <v>29</v>
      </c>
      <c r="BQ57" s="583">
        <v>4</v>
      </c>
      <c r="BR57" s="307">
        <v>4</v>
      </c>
      <c r="BS57" s="307">
        <v>5</v>
      </c>
      <c r="BT57" s="307">
        <v>5</v>
      </c>
      <c r="BU57" s="342">
        <f>+BQ57+BR57+BS57+BT57</f>
        <v>18</v>
      </c>
      <c r="BV57" s="307">
        <f>+BV179</f>
        <v>4.4642857142857144</v>
      </c>
      <c r="BW57" s="307">
        <f>+BW179</f>
        <v>4.4420753375977258</v>
      </c>
      <c r="BX57" s="307">
        <f>+BX179</f>
        <v>4.4199754602962456</v>
      </c>
      <c r="BY57" s="307">
        <f>+BY179</f>
        <v>4.397985532633081</v>
      </c>
      <c r="BZ57" s="342">
        <f>+BV57+BW57+BX57+BY57</f>
        <v>17.724322044812766</v>
      </c>
      <c r="CA57" s="307">
        <f>+CA179</f>
        <v>4.3761050075951058</v>
      </c>
      <c r="CB57" s="307">
        <f>+CB179</f>
        <v>4.354333340890653</v>
      </c>
      <c r="CC57" s="307">
        <f>+CC179</f>
        <v>4.3326699909359743</v>
      </c>
      <c r="CD57" s="307">
        <f>+CD179</f>
        <v>4.3111144188417656</v>
      </c>
      <c r="CE57" s="342">
        <f>+CA57+CB57+CC57+CD57</f>
        <v>17.3742227582635</v>
      </c>
      <c r="CF57" s="307">
        <f>+CF179</f>
        <v>4.289666088399767</v>
      </c>
      <c r="CG57" s="307">
        <f>+CG179</f>
        <v>4.2683244660694211</v>
      </c>
      <c r="CH57" s="307">
        <f>+CH179</f>
        <v>4.2470890209645979</v>
      </c>
      <c r="CI57" s="307">
        <f>+CI179</f>
        <v>4.2259592248403965</v>
      </c>
      <c r="CJ57" s="342">
        <f>+CF57+CG57+CH57+CI57</f>
        <v>17.031038800274182</v>
      </c>
      <c r="CK57" s="307">
        <f>+CK179</f>
        <v>4.2049345520799966</v>
      </c>
      <c r="CL57" s="307">
        <f>+CL179</f>
        <v>4.184014479681589</v>
      </c>
      <c r="CM57" s="307">
        <f>+CM179</f>
        <v>4.1631984872453636</v>
      </c>
      <c r="CN57" s="307">
        <f>+CN179</f>
        <v>4.1424860569605606</v>
      </c>
      <c r="CO57" s="342">
        <f>+CK57+CL57+CM57+CN57</f>
        <v>16.694633575967508</v>
      </c>
      <c r="CP57" s="307">
        <f>+CP179</f>
        <v>4.1218766735925989</v>
      </c>
      <c r="CQ57" s="307">
        <f>+CQ179</f>
        <v>4.1013698244702477</v>
      </c>
      <c r="CR57" s="307">
        <f>+CR179</f>
        <v>4.0809649994728838</v>
      </c>
      <c r="CS57" s="307">
        <f>+CS179</f>
        <v>4.0606616910177955</v>
      </c>
      <c r="CT57" s="342">
        <f>+CP57+CQ57+CR57+CS57</f>
        <v>16.364873188553524</v>
      </c>
      <c r="CU57" s="407"/>
      <c r="CV57" s="313"/>
    </row>
    <row r="58" spans="1:100" ht="12.75" hidden="1" customHeight="1" outlineLevel="1" x14ac:dyDescent="0.2">
      <c r="A58" s="417" t="s">
        <v>82</v>
      </c>
      <c r="B58" s="423"/>
      <c r="C58" s="341"/>
      <c r="D58" s="343"/>
      <c r="E58" s="343"/>
      <c r="F58" s="343"/>
      <c r="G58" s="343"/>
      <c r="H58" s="342">
        <f>+H55+H56-H57</f>
        <v>1679</v>
      </c>
      <c r="I58" s="343"/>
      <c r="J58" s="343"/>
      <c r="K58" s="343"/>
      <c r="L58" s="343"/>
      <c r="M58" s="342">
        <f>+M55+M56-M57</f>
        <v>1656</v>
      </c>
      <c r="N58" s="343"/>
      <c r="O58" s="343"/>
      <c r="P58" s="343"/>
      <c r="Q58" s="343"/>
      <c r="R58" s="342">
        <f>+R55+R56-R57</f>
        <v>1639</v>
      </c>
      <c r="S58" s="343">
        <f t="shared" ref="S58:AE58" si="108">+S55+S56-S57</f>
        <v>1632</v>
      </c>
      <c r="T58" s="343">
        <f t="shared" si="108"/>
        <v>1621</v>
      </c>
      <c r="U58" s="343">
        <f t="shared" si="108"/>
        <v>1610</v>
      </c>
      <c r="V58" s="343">
        <f t="shared" si="108"/>
        <v>1605</v>
      </c>
      <c r="W58" s="342">
        <f t="shared" si="108"/>
        <v>1605</v>
      </c>
      <c r="X58" s="343">
        <f t="shared" si="108"/>
        <v>1591</v>
      </c>
      <c r="Y58" s="343">
        <f t="shared" si="108"/>
        <v>1572</v>
      </c>
      <c r="Z58" s="343">
        <f t="shared" si="108"/>
        <v>1557</v>
      </c>
      <c r="AA58" s="343">
        <f t="shared" si="108"/>
        <v>1553</v>
      </c>
      <c r="AB58" s="342">
        <f t="shared" si="108"/>
        <v>1553</v>
      </c>
      <c r="AC58" s="343">
        <f t="shared" si="108"/>
        <v>1556</v>
      </c>
      <c r="AD58" s="343">
        <f t="shared" si="108"/>
        <v>1557</v>
      </c>
      <c r="AE58" s="343">
        <f t="shared" si="108"/>
        <v>1559</v>
      </c>
      <c r="AF58" s="343">
        <f t="shared" ref="AF58:AK58" si="109">+AF55+AF56-AF57</f>
        <v>1565</v>
      </c>
      <c r="AG58" s="342">
        <f t="shared" si="109"/>
        <v>1565</v>
      </c>
      <c r="AH58" s="343">
        <f t="shared" si="109"/>
        <v>1627</v>
      </c>
      <c r="AI58" s="343">
        <f t="shared" si="109"/>
        <v>1594</v>
      </c>
      <c r="AJ58" s="343">
        <f t="shared" si="109"/>
        <v>1583</v>
      </c>
      <c r="AK58" s="307">
        <f t="shared" si="109"/>
        <v>1582</v>
      </c>
      <c r="AL58" s="342">
        <f>+AK58</f>
        <v>1582</v>
      </c>
      <c r="AM58" s="307">
        <f>+AM55+AM56-AM57</f>
        <v>1581</v>
      </c>
      <c r="AN58" s="307">
        <f>+AN55+AN56-AN57</f>
        <v>1585</v>
      </c>
      <c r="AO58" s="345">
        <f>+AO55+AO56-AO57</f>
        <v>1568</v>
      </c>
      <c r="AP58" s="345">
        <f>+AP55+AP56-AP57</f>
        <v>1565</v>
      </c>
      <c r="AQ58" s="342">
        <f>+AP58</f>
        <v>1565</v>
      </c>
      <c r="AR58" s="307">
        <f>+AR55+AR56-AR57</f>
        <v>1568</v>
      </c>
      <c r="AS58" s="343">
        <f>+AS55+AS56-AS57</f>
        <v>1559</v>
      </c>
      <c r="AT58" s="345">
        <f>+AT55+AT56-AT57</f>
        <v>1552</v>
      </c>
      <c r="AU58" s="307">
        <f>+AU55+AU56-AU57</f>
        <v>1544</v>
      </c>
      <c r="AV58" s="342">
        <f>+AU58</f>
        <v>1544</v>
      </c>
      <c r="AW58" s="307">
        <f ca="1">+AW55+AW56-AW57</f>
        <v>1545</v>
      </c>
      <c r="AX58" s="307">
        <f ca="1">+AX55+AX56-AX57</f>
        <v>1547</v>
      </c>
      <c r="AY58" s="307">
        <f ca="1">+AY55+AY56-AY57</f>
        <v>1536.8</v>
      </c>
      <c r="AZ58" s="307">
        <f ca="1">+AZ55+AZ56-AZ57</f>
        <v>1529</v>
      </c>
      <c r="BA58" s="342">
        <f ca="1">+AZ58</f>
        <v>1529</v>
      </c>
      <c r="BB58" s="307">
        <f ca="1">+BB55+BB56-BB57</f>
        <v>1518.5973609569614</v>
      </c>
      <c r="BC58" s="307">
        <f ca="1">+BC55+BC56-BC57</f>
        <v>1510.5973609569614</v>
      </c>
      <c r="BD58" s="307">
        <f ca="1">+BD55+BD56-BD57</f>
        <v>1502.5973609569614</v>
      </c>
      <c r="BE58" s="307">
        <f ca="1">+BE55+BE56-BE57</f>
        <v>1487.5973609569614</v>
      </c>
      <c r="BF58" s="342">
        <f ca="1">+BE58</f>
        <v>1487.5973609569614</v>
      </c>
      <c r="BG58" s="307">
        <f ca="1">+BG55+BG56-BG57</f>
        <v>1478.5973609569614</v>
      </c>
      <c r="BH58" s="307">
        <f ca="1">+BH55+BH56-BH57</f>
        <v>1471.5973609569614</v>
      </c>
      <c r="BI58" s="307">
        <f ca="1">+BI55+BI56-BI57</f>
        <v>1461.5973609569614</v>
      </c>
      <c r="BJ58" s="307">
        <f ca="1">+BJ55+BJ56-BJ57</f>
        <v>1447.5973609569614</v>
      </c>
      <c r="BK58" s="342">
        <f ca="1">+BJ58</f>
        <v>1447.5973609569614</v>
      </c>
      <c r="BL58" s="307">
        <f ca="1">+BL55+BL56-BL57</f>
        <v>1445.5973609569614</v>
      </c>
      <c r="BM58" s="307">
        <f ca="1">+BM55+BM56-BM57</f>
        <v>1440.5973609569614</v>
      </c>
      <c r="BN58" s="307">
        <f ca="1">+BN55+BN56-BN57</f>
        <v>1435.5973609569614</v>
      </c>
      <c r="BO58" s="583">
        <f ca="1">+BO55+BO56-BO57</f>
        <v>1427.5973609569614</v>
      </c>
      <c r="BP58" s="342">
        <f ca="1">+BO58</f>
        <v>1427.5973609569614</v>
      </c>
      <c r="BQ58" s="583">
        <f ca="1">+BQ55+BQ56-BQ57</f>
        <v>1429.5973609569614</v>
      </c>
      <c r="BR58" s="307">
        <f ca="1">+BR55+BR56-BR57</f>
        <v>1425.5973609569614</v>
      </c>
      <c r="BS58" s="307">
        <f ca="1">+BS55+BS56-BS57</f>
        <v>1422.5973609569614</v>
      </c>
      <c r="BT58" s="307">
        <f ca="1">+BT55+BT56-BT57</f>
        <v>1419.5973609569614</v>
      </c>
      <c r="BU58" s="342">
        <f ca="1">+BT58</f>
        <v>1419.5973609569614</v>
      </c>
      <c r="BV58" s="307">
        <f ca="1">+BV55+BV56-BV57</f>
        <v>1418.1330752426757</v>
      </c>
      <c r="BW58" s="307">
        <f ca="1">+BW55+BW56-BW57</f>
        <v>1415.6909999050779</v>
      </c>
      <c r="BX58" s="307">
        <f ca="1">+BX55+BX56-BX57</f>
        <v>1413.6710244447818</v>
      </c>
      <c r="BY58" s="307">
        <f ca="1">+BY55+BY56-BY57</f>
        <v>1411.6730389121487</v>
      </c>
      <c r="BZ58" s="342">
        <f ca="1">+BY58</f>
        <v>1411.6730389121487</v>
      </c>
      <c r="CA58" s="307">
        <f ca="1">+CA55+CA56-CA57</f>
        <v>1410.2969339045537</v>
      </c>
      <c r="CB58" s="307">
        <f ca="1">+CB55+CB56-CB57</f>
        <v>1407.9426005636631</v>
      </c>
      <c r="CC58" s="307">
        <f ca="1">+CC55+CC56-CC57</f>
        <v>1406.0099305727272</v>
      </c>
      <c r="CD58" s="307">
        <f ca="1">+CD55+CD56-CD57</f>
        <v>1404.0988161538855</v>
      </c>
      <c r="CE58" s="342">
        <f ca="1">+CD58</f>
        <v>1404.0988161538855</v>
      </c>
      <c r="CF58" s="307">
        <f ca="1">+CF55+CF56-CF57</f>
        <v>1402.8091500654857</v>
      </c>
      <c r="CG58" s="307">
        <f ca="1">+CG55+CG56-CG57</f>
        <v>1400.5408255994164</v>
      </c>
      <c r="CH58" s="307">
        <f ca="1">+CH55+CH56-CH57</f>
        <v>1398.693736578452</v>
      </c>
      <c r="CI58" s="307">
        <f ca="1">+CI55+CI56-CI57</f>
        <v>1396.8677773536117</v>
      </c>
      <c r="CJ58" s="342">
        <f ca="1">+CI58</f>
        <v>1396.8677773536117</v>
      </c>
      <c r="CK58" s="307">
        <f ca="1">+CK55+CK56-CK57</f>
        <v>1395.6628428015317</v>
      </c>
      <c r="CL58" s="307">
        <f ca="1">+CL55+CL56-CL57</f>
        <v>1393.4788283218502</v>
      </c>
      <c r="CM58" s="307">
        <f ca="1">+CM55+CM56-CM57</f>
        <v>1391.7156298346049</v>
      </c>
      <c r="CN58" s="307">
        <f ca="1">+CN55+CN56-CN57</f>
        <v>1389.9731437776445</v>
      </c>
      <c r="CO58" s="342">
        <f ca="1">+CN58</f>
        <v>1389.9731437776445</v>
      </c>
      <c r="CP58" s="307">
        <f ca="1">+CP55+CP56-CP57</f>
        <v>1388.8512671040519</v>
      </c>
      <c r="CQ58" s="307">
        <f ca="1">+CQ55+CQ56-CQ57</f>
        <v>1386.7498972795815</v>
      </c>
      <c r="CR58" s="307">
        <f ca="1">+CR55+CR56-CR57</f>
        <v>1385.0689322801088</v>
      </c>
      <c r="CS58" s="307">
        <f ca="1">+CS55+CS56-CS57</f>
        <v>1383.4082705890912</v>
      </c>
      <c r="CT58" s="342">
        <f ca="1">+CS58</f>
        <v>1383.4082705890912</v>
      </c>
      <c r="CU58" s="407"/>
      <c r="CV58" s="313"/>
    </row>
    <row r="59" spans="1:100" ht="12.75" hidden="1" customHeight="1" outlineLevel="1" x14ac:dyDescent="0.2">
      <c r="A59" s="80" t="s">
        <v>83</v>
      </c>
      <c r="B59" s="267"/>
      <c r="C59" s="341"/>
      <c r="D59" s="343"/>
      <c r="E59" s="343"/>
      <c r="F59" s="343"/>
      <c r="G59" s="343"/>
      <c r="H59" s="342">
        <f>+H53</f>
        <v>1696</v>
      </c>
      <c r="I59" s="343"/>
      <c r="J59" s="343"/>
      <c r="K59" s="343"/>
      <c r="L59" s="343"/>
      <c r="M59" s="342">
        <f>+M53</f>
        <v>1669</v>
      </c>
      <c r="N59" s="343"/>
      <c r="O59" s="343"/>
      <c r="P59" s="343"/>
      <c r="Q59" s="343"/>
      <c r="R59" s="342">
        <f>+R53</f>
        <v>1649</v>
      </c>
      <c r="S59" s="19">
        <f t="shared" ref="S59:AG59" si="110">+S53</f>
        <v>1637</v>
      </c>
      <c r="T59" s="19">
        <f t="shared" si="110"/>
        <v>1628</v>
      </c>
      <c r="U59" s="19">
        <f t="shared" si="110"/>
        <v>1615</v>
      </c>
      <c r="V59" s="19">
        <f t="shared" si="110"/>
        <v>1608</v>
      </c>
      <c r="W59" s="268">
        <f t="shared" si="110"/>
        <v>1621</v>
      </c>
      <c r="X59" s="19">
        <f t="shared" si="110"/>
        <v>1599</v>
      </c>
      <c r="Y59" s="19">
        <f t="shared" si="110"/>
        <v>1582</v>
      </c>
      <c r="Z59" s="19">
        <f t="shared" si="110"/>
        <v>1564</v>
      </c>
      <c r="AA59" s="19">
        <f t="shared" si="110"/>
        <v>1554</v>
      </c>
      <c r="AB59" s="268">
        <f t="shared" si="110"/>
        <v>1573</v>
      </c>
      <c r="AC59" s="19">
        <f t="shared" si="110"/>
        <v>1555</v>
      </c>
      <c r="AD59" s="19">
        <f t="shared" si="110"/>
        <v>1557</v>
      </c>
      <c r="AE59" s="19">
        <f t="shared" si="110"/>
        <v>1558</v>
      </c>
      <c r="AF59" s="269">
        <f>+AF53</f>
        <v>1562</v>
      </c>
      <c r="AG59" s="268">
        <f t="shared" si="110"/>
        <v>1558</v>
      </c>
      <c r="AH59" s="269">
        <f t="shared" ref="AH59:AP59" si="111">+AH53</f>
        <v>1582</v>
      </c>
      <c r="AI59" s="269">
        <f t="shared" si="111"/>
        <v>1608</v>
      </c>
      <c r="AJ59" s="269">
        <f t="shared" si="111"/>
        <v>1588</v>
      </c>
      <c r="AK59" s="269">
        <f t="shared" si="111"/>
        <v>1582</v>
      </c>
      <c r="AL59" s="268">
        <f t="shared" si="111"/>
        <v>1590</v>
      </c>
      <c r="AM59" s="269">
        <f t="shared" si="111"/>
        <v>1583</v>
      </c>
      <c r="AN59" s="269">
        <f t="shared" si="111"/>
        <v>1583</v>
      </c>
      <c r="AO59" s="270">
        <f t="shared" si="111"/>
        <v>1578</v>
      </c>
      <c r="AP59" s="270">
        <f t="shared" si="111"/>
        <v>1564</v>
      </c>
      <c r="AQ59" s="268">
        <f t="shared" ref="AQ59:AW59" si="112">+AQ53</f>
        <v>1577</v>
      </c>
      <c r="AR59" s="270">
        <f t="shared" si="112"/>
        <v>1568</v>
      </c>
      <c r="AS59" s="269">
        <f t="shared" si="112"/>
        <v>1563</v>
      </c>
      <c r="AT59" s="270">
        <f t="shared" si="112"/>
        <v>1556</v>
      </c>
      <c r="AU59" s="270">
        <f t="shared" si="112"/>
        <v>1546</v>
      </c>
      <c r="AV59" s="268">
        <f t="shared" si="112"/>
        <v>1558.25</v>
      </c>
      <c r="AW59" s="270">
        <f t="shared" si="112"/>
        <v>1544</v>
      </c>
      <c r="AX59" s="270">
        <f t="shared" ref="AX59:BD59" si="113">+AX53</f>
        <v>1548</v>
      </c>
      <c r="AY59" s="270">
        <f t="shared" si="113"/>
        <v>1542</v>
      </c>
      <c r="AZ59" s="270">
        <f t="shared" si="113"/>
        <v>1532</v>
      </c>
      <c r="BA59" s="268">
        <f t="shared" si="113"/>
        <v>1541.5</v>
      </c>
      <c r="BB59" s="270">
        <f t="shared" si="113"/>
        <v>1524</v>
      </c>
      <c r="BC59" s="270">
        <f t="shared" si="113"/>
        <v>1515</v>
      </c>
      <c r="BD59" s="270">
        <f t="shared" si="113"/>
        <v>1507</v>
      </c>
      <c r="BE59" s="270">
        <f t="shared" ref="BE59:BL59" si="114">+BE53</f>
        <v>1494</v>
      </c>
      <c r="BF59" s="268">
        <f t="shared" si="114"/>
        <v>1510</v>
      </c>
      <c r="BG59" s="270">
        <f t="shared" si="114"/>
        <v>1484</v>
      </c>
      <c r="BH59" s="270">
        <f t="shared" si="114"/>
        <v>1476</v>
      </c>
      <c r="BI59" s="270">
        <f t="shared" si="114"/>
        <v>1467</v>
      </c>
      <c r="BJ59" s="270">
        <f t="shared" si="114"/>
        <v>1454</v>
      </c>
      <c r="BK59" s="268">
        <f t="shared" si="114"/>
        <v>1470.25</v>
      </c>
      <c r="BL59" s="270">
        <f t="shared" si="114"/>
        <v>1446</v>
      </c>
      <c r="BM59" s="270">
        <f t="shared" ref="BM59" si="115">+BM53</f>
        <v>1443</v>
      </c>
      <c r="BN59" s="270">
        <f t="shared" ref="BN59:BT59" si="116">+BN53</f>
        <v>1438</v>
      </c>
      <c r="BO59" s="270">
        <f t="shared" si="116"/>
        <v>1431</v>
      </c>
      <c r="BP59" s="268">
        <f t="shared" si="116"/>
        <v>1439</v>
      </c>
      <c r="BQ59" s="270">
        <f t="shared" si="116"/>
        <v>1428</v>
      </c>
      <c r="BR59" s="270">
        <f t="shared" si="116"/>
        <v>1428</v>
      </c>
      <c r="BS59" s="270">
        <f t="shared" si="116"/>
        <v>1425</v>
      </c>
      <c r="BT59" s="270">
        <f t="shared" si="116"/>
        <v>1421</v>
      </c>
      <c r="BU59" s="268">
        <f>+BU53</f>
        <v>1425</v>
      </c>
      <c r="BV59" s="271">
        <f ca="1">AVERAGE(BV55,BV58)</f>
        <v>1418.8652180998185</v>
      </c>
      <c r="BW59" s="271">
        <f ca="1">AVERAGE(BW55,BW58)</f>
        <v>1416.9120375738767</v>
      </c>
      <c r="BX59" s="271">
        <f ca="1">AVERAGE(BX55,BX58)</f>
        <v>1414.6810121749299</v>
      </c>
      <c r="BY59" s="271">
        <f ca="1">AVERAGE(BY55,BY58)</f>
        <v>1412.6720316784654</v>
      </c>
      <c r="BZ59" s="268">
        <f ca="1">+BZ53</f>
        <v>1415.7825748817727</v>
      </c>
      <c r="CA59" s="271">
        <f ca="1">AVERAGE(CA55,CA58)</f>
        <v>1410.9849864083512</v>
      </c>
      <c r="CB59" s="271">
        <f ca="1">AVERAGE(CB55,CB58)</f>
        <v>1409.1197672341084</v>
      </c>
      <c r="CC59" s="271">
        <f ca="1">AVERAGE(CC55,CC58)</f>
        <v>1406.9762655681952</v>
      </c>
      <c r="CD59" s="271">
        <f ca="1">AVERAGE(CD55,CD58)</f>
        <v>1405.0543733633062</v>
      </c>
      <c r="CE59" s="268">
        <f ca="1">+CE53</f>
        <v>1408.0338481434901</v>
      </c>
      <c r="CF59" s="271">
        <f ca="1">AVERAGE(CF55,CF58)</f>
        <v>1403.4539831096856</v>
      </c>
      <c r="CG59" s="271">
        <f ca="1">AVERAGE(CG55,CG58)</f>
        <v>1401.6749878324511</v>
      </c>
      <c r="CH59" s="271">
        <f ca="1">AVERAGE(CH55,CH58)</f>
        <v>1399.6172810889343</v>
      </c>
      <c r="CI59" s="271">
        <f ca="1">AVERAGE(CI55,CI58)</f>
        <v>1397.7807569660317</v>
      </c>
      <c r="CJ59" s="268">
        <f ca="1">+CJ53</f>
        <v>1400.6317522492757</v>
      </c>
      <c r="CK59" s="271">
        <f ca="1">AVERAGE(CK55,CK58)</f>
        <v>1396.2653100775717</v>
      </c>
      <c r="CL59" s="271">
        <f ca="1">AVERAGE(CL55,CL58)</f>
        <v>1394.570835561691</v>
      </c>
      <c r="CM59" s="271">
        <f ca="1">AVERAGE(CM55,CM58)</f>
        <v>1392.5972290782274</v>
      </c>
      <c r="CN59" s="271">
        <f ca="1">AVERAGE(CN55,CN58)</f>
        <v>1390.8443868061247</v>
      </c>
      <c r="CO59" s="268">
        <f ca="1">+CO53</f>
        <v>1393.5694403809036</v>
      </c>
      <c r="CP59" s="271">
        <f ca="1">AVERAGE(CP55,CP58)</f>
        <v>1389.4122054408481</v>
      </c>
      <c r="CQ59" s="271">
        <f ca="1">AVERAGE(CQ55,CQ58)</f>
        <v>1387.8005821918168</v>
      </c>
      <c r="CR59" s="271">
        <f ca="1">AVERAGE(CR55,CR58)</f>
        <v>1385.9094147798451</v>
      </c>
      <c r="CS59" s="271">
        <f ca="1">AVERAGE(CS55,CS58)</f>
        <v>1384.2386014346</v>
      </c>
      <c r="CT59" s="268">
        <f ca="1">+CT53</f>
        <v>1386.8402009617776</v>
      </c>
      <c r="CU59" s="407"/>
      <c r="CV59" s="313"/>
    </row>
    <row r="60" spans="1:100" ht="12.75" hidden="1" customHeight="1" outlineLevel="1" x14ac:dyDescent="0.2">
      <c r="A60" s="417" t="s">
        <v>84</v>
      </c>
      <c r="B60" s="423"/>
      <c r="C60" s="341"/>
      <c r="D60" s="343"/>
      <c r="E60" s="343"/>
      <c r="F60" s="343"/>
      <c r="G60" s="343"/>
      <c r="H60" s="342">
        <f>+H61-H59</f>
        <v>33</v>
      </c>
      <c r="I60" s="343"/>
      <c r="J60" s="343"/>
      <c r="K60" s="343"/>
      <c r="L60" s="343"/>
      <c r="M60" s="342">
        <f>+M61-M59</f>
        <v>37</v>
      </c>
      <c r="N60" s="343"/>
      <c r="O60" s="343"/>
      <c r="P60" s="343"/>
      <c r="Q60" s="343"/>
      <c r="R60" s="342">
        <f t="shared" ref="R60:AP60" si="117">+R61-R59</f>
        <v>38</v>
      </c>
      <c r="S60" s="343">
        <f t="shared" si="117"/>
        <v>36</v>
      </c>
      <c r="T60" s="343">
        <f t="shared" si="117"/>
        <v>37</v>
      </c>
      <c r="U60" s="343">
        <f t="shared" si="117"/>
        <v>36</v>
      </c>
      <c r="V60" s="343">
        <f t="shared" si="117"/>
        <v>37</v>
      </c>
      <c r="W60" s="356">
        <f t="shared" si="117"/>
        <v>37</v>
      </c>
      <c r="X60" s="343">
        <f t="shared" si="117"/>
        <v>33</v>
      </c>
      <c r="Y60" s="343">
        <f t="shared" si="117"/>
        <v>30</v>
      </c>
      <c r="Z60" s="343">
        <f t="shared" si="117"/>
        <v>29</v>
      </c>
      <c r="AA60" s="343">
        <f t="shared" si="117"/>
        <v>24</v>
      </c>
      <c r="AB60" s="356">
        <f t="shared" si="117"/>
        <v>28.599999999999909</v>
      </c>
      <c r="AC60" s="343">
        <f t="shared" si="117"/>
        <v>15</v>
      </c>
      <c r="AD60" s="343">
        <f t="shared" si="117"/>
        <v>15</v>
      </c>
      <c r="AE60" s="343">
        <f t="shared" si="117"/>
        <v>19</v>
      </c>
      <c r="AF60" s="343">
        <f t="shared" si="117"/>
        <v>22</v>
      </c>
      <c r="AG60" s="356">
        <f t="shared" si="117"/>
        <v>19</v>
      </c>
      <c r="AH60" s="343">
        <f t="shared" si="117"/>
        <v>24</v>
      </c>
      <c r="AI60" s="343">
        <f t="shared" si="117"/>
        <v>26</v>
      </c>
      <c r="AJ60" s="343">
        <f t="shared" si="117"/>
        <v>24</v>
      </c>
      <c r="AK60" s="343">
        <f t="shared" si="117"/>
        <v>25</v>
      </c>
      <c r="AL60" s="356">
        <f>+AL61-AL59</f>
        <v>24.75</v>
      </c>
      <c r="AM60" s="343">
        <f t="shared" si="117"/>
        <v>22</v>
      </c>
      <c r="AN60" s="343">
        <f t="shared" si="117"/>
        <v>22</v>
      </c>
      <c r="AO60" s="345">
        <f t="shared" si="117"/>
        <v>21</v>
      </c>
      <c r="AP60" s="345">
        <f t="shared" si="117"/>
        <v>20</v>
      </c>
      <c r="AQ60" s="356">
        <f t="shared" ref="AQ60:BB60" si="118">+AQ61-AQ59</f>
        <v>21.25</v>
      </c>
      <c r="AR60" s="345">
        <f t="shared" si="118"/>
        <v>16</v>
      </c>
      <c r="AS60" s="343">
        <f t="shared" si="118"/>
        <v>18</v>
      </c>
      <c r="AT60" s="345">
        <f t="shared" si="118"/>
        <v>19</v>
      </c>
      <c r="AU60" s="345">
        <f t="shared" si="118"/>
        <v>18</v>
      </c>
      <c r="AV60" s="356">
        <f t="shared" si="118"/>
        <v>17.75</v>
      </c>
      <c r="AW60" s="345">
        <f t="shared" si="118"/>
        <v>19</v>
      </c>
      <c r="AX60" s="345">
        <f t="shared" si="118"/>
        <v>19</v>
      </c>
      <c r="AY60" s="345">
        <f t="shared" si="118"/>
        <v>19</v>
      </c>
      <c r="AZ60" s="345">
        <f t="shared" si="118"/>
        <v>20</v>
      </c>
      <c r="BA60" s="356">
        <f>+BA61-BA59</f>
        <v>19.25</v>
      </c>
      <c r="BB60" s="345">
        <f t="shared" si="118"/>
        <v>16</v>
      </c>
      <c r="BC60" s="345">
        <f t="shared" ref="BC60:BL60" si="119">+BC61-BC59</f>
        <v>17</v>
      </c>
      <c r="BD60" s="345">
        <f t="shared" si="119"/>
        <v>18</v>
      </c>
      <c r="BE60" s="345">
        <f t="shared" si="119"/>
        <v>20</v>
      </c>
      <c r="BF60" s="356">
        <f t="shared" si="119"/>
        <v>17.75</v>
      </c>
      <c r="BG60" s="345">
        <f t="shared" si="119"/>
        <v>19</v>
      </c>
      <c r="BH60" s="345">
        <f t="shared" si="119"/>
        <v>15</v>
      </c>
      <c r="BI60" s="345">
        <f t="shared" si="119"/>
        <v>16</v>
      </c>
      <c r="BJ60" s="345">
        <f t="shared" si="119"/>
        <v>16</v>
      </c>
      <c r="BK60" s="356">
        <f>+BK61-BK59</f>
        <v>16.5</v>
      </c>
      <c r="BL60" s="345">
        <f t="shared" si="119"/>
        <v>13</v>
      </c>
      <c r="BM60" s="345">
        <f t="shared" ref="BM60" si="120">+BM61-BM59</f>
        <v>13</v>
      </c>
      <c r="BN60" s="345">
        <f t="shared" ref="BN60:BS60" si="121">+BN61-BN59</f>
        <v>14</v>
      </c>
      <c r="BO60" s="345">
        <f t="shared" si="121"/>
        <v>13</v>
      </c>
      <c r="BP60" s="356">
        <f t="shared" si="121"/>
        <v>13</v>
      </c>
      <c r="BQ60" s="345">
        <f t="shared" si="121"/>
        <v>12</v>
      </c>
      <c r="BR60" s="345">
        <f t="shared" si="121"/>
        <v>13</v>
      </c>
      <c r="BS60" s="345">
        <f t="shared" si="121"/>
        <v>13</v>
      </c>
      <c r="BT60" s="568">
        <f>BO60</f>
        <v>13</v>
      </c>
      <c r="BU60" s="356">
        <f>+BU61-BU59</f>
        <v>13</v>
      </c>
      <c r="BV60" s="266">
        <f>+BT60</f>
        <v>13</v>
      </c>
      <c r="BW60" s="266">
        <f>BV60</f>
        <v>13</v>
      </c>
      <c r="BX60" s="266">
        <f>BW60</f>
        <v>13</v>
      </c>
      <c r="BY60" s="266">
        <f>BX60</f>
        <v>13</v>
      </c>
      <c r="BZ60" s="356">
        <f ca="1">+BZ61-BZ59</f>
        <v>13</v>
      </c>
      <c r="CA60" s="266">
        <f>+BY60</f>
        <v>13</v>
      </c>
      <c r="CB60" s="266">
        <f>CA60</f>
        <v>13</v>
      </c>
      <c r="CC60" s="266">
        <f>CB60</f>
        <v>13</v>
      </c>
      <c r="CD60" s="266">
        <f>CC60</f>
        <v>13</v>
      </c>
      <c r="CE60" s="356">
        <f ca="1">+CE61-CE59</f>
        <v>13</v>
      </c>
      <c r="CF60" s="266">
        <f>+CD60</f>
        <v>13</v>
      </c>
      <c r="CG60" s="266">
        <f>CF60</f>
        <v>13</v>
      </c>
      <c r="CH60" s="266">
        <f>CG60</f>
        <v>13</v>
      </c>
      <c r="CI60" s="266">
        <f>CH60</f>
        <v>13</v>
      </c>
      <c r="CJ60" s="356">
        <f ca="1">+CJ61-CJ59</f>
        <v>13</v>
      </c>
      <c r="CK60" s="266">
        <f>+CI60</f>
        <v>13</v>
      </c>
      <c r="CL60" s="266">
        <f>CK60</f>
        <v>13</v>
      </c>
      <c r="CM60" s="266">
        <f>CL60</f>
        <v>13</v>
      </c>
      <c r="CN60" s="266">
        <f>CM60</f>
        <v>13</v>
      </c>
      <c r="CO60" s="356">
        <f ca="1">+CO61-CO59</f>
        <v>13</v>
      </c>
      <c r="CP60" s="266">
        <f>+CN60</f>
        <v>13</v>
      </c>
      <c r="CQ60" s="266">
        <f>CP60</f>
        <v>13</v>
      </c>
      <c r="CR60" s="266">
        <f>CQ60</f>
        <v>13</v>
      </c>
      <c r="CS60" s="266">
        <f>CR60</f>
        <v>13</v>
      </c>
      <c r="CT60" s="356">
        <f ca="1">+CT61-CT59</f>
        <v>13</v>
      </c>
      <c r="CU60" s="407"/>
      <c r="CV60" s="313"/>
    </row>
    <row r="61" spans="1:100" ht="12.75" hidden="1" customHeight="1" outlineLevel="1" x14ac:dyDescent="0.2">
      <c r="A61" s="80" t="s">
        <v>85</v>
      </c>
      <c r="B61" s="267"/>
      <c r="C61" s="341"/>
      <c r="D61" s="269">
        <f t="shared" ref="D61:N61" si="122">+D54</f>
        <v>1736</v>
      </c>
      <c r="E61" s="269">
        <f t="shared" si="122"/>
        <v>1743</v>
      </c>
      <c r="F61" s="269">
        <f t="shared" si="122"/>
        <v>1727</v>
      </c>
      <c r="G61" s="269">
        <f t="shared" si="122"/>
        <v>1713</v>
      </c>
      <c r="H61" s="268">
        <f t="shared" si="122"/>
        <v>1729</v>
      </c>
      <c r="I61" s="269">
        <f t="shared" si="122"/>
        <v>1713</v>
      </c>
      <c r="J61" s="269">
        <f t="shared" si="122"/>
        <v>1712</v>
      </c>
      <c r="K61" s="269">
        <f t="shared" si="122"/>
        <v>1703</v>
      </c>
      <c r="L61" s="269">
        <f t="shared" si="122"/>
        <v>1700</v>
      </c>
      <c r="M61" s="268">
        <f t="shared" si="122"/>
        <v>1706</v>
      </c>
      <c r="N61" s="19">
        <f t="shared" si="122"/>
        <v>1695</v>
      </c>
      <c r="O61" s="19">
        <f t="shared" ref="O61:AG61" si="123">+O54</f>
        <v>1689</v>
      </c>
      <c r="P61" s="19">
        <f t="shared" si="123"/>
        <v>1688</v>
      </c>
      <c r="Q61" s="19">
        <f t="shared" si="123"/>
        <v>1681</v>
      </c>
      <c r="R61" s="268">
        <f t="shared" si="123"/>
        <v>1687</v>
      </c>
      <c r="S61" s="19">
        <f t="shared" si="123"/>
        <v>1673</v>
      </c>
      <c r="T61" s="19">
        <f t="shared" si="123"/>
        <v>1665</v>
      </c>
      <c r="U61" s="19">
        <f t="shared" si="123"/>
        <v>1651</v>
      </c>
      <c r="V61" s="19">
        <f t="shared" si="123"/>
        <v>1645</v>
      </c>
      <c r="W61" s="268">
        <f t="shared" si="123"/>
        <v>1658</v>
      </c>
      <c r="X61" s="19">
        <f t="shared" si="123"/>
        <v>1632</v>
      </c>
      <c r="Y61" s="19">
        <f t="shared" si="123"/>
        <v>1612</v>
      </c>
      <c r="Z61" s="19">
        <f t="shared" si="123"/>
        <v>1593</v>
      </c>
      <c r="AA61" s="19">
        <f t="shared" si="123"/>
        <v>1578</v>
      </c>
      <c r="AB61" s="268">
        <f t="shared" si="123"/>
        <v>1601.6</v>
      </c>
      <c r="AC61" s="19">
        <f t="shared" si="123"/>
        <v>1570</v>
      </c>
      <c r="AD61" s="19">
        <f t="shared" si="123"/>
        <v>1572</v>
      </c>
      <c r="AE61" s="19">
        <f t="shared" si="123"/>
        <v>1577</v>
      </c>
      <c r="AF61" s="269">
        <f>+AF54</f>
        <v>1584</v>
      </c>
      <c r="AG61" s="268">
        <f t="shared" si="123"/>
        <v>1577</v>
      </c>
      <c r="AH61" s="269">
        <f>+AH54</f>
        <v>1606</v>
      </c>
      <c r="AI61" s="269">
        <f>+AI54</f>
        <v>1634</v>
      </c>
      <c r="AJ61" s="269">
        <f>+AJ54</f>
        <v>1612</v>
      </c>
      <c r="AK61" s="271">
        <v>1607</v>
      </c>
      <c r="AL61" s="268">
        <f t="shared" ref="AL61:AQ61" si="124">+AL54</f>
        <v>1614.75</v>
      </c>
      <c r="AM61" s="269">
        <f t="shared" si="124"/>
        <v>1605</v>
      </c>
      <c r="AN61" s="269">
        <f t="shared" si="124"/>
        <v>1605</v>
      </c>
      <c r="AO61" s="270">
        <f t="shared" si="124"/>
        <v>1599</v>
      </c>
      <c r="AP61" s="270">
        <f t="shared" si="124"/>
        <v>1584</v>
      </c>
      <c r="AQ61" s="268">
        <f t="shared" si="124"/>
        <v>1598.25</v>
      </c>
      <c r="AR61" s="270">
        <f t="shared" ref="AR61:AW61" si="125">+AR54</f>
        <v>1584</v>
      </c>
      <c r="AS61" s="269">
        <f t="shared" si="125"/>
        <v>1581</v>
      </c>
      <c r="AT61" s="270">
        <f t="shared" si="125"/>
        <v>1575</v>
      </c>
      <c r="AU61" s="270">
        <f t="shared" si="125"/>
        <v>1564</v>
      </c>
      <c r="AV61" s="268">
        <f t="shared" si="125"/>
        <v>1576</v>
      </c>
      <c r="AW61" s="270">
        <f t="shared" si="125"/>
        <v>1563</v>
      </c>
      <c r="AX61" s="270">
        <f t="shared" ref="AX61:BD61" si="126">+AX54</f>
        <v>1567</v>
      </c>
      <c r="AY61" s="270">
        <f t="shared" si="126"/>
        <v>1561</v>
      </c>
      <c r="AZ61" s="270">
        <f t="shared" si="126"/>
        <v>1552</v>
      </c>
      <c r="BA61" s="268">
        <f t="shared" si="126"/>
        <v>1560.75</v>
      </c>
      <c r="BB61" s="270">
        <f t="shared" si="126"/>
        <v>1540</v>
      </c>
      <c r="BC61" s="270">
        <f t="shared" si="126"/>
        <v>1532</v>
      </c>
      <c r="BD61" s="270">
        <f t="shared" si="126"/>
        <v>1525</v>
      </c>
      <c r="BE61" s="270">
        <f t="shared" ref="BE61:BL61" si="127">+BE54</f>
        <v>1514</v>
      </c>
      <c r="BF61" s="268">
        <f t="shared" si="127"/>
        <v>1527.75</v>
      </c>
      <c r="BG61" s="270">
        <f t="shared" si="127"/>
        <v>1503</v>
      </c>
      <c r="BH61" s="270">
        <f t="shared" si="127"/>
        <v>1491</v>
      </c>
      <c r="BI61" s="270">
        <f t="shared" si="127"/>
        <v>1483</v>
      </c>
      <c r="BJ61" s="270">
        <f t="shared" si="127"/>
        <v>1470</v>
      </c>
      <c r="BK61" s="268">
        <f t="shared" si="127"/>
        <v>1486.75</v>
      </c>
      <c r="BL61" s="270">
        <f t="shared" si="127"/>
        <v>1459</v>
      </c>
      <c r="BM61" s="270">
        <f t="shared" ref="BM61" si="128">+BM54</f>
        <v>1456</v>
      </c>
      <c r="BN61" s="270">
        <f t="shared" ref="BN61:BS61" si="129">+BN54</f>
        <v>1452</v>
      </c>
      <c r="BO61" s="270">
        <f t="shared" si="129"/>
        <v>1444</v>
      </c>
      <c r="BP61" s="268">
        <f t="shared" si="129"/>
        <v>1452</v>
      </c>
      <c r="BQ61" s="270">
        <f t="shared" si="129"/>
        <v>1440</v>
      </c>
      <c r="BR61" s="270">
        <f t="shared" si="129"/>
        <v>1441</v>
      </c>
      <c r="BS61" s="270">
        <f t="shared" si="129"/>
        <v>1438</v>
      </c>
      <c r="BT61" s="271">
        <f>+BT59+BT60</f>
        <v>1434</v>
      </c>
      <c r="BU61" s="268">
        <f>+BU54</f>
        <v>1438</v>
      </c>
      <c r="BV61" s="271">
        <f ca="1">+BV59+BV60</f>
        <v>1431.8652180998185</v>
      </c>
      <c r="BW61" s="271">
        <f ca="1">+BW59+BW60</f>
        <v>1429.9120375738767</v>
      </c>
      <c r="BX61" s="271">
        <f ca="1">+BX59+BX60</f>
        <v>1427.6810121749299</v>
      </c>
      <c r="BY61" s="271">
        <f ca="1">+BY59+BY60</f>
        <v>1425.6720316784654</v>
      </c>
      <c r="BZ61" s="268">
        <f ca="1">+BZ54</f>
        <v>1428.7825748817727</v>
      </c>
      <c r="CA61" s="271">
        <f ca="1">+CA59+CA60</f>
        <v>1423.9849864083512</v>
      </c>
      <c r="CB61" s="271">
        <f ca="1">+CB59+CB60</f>
        <v>1422.1197672341084</v>
      </c>
      <c r="CC61" s="271">
        <f ca="1">+CC59+CC60</f>
        <v>1419.9762655681952</v>
      </c>
      <c r="CD61" s="271">
        <f ca="1">+CD59+CD60</f>
        <v>1418.0543733633062</v>
      </c>
      <c r="CE61" s="268">
        <f ca="1">+CE54</f>
        <v>1421.0338481434901</v>
      </c>
      <c r="CF61" s="271">
        <f ca="1">+CF59+CF60</f>
        <v>1416.4539831096856</v>
      </c>
      <c r="CG61" s="271">
        <f ca="1">+CG59+CG60</f>
        <v>1414.6749878324511</v>
      </c>
      <c r="CH61" s="271">
        <f ca="1">+CH59+CH60</f>
        <v>1412.6172810889343</v>
      </c>
      <c r="CI61" s="271">
        <f ca="1">+CI59+CI60</f>
        <v>1410.7807569660317</v>
      </c>
      <c r="CJ61" s="268">
        <f ca="1">+CJ54</f>
        <v>1413.6317522492757</v>
      </c>
      <c r="CK61" s="271">
        <f ca="1">+CK59+CK60</f>
        <v>1409.2653100775717</v>
      </c>
      <c r="CL61" s="271">
        <f ca="1">+CL59+CL60</f>
        <v>1407.570835561691</v>
      </c>
      <c r="CM61" s="271">
        <f ca="1">+CM59+CM60</f>
        <v>1405.5972290782274</v>
      </c>
      <c r="CN61" s="271">
        <f ca="1">+CN59+CN60</f>
        <v>1403.8443868061247</v>
      </c>
      <c r="CO61" s="268">
        <f ca="1">+CO54</f>
        <v>1406.5694403809036</v>
      </c>
      <c r="CP61" s="271">
        <f ca="1">+CP59+CP60</f>
        <v>1402.4122054408481</v>
      </c>
      <c r="CQ61" s="271">
        <f ca="1">+CQ59+CQ60</f>
        <v>1400.8005821918168</v>
      </c>
      <c r="CR61" s="271">
        <f ca="1">+CR59+CR60</f>
        <v>1398.9094147798451</v>
      </c>
      <c r="CS61" s="271">
        <f ca="1">+CS59+CS60</f>
        <v>1397.2386014346</v>
      </c>
      <c r="CT61" s="268">
        <f ca="1">+CT54</f>
        <v>1399.8402009617776</v>
      </c>
      <c r="CU61" s="407"/>
      <c r="CV61" s="313"/>
    </row>
    <row r="62" spans="1:100" ht="12.75" customHeight="1" collapsed="1" x14ac:dyDescent="0.2">
      <c r="A62" s="80"/>
      <c r="B62" s="80"/>
      <c r="C62" s="313"/>
      <c r="D62" s="67"/>
      <c r="E62" s="67"/>
      <c r="F62" s="67"/>
      <c r="G62" s="67"/>
      <c r="H62" s="68"/>
      <c r="I62" s="69"/>
      <c r="J62" s="69"/>
      <c r="K62" s="69"/>
      <c r="L62" s="69"/>
      <c r="M62" s="68"/>
      <c r="N62" s="81"/>
      <c r="O62" s="81"/>
      <c r="P62" s="81"/>
      <c r="Q62" s="81"/>
      <c r="R62" s="52"/>
      <c r="S62" s="81"/>
      <c r="T62" s="81"/>
      <c r="U62" s="81"/>
      <c r="V62" s="81"/>
      <c r="W62" s="52"/>
      <c r="X62" s="81"/>
      <c r="Y62" s="81"/>
      <c r="Z62" s="81"/>
      <c r="AA62" s="81"/>
      <c r="AB62" s="68"/>
      <c r="AC62" s="81"/>
      <c r="AD62" s="81"/>
      <c r="AE62" s="81"/>
      <c r="AF62" s="81"/>
      <c r="AG62" s="72"/>
      <c r="AH62" s="82">
        <f>AH45/$AL$45</f>
        <v>0.183767333174752</v>
      </c>
      <c r="AI62" s="82">
        <f>AI45/$AL$45</f>
        <v>0.26544971325622652</v>
      </c>
      <c r="AJ62" s="83">
        <f>AJ45/$AL$45</f>
        <v>0.29623483982490867</v>
      </c>
      <c r="AK62" s="83">
        <f>AK45/$AL$45</f>
        <v>0.25410346587611782</v>
      </c>
      <c r="AL62" s="52"/>
      <c r="AM62" s="77"/>
      <c r="AN62" s="77"/>
      <c r="AO62" s="84"/>
      <c r="AP62" s="77"/>
      <c r="AQ62" s="79"/>
      <c r="AR62" s="77"/>
      <c r="AS62" s="85"/>
      <c r="AT62" s="84"/>
      <c r="AU62" s="77"/>
      <c r="AV62" s="79"/>
      <c r="AW62" s="77"/>
      <c r="AX62" s="73"/>
      <c r="AY62" s="77"/>
      <c r="AZ62" s="73"/>
      <c r="BA62" s="79"/>
      <c r="BB62" s="71"/>
      <c r="BC62" s="71"/>
      <c r="BD62" s="71"/>
      <c r="BE62" s="71"/>
      <c r="BF62" s="72"/>
      <c r="BG62" s="71"/>
      <c r="BH62" s="71"/>
      <c r="BI62" s="71"/>
      <c r="BJ62" s="71"/>
      <c r="BK62" s="72"/>
      <c r="BL62" s="67"/>
      <c r="BM62" s="67"/>
      <c r="BN62" s="67"/>
      <c r="BO62" s="67"/>
      <c r="BP62" s="68"/>
      <c r="BQ62" s="602"/>
      <c r="BR62" s="67"/>
      <c r="BS62" s="67"/>
      <c r="BT62" s="294"/>
      <c r="BU62" s="68"/>
      <c r="BV62" s="67"/>
      <c r="BW62" s="67"/>
      <c r="BX62" s="67"/>
      <c r="BY62" s="67"/>
      <c r="BZ62" s="68"/>
      <c r="CA62" s="67"/>
      <c r="CB62" s="67"/>
      <c r="CC62" s="67"/>
      <c r="CD62" s="67"/>
      <c r="CE62" s="68"/>
      <c r="CF62" s="67"/>
      <c r="CG62" s="67"/>
      <c r="CH62" s="67"/>
      <c r="CI62" s="67"/>
      <c r="CJ62" s="68"/>
      <c r="CK62" s="67"/>
      <c r="CL62" s="67"/>
      <c r="CM62" s="67"/>
      <c r="CN62" s="67"/>
      <c r="CO62" s="68"/>
      <c r="CP62" s="67"/>
      <c r="CQ62" s="67"/>
      <c r="CR62" s="67"/>
      <c r="CS62" s="67"/>
      <c r="CT62" s="68"/>
      <c r="CU62" s="407"/>
      <c r="CV62" s="313"/>
    </row>
    <row r="63" spans="1:100" x14ac:dyDescent="0.2">
      <c r="A63" s="53" t="s">
        <v>87</v>
      </c>
      <c r="B63" s="53"/>
      <c r="C63" s="53"/>
      <c r="D63" s="54">
        <f t="shared" ref="D63:P63" si="130">D4</f>
        <v>38077</v>
      </c>
      <c r="E63" s="55">
        <f t="shared" si="130"/>
        <v>38167</v>
      </c>
      <c r="F63" s="55">
        <f t="shared" si="130"/>
        <v>38257</v>
      </c>
      <c r="G63" s="55">
        <f t="shared" si="130"/>
        <v>38347</v>
      </c>
      <c r="H63" s="56">
        <f t="shared" si="130"/>
        <v>2004</v>
      </c>
      <c r="I63" s="54">
        <f t="shared" si="130"/>
        <v>38437</v>
      </c>
      <c r="J63" s="55">
        <f t="shared" si="130"/>
        <v>38527</v>
      </c>
      <c r="K63" s="55">
        <f t="shared" si="130"/>
        <v>38622</v>
      </c>
      <c r="L63" s="55">
        <f t="shared" si="130"/>
        <v>38712</v>
      </c>
      <c r="M63" s="56">
        <f t="shared" si="130"/>
        <v>2005</v>
      </c>
      <c r="N63" s="54">
        <f t="shared" si="130"/>
        <v>38802</v>
      </c>
      <c r="O63" s="55">
        <f t="shared" si="130"/>
        <v>38892</v>
      </c>
      <c r="P63" s="55">
        <f t="shared" si="130"/>
        <v>38987</v>
      </c>
      <c r="Q63" s="55">
        <f t="shared" ref="Q63:AV63" si="131">Q4</f>
        <v>39077</v>
      </c>
      <c r="R63" s="56">
        <f t="shared" si="131"/>
        <v>2006</v>
      </c>
      <c r="S63" s="57">
        <f t="shared" si="131"/>
        <v>39157</v>
      </c>
      <c r="T63" s="58">
        <f t="shared" si="131"/>
        <v>39242</v>
      </c>
      <c r="U63" s="58">
        <f t="shared" si="131"/>
        <v>39332</v>
      </c>
      <c r="V63" s="58">
        <f t="shared" si="131"/>
        <v>39422</v>
      </c>
      <c r="W63" s="56">
        <f t="shared" si="131"/>
        <v>2007</v>
      </c>
      <c r="X63" s="57">
        <f t="shared" si="131"/>
        <v>39517</v>
      </c>
      <c r="Y63" s="58">
        <f t="shared" si="131"/>
        <v>39607</v>
      </c>
      <c r="Z63" s="58">
        <f t="shared" si="131"/>
        <v>39707</v>
      </c>
      <c r="AA63" s="58">
        <f t="shared" si="131"/>
        <v>39797</v>
      </c>
      <c r="AB63" s="56">
        <f t="shared" si="131"/>
        <v>2008</v>
      </c>
      <c r="AC63" s="57">
        <f t="shared" si="131"/>
        <v>39887</v>
      </c>
      <c r="AD63" s="58">
        <f t="shared" si="131"/>
        <v>39977</v>
      </c>
      <c r="AE63" s="58">
        <f t="shared" si="131"/>
        <v>40077</v>
      </c>
      <c r="AF63" s="58">
        <f t="shared" si="131"/>
        <v>40167</v>
      </c>
      <c r="AG63" s="56">
        <f t="shared" si="131"/>
        <v>2009</v>
      </c>
      <c r="AH63" s="57">
        <f t="shared" si="131"/>
        <v>40247</v>
      </c>
      <c r="AI63" s="58">
        <f t="shared" si="131"/>
        <v>40339</v>
      </c>
      <c r="AJ63" s="55">
        <f t="shared" si="131"/>
        <v>40429</v>
      </c>
      <c r="AK63" s="55">
        <f t="shared" si="131"/>
        <v>40543</v>
      </c>
      <c r="AL63" s="56">
        <f t="shared" si="131"/>
        <v>2010</v>
      </c>
      <c r="AM63" s="54">
        <f t="shared" si="131"/>
        <v>40613</v>
      </c>
      <c r="AN63" s="55">
        <f t="shared" si="131"/>
        <v>40705</v>
      </c>
      <c r="AO63" s="86">
        <f t="shared" si="131"/>
        <v>40797</v>
      </c>
      <c r="AP63" s="55">
        <f t="shared" si="131"/>
        <v>40887</v>
      </c>
      <c r="AQ63" s="56">
        <f t="shared" si="131"/>
        <v>2011</v>
      </c>
      <c r="AR63" s="54">
        <f t="shared" si="131"/>
        <v>40980</v>
      </c>
      <c r="AS63" s="58">
        <f t="shared" si="131"/>
        <v>41072</v>
      </c>
      <c r="AT63" s="86">
        <f t="shared" si="131"/>
        <v>41164</v>
      </c>
      <c r="AU63" s="55">
        <f t="shared" si="131"/>
        <v>41274</v>
      </c>
      <c r="AV63" s="56">
        <f t="shared" si="131"/>
        <v>2012</v>
      </c>
      <c r="AW63" s="54">
        <f t="shared" ref="AW63:BU63" si="132">AW4</f>
        <v>41346</v>
      </c>
      <c r="AX63" s="55">
        <f t="shared" si="132"/>
        <v>41438</v>
      </c>
      <c r="AY63" s="55">
        <f t="shared" si="132"/>
        <v>41530</v>
      </c>
      <c r="AZ63" s="55">
        <f t="shared" si="132"/>
        <v>41621</v>
      </c>
      <c r="BA63" s="56">
        <f t="shared" si="132"/>
        <v>2013</v>
      </c>
      <c r="BB63" s="54">
        <f t="shared" si="132"/>
        <v>41712</v>
      </c>
      <c r="BC63" s="55">
        <f t="shared" si="132"/>
        <v>41804</v>
      </c>
      <c r="BD63" s="55">
        <f t="shared" si="132"/>
        <v>41896</v>
      </c>
      <c r="BE63" s="55">
        <f t="shared" si="132"/>
        <v>41987</v>
      </c>
      <c r="BF63" s="56">
        <f t="shared" si="132"/>
        <v>2014</v>
      </c>
      <c r="BG63" s="54">
        <f t="shared" si="132"/>
        <v>42078</v>
      </c>
      <c r="BH63" s="55">
        <f t="shared" si="132"/>
        <v>42170</v>
      </c>
      <c r="BI63" s="55">
        <f t="shared" si="132"/>
        <v>42262</v>
      </c>
      <c r="BJ63" s="55">
        <f t="shared" si="132"/>
        <v>42353</v>
      </c>
      <c r="BK63" s="56">
        <f t="shared" si="132"/>
        <v>2015</v>
      </c>
      <c r="BL63" s="54">
        <f t="shared" si="132"/>
        <v>42445</v>
      </c>
      <c r="BM63" s="55">
        <f t="shared" si="132"/>
        <v>42537</v>
      </c>
      <c r="BN63" s="55">
        <f t="shared" si="132"/>
        <v>42629</v>
      </c>
      <c r="BO63" s="55">
        <f t="shared" si="132"/>
        <v>42720</v>
      </c>
      <c r="BP63" s="56">
        <f t="shared" si="132"/>
        <v>2016</v>
      </c>
      <c r="BQ63" s="601">
        <f t="shared" si="132"/>
        <v>42811</v>
      </c>
      <c r="BR63" s="54">
        <f t="shared" si="132"/>
        <v>42903</v>
      </c>
      <c r="BS63" s="55">
        <f t="shared" si="132"/>
        <v>42995</v>
      </c>
      <c r="BT63" s="55">
        <f t="shared" si="132"/>
        <v>43086</v>
      </c>
      <c r="BU63" s="56">
        <f t="shared" si="132"/>
        <v>2017</v>
      </c>
      <c r="BV63" s="54" t="str">
        <f t="shared" ref="BV63:CE63" si="133">BV4</f>
        <v>Mar-18 E</v>
      </c>
      <c r="BW63" s="55" t="str">
        <f t="shared" si="133"/>
        <v>Jun-18 E</v>
      </c>
      <c r="BX63" s="55" t="str">
        <f t="shared" si="133"/>
        <v>Sep-18 E</v>
      </c>
      <c r="BY63" s="55" t="str">
        <f t="shared" si="133"/>
        <v>Dec-18 E</v>
      </c>
      <c r="BZ63" s="56" t="str">
        <f t="shared" si="133"/>
        <v>2018E</v>
      </c>
      <c r="CA63" s="54" t="str">
        <f t="shared" si="133"/>
        <v>Mar-19 E</v>
      </c>
      <c r="CB63" s="55" t="str">
        <f t="shared" si="133"/>
        <v>Jun-19 E</v>
      </c>
      <c r="CC63" s="55" t="str">
        <f t="shared" si="133"/>
        <v>Sep-19 E</v>
      </c>
      <c r="CD63" s="55" t="str">
        <f t="shared" si="133"/>
        <v>Dec-19 E</v>
      </c>
      <c r="CE63" s="56" t="str">
        <f t="shared" si="133"/>
        <v>2019E</v>
      </c>
      <c r="CF63" s="54" t="str">
        <f t="shared" ref="CF63:CO63" si="134">CF4</f>
        <v>Mar-20 E</v>
      </c>
      <c r="CG63" s="55" t="str">
        <f t="shared" si="134"/>
        <v>Jun-20 E</v>
      </c>
      <c r="CH63" s="55" t="str">
        <f t="shared" si="134"/>
        <v>Sep-20 E</v>
      </c>
      <c r="CI63" s="55" t="str">
        <f t="shared" si="134"/>
        <v>Dec-20 E</v>
      </c>
      <c r="CJ63" s="56" t="str">
        <f t="shared" si="134"/>
        <v>2020E</v>
      </c>
      <c r="CK63" s="54" t="str">
        <f t="shared" si="134"/>
        <v>Mar-21 E</v>
      </c>
      <c r="CL63" s="55" t="str">
        <f t="shared" si="134"/>
        <v>Jun-21 E</v>
      </c>
      <c r="CM63" s="55" t="str">
        <f t="shared" si="134"/>
        <v>Sep-21 E</v>
      </c>
      <c r="CN63" s="55" t="str">
        <f t="shared" si="134"/>
        <v>Dec-21 E</v>
      </c>
      <c r="CO63" s="56" t="str">
        <f t="shared" si="134"/>
        <v>2021E</v>
      </c>
      <c r="CP63" s="54" t="str">
        <f>CP4</f>
        <v>Mar-22 E</v>
      </c>
      <c r="CQ63" s="55" t="str">
        <f>CQ4</f>
        <v>Jun-22 E</v>
      </c>
      <c r="CR63" s="55" t="str">
        <f>CR4</f>
        <v>Sep-22 E</v>
      </c>
      <c r="CS63" s="55" t="str">
        <f>CS4</f>
        <v>Dec-22 E</v>
      </c>
      <c r="CT63" s="56" t="str">
        <f>CT4</f>
        <v>2022E</v>
      </c>
      <c r="CU63" s="59"/>
      <c r="CV63" s="59"/>
    </row>
    <row r="64" spans="1:100" ht="5.0999999999999996" customHeight="1" x14ac:dyDescent="0.2">
      <c r="A64" s="313"/>
      <c r="B64" s="313"/>
      <c r="C64" s="313"/>
      <c r="D64" s="359"/>
      <c r="E64" s="359"/>
      <c r="F64" s="359"/>
      <c r="G64" s="359"/>
      <c r="H64" s="351"/>
      <c r="I64" s="359"/>
      <c r="J64" s="359"/>
      <c r="K64" s="359"/>
      <c r="L64" s="359"/>
      <c r="M64" s="351"/>
      <c r="N64" s="359"/>
      <c r="O64" s="359"/>
      <c r="P64" s="359"/>
      <c r="Q64" s="359"/>
      <c r="R64" s="351"/>
      <c r="S64" s="359"/>
      <c r="T64" s="359"/>
      <c r="U64" s="359"/>
      <c r="V64" s="359"/>
      <c r="W64" s="351"/>
      <c r="X64" s="359"/>
      <c r="Y64" s="359"/>
      <c r="Z64" s="359"/>
      <c r="AA64" s="359"/>
      <c r="AB64" s="351"/>
      <c r="AC64" s="359"/>
      <c r="AD64" s="359"/>
      <c r="AE64" s="359"/>
      <c r="AF64" s="359"/>
      <c r="AG64" s="351"/>
      <c r="AH64" s="359"/>
      <c r="AI64" s="359"/>
      <c r="AJ64" s="358"/>
      <c r="AK64" s="358"/>
      <c r="AL64" s="351"/>
      <c r="AM64" s="358"/>
      <c r="AN64" s="358"/>
      <c r="AO64" s="360"/>
      <c r="AP64" s="358"/>
      <c r="AQ64" s="351"/>
      <c r="AR64" s="358"/>
      <c r="AS64" s="359"/>
      <c r="AT64" s="360"/>
      <c r="AU64" s="358"/>
      <c r="AV64" s="351"/>
      <c r="AW64" s="358"/>
      <c r="AX64" s="358"/>
      <c r="AY64" s="358"/>
      <c r="AZ64" s="358"/>
      <c r="BA64" s="351"/>
      <c r="BB64" s="358"/>
      <c r="BC64" s="358"/>
      <c r="BD64" s="358"/>
      <c r="BE64" s="358"/>
      <c r="BF64" s="351"/>
      <c r="BG64" s="358"/>
      <c r="BH64" s="358"/>
      <c r="BI64" s="358"/>
      <c r="BJ64" s="358"/>
      <c r="BK64" s="351"/>
      <c r="BL64" s="358"/>
      <c r="BM64" s="358"/>
      <c r="BN64" s="358"/>
      <c r="BO64" s="358"/>
      <c r="BP64" s="351"/>
      <c r="BQ64" s="592"/>
      <c r="BR64" s="627"/>
      <c r="BS64" s="358"/>
      <c r="BT64" s="358"/>
      <c r="BU64" s="351"/>
      <c r="BV64" s="358"/>
      <c r="BW64" s="358"/>
      <c r="BX64" s="358"/>
      <c r="BY64" s="358"/>
      <c r="BZ64" s="351"/>
      <c r="CA64" s="358"/>
      <c r="CB64" s="358"/>
      <c r="CC64" s="358"/>
      <c r="CD64" s="358"/>
      <c r="CE64" s="351"/>
      <c r="CF64" s="358"/>
      <c r="CG64" s="358"/>
      <c r="CH64" s="358"/>
      <c r="CI64" s="358"/>
      <c r="CJ64" s="351"/>
      <c r="CK64" s="358"/>
      <c r="CL64" s="358"/>
      <c r="CM64" s="358"/>
      <c r="CN64" s="358"/>
      <c r="CO64" s="351"/>
      <c r="CP64" s="358"/>
      <c r="CQ64" s="358"/>
      <c r="CR64" s="358"/>
      <c r="CS64" s="358"/>
      <c r="CT64" s="351"/>
      <c r="CU64" s="313"/>
      <c r="CV64" s="313"/>
    </row>
    <row r="65" spans="1:100" x14ac:dyDescent="0.2">
      <c r="A65" s="59" t="s">
        <v>88</v>
      </c>
      <c r="B65" s="59"/>
      <c r="C65" s="313"/>
      <c r="D65" s="294"/>
      <c r="E65" s="294"/>
      <c r="F65" s="294"/>
      <c r="G65" s="294"/>
      <c r="H65" s="351"/>
      <c r="I65" s="294"/>
      <c r="J65" s="294"/>
      <c r="K65" s="294"/>
      <c r="L65" s="294"/>
      <c r="M65" s="351"/>
      <c r="N65" s="294"/>
      <c r="O65" s="294"/>
      <c r="P65" s="294"/>
      <c r="Q65" s="294"/>
      <c r="R65" s="351"/>
      <c r="S65" s="374"/>
      <c r="T65" s="374"/>
      <c r="U65" s="374"/>
      <c r="V65" s="374"/>
      <c r="W65" s="351"/>
      <c r="X65" s="374"/>
      <c r="Y65" s="374"/>
      <c r="Z65" s="385"/>
      <c r="AA65" s="374"/>
      <c r="AB65" s="351"/>
      <c r="AC65" s="385"/>
      <c r="AD65" s="385"/>
      <c r="AE65" s="374"/>
      <c r="AF65" s="374"/>
      <c r="AG65" s="351"/>
      <c r="AH65" s="374"/>
      <c r="AI65" s="374"/>
      <c r="AJ65" s="294"/>
      <c r="AK65" s="294"/>
      <c r="AL65" s="351"/>
      <c r="AM65" s="294"/>
      <c r="AN65" s="294"/>
      <c r="AO65" s="375"/>
      <c r="AP65" s="87"/>
      <c r="AQ65" s="88"/>
      <c r="AR65" s="89"/>
      <c r="AS65" s="90"/>
      <c r="AT65" s="231"/>
      <c r="AU65" s="231"/>
      <c r="AV65" s="88"/>
      <c r="AW65" s="294"/>
      <c r="AX65" s="319"/>
      <c r="AY65" s="319"/>
      <c r="AZ65" s="319"/>
      <c r="BA65" s="414"/>
      <c r="BB65" s="319"/>
      <c r="BC65" s="294"/>
      <c r="BD65" s="424"/>
      <c r="BE65" s="294"/>
      <c r="BF65" s="414"/>
      <c r="BG65" s="294"/>
      <c r="BH65" s="294"/>
      <c r="BI65" s="294"/>
      <c r="BJ65" s="294"/>
      <c r="BK65" s="351"/>
      <c r="BL65" s="294"/>
      <c r="BM65" s="36"/>
      <c r="BN65" s="36"/>
      <c r="BO65" s="294"/>
      <c r="BP65" s="351"/>
      <c r="BQ65" s="593"/>
      <c r="BR65" s="36"/>
      <c r="BS65" s="294"/>
      <c r="BT65" s="294"/>
      <c r="BU65" s="351"/>
      <c r="BV65" s="294"/>
      <c r="BW65" s="294"/>
      <c r="BX65" s="294"/>
      <c r="BY65" s="294"/>
      <c r="BZ65" s="351"/>
      <c r="CA65" s="294"/>
      <c r="CB65" s="294"/>
      <c r="CC65" s="294"/>
      <c r="CD65" s="294"/>
      <c r="CE65" s="351"/>
      <c r="CF65" s="294"/>
      <c r="CG65" s="294"/>
      <c r="CH65" s="294"/>
      <c r="CI65" s="294"/>
      <c r="CJ65" s="351"/>
      <c r="CK65" s="294"/>
      <c r="CL65" s="294"/>
      <c r="CM65" s="294"/>
      <c r="CN65" s="294"/>
      <c r="CO65" s="351"/>
      <c r="CP65" s="294"/>
      <c r="CQ65" s="294"/>
      <c r="CR65" s="294"/>
      <c r="CS65" s="294"/>
      <c r="CT65" s="351"/>
      <c r="CU65" s="313"/>
      <c r="CV65" s="313"/>
    </row>
    <row r="66" spans="1:100" x14ac:dyDescent="0.2">
      <c r="A66" s="313" t="s">
        <v>89</v>
      </c>
      <c r="B66" s="313"/>
      <c r="C66" s="313"/>
      <c r="D66" s="330">
        <v>0</v>
      </c>
      <c r="E66" s="330">
        <v>0</v>
      </c>
      <c r="F66" s="330">
        <v>0</v>
      </c>
      <c r="G66" s="298">
        <v>0</v>
      </c>
      <c r="H66" s="331">
        <f>+G66</f>
        <v>0</v>
      </c>
      <c r="I66" s="330">
        <v>0</v>
      </c>
      <c r="J66" s="330">
        <v>0</v>
      </c>
      <c r="K66" s="330">
        <v>0</v>
      </c>
      <c r="L66" s="298">
        <v>0</v>
      </c>
      <c r="M66" s="331">
        <f>+L66</f>
        <v>0</v>
      </c>
      <c r="N66" s="298">
        <f>+O66</f>
        <v>0</v>
      </c>
      <c r="O66" s="330">
        <v>0</v>
      </c>
      <c r="P66" s="330">
        <v>0</v>
      </c>
      <c r="Q66" s="330">
        <v>0</v>
      </c>
      <c r="R66" s="331">
        <f>+Q66</f>
        <v>0</v>
      </c>
      <c r="S66" s="301">
        <v>0</v>
      </c>
      <c r="T66" s="301">
        <v>0</v>
      </c>
      <c r="U66" s="301">
        <v>0</v>
      </c>
      <c r="V66" s="301">
        <v>0</v>
      </c>
      <c r="W66" s="331">
        <f>+V66</f>
        <v>0</v>
      </c>
      <c r="X66" s="332">
        <v>0</v>
      </c>
      <c r="Y66" s="332">
        <v>0</v>
      </c>
      <c r="Z66" s="301">
        <v>0</v>
      </c>
      <c r="AA66" s="301">
        <v>0</v>
      </c>
      <c r="AB66" s="331">
        <f>+AA66</f>
        <v>0</v>
      </c>
      <c r="AC66" s="301">
        <v>0</v>
      </c>
      <c r="AD66" s="301">
        <v>0</v>
      </c>
      <c r="AE66" s="301">
        <v>0</v>
      </c>
      <c r="AF66" s="301">
        <v>0</v>
      </c>
      <c r="AG66" s="331">
        <f>+AF66</f>
        <v>0</v>
      </c>
      <c r="AH66" s="332">
        <v>0</v>
      </c>
      <c r="AI66" s="301">
        <v>0</v>
      </c>
      <c r="AJ66" s="330">
        <v>0</v>
      </c>
      <c r="AK66" s="330">
        <v>0</v>
      </c>
      <c r="AL66" s="331">
        <f>MAX(0,(-(AL67+AL68+AL69+AL70+AL71+AL74+AL75+AL76+AL77+AL78+AL79)+AL84+AL85+AL86+AL89+AL90+AL91+AL92+AL103))</f>
        <v>0</v>
      </c>
      <c r="AM66" s="330">
        <f>MAX(0,(-(AM67+AM68+AM69+AM70+AM71+AM74+AM75+AM76+AM77+AM78+AM79)+AM84+AM85+AM86+AM89+AM90+AM91+AM92+AM103))</f>
        <v>0</v>
      </c>
      <c r="AN66" s="330">
        <f>MAX(0,(-(AN67+AN68+AN69+AN70+AN71+AN74+AN75+AN76+AN77+AN78+AN79)+AN84+AN85+AN86+AN89+AN90+AN91+AN92+AN103))</f>
        <v>0</v>
      </c>
      <c r="AO66" s="333">
        <v>0</v>
      </c>
      <c r="AP66" s="298">
        <v>0</v>
      </c>
      <c r="AQ66" s="331">
        <f>+AP66</f>
        <v>0</v>
      </c>
      <c r="AR66" s="298">
        <v>0</v>
      </c>
      <c r="AS66" s="301">
        <v>0</v>
      </c>
      <c r="AT66" s="296">
        <v>0</v>
      </c>
      <c r="AU66" s="296">
        <v>0</v>
      </c>
      <c r="AV66" s="331">
        <v>0</v>
      </c>
      <c r="AW66" s="296">
        <v>0</v>
      </c>
      <c r="AX66" s="296">
        <v>0</v>
      </c>
      <c r="AY66" s="296">
        <v>0</v>
      </c>
      <c r="AZ66" s="296">
        <f t="shared" ref="AZ66:BW66" si="135">MAX(0,(-(AZ67+AZ68+AZ69+AZ70+AZ71+AZ74+AZ75+AZ76+AZ77+AZ78+AZ79)+AZ84+AZ85+AZ86+AZ89+AZ90+AZ91+AZ92+AZ103))</f>
        <v>0</v>
      </c>
      <c r="BA66" s="331">
        <v>0</v>
      </c>
      <c r="BB66" s="298">
        <v>0</v>
      </c>
      <c r="BC66" s="296">
        <f t="shared" si="135"/>
        <v>0</v>
      </c>
      <c r="BD66" s="330">
        <v>0</v>
      </c>
      <c r="BE66" s="330">
        <v>0</v>
      </c>
      <c r="BF66" s="331">
        <v>0</v>
      </c>
      <c r="BG66" s="330">
        <v>0</v>
      </c>
      <c r="BH66" s="330">
        <v>0</v>
      </c>
      <c r="BI66" s="330">
        <v>0</v>
      </c>
      <c r="BJ66" s="330">
        <v>0</v>
      </c>
      <c r="BK66" s="331">
        <v>0</v>
      </c>
      <c r="BL66" s="330">
        <v>0</v>
      </c>
      <c r="BM66" s="569">
        <v>0</v>
      </c>
      <c r="BN66" s="569">
        <v>0</v>
      </c>
      <c r="BO66" s="569">
        <v>0</v>
      </c>
      <c r="BP66" s="331">
        <v>0</v>
      </c>
      <c r="BQ66" s="578">
        <v>0</v>
      </c>
      <c r="BR66" s="569">
        <v>0</v>
      </c>
      <c r="BS66" s="569">
        <v>0</v>
      </c>
      <c r="BT66" s="569">
        <v>0</v>
      </c>
      <c r="BU66" s="331">
        <f>BT66</f>
        <v>0</v>
      </c>
      <c r="BV66" s="330">
        <f t="shared" ca="1" si="135"/>
        <v>0</v>
      </c>
      <c r="BW66" s="330">
        <f t="shared" ca="1" si="135"/>
        <v>0</v>
      </c>
      <c r="BX66" s="330">
        <f t="shared" ref="BX66:CO66" ca="1" si="136">MAX(0,(-(BX67+BX68+BX69+BX70+BX71+BX74+BX75+BX76+BX77+BX78+BX79)+BX84+BX85+BX86+BX89+BX90+BX91+BX92+BX103))</f>
        <v>0</v>
      </c>
      <c r="BY66" s="330">
        <f t="shared" ca="1" si="136"/>
        <v>0</v>
      </c>
      <c r="BZ66" s="331">
        <f t="shared" ca="1" si="136"/>
        <v>0</v>
      </c>
      <c r="CA66" s="330">
        <f t="shared" ca="1" si="136"/>
        <v>0</v>
      </c>
      <c r="CB66" s="330">
        <f t="shared" ca="1" si="136"/>
        <v>0</v>
      </c>
      <c r="CC66" s="330">
        <f t="shared" ca="1" si="136"/>
        <v>0</v>
      </c>
      <c r="CD66" s="330">
        <f t="shared" ca="1" si="136"/>
        <v>0</v>
      </c>
      <c r="CE66" s="331">
        <f t="shared" ca="1" si="136"/>
        <v>0</v>
      </c>
      <c r="CF66" s="330">
        <f t="shared" ca="1" si="136"/>
        <v>0</v>
      </c>
      <c r="CG66" s="330">
        <f t="shared" ca="1" si="136"/>
        <v>0</v>
      </c>
      <c r="CH66" s="330">
        <f t="shared" ca="1" si="136"/>
        <v>0</v>
      </c>
      <c r="CI66" s="330">
        <f t="shared" ca="1" si="136"/>
        <v>0</v>
      </c>
      <c r="CJ66" s="331">
        <f t="shared" ca="1" si="136"/>
        <v>0</v>
      </c>
      <c r="CK66" s="330">
        <f t="shared" ca="1" si="136"/>
        <v>0</v>
      </c>
      <c r="CL66" s="330">
        <f t="shared" ca="1" si="136"/>
        <v>0</v>
      </c>
      <c r="CM66" s="330">
        <f t="shared" ca="1" si="136"/>
        <v>0</v>
      </c>
      <c r="CN66" s="330">
        <f t="shared" ca="1" si="136"/>
        <v>0</v>
      </c>
      <c r="CO66" s="331">
        <f t="shared" ca="1" si="136"/>
        <v>0</v>
      </c>
      <c r="CP66" s="330">
        <f ca="1">MAX(0,(-(CP67+CP68+CP69+CP70+CP71+CP74+CP75+CP76+CP77+CP78+CP79)+CP84+CP85+CP86+CP89+CP90+CP91+CP92+CP103))</f>
        <v>0</v>
      </c>
      <c r="CQ66" s="330">
        <f ca="1">MAX(0,(-(CQ67+CQ68+CQ69+CQ70+CQ71+CQ74+CQ75+CQ76+CQ77+CQ78+CQ79)+CQ84+CQ85+CQ86+CQ89+CQ90+CQ91+CQ92+CQ103))</f>
        <v>0</v>
      </c>
      <c r="CR66" s="330">
        <f ca="1">MAX(0,(-(CR67+CR68+CR69+CR70+CR71+CR74+CR75+CR76+CR77+CR78+CR79)+CR84+CR85+CR86+CR89+CR90+CR91+CR92+CR103))</f>
        <v>0</v>
      </c>
      <c r="CS66" s="330">
        <f ca="1">MAX(0,(-(CS67+CS68+CS69+CS70+CS71+CS74+CS75+CS76+CS77+CS78+CS79)+CS84+CS85+CS86+CS89+CS90+CS91+CS92+CS103))</f>
        <v>0</v>
      </c>
      <c r="CT66" s="331">
        <f ca="1">MAX(0,(-(CT67+CT68+CT69+CT70+CT71+CT74+CT75+CT76+CT77+CT78+CT79)+CT84+CT85+CT86+CT89+CT90+CT91+CT92+CT103))</f>
        <v>0</v>
      </c>
      <c r="CU66" s="313"/>
      <c r="CV66" s="313"/>
    </row>
    <row r="67" spans="1:100" x14ac:dyDescent="0.2">
      <c r="A67" s="313" t="s">
        <v>90</v>
      </c>
      <c r="B67" s="313"/>
      <c r="C67" s="313"/>
      <c r="D67" s="298">
        <v>773</v>
      </c>
      <c r="E67" s="298">
        <v>840</v>
      </c>
      <c r="F67" s="298">
        <v>1481</v>
      </c>
      <c r="G67" s="298">
        <v>1280</v>
      </c>
      <c r="H67" s="331">
        <f>G67</f>
        <v>1280</v>
      </c>
      <c r="I67" s="298">
        <v>681</v>
      </c>
      <c r="J67" s="298">
        <v>595</v>
      </c>
      <c r="K67" s="298">
        <v>844</v>
      </c>
      <c r="L67" s="298">
        <v>1716</v>
      </c>
      <c r="M67" s="331">
        <f>L67</f>
        <v>1716</v>
      </c>
      <c r="N67" s="298">
        <v>956</v>
      </c>
      <c r="O67" s="298">
        <v>419</v>
      </c>
      <c r="P67" s="298">
        <v>1325</v>
      </c>
      <c r="Q67" s="298">
        <v>1651</v>
      </c>
      <c r="R67" s="331">
        <f>Q67</f>
        <v>1651</v>
      </c>
      <c r="S67" s="301">
        <v>967</v>
      </c>
      <c r="T67" s="301">
        <v>998</v>
      </c>
      <c r="U67" s="301">
        <v>1035</v>
      </c>
      <c r="V67" s="301">
        <v>910</v>
      </c>
      <c r="W67" s="331">
        <f>V67</f>
        <v>910</v>
      </c>
      <c r="X67" s="301">
        <v>1604</v>
      </c>
      <c r="Y67" s="301">
        <v>1768</v>
      </c>
      <c r="Z67" s="301">
        <v>1517</v>
      </c>
      <c r="AA67" s="301">
        <v>2064</v>
      </c>
      <c r="AB67" s="331">
        <f>AA67</f>
        <v>2064</v>
      </c>
      <c r="AC67" s="301">
        <v>2188</v>
      </c>
      <c r="AD67" s="301">
        <v>2214</v>
      </c>
      <c r="AE67" s="301">
        <v>3254</v>
      </c>
      <c r="AF67" s="301">
        <v>3943</v>
      </c>
      <c r="AG67" s="331">
        <f>AF67</f>
        <v>3943</v>
      </c>
      <c r="AH67" s="301">
        <v>3949</v>
      </c>
      <c r="AI67" s="301">
        <v>4529</v>
      </c>
      <c r="AJ67" s="298">
        <v>5577</v>
      </c>
      <c r="AK67" s="298">
        <v>5943</v>
      </c>
      <c r="AL67" s="331">
        <f>AK67</f>
        <v>5943</v>
      </c>
      <c r="AM67" s="298">
        <v>3662</v>
      </c>
      <c r="AN67" s="298">
        <v>2913</v>
      </c>
      <c r="AO67" s="296">
        <v>3083</v>
      </c>
      <c r="AP67" s="298">
        <v>4067</v>
      </c>
      <c r="AQ67" s="331">
        <f>AP67</f>
        <v>4067</v>
      </c>
      <c r="AR67" s="298">
        <v>3485</v>
      </c>
      <c r="AS67" s="301">
        <v>3863</v>
      </c>
      <c r="AT67" s="296">
        <v>5309</v>
      </c>
      <c r="AU67" s="296">
        <v>6297</v>
      </c>
      <c r="AV67" s="331">
        <f>AU67</f>
        <v>6297</v>
      </c>
      <c r="AW67" s="296">
        <v>6715</v>
      </c>
      <c r="AX67" s="296">
        <v>7793</v>
      </c>
      <c r="AY67" s="296">
        <v>9204</v>
      </c>
      <c r="AZ67" s="296">
        <v>9375</v>
      </c>
      <c r="BA67" s="331">
        <f>AZ67</f>
        <v>9375</v>
      </c>
      <c r="BB67" s="298">
        <v>9839</v>
      </c>
      <c r="BC67" s="296">
        <v>7607</v>
      </c>
      <c r="BD67" s="298">
        <v>7282</v>
      </c>
      <c r="BE67" s="298">
        <v>6134</v>
      </c>
      <c r="BF67" s="331">
        <f>BE67</f>
        <v>6134</v>
      </c>
      <c r="BG67" s="298">
        <v>6410</v>
      </c>
      <c r="BH67" s="298">
        <v>7562</v>
      </c>
      <c r="BI67" s="298">
        <v>8698</v>
      </c>
      <c r="BJ67" s="298">
        <v>9096</v>
      </c>
      <c r="BK67" s="331">
        <f>BJ67</f>
        <v>9096</v>
      </c>
      <c r="BL67" s="298">
        <v>8124</v>
      </c>
      <c r="BM67" s="569">
        <v>9646</v>
      </c>
      <c r="BN67" s="569">
        <v>10256</v>
      </c>
      <c r="BO67" s="569">
        <v>9158</v>
      </c>
      <c r="BP67" s="331">
        <f>BO67</f>
        <v>9158</v>
      </c>
      <c r="BQ67" s="596">
        <v>9528</v>
      </c>
      <c r="BR67" s="569">
        <v>10282</v>
      </c>
      <c r="BS67" s="569">
        <v>10243</v>
      </c>
      <c r="BT67" s="569">
        <v>10610</v>
      </c>
      <c r="BU67" s="331">
        <f>BT67</f>
        <v>10610</v>
      </c>
      <c r="BV67" s="425">
        <f>BT67</f>
        <v>10610</v>
      </c>
      <c r="BW67" s="425">
        <f>BU67</f>
        <v>10610</v>
      </c>
      <c r="BX67" s="425">
        <f>BV67</f>
        <v>10610</v>
      </c>
      <c r="BY67" s="425">
        <f>BW67</f>
        <v>10610</v>
      </c>
      <c r="BZ67" s="331">
        <f>BY67</f>
        <v>10610</v>
      </c>
      <c r="CA67" s="425">
        <f>BY67</f>
        <v>10610</v>
      </c>
      <c r="CB67" s="425">
        <f>BZ67</f>
        <v>10610</v>
      </c>
      <c r="CC67" s="425">
        <f>CA67</f>
        <v>10610</v>
      </c>
      <c r="CD67" s="425">
        <f>CB67</f>
        <v>10610</v>
      </c>
      <c r="CE67" s="331">
        <f>CD67</f>
        <v>10610</v>
      </c>
      <c r="CF67" s="425">
        <f>CD67</f>
        <v>10610</v>
      </c>
      <c r="CG67" s="425">
        <f>CE67</f>
        <v>10610</v>
      </c>
      <c r="CH67" s="425">
        <f>CF67</f>
        <v>10610</v>
      </c>
      <c r="CI67" s="425">
        <f>CG67</f>
        <v>10610</v>
      </c>
      <c r="CJ67" s="331">
        <f>CI67</f>
        <v>10610</v>
      </c>
      <c r="CK67" s="425">
        <f>CI67</f>
        <v>10610</v>
      </c>
      <c r="CL67" s="425">
        <f>CJ67</f>
        <v>10610</v>
      </c>
      <c r="CM67" s="425">
        <f>CK67</f>
        <v>10610</v>
      </c>
      <c r="CN67" s="425">
        <f>CL67</f>
        <v>10610</v>
      </c>
      <c r="CO67" s="331">
        <f>CN67</f>
        <v>10610</v>
      </c>
      <c r="CP67" s="425">
        <f>CN67</f>
        <v>10610</v>
      </c>
      <c r="CQ67" s="425">
        <f>CO67</f>
        <v>10610</v>
      </c>
      <c r="CR67" s="425">
        <f>CP67</f>
        <v>10610</v>
      </c>
      <c r="CS67" s="425">
        <f>CQ67</f>
        <v>10610</v>
      </c>
      <c r="CT67" s="331">
        <f>CS67</f>
        <v>10610</v>
      </c>
      <c r="CU67" s="313"/>
      <c r="CV67" s="313"/>
    </row>
    <row r="68" spans="1:100" x14ac:dyDescent="0.2">
      <c r="A68" s="313" t="s">
        <v>16</v>
      </c>
      <c r="B68" s="313"/>
      <c r="C68" s="313"/>
      <c r="D68" s="298">
        <v>1131</v>
      </c>
      <c r="E68" s="298">
        <v>1239</v>
      </c>
      <c r="F68" s="298">
        <v>1272</v>
      </c>
      <c r="G68" s="298">
        <v>2165</v>
      </c>
      <c r="H68" s="331">
        <f>+G68</f>
        <v>2165</v>
      </c>
      <c r="I68" s="298">
        <v>2692</v>
      </c>
      <c r="J68" s="298">
        <v>3328</v>
      </c>
      <c r="K68" s="298">
        <v>4028</v>
      </c>
      <c r="L68" s="298">
        <v>3166</v>
      </c>
      <c r="M68" s="331">
        <f>+L68</f>
        <v>3166</v>
      </c>
      <c r="N68" s="298">
        <v>2373</v>
      </c>
      <c r="O68" s="298">
        <v>2259</v>
      </c>
      <c r="P68" s="298">
        <v>2075</v>
      </c>
      <c r="Q68" s="298">
        <v>1171</v>
      </c>
      <c r="R68" s="331">
        <f>+Q68</f>
        <v>1171</v>
      </c>
      <c r="S68" s="301">
        <v>770</v>
      </c>
      <c r="T68" s="301">
        <v>864</v>
      </c>
      <c r="U68" s="301">
        <v>1203</v>
      </c>
      <c r="V68" s="301">
        <v>1571</v>
      </c>
      <c r="W68" s="331">
        <f>+V68</f>
        <v>1571</v>
      </c>
      <c r="X68" s="301">
        <v>993</v>
      </c>
      <c r="Y68" s="301">
        <v>305</v>
      </c>
      <c r="Z68" s="301">
        <v>342</v>
      </c>
      <c r="AA68" s="301">
        <v>213</v>
      </c>
      <c r="AB68" s="331">
        <f>+AA68</f>
        <v>213</v>
      </c>
      <c r="AC68" s="301">
        <v>199</v>
      </c>
      <c r="AD68" s="301">
        <v>210</v>
      </c>
      <c r="AE68" s="301">
        <v>206</v>
      </c>
      <c r="AF68" s="301">
        <v>192</v>
      </c>
      <c r="AG68" s="331">
        <f>+AF68</f>
        <v>192</v>
      </c>
      <c r="AH68" s="301">
        <v>198</v>
      </c>
      <c r="AI68" s="301">
        <v>225</v>
      </c>
      <c r="AJ68" s="298">
        <v>232</v>
      </c>
      <c r="AK68" s="298">
        <v>426</v>
      </c>
      <c r="AL68" s="331">
        <f>+AK68</f>
        <v>426</v>
      </c>
      <c r="AM68" s="298">
        <v>367</v>
      </c>
      <c r="AN68" s="298">
        <v>431</v>
      </c>
      <c r="AO68" s="296">
        <v>452</v>
      </c>
      <c r="AP68" s="298">
        <v>358</v>
      </c>
      <c r="AQ68" s="331">
        <f>+AP68</f>
        <v>358</v>
      </c>
      <c r="AR68" s="298">
        <v>328</v>
      </c>
      <c r="AS68" s="301">
        <v>330</v>
      </c>
      <c r="AT68" s="296">
        <v>402</v>
      </c>
      <c r="AU68" s="296">
        <v>322</v>
      </c>
      <c r="AV68" s="331">
        <f t="shared" ref="AV68:CE68" si="137">+AU68</f>
        <v>322</v>
      </c>
      <c r="AW68" s="296">
        <v>296</v>
      </c>
      <c r="AX68" s="296">
        <v>346</v>
      </c>
      <c r="AY68" s="296">
        <v>355</v>
      </c>
      <c r="AZ68" s="296">
        <v>303</v>
      </c>
      <c r="BA68" s="331">
        <f t="shared" si="137"/>
        <v>303</v>
      </c>
      <c r="BB68" s="298">
        <v>247</v>
      </c>
      <c r="BC68" s="296">
        <v>3692</v>
      </c>
      <c r="BD68" s="298">
        <v>5624</v>
      </c>
      <c r="BE68" s="298">
        <v>2592</v>
      </c>
      <c r="BF68" s="331">
        <f t="shared" si="137"/>
        <v>2592</v>
      </c>
      <c r="BG68" s="298">
        <v>2085</v>
      </c>
      <c r="BH68" s="298">
        <v>2017</v>
      </c>
      <c r="BI68" s="298">
        <v>1981</v>
      </c>
      <c r="BJ68" s="298">
        <v>2913</v>
      </c>
      <c r="BK68" s="331">
        <f t="shared" si="137"/>
        <v>2913</v>
      </c>
      <c r="BL68" s="298">
        <v>4020</v>
      </c>
      <c r="BM68" s="569">
        <v>3733</v>
      </c>
      <c r="BN68" s="569">
        <v>4524</v>
      </c>
      <c r="BO68" s="569">
        <v>6967</v>
      </c>
      <c r="BP68" s="331">
        <f t="shared" si="137"/>
        <v>6967</v>
      </c>
      <c r="BQ68" s="596">
        <v>6461</v>
      </c>
      <c r="BR68" s="569">
        <v>6878</v>
      </c>
      <c r="BS68" s="569">
        <v>8035</v>
      </c>
      <c r="BT68" s="569">
        <v>8900</v>
      </c>
      <c r="BU68" s="331">
        <f t="shared" si="137"/>
        <v>8900</v>
      </c>
      <c r="BV68" s="425">
        <f t="shared" si="137"/>
        <v>8900</v>
      </c>
      <c r="BW68" s="425">
        <f t="shared" si="137"/>
        <v>8900</v>
      </c>
      <c r="BX68" s="425">
        <f t="shared" si="137"/>
        <v>8900</v>
      </c>
      <c r="BY68" s="425">
        <f t="shared" si="137"/>
        <v>8900</v>
      </c>
      <c r="BZ68" s="331">
        <f t="shared" si="137"/>
        <v>8900</v>
      </c>
      <c r="CA68" s="425">
        <f t="shared" si="137"/>
        <v>8900</v>
      </c>
      <c r="CB68" s="425">
        <f t="shared" si="137"/>
        <v>8900</v>
      </c>
      <c r="CC68" s="425">
        <f t="shared" si="137"/>
        <v>8900</v>
      </c>
      <c r="CD68" s="425">
        <f t="shared" si="137"/>
        <v>8900</v>
      </c>
      <c r="CE68" s="331">
        <f t="shared" si="137"/>
        <v>8900</v>
      </c>
      <c r="CF68" s="425">
        <f t="shared" ref="CF68:CO68" si="138">+CE68</f>
        <v>8900</v>
      </c>
      <c r="CG68" s="425">
        <f t="shared" si="138"/>
        <v>8900</v>
      </c>
      <c r="CH68" s="425">
        <f t="shared" si="138"/>
        <v>8900</v>
      </c>
      <c r="CI68" s="425">
        <f t="shared" si="138"/>
        <v>8900</v>
      </c>
      <c r="CJ68" s="331">
        <f t="shared" si="138"/>
        <v>8900</v>
      </c>
      <c r="CK68" s="425">
        <f t="shared" si="138"/>
        <v>8900</v>
      </c>
      <c r="CL68" s="425">
        <f t="shared" si="138"/>
        <v>8900</v>
      </c>
      <c r="CM68" s="425">
        <f t="shared" si="138"/>
        <v>8900</v>
      </c>
      <c r="CN68" s="425">
        <f t="shared" si="138"/>
        <v>8900</v>
      </c>
      <c r="CO68" s="331">
        <f t="shared" si="138"/>
        <v>8900</v>
      </c>
      <c r="CP68" s="425">
        <f>+CO68</f>
        <v>8900</v>
      </c>
      <c r="CQ68" s="425">
        <f>+CP68</f>
        <v>8900</v>
      </c>
      <c r="CR68" s="425">
        <f>+CQ68</f>
        <v>8900</v>
      </c>
      <c r="CS68" s="425">
        <f>+CR68</f>
        <v>8900</v>
      </c>
      <c r="CT68" s="331">
        <f>+CS68</f>
        <v>8900</v>
      </c>
      <c r="CU68" s="313"/>
      <c r="CV68" s="313"/>
    </row>
    <row r="69" spans="1:100" x14ac:dyDescent="0.2">
      <c r="A69" s="313" t="s">
        <v>91</v>
      </c>
      <c r="B69" s="313"/>
      <c r="C69" s="313"/>
      <c r="D69" s="298">
        <v>3059</v>
      </c>
      <c r="E69" s="298">
        <v>3360</v>
      </c>
      <c r="F69" s="298">
        <v>3372</v>
      </c>
      <c r="G69" s="298">
        <v>2999</v>
      </c>
      <c r="H69" s="331">
        <f>G69</f>
        <v>2999</v>
      </c>
      <c r="I69" s="298">
        <v>3217</v>
      </c>
      <c r="J69" s="298">
        <v>3504</v>
      </c>
      <c r="K69" s="298">
        <v>3757</v>
      </c>
      <c r="L69" s="298">
        <v>3261</v>
      </c>
      <c r="M69" s="331">
        <f>L69</f>
        <v>3261</v>
      </c>
      <c r="N69" s="298">
        <v>3634</v>
      </c>
      <c r="O69" s="298">
        <v>4104</v>
      </c>
      <c r="P69" s="330">
        <v>4154</v>
      </c>
      <c r="Q69" s="330">
        <v>3725</v>
      </c>
      <c r="R69" s="331">
        <f>Q69</f>
        <v>3725</v>
      </c>
      <c r="S69" s="301">
        <v>4123</v>
      </c>
      <c r="T69" s="301">
        <v>4669</v>
      </c>
      <c r="U69" s="301">
        <v>4764</v>
      </c>
      <c r="V69" s="301">
        <v>4389</v>
      </c>
      <c r="W69" s="331">
        <f>V69</f>
        <v>4389</v>
      </c>
      <c r="X69" s="332">
        <v>4813</v>
      </c>
      <c r="Y69" s="332">
        <v>5617</v>
      </c>
      <c r="Z69" s="301">
        <v>5752</v>
      </c>
      <c r="AA69" s="301">
        <v>4683</v>
      </c>
      <c r="AB69" s="331">
        <f>AA69</f>
        <v>4683</v>
      </c>
      <c r="AC69" s="301">
        <v>4601</v>
      </c>
      <c r="AD69" s="301">
        <v>5223</v>
      </c>
      <c r="AE69" s="301">
        <v>5216</v>
      </c>
      <c r="AF69" s="301">
        <v>4624</v>
      </c>
      <c r="AG69" s="331">
        <f>AF69</f>
        <v>4624</v>
      </c>
      <c r="AH69" s="332">
        <v>6204</v>
      </c>
      <c r="AI69" s="301">
        <v>6880</v>
      </c>
      <c r="AJ69" s="330">
        <v>7245</v>
      </c>
      <c r="AK69" s="330">
        <v>6323</v>
      </c>
      <c r="AL69" s="331">
        <f>AK69</f>
        <v>6323</v>
      </c>
      <c r="AM69" s="330">
        <v>6937</v>
      </c>
      <c r="AN69" s="330">
        <v>8283</v>
      </c>
      <c r="AO69" s="333">
        <v>8330</v>
      </c>
      <c r="AP69" s="298">
        <v>6912</v>
      </c>
      <c r="AQ69" s="331">
        <f>AP69</f>
        <v>6912</v>
      </c>
      <c r="AR69" s="298">
        <v>7158</v>
      </c>
      <c r="AS69" s="301">
        <v>7721</v>
      </c>
      <c r="AT69" s="296">
        <v>7998</v>
      </c>
      <c r="AU69" s="296">
        <v>7041</v>
      </c>
      <c r="AV69" s="331">
        <f>AU69</f>
        <v>7041</v>
      </c>
      <c r="AW69" s="296">
        <v>7234</v>
      </c>
      <c r="AX69" s="296">
        <v>7981</v>
      </c>
      <c r="AY69" s="296">
        <v>8088</v>
      </c>
      <c r="AZ69" s="296">
        <v>6954</v>
      </c>
      <c r="BA69" s="331">
        <f>AZ69</f>
        <v>6954</v>
      </c>
      <c r="BB69" s="298">
        <v>7262</v>
      </c>
      <c r="BC69" s="296">
        <v>8470</v>
      </c>
      <c r="BD69" s="298">
        <v>8376</v>
      </c>
      <c r="BE69" s="298">
        <v>6651</v>
      </c>
      <c r="BF69" s="331">
        <f>BE69</f>
        <v>6651</v>
      </c>
      <c r="BG69" s="298">
        <v>6963</v>
      </c>
      <c r="BH69" s="298">
        <v>7826</v>
      </c>
      <c r="BI69" s="298">
        <v>7666</v>
      </c>
      <c r="BJ69" s="298">
        <v>6437</v>
      </c>
      <c r="BK69" s="331">
        <f>BJ69</f>
        <v>6437</v>
      </c>
      <c r="BL69" s="298">
        <v>6707</v>
      </c>
      <c r="BM69" s="569">
        <v>7495</v>
      </c>
      <c r="BN69" s="569">
        <v>7745</v>
      </c>
      <c r="BO69" s="569">
        <v>6694</v>
      </c>
      <c r="BP69" s="331">
        <f>BO69</f>
        <v>6694</v>
      </c>
      <c r="BQ69" s="596">
        <v>6848</v>
      </c>
      <c r="BR69" s="569">
        <v>7543</v>
      </c>
      <c r="BS69" s="569">
        <v>7923</v>
      </c>
      <c r="BT69" s="569">
        <v>7024</v>
      </c>
      <c r="BU69" s="331">
        <f>BT69</f>
        <v>7024</v>
      </c>
      <c r="BV69" s="330">
        <f>BV164*4*BV5</f>
        <v>7104.1197509563053</v>
      </c>
      <c r="BW69" s="330">
        <f>BW164*4*BW5</f>
        <v>7807.2337626452945</v>
      </c>
      <c r="BX69" s="330">
        <f>BX164*4*BX5</f>
        <v>8206.1765164324734</v>
      </c>
      <c r="BY69" s="330">
        <f>BY164*4*BY5</f>
        <v>7129.8280777696791</v>
      </c>
      <c r="BZ69" s="331">
        <f>BY69</f>
        <v>7129.8280777696791</v>
      </c>
      <c r="CA69" s="330">
        <f>CA164*4*CA5</f>
        <v>7310.0874407606243</v>
      </c>
      <c r="CB69" s="330">
        <f>CB164*4*CB5</f>
        <v>8049.0410914490221</v>
      </c>
      <c r="CC69" s="330">
        <f>CC164*4*CC5</f>
        <v>8453.8210700787804</v>
      </c>
      <c r="CD69" s="330">
        <f>CD164*4*CD5</f>
        <v>7353.0915253534831</v>
      </c>
      <c r="CE69" s="331">
        <f>CD69</f>
        <v>7353.0915253534831</v>
      </c>
      <c r="CF69" s="330">
        <f>CF164*4*CF5</f>
        <v>7519.3683516613346</v>
      </c>
      <c r="CG69" s="330">
        <f>CG164*4*CG5</f>
        <v>8291.659778075491</v>
      </c>
      <c r="CH69" s="330">
        <f>CH164*4*CH5</f>
        <v>8703.0343318843497</v>
      </c>
      <c r="CI69" s="330">
        <f>CI164*4*CI5</f>
        <v>7577.9393923240204</v>
      </c>
      <c r="CJ69" s="331">
        <f>CI69</f>
        <v>7577.9393923240204</v>
      </c>
      <c r="CK69" s="330">
        <f>CK164*4*CK5</f>
        <v>7736.3738808277694</v>
      </c>
      <c r="CL69" s="330">
        <f>CL164*4*CL5</f>
        <v>8543.7422724310254</v>
      </c>
      <c r="CM69" s="330">
        <f>CM164*4*CM5</f>
        <v>8962.0226140687046</v>
      </c>
      <c r="CN69" s="330">
        <f>CN164*4*CN5</f>
        <v>7811.5911074815913</v>
      </c>
      <c r="CO69" s="331">
        <f>CN69</f>
        <v>7811.5911074815913</v>
      </c>
      <c r="CP69" s="330">
        <f>CP164*4*CP5</f>
        <v>7961.422165131753</v>
      </c>
      <c r="CQ69" s="330">
        <f>CQ164*4*CQ5</f>
        <v>8805.6918148216992</v>
      </c>
      <c r="CR69" s="330">
        <f>CR164*4*CR5</f>
        <v>9231.1981580647625</v>
      </c>
      <c r="CS69" s="330">
        <f>CS164*4*CS5</f>
        <v>8054.4210196574786</v>
      </c>
      <c r="CT69" s="331">
        <f>CS69</f>
        <v>8054.4210196574786</v>
      </c>
      <c r="CU69" s="313"/>
      <c r="CV69" s="313"/>
    </row>
    <row r="70" spans="1:100" x14ac:dyDescent="0.2">
      <c r="A70" s="313" t="s">
        <v>92</v>
      </c>
      <c r="B70" s="313"/>
      <c r="C70" s="313"/>
      <c r="D70" s="298">
        <v>1489</v>
      </c>
      <c r="E70" s="298">
        <v>1690</v>
      </c>
      <c r="F70" s="298">
        <v>1598</v>
      </c>
      <c r="G70" s="298">
        <v>1541</v>
      </c>
      <c r="H70" s="331">
        <f>G70</f>
        <v>1541</v>
      </c>
      <c r="I70" s="298">
        <v>1638</v>
      </c>
      <c r="J70" s="298">
        <v>1822</v>
      </c>
      <c r="K70" s="298">
        <v>1664</v>
      </c>
      <c r="L70" s="298">
        <v>1693</v>
      </c>
      <c r="M70" s="331">
        <f>L70</f>
        <v>1693</v>
      </c>
      <c r="N70" s="298">
        <v>1881</v>
      </c>
      <c r="O70" s="298">
        <v>2100</v>
      </c>
      <c r="P70" s="330">
        <v>1962</v>
      </c>
      <c r="Q70" s="330">
        <v>1926</v>
      </c>
      <c r="R70" s="331">
        <f>Q70</f>
        <v>1926</v>
      </c>
      <c r="S70" s="301">
        <v>2074</v>
      </c>
      <c r="T70" s="301">
        <v>2510</v>
      </c>
      <c r="U70" s="301">
        <v>2283</v>
      </c>
      <c r="V70" s="301">
        <v>2290</v>
      </c>
      <c r="W70" s="331">
        <f>V70</f>
        <v>2290</v>
      </c>
      <c r="X70" s="332">
        <v>2492</v>
      </c>
      <c r="Y70" s="332">
        <v>2935</v>
      </c>
      <c r="Z70" s="301">
        <v>2804</v>
      </c>
      <c r="AA70" s="301">
        <v>2522</v>
      </c>
      <c r="AB70" s="331">
        <f>AA70</f>
        <v>2522</v>
      </c>
      <c r="AC70" s="301">
        <v>2580</v>
      </c>
      <c r="AD70" s="301">
        <v>2952</v>
      </c>
      <c r="AE70" s="301">
        <v>2716</v>
      </c>
      <c r="AF70" s="301">
        <v>2618</v>
      </c>
      <c r="AG70" s="331">
        <f>AF70</f>
        <v>2618</v>
      </c>
      <c r="AH70" s="332">
        <v>3283</v>
      </c>
      <c r="AI70" s="301">
        <v>3530</v>
      </c>
      <c r="AJ70" s="330">
        <v>3359</v>
      </c>
      <c r="AK70" s="330">
        <v>3372</v>
      </c>
      <c r="AL70" s="331">
        <f>AK70</f>
        <v>3372</v>
      </c>
      <c r="AM70" s="330">
        <v>3831</v>
      </c>
      <c r="AN70" s="330">
        <v>4539</v>
      </c>
      <c r="AO70" s="333">
        <v>4205</v>
      </c>
      <c r="AP70" s="298">
        <v>3827</v>
      </c>
      <c r="AQ70" s="331">
        <f>AP70</f>
        <v>3827</v>
      </c>
      <c r="AR70" s="298">
        <v>4214</v>
      </c>
      <c r="AS70" s="301">
        <v>4274</v>
      </c>
      <c r="AT70" s="296">
        <v>3905</v>
      </c>
      <c r="AU70" s="296">
        <v>3581</v>
      </c>
      <c r="AV70" s="331">
        <f>AU70</f>
        <v>3581</v>
      </c>
      <c r="AW70" s="296">
        <v>3920</v>
      </c>
      <c r="AX70" s="296">
        <v>4131</v>
      </c>
      <c r="AY70" s="296">
        <v>3738</v>
      </c>
      <c r="AZ70" s="296">
        <v>3409</v>
      </c>
      <c r="BA70" s="331">
        <f>AZ70</f>
        <v>3409</v>
      </c>
      <c r="BB70" s="298">
        <v>3748</v>
      </c>
      <c r="BC70" s="296">
        <v>4194</v>
      </c>
      <c r="BD70" s="298">
        <v>3784</v>
      </c>
      <c r="BE70" s="298">
        <v>3143</v>
      </c>
      <c r="BF70" s="331">
        <f>BE70</f>
        <v>3143</v>
      </c>
      <c r="BG70" s="298">
        <v>3462</v>
      </c>
      <c r="BH70" s="298">
        <v>3931</v>
      </c>
      <c r="BI70" s="298">
        <v>3124</v>
      </c>
      <c r="BJ70" s="298">
        <v>2720</v>
      </c>
      <c r="BK70" s="331">
        <f>BJ70</f>
        <v>2720</v>
      </c>
      <c r="BL70" s="298">
        <v>3219</v>
      </c>
      <c r="BM70" s="569">
        <v>3487</v>
      </c>
      <c r="BN70" s="569">
        <v>3120</v>
      </c>
      <c r="BO70" s="569">
        <v>2723</v>
      </c>
      <c r="BP70" s="331">
        <f>BO70</f>
        <v>2723</v>
      </c>
      <c r="BQ70" s="596">
        <v>3282</v>
      </c>
      <c r="BR70" s="569">
        <v>3612</v>
      </c>
      <c r="BS70" s="569">
        <v>3251</v>
      </c>
      <c r="BT70" s="569">
        <v>2947</v>
      </c>
      <c r="BU70" s="331">
        <f>BT70</f>
        <v>2947</v>
      </c>
      <c r="BV70" s="330">
        <f>-BV166*4*BV8</f>
        <v>3558.723916951024</v>
      </c>
      <c r="BW70" s="330">
        <f>-BW166*4*BW8</f>
        <v>3910.3168431970071</v>
      </c>
      <c r="BX70" s="330">
        <f>-BX166*4*BX8</f>
        <v>3500.4024751444135</v>
      </c>
      <c r="BY70" s="330">
        <f>-BY166*4*BY8</f>
        <v>3221.7970607232983</v>
      </c>
      <c r="BZ70" s="331">
        <f>BY70</f>
        <v>3221.7970607232983</v>
      </c>
      <c r="CA70" s="330">
        <f>-CA166*4*CA8</f>
        <v>3645.4719885451364</v>
      </c>
      <c r="CB70" s="330">
        <f>-CB166*4*CB8</f>
        <v>4013.5626964408816</v>
      </c>
      <c r="CC70" s="330">
        <f>-CC166*4*CC8</f>
        <v>3590.0504259496156</v>
      </c>
      <c r="CD70" s="330">
        <f>-CD166*4*CD8</f>
        <v>3308.1824885899478</v>
      </c>
      <c r="CE70" s="331">
        <f>CD70</f>
        <v>3308.1824885899478</v>
      </c>
      <c r="CF70" s="330">
        <f>-CF166*4*CF8</f>
        <v>3732.9390861401803</v>
      </c>
      <c r="CG70" s="330">
        <f>-CG166*4*CG8</f>
        <v>4116.1379117687902</v>
      </c>
      <c r="CH70" s="330">
        <f>-CH166*4*CH8</f>
        <v>3679.424971870385</v>
      </c>
      <c r="CI70" s="330">
        <f>-CI166*4*CI8</f>
        <v>3394.4088138128327</v>
      </c>
      <c r="CJ70" s="331">
        <f>CI70</f>
        <v>3394.4088138128327</v>
      </c>
      <c r="CK70" s="330">
        <f>-CK166*4*CK8</f>
        <v>3827.6297233692426</v>
      </c>
      <c r="CL70" s="330">
        <f>-CL166*4*CL8</f>
        <v>4227.0539585958268</v>
      </c>
      <c r="CM70" s="330">
        <f>-CM166*4*CM8</f>
        <v>3776.208021610983</v>
      </c>
      <c r="CN70" s="330">
        <f>-CN166*4*CN8</f>
        <v>3487.5018643178573</v>
      </c>
      <c r="CO70" s="331">
        <f>CN70</f>
        <v>3487.5018643178573</v>
      </c>
      <c r="CP70" s="330">
        <f>-CP166*4*CP8</f>
        <v>3925.5544577525689</v>
      </c>
      <c r="CQ70" s="330">
        <f>-CQ166*4*CQ8</f>
        <v>4341.9960772792729</v>
      </c>
      <c r="CR70" s="330">
        <f>-CR166*4*CR8</f>
        <v>3876.5344547757995</v>
      </c>
      <c r="CS70" s="330">
        <f>-CS166*4*CS8</f>
        <v>3583.9867402285513</v>
      </c>
      <c r="CT70" s="331">
        <f>CS70</f>
        <v>3583.9867402285513</v>
      </c>
      <c r="CU70" s="313"/>
      <c r="CV70" s="313"/>
    </row>
    <row r="71" spans="1:100" x14ac:dyDescent="0.2">
      <c r="A71" s="313" t="s">
        <v>93</v>
      </c>
      <c r="B71" s="313"/>
      <c r="C71" s="313"/>
      <c r="D71" s="427">
        <v>700</v>
      </c>
      <c r="E71" s="427">
        <v>660</v>
      </c>
      <c r="F71" s="427">
        <v>621</v>
      </c>
      <c r="G71" s="299">
        <v>654</v>
      </c>
      <c r="H71" s="428">
        <f>+G71</f>
        <v>654</v>
      </c>
      <c r="I71" s="427">
        <v>648</v>
      </c>
      <c r="J71" s="427">
        <v>661</v>
      </c>
      <c r="K71" s="427">
        <v>498</v>
      </c>
      <c r="L71" s="299">
        <v>618</v>
      </c>
      <c r="M71" s="428">
        <f>+L71</f>
        <v>618</v>
      </c>
      <c r="N71" s="299">
        <v>658</v>
      </c>
      <c r="O71" s="299">
        <v>648</v>
      </c>
      <c r="P71" s="427">
        <v>623</v>
      </c>
      <c r="Q71" s="427">
        <v>657</v>
      </c>
      <c r="R71" s="428">
        <f>+Q71</f>
        <v>657</v>
      </c>
      <c r="S71" s="429">
        <v>757</v>
      </c>
      <c r="T71" s="429">
        <v>747</v>
      </c>
      <c r="U71" s="429">
        <v>662</v>
      </c>
      <c r="V71" s="429">
        <v>991</v>
      </c>
      <c r="W71" s="428">
        <f>+V71</f>
        <v>991</v>
      </c>
      <c r="X71" s="430">
        <v>1163</v>
      </c>
      <c r="Y71" s="430">
        <v>1026</v>
      </c>
      <c r="Z71" s="429">
        <v>939</v>
      </c>
      <c r="AA71" s="429">
        <v>1324</v>
      </c>
      <c r="AB71" s="428">
        <f>+AA71</f>
        <v>1324</v>
      </c>
      <c r="AC71" s="429">
        <v>1291</v>
      </c>
      <c r="AD71" s="429">
        <v>1031</v>
      </c>
      <c r="AE71" s="429">
        <v>1024</v>
      </c>
      <c r="AF71" s="429">
        <v>1194</v>
      </c>
      <c r="AG71" s="428">
        <f>+AF71</f>
        <v>1194</v>
      </c>
      <c r="AH71" s="430">
        <v>1631</v>
      </c>
      <c r="AI71" s="430">
        <v>1579</v>
      </c>
      <c r="AJ71" s="427">
        <v>1488</v>
      </c>
      <c r="AK71" s="427">
        <v>1505</v>
      </c>
      <c r="AL71" s="428">
        <f>+AK71</f>
        <v>1505</v>
      </c>
      <c r="AM71" s="427">
        <v>1715</v>
      </c>
      <c r="AN71" s="427">
        <v>1751</v>
      </c>
      <c r="AO71" s="431">
        <v>1764</v>
      </c>
      <c r="AP71" s="299">
        <v>2277</v>
      </c>
      <c r="AQ71" s="428">
        <f>+AP71</f>
        <v>2277</v>
      </c>
      <c r="AR71" s="299">
        <v>2393</v>
      </c>
      <c r="AS71" s="429">
        <v>1845</v>
      </c>
      <c r="AT71" s="297">
        <v>1656</v>
      </c>
      <c r="AU71" s="297">
        <v>1479</v>
      </c>
      <c r="AV71" s="428">
        <f>+AU71</f>
        <v>1479</v>
      </c>
      <c r="AW71" s="297">
        <v>1745</v>
      </c>
      <c r="AX71" s="297">
        <v>1712</v>
      </c>
      <c r="AY71" s="297">
        <v>1546</v>
      </c>
      <c r="AZ71" s="297">
        <v>2162</v>
      </c>
      <c r="BA71" s="428">
        <f>+AZ71</f>
        <v>2162</v>
      </c>
      <c r="BB71" s="299">
        <v>2189</v>
      </c>
      <c r="BC71" s="297">
        <v>1832</v>
      </c>
      <c r="BD71" s="299">
        <v>1524</v>
      </c>
      <c r="BE71" s="299">
        <v>2143</v>
      </c>
      <c r="BF71" s="428">
        <f>+BE71</f>
        <v>2143</v>
      </c>
      <c r="BG71" s="299">
        <v>2002</v>
      </c>
      <c r="BH71" s="299">
        <v>1733</v>
      </c>
      <c r="BI71" s="299">
        <v>1345</v>
      </c>
      <c r="BJ71" s="299">
        <v>1865</v>
      </c>
      <c r="BK71" s="428">
        <f>+BJ71</f>
        <v>1865</v>
      </c>
      <c r="BL71" s="299">
        <v>1896</v>
      </c>
      <c r="BM71" s="570">
        <v>1517</v>
      </c>
      <c r="BN71" s="570">
        <v>1454</v>
      </c>
      <c r="BO71" s="570">
        <v>1547</v>
      </c>
      <c r="BP71" s="428">
        <f>+BO71</f>
        <v>1547</v>
      </c>
      <c r="BQ71" s="603">
        <v>1031</v>
      </c>
      <c r="BR71" s="570">
        <v>933</v>
      </c>
      <c r="BS71" s="570">
        <v>745</v>
      </c>
      <c r="BT71" s="570">
        <v>1546</v>
      </c>
      <c r="BU71" s="428">
        <f>+BT71</f>
        <v>1546</v>
      </c>
      <c r="BV71" s="427">
        <f>BV168*4*BV5</f>
        <v>1069.5600851688012</v>
      </c>
      <c r="BW71" s="427">
        <f>BW168*4*BW5</f>
        <v>965.6832958435715</v>
      </c>
      <c r="BX71" s="427">
        <f>BX168*4*BX5</f>
        <v>771.62709891987799</v>
      </c>
      <c r="BY71" s="427">
        <f>BY168*4*BY5</f>
        <v>1604.986611160024</v>
      </c>
      <c r="BZ71" s="428">
        <f>+BY71</f>
        <v>1604.986611160024</v>
      </c>
      <c r="CA71" s="427">
        <f>CA168*4*CA5</f>
        <v>1100.5695314579737</v>
      </c>
      <c r="CB71" s="427">
        <f>CB168*4*CB5</f>
        <v>995.59264726527078</v>
      </c>
      <c r="CC71" s="427">
        <f>CC168*4*CC5</f>
        <v>794.91312598872798</v>
      </c>
      <c r="CD71" s="427">
        <f>CD168*4*CD5</f>
        <v>1655.2451644133203</v>
      </c>
      <c r="CE71" s="428">
        <f>+CD71</f>
        <v>1655.2451644133203</v>
      </c>
      <c r="CF71" s="427">
        <f>CF168*4*CF5</f>
        <v>1132.0777994396665</v>
      </c>
      <c r="CG71" s="427">
        <f>CG168*4*CG5</f>
        <v>1025.6023562169473</v>
      </c>
      <c r="CH71" s="427">
        <f>CH168*4*CH5</f>
        <v>818.34665874717155</v>
      </c>
      <c r="CI71" s="427">
        <f>CI168*4*CI5</f>
        <v>1705.8603843175413</v>
      </c>
      <c r="CJ71" s="428">
        <f>+CI71</f>
        <v>1705.8603843175413</v>
      </c>
      <c r="CK71" s="427">
        <f>CK168*4*CK5</f>
        <v>1164.7490466024285</v>
      </c>
      <c r="CL71" s="427">
        <f>CL168*4*CL5</f>
        <v>1056.7826514885519</v>
      </c>
      <c r="CM71" s="427">
        <f>CM168*4*CM5</f>
        <v>842.69933705429582</v>
      </c>
      <c r="CN71" s="427">
        <f>CN168*4*CN5</f>
        <v>1758.4574273895512</v>
      </c>
      <c r="CO71" s="428">
        <f>+CN71</f>
        <v>1758.4574273895512</v>
      </c>
      <c r="CP71" s="427">
        <f>CP168*4*CP5</f>
        <v>1198.6311700132646</v>
      </c>
      <c r="CQ71" s="427">
        <f>CQ168*4*CQ5</f>
        <v>1089.1834102119376</v>
      </c>
      <c r="CR71" s="427">
        <f>CR168*4*CR5</f>
        <v>868.0099239881672</v>
      </c>
      <c r="CS71" s="427">
        <f>CS168*4*CS5</f>
        <v>1813.1205628228784</v>
      </c>
      <c r="CT71" s="428">
        <f>+CS71</f>
        <v>1813.1205628228784</v>
      </c>
      <c r="CU71" s="313"/>
      <c r="CV71" s="313"/>
    </row>
    <row r="72" spans="1:100" x14ac:dyDescent="0.2">
      <c r="A72" s="91"/>
      <c r="B72" s="91" t="s">
        <v>94</v>
      </c>
      <c r="C72" s="91"/>
      <c r="D72" s="17">
        <f t="shared" ref="D72:L72" si="139">SUM(D67:D71)+D66</f>
        <v>7152</v>
      </c>
      <c r="E72" s="17">
        <f t="shared" si="139"/>
        <v>7789</v>
      </c>
      <c r="F72" s="17">
        <f t="shared" si="139"/>
        <v>8344</v>
      </c>
      <c r="G72" s="17">
        <f t="shared" si="139"/>
        <v>8639</v>
      </c>
      <c r="H72" s="51">
        <f t="shared" si="139"/>
        <v>8639</v>
      </c>
      <c r="I72" s="60">
        <f t="shared" si="139"/>
        <v>8876</v>
      </c>
      <c r="J72" s="17">
        <f t="shared" si="139"/>
        <v>9910</v>
      </c>
      <c r="K72" s="17">
        <f t="shared" si="139"/>
        <v>10791</v>
      </c>
      <c r="L72" s="17">
        <f t="shared" si="139"/>
        <v>10454</v>
      </c>
      <c r="M72" s="51">
        <f>SUM(M67:M71)+M66</f>
        <v>10454</v>
      </c>
      <c r="N72" s="17">
        <f>SUM(N67:N71)+N66</f>
        <v>9502</v>
      </c>
      <c r="O72" s="17">
        <f>SUM(O67:O71)+O66</f>
        <v>9530</v>
      </c>
      <c r="P72" s="60">
        <f t="shared" ref="P72:AQ72" si="140">SUM(P67:P71)+P66</f>
        <v>10139</v>
      </c>
      <c r="Q72" s="60">
        <f t="shared" si="140"/>
        <v>9130</v>
      </c>
      <c r="R72" s="51">
        <f t="shared" si="140"/>
        <v>9130</v>
      </c>
      <c r="S72" s="61">
        <f t="shared" si="140"/>
        <v>8691</v>
      </c>
      <c r="T72" s="61">
        <f t="shared" si="140"/>
        <v>9788</v>
      </c>
      <c r="U72" s="61">
        <f t="shared" si="140"/>
        <v>9947</v>
      </c>
      <c r="V72" s="92">
        <f>SUM(V67:V71)+V66</f>
        <v>10151</v>
      </c>
      <c r="W72" s="51">
        <f>SUM(W67:W71)+W66</f>
        <v>10151</v>
      </c>
      <c r="X72" s="61">
        <f t="shared" si="140"/>
        <v>11065</v>
      </c>
      <c r="Y72" s="61">
        <f t="shared" si="140"/>
        <v>11651</v>
      </c>
      <c r="Z72" s="92">
        <f t="shared" si="140"/>
        <v>11354</v>
      </c>
      <c r="AA72" s="92">
        <f>SUM(AA67:AA71)+AA66</f>
        <v>10806</v>
      </c>
      <c r="AB72" s="51">
        <f>SUM(AB67:AB71)+AB66</f>
        <v>10806</v>
      </c>
      <c r="AC72" s="92">
        <f t="shared" si="140"/>
        <v>10859</v>
      </c>
      <c r="AD72" s="92">
        <f t="shared" si="140"/>
        <v>11630</v>
      </c>
      <c r="AE72" s="92">
        <f t="shared" si="140"/>
        <v>12416</v>
      </c>
      <c r="AF72" s="92">
        <f t="shared" si="140"/>
        <v>12571</v>
      </c>
      <c r="AG72" s="51">
        <f t="shared" si="140"/>
        <v>12571</v>
      </c>
      <c r="AH72" s="61">
        <f t="shared" si="140"/>
        <v>15265</v>
      </c>
      <c r="AI72" s="61">
        <f t="shared" si="140"/>
        <v>16743</v>
      </c>
      <c r="AJ72" s="60">
        <f t="shared" si="140"/>
        <v>17901</v>
      </c>
      <c r="AK72" s="60">
        <f t="shared" si="140"/>
        <v>17569</v>
      </c>
      <c r="AL72" s="51">
        <f t="shared" si="140"/>
        <v>17569</v>
      </c>
      <c r="AM72" s="60">
        <f t="shared" si="140"/>
        <v>16512</v>
      </c>
      <c r="AN72" s="60">
        <f t="shared" si="140"/>
        <v>17917</v>
      </c>
      <c r="AO72" s="62">
        <f t="shared" si="140"/>
        <v>17834</v>
      </c>
      <c r="AP72" s="17">
        <f t="shared" si="140"/>
        <v>17441</v>
      </c>
      <c r="AQ72" s="51">
        <f t="shared" si="140"/>
        <v>17441</v>
      </c>
      <c r="AR72" s="17">
        <f t="shared" ref="AR72:BW72" si="141">SUM(AR67:AR71)+AR66</f>
        <v>17578</v>
      </c>
      <c r="AS72" s="92">
        <f t="shared" si="141"/>
        <v>18033</v>
      </c>
      <c r="AT72" s="93">
        <f t="shared" si="141"/>
        <v>19270</v>
      </c>
      <c r="AU72" s="93">
        <f t="shared" si="141"/>
        <v>18720</v>
      </c>
      <c r="AV72" s="51">
        <f t="shared" si="141"/>
        <v>18720</v>
      </c>
      <c r="AW72" s="93">
        <f t="shared" si="141"/>
        <v>19910</v>
      </c>
      <c r="AX72" s="93">
        <f t="shared" si="141"/>
        <v>21963</v>
      </c>
      <c r="AY72" s="93">
        <f t="shared" si="141"/>
        <v>22931</v>
      </c>
      <c r="AZ72" s="93">
        <f t="shared" si="141"/>
        <v>22203</v>
      </c>
      <c r="BA72" s="51">
        <f t="shared" si="141"/>
        <v>22203</v>
      </c>
      <c r="BB72" s="60">
        <f t="shared" si="141"/>
        <v>23285</v>
      </c>
      <c r="BC72" s="93">
        <f t="shared" si="141"/>
        <v>25795</v>
      </c>
      <c r="BD72" s="17">
        <f t="shared" si="141"/>
        <v>26590</v>
      </c>
      <c r="BE72" s="17">
        <f t="shared" si="141"/>
        <v>20663</v>
      </c>
      <c r="BF72" s="51">
        <f>SUM(BF67:BF71)+BF66</f>
        <v>20663</v>
      </c>
      <c r="BG72" s="60">
        <f t="shared" si="141"/>
        <v>20922</v>
      </c>
      <c r="BH72" s="60">
        <f t="shared" si="141"/>
        <v>23069</v>
      </c>
      <c r="BI72" s="60">
        <f t="shared" si="141"/>
        <v>22814</v>
      </c>
      <c r="BJ72" s="60">
        <f t="shared" si="141"/>
        <v>23031</v>
      </c>
      <c r="BK72" s="51">
        <f t="shared" si="141"/>
        <v>23031</v>
      </c>
      <c r="BL72" s="60">
        <f t="shared" si="141"/>
        <v>23966</v>
      </c>
      <c r="BM72" s="17">
        <f t="shared" si="141"/>
        <v>25878</v>
      </c>
      <c r="BN72" s="17">
        <f t="shared" si="141"/>
        <v>27099</v>
      </c>
      <c r="BO72" s="17">
        <f t="shared" si="141"/>
        <v>27089</v>
      </c>
      <c r="BP72" s="51">
        <f t="shared" si="141"/>
        <v>27089</v>
      </c>
      <c r="BQ72" s="587">
        <f t="shared" si="141"/>
        <v>27150</v>
      </c>
      <c r="BR72" s="17">
        <f>SUM(BR67:BR71)+BR66</f>
        <v>29248</v>
      </c>
      <c r="BS72" s="17">
        <f t="shared" si="141"/>
        <v>30197</v>
      </c>
      <c r="BT72" s="17">
        <f t="shared" si="141"/>
        <v>31027</v>
      </c>
      <c r="BU72" s="51">
        <f t="shared" si="141"/>
        <v>31027</v>
      </c>
      <c r="BV72" s="60">
        <f t="shared" ca="1" si="141"/>
        <v>31242.403753076131</v>
      </c>
      <c r="BW72" s="60">
        <f t="shared" ca="1" si="141"/>
        <v>32193.233901685871</v>
      </c>
      <c r="BX72" s="60">
        <f t="shared" ref="BX72:CO72" ca="1" si="142">SUM(BX67:BX71)+BX66</f>
        <v>31988.206090496766</v>
      </c>
      <c r="BY72" s="60">
        <f t="shared" ca="1" si="142"/>
        <v>31466.611749653002</v>
      </c>
      <c r="BZ72" s="51">
        <f t="shared" ca="1" si="142"/>
        <v>31466.611749653002</v>
      </c>
      <c r="CA72" s="60">
        <f t="shared" ca="1" si="142"/>
        <v>31566.128960763737</v>
      </c>
      <c r="CB72" s="60">
        <f t="shared" ca="1" si="142"/>
        <v>32568.196435155172</v>
      </c>
      <c r="CC72" s="60">
        <f t="shared" ca="1" si="142"/>
        <v>32348.784622017127</v>
      </c>
      <c r="CD72" s="60">
        <f t="shared" ca="1" si="142"/>
        <v>31826.519178356753</v>
      </c>
      <c r="CE72" s="51">
        <f t="shared" ca="1" si="142"/>
        <v>31826.519178356753</v>
      </c>
      <c r="CF72" s="60">
        <f t="shared" ca="1" si="142"/>
        <v>31894.385237241182</v>
      </c>
      <c r="CG72" s="60">
        <f t="shared" ca="1" si="142"/>
        <v>32943.40004606123</v>
      </c>
      <c r="CH72" s="60">
        <f t="shared" ca="1" si="142"/>
        <v>32710.805962501909</v>
      </c>
      <c r="CI72" s="60">
        <f t="shared" ca="1" si="142"/>
        <v>32188.208590454393</v>
      </c>
      <c r="CJ72" s="51">
        <f t="shared" ca="1" si="142"/>
        <v>32188.208590454393</v>
      </c>
      <c r="CK72" s="60">
        <f t="shared" ca="1" si="142"/>
        <v>32238.752650799441</v>
      </c>
      <c r="CL72" s="60">
        <f t="shared" ca="1" si="142"/>
        <v>33337.578882515401</v>
      </c>
      <c r="CM72" s="60">
        <f t="shared" ca="1" si="142"/>
        <v>33090.929972733982</v>
      </c>
      <c r="CN72" s="60">
        <f t="shared" ca="1" si="142"/>
        <v>32567.550399189004</v>
      </c>
      <c r="CO72" s="51">
        <f t="shared" ca="1" si="142"/>
        <v>32567.550399189004</v>
      </c>
      <c r="CP72" s="60">
        <f ca="1">SUM(CP67:CP71)+CP66</f>
        <v>32595.607792897586</v>
      </c>
      <c r="CQ72" s="60">
        <f ca="1">SUM(CQ67:CQ71)+CQ66</f>
        <v>33746.871302312909</v>
      </c>
      <c r="CR72" s="60">
        <f ca="1">SUM(CR67:CR71)+CR66</f>
        <v>33485.742536828729</v>
      </c>
      <c r="CS72" s="60">
        <f ca="1">SUM(CS67:CS71)+CS66</f>
        <v>32961.528322708909</v>
      </c>
      <c r="CT72" s="51">
        <f ca="1">SUM(CT67:CT71)+CT66</f>
        <v>32961.528322708909</v>
      </c>
      <c r="CU72" s="91"/>
      <c r="CV72" s="91"/>
    </row>
    <row r="73" spans="1:100" ht="5.0999999999999996" customHeight="1" x14ac:dyDescent="0.2">
      <c r="A73" s="313"/>
      <c r="B73" s="313"/>
      <c r="C73" s="313"/>
      <c r="D73" s="330"/>
      <c r="E73" s="330"/>
      <c r="F73" s="330"/>
      <c r="G73" s="298"/>
      <c r="H73" s="331"/>
      <c r="I73" s="330"/>
      <c r="J73" s="330"/>
      <c r="K73" s="330"/>
      <c r="L73" s="298"/>
      <c r="M73" s="331"/>
      <c r="N73" s="298"/>
      <c r="O73" s="298"/>
      <c r="P73" s="330"/>
      <c r="Q73" s="330"/>
      <c r="R73" s="331"/>
      <c r="S73" s="332"/>
      <c r="T73" s="332"/>
      <c r="U73" s="332"/>
      <c r="V73" s="432"/>
      <c r="W73" s="331"/>
      <c r="X73" s="432"/>
      <c r="Y73" s="432"/>
      <c r="Z73" s="432"/>
      <c r="AA73" s="432"/>
      <c r="AB73" s="331"/>
      <c r="AC73" s="432"/>
      <c r="AD73" s="432"/>
      <c r="AE73" s="432"/>
      <c r="AF73" s="432"/>
      <c r="AG73" s="331"/>
      <c r="AH73" s="432"/>
      <c r="AI73" s="332"/>
      <c r="AJ73" s="330"/>
      <c r="AK73" s="330"/>
      <c r="AL73" s="331"/>
      <c r="AM73" s="330"/>
      <c r="AN73" s="330"/>
      <c r="AO73" s="333"/>
      <c r="AP73" s="298"/>
      <c r="AQ73" s="331"/>
      <c r="AR73" s="298"/>
      <c r="AS73" s="301"/>
      <c r="AT73" s="296"/>
      <c r="AU73" s="296"/>
      <c r="AV73" s="331"/>
      <c r="AW73" s="296"/>
      <c r="AX73" s="296"/>
      <c r="AY73" s="296"/>
      <c r="AZ73" s="296"/>
      <c r="BA73" s="331"/>
      <c r="BB73" s="330"/>
      <c r="BC73" s="296"/>
      <c r="BD73" s="298"/>
      <c r="BE73" s="298"/>
      <c r="BF73" s="331"/>
      <c r="BG73" s="330"/>
      <c r="BH73" s="330"/>
      <c r="BI73" s="330"/>
      <c r="BJ73" s="330"/>
      <c r="BK73" s="331"/>
      <c r="BL73" s="330"/>
      <c r="BM73" s="569"/>
      <c r="BN73" s="569"/>
      <c r="BO73" s="330"/>
      <c r="BP73" s="331"/>
      <c r="BQ73" s="578"/>
      <c r="BR73" s="569"/>
      <c r="BS73" s="330"/>
      <c r="BT73" s="330"/>
      <c r="BU73" s="331"/>
      <c r="BV73" s="330"/>
      <c r="BW73" s="330"/>
      <c r="BX73" s="330"/>
      <c r="BY73" s="330"/>
      <c r="BZ73" s="331"/>
      <c r="CA73" s="330"/>
      <c r="CB73" s="330"/>
      <c r="CC73" s="330"/>
      <c r="CD73" s="330"/>
      <c r="CE73" s="331"/>
      <c r="CF73" s="330"/>
      <c r="CG73" s="330"/>
      <c r="CH73" s="330"/>
      <c r="CI73" s="330"/>
      <c r="CJ73" s="331"/>
      <c r="CK73" s="330"/>
      <c r="CL73" s="330"/>
      <c r="CM73" s="330"/>
      <c r="CN73" s="330"/>
      <c r="CO73" s="331"/>
      <c r="CP73" s="330"/>
      <c r="CQ73" s="330"/>
      <c r="CR73" s="330"/>
      <c r="CS73" s="330"/>
      <c r="CT73" s="331"/>
      <c r="CU73" s="313"/>
      <c r="CV73" s="313"/>
    </row>
    <row r="74" spans="1:100" x14ac:dyDescent="0.2">
      <c r="A74" s="313" t="s">
        <v>95</v>
      </c>
      <c r="B74" s="313"/>
      <c r="C74" s="313"/>
      <c r="D74" s="298">
        <v>7789</v>
      </c>
      <c r="E74" s="298">
        <v>7737</v>
      </c>
      <c r="F74" s="298">
        <v>7723</v>
      </c>
      <c r="G74" s="298">
        <v>8149</v>
      </c>
      <c r="H74" s="331">
        <f>+G74</f>
        <v>8149</v>
      </c>
      <c r="I74" s="298">
        <v>8093</v>
      </c>
      <c r="J74" s="298">
        <v>8056</v>
      </c>
      <c r="K74" s="298">
        <v>8163</v>
      </c>
      <c r="L74" s="298">
        <v>8681</v>
      </c>
      <c r="M74" s="331">
        <f>+L74</f>
        <v>8681</v>
      </c>
      <c r="N74" s="298">
        <v>8754</v>
      </c>
      <c r="O74" s="298">
        <v>8937</v>
      </c>
      <c r="P74" s="298">
        <v>9111</v>
      </c>
      <c r="Q74" s="298">
        <v>9687</v>
      </c>
      <c r="R74" s="331">
        <f t="shared" ref="R74:R79" si="143">+Q74</f>
        <v>9687</v>
      </c>
      <c r="S74" s="301">
        <v>9731</v>
      </c>
      <c r="T74" s="301">
        <v>10077</v>
      </c>
      <c r="U74" s="301">
        <v>10397</v>
      </c>
      <c r="V74" s="301">
        <v>11228</v>
      </c>
      <c r="W74" s="331">
        <f t="shared" ref="W74:W79" si="144">+V74</f>
        <v>11228</v>
      </c>
      <c r="X74" s="301">
        <v>11263</v>
      </c>
      <c r="Y74" s="301">
        <v>11600</v>
      </c>
      <c r="Z74" s="301">
        <v>11992</v>
      </c>
      <c r="AA74" s="301">
        <v>11663</v>
      </c>
      <c r="AB74" s="331">
        <f t="shared" ref="AB74:AB79" si="145">+AA74</f>
        <v>11663</v>
      </c>
      <c r="AC74" s="301">
        <v>11306</v>
      </c>
      <c r="AD74" s="301">
        <v>11848</v>
      </c>
      <c r="AE74" s="301">
        <v>12033</v>
      </c>
      <c r="AF74" s="301">
        <v>12671</v>
      </c>
      <c r="AG74" s="331">
        <f t="shared" ref="AG74:AG79" si="146">+AF74</f>
        <v>12671</v>
      </c>
      <c r="AH74" s="301">
        <v>18850</v>
      </c>
      <c r="AI74" s="332">
        <v>18396</v>
      </c>
      <c r="AJ74" s="298">
        <v>18534</v>
      </c>
      <c r="AK74" s="298">
        <v>19058</v>
      </c>
      <c r="AL74" s="331">
        <f t="shared" ref="AL74:AL79" si="147">+AK74</f>
        <v>19058</v>
      </c>
      <c r="AM74" s="298">
        <v>20329</v>
      </c>
      <c r="AN74" s="298">
        <v>20854</v>
      </c>
      <c r="AO74" s="296">
        <v>20737</v>
      </c>
      <c r="AP74" s="298">
        <v>19698</v>
      </c>
      <c r="AQ74" s="331">
        <f t="shared" ref="AQ74:AQ79" si="148">+AP74</f>
        <v>19698</v>
      </c>
      <c r="AR74" s="298">
        <v>20005</v>
      </c>
      <c r="AS74" s="301">
        <v>18514</v>
      </c>
      <c r="AT74" s="296">
        <v>18530</v>
      </c>
      <c r="AU74" s="296">
        <v>19136</v>
      </c>
      <c r="AV74" s="331">
        <f t="shared" ref="AV74:AV79" si="149">+AU74</f>
        <v>19136</v>
      </c>
      <c r="AW74" s="296">
        <v>18844</v>
      </c>
      <c r="AX74" s="296">
        <v>18390</v>
      </c>
      <c r="AY74" s="296">
        <v>18072</v>
      </c>
      <c r="AZ74" s="296">
        <v>18575</v>
      </c>
      <c r="BA74" s="331">
        <f t="shared" ref="BA74:BA79" si="150">+AZ74</f>
        <v>18575</v>
      </c>
      <c r="BB74" s="330">
        <v>18129</v>
      </c>
      <c r="BC74" s="296">
        <v>18174</v>
      </c>
      <c r="BD74" s="298">
        <v>17929</v>
      </c>
      <c r="BE74" s="298">
        <v>17244</v>
      </c>
      <c r="BF74" s="331">
        <f t="shared" ref="BF74:BF79" si="151">+BE74</f>
        <v>17244</v>
      </c>
      <c r="BG74" s="330">
        <v>16678</v>
      </c>
      <c r="BH74" s="330">
        <v>16736</v>
      </c>
      <c r="BI74" s="330">
        <v>16131</v>
      </c>
      <c r="BJ74" s="330">
        <v>16317</v>
      </c>
      <c r="BK74" s="331">
        <f t="shared" ref="BK74:BK79" si="152">+BJ74</f>
        <v>16317</v>
      </c>
      <c r="BL74" s="330">
        <v>16105</v>
      </c>
      <c r="BM74" s="569">
        <v>16219</v>
      </c>
      <c r="BN74" s="569">
        <v>16305</v>
      </c>
      <c r="BO74" s="569">
        <v>16591</v>
      </c>
      <c r="BP74" s="331">
        <f t="shared" ref="BP74:BP79" si="153">+BO74</f>
        <v>16591</v>
      </c>
      <c r="BQ74" s="578">
        <v>16649</v>
      </c>
      <c r="BR74" s="569">
        <v>16742</v>
      </c>
      <c r="BS74" s="569">
        <v>16960</v>
      </c>
      <c r="BT74" s="569">
        <v>17240</v>
      </c>
      <c r="BU74" s="331">
        <f>+BT74</f>
        <v>17240</v>
      </c>
      <c r="BV74" s="330">
        <f>BU74-BV130-BV113</f>
        <v>17185.693683855196</v>
      </c>
      <c r="BW74" s="330">
        <f>BV74-BW130-BW113</f>
        <v>17340.830007606048</v>
      </c>
      <c r="BX74" s="330">
        <f>BW74-BX130-BX113</f>
        <v>17516.020464241014</v>
      </c>
      <c r="BY74" s="330">
        <f>BX74-BY130-BY113</f>
        <v>18399.607281486402</v>
      </c>
      <c r="BZ74" s="331">
        <f t="shared" ref="BZ74:BZ79" si="154">+BY74</f>
        <v>18399.607281486402</v>
      </c>
      <c r="CA74" s="330">
        <f>BZ74-CA130-CA113</f>
        <v>18208.99930619173</v>
      </c>
      <c r="CB74" s="330">
        <f>CA74-CB130-CB113</f>
        <v>18201.725998660684</v>
      </c>
      <c r="CC74" s="330">
        <f>CB74-CC130-CC113</f>
        <v>18214.696936840715</v>
      </c>
      <c r="CD74" s="330">
        <f>CC74-CD130-CD113</f>
        <v>18993.743757016506</v>
      </c>
      <c r="CE74" s="331">
        <f t="shared" ref="CE74:CE79" si="155">+CD74</f>
        <v>18993.743757016506</v>
      </c>
      <c r="CF74" s="330">
        <f>CE74-CF130-CF113</f>
        <v>18782.511576757272</v>
      </c>
      <c r="CG74" s="330">
        <f>CF74-CG130-CG113</f>
        <v>18756.929662651943</v>
      </c>
      <c r="CH74" s="330">
        <f>CG74-CH130-CH113</f>
        <v>18751.806555460083</v>
      </c>
      <c r="CI74" s="330">
        <f>CH74-CI130-CI113</f>
        <v>19534.026906475276</v>
      </c>
      <c r="CJ74" s="331">
        <f t="shared" ref="CJ74:CJ79" si="156">+CI74</f>
        <v>19534.026906475276</v>
      </c>
      <c r="CK74" s="330">
        <f>CJ74-CK130-CK113</f>
        <v>19303.312773307818</v>
      </c>
      <c r="CL74" s="330">
        <f>CK74-CL130-CL113</f>
        <v>19260.830047929492</v>
      </c>
      <c r="CM74" s="330">
        <f>CL74-CM130-CM113</f>
        <v>19239.042370595736</v>
      </c>
      <c r="CN74" s="330">
        <f>CM74-CN130-CN113</f>
        <v>20027.273710226036</v>
      </c>
      <c r="CO74" s="331">
        <f t="shared" ref="CO74:CO79" si="157">+CN74</f>
        <v>20027.273710226036</v>
      </c>
      <c r="CP74" s="330">
        <f>CO74-CP130-CP113</f>
        <v>19777.99615777858</v>
      </c>
      <c r="CQ74" s="330">
        <f>CP74-CQ130-CQ113</f>
        <v>19719.769363211675</v>
      </c>
      <c r="CR74" s="330">
        <f>CQ74-CR130-CR113</f>
        <v>19682.497894055206</v>
      </c>
      <c r="CS74" s="330">
        <f>CR74-CS130-CS113</f>
        <v>20479.306030299456</v>
      </c>
      <c r="CT74" s="331">
        <f t="shared" ref="CT74:CT79" si="158">+CS74</f>
        <v>20479.306030299456</v>
      </c>
      <c r="CU74" s="313"/>
      <c r="CV74" s="313"/>
    </row>
    <row r="75" spans="1:100" x14ac:dyDescent="0.2">
      <c r="A75" s="313" t="s">
        <v>17</v>
      </c>
      <c r="B75" s="313"/>
      <c r="C75" s="313"/>
      <c r="D75" s="298">
        <v>685</v>
      </c>
      <c r="E75" s="298">
        <v>646</v>
      </c>
      <c r="F75" s="298">
        <v>617</v>
      </c>
      <c r="G75" s="298">
        <v>598</v>
      </c>
      <c r="H75" s="331">
        <f>G75</f>
        <v>598</v>
      </c>
      <c r="I75" s="298">
        <v>600</v>
      </c>
      <c r="J75" s="298">
        <v>555</v>
      </c>
      <c r="K75" s="298">
        <v>530</v>
      </c>
      <c r="L75" s="298">
        <v>530</v>
      </c>
      <c r="M75" s="331">
        <f>L75</f>
        <v>530</v>
      </c>
      <c r="N75" s="298">
        <v>503</v>
      </c>
      <c r="O75" s="298">
        <v>548</v>
      </c>
      <c r="P75" s="298">
        <v>613</v>
      </c>
      <c r="Q75" s="298">
        <v>637</v>
      </c>
      <c r="R75" s="331">
        <f t="shared" si="143"/>
        <v>637</v>
      </c>
      <c r="S75" s="301">
        <v>627</v>
      </c>
      <c r="T75" s="301">
        <v>671</v>
      </c>
      <c r="U75" s="301">
        <v>662</v>
      </c>
      <c r="V75" s="301">
        <v>796</v>
      </c>
      <c r="W75" s="331">
        <f t="shared" si="144"/>
        <v>796</v>
      </c>
      <c r="X75" s="301">
        <v>792</v>
      </c>
      <c r="Y75" s="301">
        <v>847</v>
      </c>
      <c r="Z75" s="301">
        <v>815</v>
      </c>
      <c r="AA75" s="301">
        <v>732</v>
      </c>
      <c r="AB75" s="331">
        <f t="shared" si="145"/>
        <v>732</v>
      </c>
      <c r="AC75" s="301">
        <v>721</v>
      </c>
      <c r="AD75" s="301">
        <v>744</v>
      </c>
      <c r="AE75" s="301">
        <v>843</v>
      </c>
      <c r="AF75" s="301">
        <v>841</v>
      </c>
      <c r="AG75" s="331">
        <f t="shared" si="146"/>
        <v>841</v>
      </c>
      <c r="AH75" s="301">
        <v>2048</v>
      </c>
      <c r="AI75" s="332">
        <v>2080</v>
      </c>
      <c r="AJ75" s="298">
        <v>2053</v>
      </c>
      <c r="AK75" s="298">
        <v>2025</v>
      </c>
      <c r="AL75" s="331">
        <f t="shared" si="147"/>
        <v>2025</v>
      </c>
      <c r="AM75" s="298">
        <v>2477</v>
      </c>
      <c r="AN75" s="298">
        <v>2480</v>
      </c>
      <c r="AO75" s="296">
        <v>2426</v>
      </c>
      <c r="AP75" s="298">
        <v>1888</v>
      </c>
      <c r="AQ75" s="331">
        <f t="shared" si="148"/>
        <v>1888</v>
      </c>
      <c r="AR75" s="298">
        <v>1960</v>
      </c>
      <c r="AS75" s="301">
        <v>1809</v>
      </c>
      <c r="AT75" s="296">
        <v>1799</v>
      </c>
      <c r="AU75" s="296">
        <v>1781</v>
      </c>
      <c r="AV75" s="331">
        <f t="shared" si="149"/>
        <v>1781</v>
      </c>
      <c r="AW75" s="296">
        <v>1749</v>
      </c>
      <c r="AX75" s="296">
        <v>1705</v>
      </c>
      <c r="AY75" s="296">
        <v>1662</v>
      </c>
      <c r="AZ75" s="296">
        <v>1638</v>
      </c>
      <c r="BA75" s="331">
        <f t="shared" si="150"/>
        <v>1638</v>
      </c>
      <c r="BB75" s="298">
        <v>1593</v>
      </c>
      <c r="BC75" s="296">
        <v>1585</v>
      </c>
      <c r="BD75" s="298">
        <v>1549</v>
      </c>
      <c r="BE75" s="298">
        <v>1449</v>
      </c>
      <c r="BF75" s="331">
        <f t="shared" si="151"/>
        <v>1449</v>
      </c>
      <c r="BG75" s="298">
        <v>1397</v>
      </c>
      <c r="BH75" s="298">
        <v>1378</v>
      </c>
      <c r="BI75" s="298">
        <v>1312</v>
      </c>
      <c r="BJ75" s="298">
        <v>1270</v>
      </c>
      <c r="BK75" s="331">
        <f t="shared" si="152"/>
        <v>1270</v>
      </c>
      <c r="BL75" s="298">
        <v>1266</v>
      </c>
      <c r="BM75" s="569">
        <v>1274</v>
      </c>
      <c r="BN75" s="569">
        <v>1257</v>
      </c>
      <c r="BO75" s="569">
        <v>1237</v>
      </c>
      <c r="BP75" s="331">
        <f t="shared" si="153"/>
        <v>1237</v>
      </c>
      <c r="BQ75" s="596">
        <v>1259</v>
      </c>
      <c r="BR75" s="569">
        <v>1256</v>
      </c>
      <c r="BS75" s="569">
        <v>1276</v>
      </c>
      <c r="BT75" s="569">
        <v>1268</v>
      </c>
      <c r="BU75" s="331">
        <f t="shared" ref="BU75:BU77" si="159">+BT75</f>
        <v>1268</v>
      </c>
      <c r="BV75" s="425">
        <f>+BT75</f>
        <v>1268</v>
      </c>
      <c r="BW75" s="425">
        <f t="shared" ref="BW75:BY77" si="160">+BV75</f>
        <v>1268</v>
      </c>
      <c r="BX75" s="425">
        <f t="shared" si="160"/>
        <v>1268</v>
      </c>
      <c r="BY75" s="425">
        <f t="shared" si="160"/>
        <v>1268</v>
      </c>
      <c r="BZ75" s="331">
        <f t="shared" si="154"/>
        <v>1268</v>
      </c>
      <c r="CA75" s="425">
        <f>+BY75</f>
        <v>1268</v>
      </c>
      <c r="CB75" s="425">
        <f t="shared" ref="CB75:CD77" si="161">+CA75</f>
        <v>1268</v>
      </c>
      <c r="CC75" s="425">
        <f t="shared" si="161"/>
        <v>1268</v>
      </c>
      <c r="CD75" s="425">
        <f t="shared" si="161"/>
        <v>1268</v>
      </c>
      <c r="CE75" s="331">
        <f t="shared" si="155"/>
        <v>1268</v>
      </c>
      <c r="CF75" s="425">
        <f>+CD75</f>
        <v>1268</v>
      </c>
      <c r="CG75" s="425">
        <f t="shared" ref="CG75:CI77" si="162">+CF75</f>
        <v>1268</v>
      </c>
      <c r="CH75" s="425">
        <f t="shared" si="162"/>
        <v>1268</v>
      </c>
      <c r="CI75" s="425">
        <f t="shared" si="162"/>
        <v>1268</v>
      </c>
      <c r="CJ75" s="331">
        <f t="shared" si="156"/>
        <v>1268</v>
      </c>
      <c r="CK75" s="425">
        <f>+CI75</f>
        <v>1268</v>
      </c>
      <c r="CL75" s="425">
        <f t="shared" ref="CL75:CN77" si="163">+CK75</f>
        <v>1268</v>
      </c>
      <c r="CM75" s="425">
        <f t="shared" si="163"/>
        <v>1268</v>
      </c>
      <c r="CN75" s="425">
        <f t="shared" si="163"/>
        <v>1268</v>
      </c>
      <c r="CO75" s="331">
        <f t="shared" si="157"/>
        <v>1268</v>
      </c>
      <c r="CP75" s="425">
        <f>+CN75</f>
        <v>1268</v>
      </c>
      <c r="CQ75" s="425">
        <f t="shared" ref="CQ75:CS77" si="164">+CP75</f>
        <v>1268</v>
      </c>
      <c r="CR75" s="425">
        <f t="shared" si="164"/>
        <v>1268</v>
      </c>
      <c r="CS75" s="425">
        <f t="shared" si="164"/>
        <v>1268</v>
      </c>
      <c r="CT75" s="331">
        <f t="shared" si="158"/>
        <v>1268</v>
      </c>
      <c r="CU75" s="313"/>
      <c r="CV75" s="313"/>
    </row>
    <row r="76" spans="1:100" x14ac:dyDescent="0.2">
      <c r="A76" s="313" t="s">
        <v>18</v>
      </c>
      <c r="B76" s="313"/>
      <c r="C76" s="313"/>
      <c r="D76" s="298">
        <v>3823</v>
      </c>
      <c r="E76" s="298">
        <v>3790</v>
      </c>
      <c r="F76" s="298">
        <v>3786</v>
      </c>
      <c r="G76" s="298">
        <v>3909</v>
      </c>
      <c r="H76" s="331">
        <f>G76</f>
        <v>3909</v>
      </c>
      <c r="I76" s="298">
        <v>3924</v>
      </c>
      <c r="J76" s="298">
        <v>3875</v>
      </c>
      <c r="K76" s="298">
        <v>3893</v>
      </c>
      <c r="L76" s="298">
        <v>4088</v>
      </c>
      <c r="M76" s="331">
        <f>L76</f>
        <v>4088</v>
      </c>
      <c r="N76" s="298">
        <v>4100</v>
      </c>
      <c r="O76" s="298">
        <v>4271</v>
      </c>
      <c r="P76" s="298">
        <v>4473</v>
      </c>
      <c r="Q76" s="298">
        <v>4594</v>
      </c>
      <c r="R76" s="331">
        <f t="shared" si="143"/>
        <v>4594</v>
      </c>
      <c r="S76" s="301">
        <f>5809-S77</f>
        <v>4596</v>
      </c>
      <c r="T76" s="301">
        <v>4789</v>
      </c>
      <c r="U76" s="301">
        <v>4814</v>
      </c>
      <c r="V76" s="301">
        <v>5169</v>
      </c>
      <c r="W76" s="331">
        <f t="shared" si="144"/>
        <v>5169</v>
      </c>
      <c r="X76" s="301">
        <v>5209</v>
      </c>
      <c r="Y76" s="301">
        <v>5511</v>
      </c>
      <c r="Z76" s="301">
        <v>5370</v>
      </c>
      <c r="AA76" s="301">
        <v>5124</v>
      </c>
      <c r="AB76" s="331">
        <f t="shared" si="145"/>
        <v>5124</v>
      </c>
      <c r="AC76" s="301">
        <v>4988</v>
      </c>
      <c r="AD76" s="301">
        <v>5248</v>
      </c>
      <c r="AE76" s="301">
        <v>6351</v>
      </c>
      <c r="AF76" s="301">
        <v>6534</v>
      </c>
      <c r="AG76" s="331">
        <f t="shared" si="146"/>
        <v>6534</v>
      </c>
      <c r="AH76" s="301">
        <v>13156</v>
      </c>
      <c r="AI76" s="332">
        <v>13605</v>
      </c>
      <c r="AJ76" s="298">
        <v>13905</v>
      </c>
      <c r="AK76" s="298">
        <v>14661</v>
      </c>
      <c r="AL76" s="331">
        <f t="shared" si="147"/>
        <v>14661</v>
      </c>
      <c r="AM76" s="298">
        <v>15824</v>
      </c>
      <c r="AN76" s="298">
        <v>16299</v>
      </c>
      <c r="AO76" s="296">
        <v>16272</v>
      </c>
      <c r="AP76" s="298">
        <v>16800</v>
      </c>
      <c r="AQ76" s="331">
        <f t="shared" si="148"/>
        <v>16800</v>
      </c>
      <c r="AR76" s="298">
        <v>17208</v>
      </c>
      <c r="AS76" s="301">
        <v>16456</v>
      </c>
      <c r="AT76" s="296">
        <v>16701</v>
      </c>
      <c r="AU76" s="296">
        <v>16971</v>
      </c>
      <c r="AV76" s="331">
        <f t="shared" si="149"/>
        <v>16971</v>
      </c>
      <c r="AW76" s="296">
        <v>16915</v>
      </c>
      <c r="AX76" s="296">
        <v>16719</v>
      </c>
      <c r="AY76" s="296">
        <v>16534</v>
      </c>
      <c r="AZ76" s="296">
        <v>16613</v>
      </c>
      <c r="BA76" s="331">
        <f t="shared" si="150"/>
        <v>16613</v>
      </c>
      <c r="BB76" s="298">
        <v>16310</v>
      </c>
      <c r="BC76" s="296">
        <v>16457</v>
      </c>
      <c r="BD76" s="298">
        <v>16225</v>
      </c>
      <c r="BE76" s="298">
        <v>14965</v>
      </c>
      <c r="BF76" s="331">
        <f t="shared" si="151"/>
        <v>14965</v>
      </c>
      <c r="BG76" s="298">
        <v>14681</v>
      </c>
      <c r="BH76" s="298">
        <v>14912</v>
      </c>
      <c r="BI76" s="298">
        <v>14407</v>
      </c>
      <c r="BJ76" s="298">
        <v>14177</v>
      </c>
      <c r="BK76" s="331">
        <f t="shared" si="152"/>
        <v>14177</v>
      </c>
      <c r="BL76" s="298">
        <v>14132</v>
      </c>
      <c r="BM76" s="569">
        <v>14398</v>
      </c>
      <c r="BN76" s="569">
        <v>14394</v>
      </c>
      <c r="BO76" s="569">
        <v>14430</v>
      </c>
      <c r="BP76" s="331">
        <f t="shared" si="153"/>
        <v>14430</v>
      </c>
      <c r="BQ76" s="596">
        <v>14584</v>
      </c>
      <c r="BR76" s="569">
        <v>14655</v>
      </c>
      <c r="BS76" s="569">
        <v>14750</v>
      </c>
      <c r="BT76" s="569">
        <v>14744</v>
      </c>
      <c r="BU76" s="331">
        <f t="shared" si="159"/>
        <v>14744</v>
      </c>
      <c r="BV76" s="425">
        <f>+BT76</f>
        <v>14744</v>
      </c>
      <c r="BW76" s="425">
        <f t="shared" si="160"/>
        <v>14744</v>
      </c>
      <c r="BX76" s="425">
        <f t="shared" si="160"/>
        <v>14744</v>
      </c>
      <c r="BY76" s="425">
        <f t="shared" si="160"/>
        <v>14744</v>
      </c>
      <c r="BZ76" s="331">
        <f t="shared" si="154"/>
        <v>14744</v>
      </c>
      <c r="CA76" s="425">
        <f>+BY76</f>
        <v>14744</v>
      </c>
      <c r="CB76" s="425">
        <f t="shared" si="161"/>
        <v>14744</v>
      </c>
      <c r="CC76" s="425">
        <f t="shared" si="161"/>
        <v>14744</v>
      </c>
      <c r="CD76" s="425">
        <f t="shared" si="161"/>
        <v>14744</v>
      </c>
      <c r="CE76" s="331">
        <f t="shared" si="155"/>
        <v>14744</v>
      </c>
      <c r="CF76" s="425">
        <f>+CD76</f>
        <v>14744</v>
      </c>
      <c r="CG76" s="425">
        <f t="shared" si="162"/>
        <v>14744</v>
      </c>
      <c r="CH76" s="425">
        <f t="shared" si="162"/>
        <v>14744</v>
      </c>
      <c r="CI76" s="425">
        <f t="shared" si="162"/>
        <v>14744</v>
      </c>
      <c r="CJ76" s="331">
        <f t="shared" si="156"/>
        <v>14744</v>
      </c>
      <c r="CK76" s="425">
        <f>+CI76</f>
        <v>14744</v>
      </c>
      <c r="CL76" s="425">
        <f t="shared" si="163"/>
        <v>14744</v>
      </c>
      <c r="CM76" s="425">
        <f t="shared" si="163"/>
        <v>14744</v>
      </c>
      <c r="CN76" s="425">
        <f t="shared" si="163"/>
        <v>14744</v>
      </c>
      <c r="CO76" s="331">
        <f t="shared" si="157"/>
        <v>14744</v>
      </c>
      <c r="CP76" s="425">
        <f>+CN76</f>
        <v>14744</v>
      </c>
      <c r="CQ76" s="425">
        <f t="shared" si="164"/>
        <v>14744</v>
      </c>
      <c r="CR76" s="425">
        <f t="shared" si="164"/>
        <v>14744</v>
      </c>
      <c r="CS76" s="425">
        <f t="shared" si="164"/>
        <v>14744</v>
      </c>
      <c r="CT76" s="331">
        <f t="shared" si="158"/>
        <v>14744</v>
      </c>
      <c r="CU76" s="313"/>
      <c r="CV76" s="313"/>
    </row>
    <row r="77" spans="1:100" x14ac:dyDescent="0.2">
      <c r="A77" s="313" t="s">
        <v>19</v>
      </c>
      <c r="B77" s="313"/>
      <c r="C77" s="313"/>
      <c r="D77" s="298">
        <v>893</v>
      </c>
      <c r="E77" s="298">
        <v>880</v>
      </c>
      <c r="F77" s="298">
        <v>864</v>
      </c>
      <c r="G77" s="298">
        <v>933</v>
      </c>
      <c r="H77" s="331">
        <f>G77</f>
        <v>933</v>
      </c>
      <c r="I77" s="298">
        <v>931</v>
      </c>
      <c r="J77" s="298">
        <v>894</v>
      </c>
      <c r="K77" s="298">
        <v>898</v>
      </c>
      <c r="L77" s="298">
        <v>1086</v>
      </c>
      <c r="M77" s="331">
        <f>L77</f>
        <v>1086</v>
      </c>
      <c r="N77" s="298">
        <v>1098</v>
      </c>
      <c r="O77" s="298">
        <v>1156</v>
      </c>
      <c r="P77" s="298">
        <v>1164</v>
      </c>
      <c r="Q77" s="298">
        <v>1212</v>
      </c>
      <c r="R77" s="331">
        <f t="shared" si="143"/>
        <v>1212</v>
      </c>
      <c r="S77" s="301">
        <v>1213</v>
      </c>
      <c r="T77" s="301">
        <v>1234</v>
      </c>
      <c r="U77" s="301">
        <v>1227</v>
      </c>
      <c r="V77" s="301">
        <v>1248</v>
      </c>
      <c r="W77" s="331">
        <f t="shared" si="144"/>
        <v>1248</v>
      </c>
      <c r="X77" s="301">
        <v>1256</v>
      </c>
      <c r="Y77" s="301">
        <v>1375</v>
      </c>
      <c r="Z77" s="301">
        <v>1301</v>
      </c>
      <c r="AA77" s="301">
        <v>1128</v>
      </c>
      <c r="AB77" s="331">
        <f t="shared" si="145"/>
        <v>1128</v>
      </c>
      <c r="AC77" s="301">
        <v>1071</v>
      </c>
      <c r="AD77" s="301">
        <v>1231</v>
      </c>
      <c r="AE77" s="301">
        <v>1702</v>
      </c>
      <c r="AF77" s="301">
        <v>1782</v>
      </c>
      <c r="AG77" s="331">
        <f t="shared" si="146"/>
        <v>1782</v>
      </c>
      <c r="AH77" s="301">
        <v>12302</v>
      </c>
      <c r="AI77" s="332">
        <v>11796</v>
      </c>
      <c r="AJ77" s="298">
        <v>11709</v>
      </c>
      <c r="AK77" s="298">
        <v>11783</v>
      </c>
      <c r="AL77" s="331">
        <f t="shared" si="147"/>
        <v>11783</v>
      </c>
      <c r="AM77" s="298">
        <v>15418</v>
      </c>
      <c r="AN77" s="298">
        <v>15548</v>
      </c>
      <c r="AO77" s="296">
        <v>15433</v>
      </c>
      <c r="AP77" s="298">
        <v>14557</v>
      </c>
      <c r="AQ77" s="331">
        <f t="shared" si="148"/>
        <v>14557</v>
      </c>
      <c r="AR77" s="298">
        <v>15093</v>
      </c>
      <c r="AS77" s="301">
        <v>14399</v>
      </c>
      <c r="AT77" s="296">
        <v>14511</v>
      </c>
      <c r="AU77" s="296">
        <v>14744</v>
      </c>
      <c r="AV77" s="331">
        <f t="shared" si="149"/>
        <v>14744</v>
      </c>
      <c r="AW77" s="296">
        <v>14655</v>
      </c>
      <c r="AX77" s="296">
        <v>14469</v>
      </c>
      <c r="AY77" s="296">
        <v>14300</v>
      </c>
      <c r="AZ77" s="296">
        <v>14401</v>
      </c>
      <c r="BA77" s="331">
        <f t="shared" si="150"/>
        <v>14401</v>
      </c>
      <c r="BB77" s="298">
        <v>14053</v>
      </c>
      <c r="BC77" s="296">
        <v>14205</v>
      </c>
      <c r="BD77" s="298">
        <v>13951</v>
      </c>
      <c r="BE77" s="298">
        <v>12639</v>
      </c>
      <c r="BF77" s="331">
        <f t="shared" si="151"/>
        <v>12639</v>
      </c>
      <c r="BG77" s="298">
        <v>12361</v>
      </c>
      <c r="BH77" s="298">
        <v>12653</v>
      </c>
      <c r="BI77" s="298">
        <v>12081</v>
      </c>
      <c r="BJ77" s="298">
        <v>11811</v>
      </c>
      <c r="BK77" s="331">
        <f t="shared" si="152"/>
        <v>11811</v>
      </c>
      <c r="BL77" s="298">
        <v>11783</v>
      </c>
      <c r="BM77" s="569">
        <v>12073</v>
      </c>
      <c r="BN77" s="569">
        <v>12024</v>
      </c>
      <c r="BO77" s="569">
        <v>12196</v>
      </c>
      <c r="BP77" s="331">
        <f t="shared" si="153"/>
        <v>12196</v>
      </c>
      <c r="BQ77" s="596">
        <v>12338</v>
      </c>
      <c r="BR77" s="569">
        <v>12472</v>
      </c>
      <c r="BS77" s="569">
        <v>12559</v>
      </c>
      <c r="BT77" s="569">
        <v>12570</v>
      </c>
      <c r="BU77" s="331">
        <f t="shared" si="159"/>
        <v>12570</v>
      </c>
      <c r="BV77" s="425">
        <f>+BT77</f>
        <v>12570</v>
      </c>
      <c r="BW77" s="425">
        <f t="shared" si="160"/>
        <v>12570</v>
      </c>
      <c r="BX77" s="425">
        <f t="shared" si="160"/>
        <v>12570</v>
      </c>
      <c r="BY77" s="425">
        <f t="shared" si="160"/>
        <v>12570</v>
      </c>
      <c r="BZ77" s="331">
        <f t="shared" si="154"/>
        <v>12570</v>
      </c>
      <c r="CA77" s="425">
        <f>+BY77</f>
        <v>12570</v>
      </c>
      <c r="CB77" s="425">
        <f t="shared" si="161"/>
        <v>12570</v>
      </c>
      <c r="CC77" s="425">
        <f t="shared" si="161"/>
        <v>12570</v>
      </c>
      <c r="CD77" s="425">
        <f t="shared" si="161"/>
        <v>12570</v>
      </c>
      <c r="CE77" s="331">
        <f t="shared" si="155"/>
        <v>12570</v>
      </c>
      <c r="CF77" s="425">
        <f>+CD77</f>
        <v>12570</v>
      </c>
      <c r="CG77" s="425">
        <f t="shared" si="162"/>
        <v>12570</v>
      </c>
      <c r="CH77" s="425">
        <f t="shared" si="162"/>
        <v>12570</v>
      </c>
      <c r="CI77" s="425">
        <f t="shared" si="162"/>
        <v>12570</v>
      </c>
      <c r="CJ77" s="331">
        <f t="shared" si="156"/>
        <v>12570</v>
      </c>
      <c r="CK77" s="425">
        <f>+CI77</f>
        <v>12570</v>
      </c>
      <c r="CL77" s="425">
        <f t="shared" si="163"/>
        <v>12570</v>
      </c>
      <c r="CM77" s="425">
        <f t="shared" si="163"/>
        <v>12570</v>
      </c>
      <c r="CN77" s="425">
        <f t="shared" si="163"/>
        <v>12570</v>
      </c>
      <c r="CO77" s="331">
        <f t="shared" si="157"/>
        <v>12570</v>
      </c>
      <c r="CP77" s="425">
        <f>+CN77</f>
        <v>12570</v>
      </c>
      <c r="CQ77" s="425">
        <f t="shared" si="164"/>
        <v>12570</v>
      </c>
      <c r="CR77" s="425">
        <f t="shared" si="164"/>
        <v>12570</v>
      </c>
      <c r="CS77" s="425">
        <f t="shared" si="164"/>
        <v>12570</v>
      </c>
      <c r="CT77" s="331">
        <f t="shared" si="158"/>
        <v>12570</v>
      </c>
      <c r="CU77" s="313"/>
      <c r="CV77" s="313"/>
    </row>
    <row r="78" spans="1:100" x14ac:dyDescent="0.2">
      <c r="A78" s="313" t="s">
        <v>20</v>
      </c>
      <c r="B78" s="313"/>
      <c r="C78" s="313"/>
      <c r="D78" s="298">
        <v>2966</v>
      </c>
      <c r="E78" s="298">
        <v>3023</v>
      </c>
      <c r="F78" s="298">
        <v>3171</v>
      </c>
      <c r="G78" s="298">
        <v>3284</v>
      </c>
      <c r="H78" s="331">
        <f>+G78</f>
        <v>3284</v>
      </c>
      <c r="I78" s="298">
        <v>3294</v>
      </c>
      <c r="J78" s="298">
        <v>3305</v>
      </c>
      <c r="K78" s="298">
        <v>3450</v>
      </c>
      <c r="L78" s="298">
        <v>3485</v>
      </c>
      <c r="M78" s="331">
        <f>+L78</f>
        <v>3485</v>
      </c>
      <c r="N78" s="298">
        <v>3506</v>
      </c>
      <c r="O78" s="298">
        <v>3509</v>
      </c>
      <c r="P78" s="298">
        <v>3626</v>
      </c>
      <c r="Q78" s="298">
        <v>3690</v>
      </c>
      <c r="R78" s="331">
        <f t="shared" si="143"/>
        <v>3690</v>
      </c>
      <c r="S78" s="301">
        <v>3676</v>
      </c>
      <c r="T78" s="301">
        <v>3653</v>
      </c>
      <c r="U78" s="301">
        <v>3997</v>
      </c>
      <c r="V78" s="301">
        <v>4354</v>
      </c>
      <c r="W78" s="331">
        <f t="shared" si="144"/>
        <v>4354</v>
      </c>
      <c r="X78" s="301">
        <v>4370</v>
      </c>
      <c r="Y78" s="301">
        <v>4519</v>
      </c>
      <c r="Z78" s="301">
        <v>4611</v>
      </c>
      <c r="AA78" s="301">
        <v>3883</v>
      </c>
      <c r="AB78" s="331">
        <f t="shared" si="145"/>
        <v>3883</v>
      </c>
      <c r="AC78" s="301">
        <v>3782</v>
      </c>
      <c r="AD78" s="301">
        <v>4076</v>
      </c>
      <c r="AE78" s="301">
        <v>4339</v>
      </c>
      <c r="AF78" s="301">
        <v>4484</v>
      </c>
      <c r="AG78" s="331">
        <f t="shared" si="146"/>
        <v>4484</v>
      </c>
      <c r="AH78" s="301">
        <v>1381</v>
      </c>
      <c r="AI78" s="332">
        <v>1373</v>
      </c>
      <c r="AJ78" s="298">
        <v>1401</v>
      </c>
      <c r="AK78" s="298">
        <v>1368</v>
      </c>
      <c r="AL78" s="331">
        <f t="shared" si="147"/>
        <v>1368</v>
      </c>
      <c r="AM78" s="298">
        <v>1408</v>
      </c>
      <c r="AN78" s="298">
        <v>1449</v>
      </c>
      <c r="AO78" s="296">
        <v>1500</v>
      </c>
      <c r="AP78" s="298">
        <v>1477</v>
      </c>
      <c r="AQ78" s="331">
        <f t="shared" si="148"/>
        <v>1477</v>
      </c>
      <c r="AR78" s="298">
        <v>1515</v>
      </c>
      <c r="AS78" s="301">
        <v>1562</v>
      </c>
      <c r="AT78" s="296">
        <v>1585</v>
      </c>
      <c r="AU78" s="296">
        <v>1633</v>
      </c>
      <c r="AV78" s="331">
        <f t="shared" si="149"/>
        <v>1633</v>
      </c>
      <c r="AW78" s="296">
        <v>1676</v>
      </c>
      <c r="AX78" s="296">
        <v>1839</v>
      </c>
      <c r="AY78" s="296">
        <v>1823</v>
      </c>
      <c r="AZ78" s="296">
        <v>1841</v>
      </c>
      <c r="BA78" s="331">
        <f t="shared" si="150"/>
        <v>1841</v>
      </c>
      <c r="BB78" s="298">
        <v>1890</v>
      </c>
      <c r="BC78" s="296">
        <v>1902</v>
      </c>
      <c r="BD78" s="298">
        <v>1946</v>
      </c>
      <c r="BE78" s="298">
        <v>2689</v>
      </c>
      <c r="BF78" s="331">
        <f t="shared" si="151"/>
        <v>2689</v>
      </c>
      <c r="BG78" s="298">
        <v>2626</v>
      </c>
      <c r="BH78" s="298">
        <v>2626</v>
      </c>
      <c r="BI78" s="298">
        <v>2285</v>
      </c>
      <c r="BJ78" s="298">
        <v>2311</v>
      </c>
      <c r="BK78" s="331">
        <f>+BJ78</f>
        <v>2311</v>
      </c>
      <c r="BL78" s="298">
        <v>1935</v>
      </c>
      <c r="BM78" s="569">
        <v>2002</v>
      </c>
      <c r="BN78" s="569">
        <v>1975</v>
      </c>
      <c r="BO78" s="569">
        <v>1950</v>
      </c>
      <c r="BP78" s="331">
        <f t="shared" si="153"/>
        <v>1950</v>
      </c>
      <c r="BQ78" s="596">
        <v>2003</v>
      </c>
      <c r="BR78" s="569">
        <v>1962</v>
      </c>
      <c r="BS78" s="569">
        <v>1950</v>
      </c>
      <c r="BT78" s="569">
        <v>2042</v>
      </c>
      <c r="BU78" s="331">
        <f>+BT78</f>
        <v>2042</v>
      </c>
      <c r="BV78" s="425">
        <f>+BU78*(1-2%/4)</f>
        <v>2031.79</v>
      </c>
      <c r="BW78" s="425">
        <f>+BV78*(1-2%/4)</f>
        <v>2021.63105</v>
      </c>
      <c r="BX78" s="425">
        <f>+BW78*(1-2%/4)</f>
        <v>2011.52289475</v>
      </c>
      <c r="BY78" s="425">
        <f>+BX78*(1-2%/4)</f>
        <v>2001.46528027625</v>
      </c>
      <c r="BZ78" s="331">
        <f>+BY78</f>
        <v>2001.46528027625</v>
      </c>
      <c r="CA78" s="425">
        <f>+BZ78*(1-2%/4)</f>
        <v>1991.4579538748687</v>
      </c>
      <c r="CB78" s="425">
        <f>+CA78*(1-2%/4)</f>
        <v>1981.5006641054945</v>
      </c>
      <c r="CC78" s="425">
        <f>+CB78*(1-2%/4)</f>
        <v>1971.593160784967</v>
      </c>
      <c r="CD78" s="425">
        <f>+CC78*(1-2%/4)</f>
        <v>1961.7351949810422</v>
      </c>
      <c r="CE78" s="331">
        <f t="shared" si="155"/>
        <v>1961.7351949810422</v>
      </c>
      <c r="CF78" s="425">
        <f>+CE78*(1-2%/4)</f>
        <v>1951.9265190061369</v>
      </c>
      <c r="CG78" s="425">
        <f>+CF78*(1-2%/4)</f>
        <v>1942.1668864111061</v>
      </c>
      <c r="CH78" s="425">
        <f>+CG78*(1-2%/4)</f>
        <v>1932.4560519790507</v>
      </c>
      <c r="CI78" s="425">
        <f>+CH78*(1-2%/4)</f>
        <v>1922.7937717191555</v>
      </c>
      <c r="CJ78" s="331">
        <f>+CI78</f>
        <v>1922.7937717191555</v>
      </c>
      <c r="CK78" s="425">
        <f>+CJ78*(1-2%/4)</f>
        <v>1913.1798028605597</v>
      </c>
      <c r="CL78" s="425">
        <f>+CK78*(1-2%/4)</f>
        <v>1903.6139038462568</v>
      </c>
      <c r="CM78" s="425">
        <f>+CL78*(1-2%/4)</f>
        <v>1894.0958343270254</v>
      </c>
      <c r="CN78" s="425">
        <f>+CM78*(1-2%/4)</f>
        <v>1884.6253551553903</v>
      </c>
      <c r="CO78" s="331">
        <f>+CN78</f>
        <v>1884.6253551553903</v>
      </c>
      <c r="CP78" s="425">
        <f>+CO78*(1-2%/4)</f>
        <v>1875.2022283796132</v>
      </c>
      <c r="CQ78" s="425">
        <f>+CP78*(1-2%/4)</f>
        <v>1865.8262172377151</v>
      </c>
      <c r="CR78" s="425">
        <f>+CQ78*(1-2%/4)</f>
        <v>1856.4970861515264</v>
      </c>
      <c r="CS78" s="425">
        <f>+CR78*(1-2%/4)</f>
        <v>1847.2146007207689</v>
      </c>
      <c r="CT78" s="331">
        <f>+CS78</f>
        <v>1847.2146007207689</v>
      </c>
      <c r="CU78" s="313"/>
      <c r="CV78" s="313"/>
    </row>
    <row r="79" spans="1:100" x14ac:dyDescent="0.2">
      <c r="A79" s="313" t="s">
        <v>96</v>
      </c>
      <c r="B79" s="313"/>
      <c r="C79" s="313"/>
      <c r="D79" s="427">
        <v>2195</v>
      </c>
      <c r="E79" s="427">
        <v>2140</v>
      </c>
      <c r="F79" s="427">
        <v>2099</v>
      </c>
      <c r="G79" s="299">
        <v>2475</v>
      </c>
      <c r="H79" s="434">
        <f>+G79</f>
        <v>2475</v>
      </c>
      <c r="I79" s="427">
        <v>2953</v>
      </c>
      <c r="J79" s="427">
        <v>3089</v>
      </c>
      <c r="K79" s="427">
        <v>3173</v>
      </c>
      <c r="L79" s="299">
        <v>3403</v>
      </c>
      <c r="M79" s="434">
        <f>+L79</f>
        <v>3403</v>
      </c>
      <c r="N79" s="299">
        <v>3531</v>
      </c>
      <c r="O79" s="299">
        <v>3475</v>
      </c>
      <c r="P79" s="299">
        <v>3140</v>
      </c>
      <c r="Q79" s="299">
        <v>980</v>
      </c>
      <c r="R79" s="434">
        <f t="shared" si="143"/>
        <v>980</v>
      </c>
      <c r="S79" s="429">
        <v>1296</v>
      </c>
      <c r="T79" s="429">
        <v>1713</v>
      </c>
      <c r="U79" s="429">
        <v>1364</v>
      </c>
      <c r="V79" s="429">
        <v>1682</v>
      </c>
      <c r="W79" s="434">
        <f t="shared" si="144"/>
        <v>1682</v>
      </c>
      <c r="X79" s="429">
        <v>1744</v>
      </c>
      <c r="Y79" s="429">
        <v>1276</v>
      </c>
      <c r="Z79" s="429">
        <v>3015</v>
      </c>
      <c r="AA79" s="429">
        <v>2658</v>
      </c>
      <c r="AB79" s="434">
        <f t="shared" si="145"/>
        <v>2658</v>
      </c>
      <c r="AC79" s="429">
        <v>2293</v>
      </c>
      <c r="AD79" s="429">
        <v>2273</v>
      </c>
      <c r="AE79" s="429">
        <v>936</v>
      </c>
      <c r="AF79" s="429">
        <v>965</v>
      </c>
      <c r="AG79" s="434">
        <f t="shared" si="146"/>
        <v>965</v>
      </c>
      <c r="AH79" s="429">
        <v>1142</v>
      </c>
      <c r="AI79" s="429">
        <v>1081</v>
      </c>
      <c r="AJ79" s="299">
        <v>1199</v>
      </c>
      <c r="AK79" s="299">
        <v>1689</v>
      </c>
      <c r="AL79" s="434">
        <f t="shared" si="147"/>
        <v>1689</v>
      </c>
      <c r="AM79" s="299">
        <v>1117</v>
      </c>
      <c r="AN79" s="299">
        <v>1133</v>
      </c>
      <c r="AO79" s="297">
        <v>1176</v>
      </c>
      <c r="AP79" s="299">
        <v>1021</v>
      </c>
      <c r="AQ79" s="434">
        <f t="shared" si="148"/>
        <v>1021</v>
      </c>
      <c r="AR79" s="299">
        <v>1032</v>
      </c>
      <c r="AS79" s="429">
        <v>1617</v>
      </c>
      <c r="AT79" s="297">
        <v>1621</v>
      </c>
      <c r="AU79" s="297">
        <v>1653</v>
      </c>
      <c r="AV79" s="434">
        <f t="shared" si="149"/>
        <v>1653</v>
      </c>
      <c r="AW79" s="297">
        <v>1606</v>
      </c>
      <c r="AX79" s="297">
        <v>1568</v>
      </c>
      <c r="AY79" s="297">
        <v>1492</v>
      </c>
      <c r="AZ79" s="297">
        <v>2207</v>
      </c>
      <c r="BA79" s="434">
        <f t="shared" si="150"/>
        <v>2207</v>
      </c>
      <c r="BB79" s="299">
        <v>2233</v>
      </c>
      <c r="BC79" s="297">
        <v>2315</v>
      </c>
      <c r="BD79" s="299">
        <v>2276</v>
      </c>
      <c r="BE79" s="299">
        <v>860</v>
      </c>
      <c r="BF79" s="434">
        <f t="shared" si="151"/>
        <v>860</v>
      </c>
      <c r="BG79" s="299">
        <v>960</v>
      </c>
      <c r="BH79" s="299">
        <v>888</v>
      </c>
      <c r="BI79" s="299">
        <v>872</v>
      </c>
      <c r="BJ79" s="299">
        <v>750</v>
      </c>
      <c r="BK79" s="434">
        <f t="shared" si="152"/>
        <v>750</v>
      </c>
      <c r="BL79" s="299">
        <v>832</v>
      </c>
      <c r="BM79" s="570">
        <v>867</v>
      </c>
      <c r="BN79" s="570">
        <v>843</v>
      </c>
      <c r="BO79" s="570">
        <v>636</v>
      </c>
      <c r="BP79" s="434">
        <f t="shared" si="153"/>
        <v>636</v>
      </c>
      <c r="BQ79" s="603">
        <v>639</v>
      </c>
      <c r="BR79" s="570">
        <v>608</v>
      </c>
      <c r="BS79" s="570">
        <v>771</v>
      </c>
      <c r="BT79" s="570">
        <v>913</v>
      </c>
      <c r="BU79" s="434">
        <f>+BT79</f>
        <v>913</v>
      </c>
      <c r="BV79" s="435">
        <f>+BT79</f>
        <v>913</v>
      </c>
      <c r="BW79" s="435">
        <f>+BU79</f>
        <v>913</v>
      </c>
      <c r="BX79" s="435">
        <f>+BV79</f>
        <v>913</v>
      </c>
      <c r="BY79" s="435">
        <f>+BW79</f>
        <v>913</v>
      </c>
      <c r="BZ79" s="434">
        <f t="shared" si="154"/>
        <v>913</v>
      </c>
      <c r="CA79" s="435">
        <f>+BY79</f>
        <v>913</v>
      </c>
      <c r="CB79" s="435">
        <f>+BZ79</f>
        <v>913</v>
      </c>
      <c r="CC79" s="435">
        <f>+CA79</f>
        <v>913</v>
      </c>
      <c r="CD79" s="435">
        <f>+CB79</f>
        <v>913</v>
      </c>
      <c r="CE79" s="434">
        <f t="shared" si="155"/>
        <v>913</v>
      </c>
      <c r="CF79" s="435">
        <f>+CD79</f>
        <v>913</v>
      </c>
      <c r="CG79" s="435">
        <f>+CE79</f>
        <v>913</v>
      </c>
      <c r="CH79" s="435">
        <f>+CF79</f>
        <v>913</v>
      </c>
      <c r="CI79" s="435">
        <f>+CG79</f>
        <v>913</v>
      </c>
      <c r="CJ79" s="434">
        <f t="shared" si="156"/>
        <v>913</v>
      </c>
      <c r="CK79" s="435">
        <f>+CI79</f>
        <v>913</v>
      </c>
      <c r="CL79" s="435">
        <f>+CJ79</f>
        <v>913</v>
      </c>
      <c r="CM79" s="435">
        <f>+CK79</f>
        <v>913</v>
      </c>
      <c r="CN79" s="435">
        <f>+CL79</f>
        <v>913</v>
      </c>
      <c r="CO79" s="434">
        <f t="shared" si="157"/>
        <v>913</v>
      </c>
      <c r="CP79" s="435">
        <f>+CN79</f>
        <v>913</v>
      </c>
      <c r="CQ79" s="435">
        <f>+CO79</f>
        <v>913</v>
      </c>
      <c r="CR79" s="435">
        <f>+CP79</f>
        <v>913</v>
      </c>
      <c r="CS79" s="435">
        <f>+CQ79</f>
        <v>913</v>
      </c>
      <c r="CT79" s="434">
        <f t="shared" si="158"/>
        <v>913</v>
      </c>
      <c r="CU79" s="313"/>
      <c r="CV79" s="313"/>
    </row>
    <row r="80" spans="1:100" x14ac:dyDescent="0.2">
      <c r="A80" s="59"/>
      <c r="B80" s="59" t="s">
        <v>97</v>
      </c>
      <c r="C80" s="59"/>
      <c r="D80" s="17">
        <f t="shared" ref="D80:AH80" si="165">+D72+D74+D75+D76+D77+D78+D79</f>
        <v>25503</v>
      </c>
      <c r="E80" s="17">
        <f t="shared" si="165"/>
        <v>26005</v>
      </c>
      <c r="F80" s="17">
        <f t="shared" si="165"/>
        <v>26604</v>
      </c>
      <c r="G80" s="17">
        <f t="shared" si="165"/>
        <v>27987</v>
      </c>
      <c r="H80" s="51">
        <f t="shared" si="165"/>
        <v>27987</v>
      </c>
      <c r="I80" s="17">
        <f t="shared" si="165"/>
        <v>28671</v>
      </c>
      <c r="J80" s="17">
        <f t="shared" si="165"/>
        <v>29684</v>
      </c>
      <c r="K80" s="17">
        <f t="shared" si="165"/>
        <v>30898</v>
      </c>
      <c r="L80" s="17">
        <f t="shared" si="165"/>
        <v>31727</v>
      </c>
      <c r="M80" s="51">
        <f t="shared" si="165"/>
        <v>31727</v>
      </c>
      <c r="N80" s="17">
        <f t="shared" si="165"/>
        <v>30994</v>
      </c>
      <c r="O80" s="17">
        <f t="shared" si="165"/>
        <v>31426</v>
      </c>
      <c r="P80" s="60">
        <f t="shared" si="165"/>
        <v>32266</v>
      </c>
      <c r="Q80" s="60">
        <f t="shared" si="165"/>
        <v>29930</v>
      </c>
      <c r="R80" s="51">
        <f t="shared" si="165"/>
        <v>29930</v>
      </c>
      <c r="S80" s="61">
        <f t="shared" si="165"/>
        <v>29830</v>
      </c>
      <c r="T80" s="61">
        <f t="shared" si="165"/>
        <v>31925</v>
      </c>
      <c r="U80" s="61">
        <f t="shared" si="165"/>
        <v>32408</v>
      </c>
      <c r="V80" s="92">
        <f>+V72+V74+V75+V76+V77+V78+V79</f>
        <v>34628</v>
      </c>
      <c r="W80" s="51">
        <f>+W72+W74+W75+W76+W77+W78+W79</f>
        <v>34628</v>
      </c>
      <c r="X80" s="61">
        <f t="shared" si="165"/>
        <v>35699</v>
      </c>
      <c r="Y80" s="61">
        <f t="shared" si="165"/>
        <v>36779</v>
      </c>
      <c r="Z80" s="92">
        <f t="shared" si="165"/>
        <v>38458</v>
      </c>
      <c r="AA80" s="92">
        <f>+AA72+AA74+AA75+AA76+AA77+AA78+AA79</f>
        <v>35994</v>
      </c>
      <c r="AB80" s="51">
        <f>+AB72+AB74+AB75+AB76+AB77+AB78+AB79</f>
        <v>35994</v>
      </c>
      <c r="AC80" s="92">
        <f t="shared" si="165"/>
        <v>35020</v>
      </c>
      <c r="AD80" s="92">
        <f t="shared" si="165"/>
        <v>37050</v>
      </c>
      <c r="AE80" s="92">
        <f>+AE72+AE74+AE75+AE76+AE77+AE78+AE79</f>
        <v>38620</v>
      </c>
      <c r="AF80" s="92">
        <f t="shared" si="165"/>
        <v>39848</v>
      </c>
      <c r="AG80" s="51">
        <f t="shared" si="165"/>
        <v>39848</v>
      </c>
      <c r="AH80" s="61">
        <f t="shared" si="165"/>
        <v>64144</v>
      </c>
      <c r="AI80" s="61">
        <f t="shared" ref="AI80:BN80" si="166">+AI72+AI74+AI75+AI76+AI77+AI78+AI79</f>
        <v>65074</v>
      </c>
      <c r="AJ80" s="60">
        <f t="shared" si="166"/>
        <v>66702</v>
      </c>
      <c r="AK80" s="60">
        <f t="shared" si="166"/>
        <v>68153</v>
      </c>
      <c r="AL80" s="51">
        <f t="shared" si="166"/>
        <v>68153</v>
      </c>
      <c r="AM80" s="60">
        <f t="shared" si="166"/>
        <v>73085</v>
      </c>
      <c r="AN80" s="60">
        <f t="shared" si="166"/>
        <v>75680</v>
      </c>
      <c r="AO80" s="62">
        <f t="shared" si="166"/>
        <v>75378</v>
      </c>
      <c r="AP80" s="17">
        <f t="shared" si="166"/>
        <v>72882</v>
      </c>
      <c r="AQ80" s="51">
        <f t="shared" si="166"/>
        <v>72882</v>
      </c>
      <c r="AR80" s="17">
        <f t="shared" si="166"/>
        <v>74391</v>
      </c>
      <c r="AS80" s="92">
        <f t="shared" si="166"/>
        <v>72390</v>
      </c>
      <c r="AT80" s="93">
        <f t="shared" si="166"/>
        <v>74017</v>
      </c>
      <c r="AU80" s="93">
        <f t="shared" si="166"/>
        <v>74638</v>
      </c>
      <c r="AV80" s="51">
        <f t="shared" si="166"/>
        <v>74638</v>
      </c>
      <c r="AW80" s="93">
        <f t="shared" si="166"/>
        <v>75355</v>
      </c>
      <c r="AX80" s="93">
        <f t="shared" si="166"/>
        <v>76653</v>
      </c>
      <c r="AY80" s="93">
        <f t="shared" si="166"/>
        <v>76814</v>
      </c>
      <c r="AZ80" s="93">
        <f t="shared" si="166"/>
        <v>77478</v>
      </c>
      <c r="BA80" s="51">
        <f t="shared" si="166"/>
        <v>77478</v>
      </c>
      <c r="BB80" s="60">
        <f t="shared" si="166"/>
        <v>77493</v>
      </c>
      <c r="BC80" s="60">
        <f t="shared" si="166"/>
        <v>80433</v>
      </c>
      <c r="BD80" s="17">
        <f t="shared" si="166"/>
        <v>80466</v>
      </c>
      <c r="BE80" s="17">
        <f t="shared" si="166"/>
        <v>70509</v>
      </c>
      <c r="BF80" s="51">
        <f t="shared" si="166"/>
        <v>70509</v>
      </c>
      <c r="BG80" s="60">
        <f t="shared" si="166"/>
        <v>69625</v>
      </c>
      <c r="BH80" s="60">
        <f t="shared" si="166"/>
        <v>72262</v>
      </c>
      <c r="BI80" s="60">
        <f t="shared" si="166"/>
        <v>69902</v>
      </c>
      <c r="BJ80" s="60">
        <f t="shared" si="166"/>
        <v>69667</v>
      </c>
      <c r="BK80" s="51">
        <f t="shared" si="166"/>
        <v>69667</v>
      </c>
      <c r="BL80" s="60">
        <f t="shared" si="166"/>
        <v>70019</v>
      </c>
      <c r="BM80" s="17">
        <f t="shared" si="166"/>
        <v>72711</v>
      </c>
      <c r="BN80" s="17">
        <f t="shared" si="166"/>
        <v>73897</v>
      </c>
      <c r="BO80" s="17">
        <f t="shared" ref="BO80:CO80" si="167">+BO72+BO74+BO75+BO76+BO77+BO78+BO79</f>
        <v>74129</v>
      </c>
      <c r="BP80" s="51">
        <f t="shared" si="167"/>
        <v>74129</v>
      </c>
      <c r="BQ80" s="587">
        <f t="shared" si="167"/>
        <v>74622</v>
      </c>
      <c r="BR80" s="17">
        <f>+BR72+BR74+BR75+BR76+BR77+BR78+BR79</f>
        <v>76943</v>
      </c>
      <c r="BS80" s="17">
        <f t="shared" si="167"/>
        <v>78463</v>
      </c>
      <c r="BT80" s="17">
        <f t="shared" si="167"/>
        <v>79804</v>
      </c>
      <c r="BU80" s="51">
        <f t="shared" si="167"/>
        <v>79804</v>
      </c>
      <c r="BV80" s="60">
        <f t="shared" ca="1" si="167"/>
        <v>79954.887436931327</v>
      </c>
      <c r="BW80" s="60">
        <f t="shared" ca="1" si="167"/>
        <v>81050.694959291912</v>
      </c>
      <c r="BX80" s="60">
        <f t="shared" ca="1" si="167"/>
        <v>81010.749449487776</v>
      </c>
      <c r="BY80" s="60">
        <f t="shared" ca="1" si="167"/>
        <v>81362.684311415651</v>
      </c>
      <c r="BZ80" s="51">
        <f t="shared" ca="1" si="167"/>
        <v>81362.684311415651</v>
      </c>
      <c r="CA80" s="60">
        <f t="shared" ca="1" si="167"/>
        <v>81261.58622083033</v>
      </c>
      <c r="CB80" s="60">
        <f t="shared" ca="1" si="167"/>
        <v>82246.423097921346</v>
      </c>
      <c r="CC80" s="60">
        <f t="shared" ca="1" si="167"/>
        <v>82030.074719642798</v>
      </c>
      <c r="CD80" s="60">
        <f t="shared" ca="1" si="167"/>
        <v>82276.998130354303</v>
      </c>
      <c r="CE80" s="51">
        <f t="shared" ca="1" si="167"/>
        <v>82276.998130354303</v>
      </c>
      <c r="CF80" s="60">
        <f t="shared" ca="1" si="167"/>
        <v>82123.823333004591</v>
      </c>
      <c r="CG80" s="60">
        <f t="shared" ca="1" si="167"/>
        <v>83137.496595124278</v>
      </c>
      <c r="CH80" s="60">
        <f t="shared" ca="1" si="167"/>
        <v>82890.068569941053</v>
      </c>
      <c r="CI80" s="60">
        <f t="shared" ca="1" si="167"/>
        <v>83140.029268648825</v>
      </c>
      <c r="CJ80" s="51">
        <f t="shared" ca="1" si="167"/>
        <v>83140.029268648825</v>
      </c>
      <c r="CK80" s="60">
        <f t="shared" ca="1" si="167"/>
        <v>82950.245226967818</v>
      </c>
      <c r="CL80" s="60">
        <f t="shared" ca="1" si="167"/>
        <v>83997.022834291143</v>
      </c>
      <c r="CM80" s="60">
        <f t="shared" ca="1" si="167"/>
        <v>83719.068177656751</v>
      </c>
      <c r="CN80" s="60">
        <f t="shared" ca="1" si="167"/>
        <v>83974.44946457044</v>
      </c>
      <c r="CO80" s="51">
        <f t="shared" ca="1" si="167"/>
        <v>83974.44946457044</v>
      </c>
      <c r="CP80" s="60">
        <f ca="1">+CP72+CP74+CP75+CP76+CP77+CP78+CP79</f>
        <v>83743.806179055769</v>
      </c>
      <c r="CQ80" s="60">
        <f ca="1">+CQ72+CQ74+CQ75+CQ76+CQ77+CQ78+CQ79</f>
        <v>84827.466882762295</v>
      </c>
      <c r="CR80" s="60">
        <f ca="1">+CR72+CR74+CR75+CR76+CR77+CR78+CR79</f>
        <v>84519.737517035464</v>
      </c>
      <c r="CS80" s="60">
        <f ca="1">+CS72+CS74+CS75+CS76+CS77+CS78+CS79</f>
        <v>84783.048953729129</v>
      </c>
      <c r="CT80" s="51">
        <f ca="1">+CT72+CT74+CT75+CT76+CT77+CT78+CT79</f>
        <v>84783.048953729129</v>
      </c>
      <c r="CU80" s="59"/>
      <c r="CV80" s="59"/>
    </row>
    <row r="81" spans="1:100" ht="5.0999999999999996" customHeight="1" x14ac:dyDescent="0.2">
      <c r="A81" s="313"/>
      <c r="B81" s="313"/>
      <c r="C81" s="313"/>
      <c r="D81" s="330"/>
      <c r="E81" s="330"/>
      <c r="F81" s="330"/>
      <c r="G81" s="298"/>
      <c r="H81" s="331"/>
      <c r="I81" s="330"/>
      <c r="J81" s="330"/>
      <c r="K81" s="330"/>
      <c r="L81" s="298"/>
      <c r="M81" s="331"/>
      <c r="N81" s="298"/>
      <c r="O81" s="298"/>
      <c r="P81" s="330"/>
      <c r="Q81" s="330"/>
      <c r="R81" s="331"/>
      <c r="S81" s="332"/>
      <c r="T81" s="332"/>
      <c r="U81" s="332"/>
      <c r="V81" s="301"/>
      <c r="W81" s="331"/>
      <c r="X81" s="332"/>
      <c r="Y81" s="332"/>
      <c r="Z81" s="301"/>
      <c r="AA81" s="301"/>
      <c r="AB81" s="331"/>
      <c r="AC81" s="301"/>
      <c r="AD81" s="301"/>
      <c r="AE81" s="301"/>
      <c r="AF81" s="301"/>
      <c r="AG81" s="331"/>
      <c r="AH81" s="332"/>
      <c r="AI81" s="332"/>
      <c r="AJ81" s="330"/>
      <c r="AK81" s="330"/>
      <c r="AL81" s="331"/>
      <c r="AM81" s="330"/>
      <c r="AN81" s="330"/>
      <c r="AO81" s="333"/>
      <c r="AP81" s="298"/>
      <c r="AQ81" s="331"/>
      <c r="AR81" s="298"/>
      <c r="AS81" s="301"/>
      <c r="AT81" s="296"/>
      <c r="AU81" s="330"/>
      <c r="AV81" s="331"/>
      <c r="AW81" s="330"/>
      <c r="AX81" s="330"/>
      <c r="AY81" s="330"/>
      <c r="AZ81" s="330"/>
      <c r="BA81" s="331"/>
      <c r="BB81" s="330"/>
      <c r="BC81" s="330"/>
      <c r="BD81" s="298"/>
      <c r="BE81" s="298"/>
      <c r="BF81" s="331"/>
      <c r="BG81" s="330"/>
      <c r="BH81" s="330"/>
      <c r="BI81" s="330"/>
      <c r="BJ81" s="330"/>
      <c r="BK81" s="331"/>
      <c r="BL81" s="330"/>
      <c r="BM81" s="569"/>
      <c r="BN81" s="569"/>
      <c r="BO81" s="330"/>
      <c r="BP81" s="331"/>
      <c r="BQ81" s="578"/>
      <c r="BR81" s="569"/>
      <c r="BS81" s="330"/>
      <c r="BT81" s="330"/>
      <c r="BU81" s="331"/>
      <c r="BV81" s="330"/>
      <c r="BW81" s="330"/>
      <c r="BX81" s="330"/>
      <c r="BY81" s="330"/>
      <c r="BZ81" s="331"/>
      <c r="CA81" s="330"/>
      <c r="CB81" s="330"/>
      <c r="CC81" s="330"/>
      <c r="CD81" s="330"/>
      <c r="CE81" s="331"/>
      <c r="CF81" s="330"/>
      <c r="CG81" s="330"/>
      <c r="CH81" s="330"/>
      <c r="CI81" s="330"/>
      <c r="CJ81" s="331"/>
      <c r="CK81" s="330"/>
      <c r="CL81" s="330"/>
      <c r="CM81" s="330"/>
      <c r="CN81" s="330"/>
      <c r="CO81" s="331"/>
      <c r="CP81" s="330"/>
      <c r="CQ81" s="330"/>
      <c r="CR81" s="330"/>
      <c r="CS81" s="330"/>
      <c r="CT81" s="331"/>
      <c r="CU81" s="313"/>
      <c r="CV81" s="313"/>
    </row>
    <row r="82" spans="1:100" x14ac:dyDescent="0.2">
      <c r="A82" s="59" t="s">
        <v>98</v>
      </c>
      <c r="B82" s="59"/>
      <c r="C82" s="313"/>
      <c r="D82" s="330"/>
      <c r="E82" s="330"/>
      <c r="F82" s="330"/>
      <c r="G82" s="298"/>
      <c r="H82" s="331"/>
      <c r="I82" s="330"/>
      <c r="J82" s="330"/>
      <c r="K82" s="330"/>
      <c r="L82" s="298"/>
      <c r="M82" s="331"/>
      <c r="N82" s="298"/>
      <c r="O82" s="298"/>
      <c r="P82" s="330"/>
      <c r="Q82" s="330"/>
      <c r="R82" s="331"/>
      <c r="S82" s="332"/>
      <c r="T82" s="332"/>
      <c r="U82" s="332"/>
      <c r="V82" s="301"/>
      <c r="W82" s="331"/>
      <c r="X82" s="332"/>
      <c r="Y82" s="332"/>
      <c r="Z82" s="301"/>
      <c r="AA82" s="301"/>
      <c r="AB82" s="331"/>
      <c r="AC82" s="301"/>
      <c r="AD82" s="301"/>
      <c r="AE82" s="301"/>
      <c r="AF82" s="301"/>
      <c r="AG82" s="331"/>
      <c r="AH82" s="332"/>
      <c r="AI82" s="332"/>
      <c r="AJ82" s="330"/>
      <c r="AK82" s="330"/>
      <c r="AL82" s="331"/>
      <c r="AM82" s="330"/>
      <c r="AN82" s="330"/>
      <c r="AO82" s="436"/>
      <c r="AP82" s="298"/>
      <c r="AQ82" s="331"/>
      <c r="AR82" s="298"/>
      <c r="AS82" s="301"/>
      <c r="AT82" s="296"/>
      <c r="AU82" s="330"/>
      <c r="AV82" s="331"/>
      <c r="AW82" s="330"/>
      <c r="AX82" s="330"/>
      <c r="AY82" s="330"/>
      <c r="AZ82" s="330"/>
      <c r="BA82" s="331"/>
      <c r="BB82" s="330"/>
      <c r="BC82" s="330"/>
      <c r="BD82" s="298"/>
      <c r="BE82" s="298"/>
      <c r="BF82" s="331"/>
      <c r="BG82" s="330"/>
      <c r="BH82" s="330"/>
      <c r="BI82" s="330"/>
      <c r="BJ82" s="330"/>
      <c r="BK82" s="331"/>
      <c r="BL82" s="330"/>
      <c r="BM82" s="569"/>
      <c r="BN82" s="569"/>
      <c r="BO82" s="330"/>
      <c r="BP82" s="331"/>
      <c r="BQ82" s="578"/>
      <c r="BR82" s="569"/>
      <c r="BS82" s="330"/>
      <c r="BT82" s="330"/>
      <c r="BU82" s="331"/>
      <c r="BV82" s="330"/>
      <c r="BW82" s="330"/>
      <c r="BX82" s="330"/>
      <c r="BY82" s="330"/>
      <c r="BZ82" s="331"/>
      <c r="CA82" s="330"/>
      <c r="CB82" s="330"/>
      <c r="CC82" s="330"/>
      <c r="CD82" s="330"/>
      <c r="CE82" s="331"/>
      <c r="CF82" s="330"/>
      <c r="CG82" s="330"/>
      <c r="CH82" s="330"/>
      <c r="CI82" s="330"/>
      <c r="CJ82" s="331"/>
      <c r="CK82" s="330"/>
      <c r="CL82" s="330"/>
      <c r="CM82" s="330"/>
      <c r="CN82" s="330"/>
      <c r="CO82" s="331"/>
      <c r="CP82" s="330"/>
      <c r="CQ82" s="330"/>
      <c r="CR82" s="330"/>
      <c r="CS82" s="330"/>
      <c r="CT82" s="331"/>
      <c r="CU82" s="313"/>
      <c r="CV82" s="313"/>
    </row>
    <row r="83" spans="1:100" x14ac:dyDescent="0.2">
      <c r="A83" s="313" t="s">
        <v>0</v>
      </c>
      <c r="B83" s="313"/>
      <c r="C83" s="313"/>
      <c r="D83" s="298">
        <v>0</v>
      </c>
      <c r="E83" s="298">
        <v>0</v>
      </c>
      <c r="F83" s="298">
        <v>0</v>
      </c>
      <c r="G83" s="298">
        <v>0</v>
      </c>
      <c r="H83" s="366">
        <f>+G83</f>
        <v>0</v>
      </c>
      <c r="I83" s="298">
        <v>0</v>
      </c>
      <c r="J83" s="298">
        <v>0</v>
      </c>
      <c r="K83" s="298">
        <v>0</v>
      </c>
      <c r="L83" s="298">
        <v>0</v>
      </c>
      <c r="M83" s="366">
        <f>+L83</f>
        <v>0</v>
      </c>
      <c r="N83" s="298">
        <v>0</v>
      </c>
      <c r="O83" s="298">
        <v>0</v>
      </c>
      <c r="P83" s="298">
        <v>0</v>
      </c>
      <c r="Q83" s="298">
        <v>0</v>
      </c>
      <c r="R83" s="366">
        <f>+Q83</f>
        <v>0</v>
      </c>
      <c r="S83" s="301">
        <v>0</v>
      </c>
      <c r="T83" s="301">
        <v>0</v>
      </c>
      <c r="U83" s="301">
        <v>0</v>
      </c>
      <c r="V83" s="301">
        <v>0</v>
      </c>
      <c r="W83" s="366">
        <f>+V83</f>
        <v>0</v>
      </c>
      <c r="X83" s="301">
        <v>0</v>
      </c>
      <c r="Y83" s="301">
        <v>0</v>
      </c>
      <c r="Z83" s="301">
        <v>0</v>
      </c>
      <c r="AA83" s="301">
        <v>0</v>
      </c>
      <c r="AB83" s="366">
        <f>+AA83</f>
        <v>0</v>
      </c>
      <c r="AC83" s="301">
        <v>0</v>
      </c>
      <c r="AD83" s="301">
        <v>0</v>
      </c>
      <c r="AE83" s="301">
        <v>0</v>
      </c>
      <c r="AF83" s="301">
        <v>0</v>
      </c>
      <c r="AG83" s="366">
        <f>+AF83</f>
        <v>0</v>
      </c>
      <c r="AH83" s="301">
        <v>0</v>
      </c>
      <c r="AI83" s="301">
        <v>0</v>
      </c>
      <c r="AJ83" s="298">
        <v>0</v>
      </c>
      <c r="AK83" s="298">
        <v>0</v>
      </c>
      <c r="AL83" s="366">
        <f>MAX(0,(AL67+AL68+AL69+AL70+AL71+AL74+AL75+AL76+AL77+AL78+AL79)-(AL84+AL85+AL86+AL89+AL90+AL91+AL92+AL103))</f>
        <v>0</v>
      </c>
      <c r="AM83" s="298">
        <v>0</v>
      </c>
      <c r="AN83" s="298">
        <v>0</v>
      </c>
      <c r="AO83" s="296">
        <v>0</v>
      </c>
      <c r="AP83" s="298">
        <v>0</v>
      </c>
      <c r="AQ83" s="366">
        <f>AP83</f>
        <v>0</v>
      </c>
      <c r="AR83" s="298">
        <v>0</v>
      </c>
      <c r="AS83" s="301">
        <v>0</v>
      </c>
      <c r="AT83" s="296">
        <v>0</v>
      </c>
      <c r="AU83" s="296">
        <v>0</v>
      </c>
      <c r="AV83" s="331">
        <f>AU83</f>
        <v>0</v>
      </c>
      <c r="AW83" s="296">
        <v>0</v>
      </c>
      <c r="AX83" s="296">
        <v>0</v>
      </c>
      <c r="AY83" s="298">
        <v>0</v>
      </c>
      <c r="AZ83" s="298">
        <v>0</v>
      </c>
      <c r="BA83" s="331">
        <f>AZ83</f>
        <v>0</v>
      </c>
      <c r="BB83" s="298">
        <v>0</v>
      </c>
      <c r="BC83" s="298">
        <v>0</v>
      </c>
      <c r="BD83" s="298">
        <v>0</v>
      </c>
      <c r="BE83" s="298">
        <v>0</v>
      </c>
      <c r="BF83" s="331">
        <f>BE83</f>
        <v>0</v>
      </c>
      <c r="BG83" s="298">
        <f>MAX(0,(BG67+BG68+BG69+BG70+BG71+BG74+BG75+BG76+BG77+BG78+BG79)-(BG84+BG85+BG86+BG89+BG90+BG91+BG92+BG103))</f>
        <v>0</v>
      </c>
      <c r="BH83" s="298">
        <f ca="1">MAX(0,(BH67+BH68+BH69+BH70+BH71+BH74+BH75+BH76+BH77+BH78+BH79)-(BH84+BH85+BH86+BH89+BH90+BH91+BH92+BH103))</f>
        <v>0</v>
      </c>
      <c r="BI83" s="298">
        <f ca="1">MAX(0,(BI67+BI68+BI69+BI70+BI71+BI74+BI75+BI76+BI77+BI78+BI79)-(BI84+BI85+BI86+BI89+BI90+BI91+BI92+BI103))</f>
        <v>0</v>
      </c>
      <c r="BJ83" s="298">
        <f ca="1">MAX(0,(BJ67+BJ68+BJ69+BJ70+BJ71+BJ74+BJ75+BJ76+BJ77+BJ78+BJ79)-(BJ84+BJ85+BJ86+BJ89+BJ90+BJ91+BJ92+BJ103))</f>
        <v>0</v>
      </c>
      <c r="BK83" s="331">
        <f ca="1">BJ83</f>
        <v>0</v>
      </c>
      <c r="BL83" s="298">
        <f ca="1">MAX(0,(BL67+BL68+BL69+BL70+BL71+BL74+BL75+BL76+BL77+BL78+BL79)-(BL84+BL85+BL86+BL89+BL90+BL91+BL92+BL103))</f>
        <v>0</v>
      </c>
      <c r="BM83" s="569">
        <f>MAX(0,(BM67+BM68+BM69+BM70+BM71+BM74+BM75+BM76+BM77+BM78+BM79)-(BM84+BM85+BM86+BM89+BM90+BM91+BM92+BM103))</f>
        <v>0</v>
      </c>
      <c r="BN83" s="569">
        <v>0</v>
      </c>
      <c r="BO83" s="298">
        <v>0</v>
      </c>
      <c r="BP83" s="331">
        <v>0</v>
      </c>
      <c r="BQ83" s="596">
        <v>0</v>
      </c>
      <c r="BR83" s="569">
        <v>0</v>
      </c>
      <c r="BS83" s="298">
        <v>0</v>
      </c>
      <c r="BT83" s="298">
        <v>0</v>
      </c>
      <c r="BU83" s="331">
        <f>BT83</f>
        <v>0</v>
      </c>
      <c r="BV83" s="298">
        <f ca="1">MAX(0,(BV67+BV68+BV69+BV70+BV71+BV74+BV75+BV76+BV77+BV78+BV79)-(BV84+BV85+BV86+BV89+BV90+BV91+BV92+BV103))</f>
        <v>2217.1419130012073</v>
      </c>
      <c r="BW83" s="298">
        <f ca="1">MAX(0,(BW67+BW68+BW69+BW70+BW71+BW74+BW75+BW76+BW77+BW78+BW79)-(BW84+BW85+BW86+BW89+BW90+BW91+BW92+BW103))</f>
        <v>4336.1064179481909</v>
      </c>
      <c r="BX83" s="298">
        <f ca="1">MAX(0,(BX67+BX68+BX69+BX70+BX71+BX74+BX75+BX76+BX77+BX78+BX79)-(BX84+BX85+BX86+BX89+BX90+BX91+BX92+BX103))</f>
        <v>3336.5187912448891</v>
      </c>
      <c r="BY83" s="298">
        <f ca="1">MAX(0,(BY67+BY68+BY69+BY70+BY71+BY74+BY75+BY76+BY77+BY78+BY79)-(BY84+BY85+BY86+BY89+BY90+BY91+BY92+BY103))</f>
        <v>3206.9872841647593</v>
      </c>
      <c r="BZ83" s="331">
        <f ca="1">BY83</f>
        <v>3206.9872841647593</v>
      </c>
      <c r="CA83" s="298">
        <f ca="1">MAX(0,(CA67+CA68+CA69+CA70+CA71+CA74+CA75+CA76+CA77+CA78+CA79)-(CA84+CA85+CA86+CA89+CA90+CA91+CA92+CA103))</f>
        <v>5043.5078507998114</v>
      </c>
      <c r="CB83" s="298">
        <f ca="1">MAX(0,(CB67+CB68+CB69+CB70+CB71+CB74+CB75+CB76+CB77+CB78+CB79)-(CB84+CB85+CB86+CB89+CB90+CB91+CB92+CB103))</f>
        <v>6628.5860771868465</v>
      </c>
      <c r="CC83" s="298">
        <f ca="1">MAX(0,(CC67+CC68+CC69+CC70+CC71+CC74+CC75+CC76+CC77+CC78+CC79)-(CC84+CC85+CC86+CC89+CC90+CC91+CC92+CC103))</f>
        <v>5070.9074789699662</v>
      </c>
      <c r="CD83" s="298">
        <f ca="1">MAX(0,(CD67+CD68+CD69+CD70+CD71+CD74+CD75+CD76+CD77+CD78+CD79)-(CD84+CD85+CD86+CD89+CD90+CD91+CD92+CD103))</f>
        <v>4440.9335776015942</v>
      </c>
      <c r="CE83" s="331">
        <f ca="1">CD83</f>
        <v>4440.9335776015942</v>
      </c>
      <c r="CF83" s="298">
        <f ca="1">MAX(0,(CF67+CF68+CF69+CF70+CF71+CF74+CF75+CF76+CF77+CF78+CF79)-(CF84+CF85+CF86+CF89+CF90+CF91+CF92+CF103))</f>
        <v>6267.0587038010999</v>
      </c>
      <c r="CG83" s="298">
        <f ca="1">MAX(0,(CG67+CG68+CG69+CG70+CG71+CG74+CG75+CG76+CG77+CG78+CG79)-(CG84+CG85+CG86+CG89+CG90+CG91+CG92+CG103))</f>
        <v>7758.1442983584129</v>
      </c>
      <c r="CH83" s="298">
        <f ca="1">MAX(0,(CH67+CH68+CH69+CH70+CH71+CH74+CH75+CH76+CH77+CH78+CH79)-(CH84+CH85+CH86+CH89+CH90+CH91+CH92+CH103))</f>
        <v>6081.7763656991738</v>
      </c>
      <c r="CI83" s="298">
        <f ca="1">MAX(0,(CI67+CI68+CI69+CI70+CI71+CI74+CI75+CI76+CI77+CI78+CI79)-(CI84+CI85+CI86+CI89+CI90+CI91+CI92+CI103))</f>
        <v>5322.9418623585661</v>
      </c>
      <c r="CJ83" s="331">
        <f ca="1">CI83</f>
        <v>5322.9418623585661</v>
      </c>
      <c r="CK83" s="298">
        <f ca="1">MAX(0,(CK67+CK68+CK69+CK70+CK71+CK74+CK75+CK76+CK77+CK78+CK79)-(CK84+CK85+CK86+CK89+CK90+CK91+CK92+CK103))</f>
        <v>7124.1190941703098</v>
      </c>
      <c r="CL83" s="298">
        <f ca="1">MAX(0,(CL67+CL68+CL69+CL70+CL71+CL74+CL75+CL76+CL77+CL78+CL79)-(CL84+CL85+CL86+CL89+CL90+CL91+CL92+CL103))</f>
        <v>8518.7564063121245</v>
      </c>
      <c r="CM83" s="298">
        <f ca="1">MAX(0,(CM67+CM68+CM69+CM70+CM71+CM74+CM75+CM76+CM77+CM78+CM79)-(CM84+CM85+CM86+CM89+CM90+CM91+CM92+CM103))</f>
        <v>6719.4037143176683</v>
      </c>
      <c r="CN83" s="298">
        <f ca="1">MAX(0,(CN67+CN68+CN69+CN70+CN71+CN74+CN75+CN76+CN77+CN78+CN79)-(CN84+CN85+CN86+CN89+CN90+CN91+CN92+CN103))</f>
        <v>5828.4040081279236</v>
      </c>
      <c r="CO83" s="331">
        <f ca="1">CN83</f>
        <v>5828.4040081279236</v>
      </c>
      <c r="CP83" s="298">
        <f ca="1">MAX(0,(CP67+CP68+CP69+CP70+CP71+CP74+CP75+CP76+CP77+CP78+CP79)-(CP84+CP85+CP86+CP89+CP90+CP91+CP92+CP103))</f>
        <v>7618.4100704546436</v>
      </c>
      <c r="CQ83" s="298">
        <f ca="1">MAX(0,(CQ67+CQ68+CQ69+CQ70+CQ71+CQ74+CQ75+CQ76+CQ77+CQ78+CQ79)-(CQ84+CQ85+CQ86+CQ89+CQ90+CQ91+CQ92+CQ103))</f>
        <v>8913.2928206142533</v>
      </c>
      <c r="CR83" s="298">
        <f ca="1">MAX(0,(CR67+CR68+CR69+CR70+CR71+CR74+CR75+CR76+CR77+CR78+CR79)-(CR84+CR85+CR86+CR89+CR90+CR91+CR92+CR103))</f>
        <v>6986.6563891589321</v>
      </c>
      <c r="CS83" s="298">
        <f ca="1">MAX(0,(CS67+CS68+CS69+CS70+CS71+CS74+CS75+CS76+CS77+CS78+CS79)-(CS84+CS85+CS86+CS89+CS90+CS91+CS92+CS103))</f>
        <v>5958.5907803186274</v>
      </c>
      <c r="CT83" s="331">
        <f ca="1">CS83</f>
        <v>5958.5907803186274</v>
      </c>
      <c r="CU83" s="313"/>
      <c r="CV83" s="313"/>
    </row>
    <row r="84" spans="1:100" x14ac:dyDescent="0.2">
      <c r="A84" s="313" t="s">
        <v>21</v>
      </c>
      <c r="B84" s="313"/>
      <c r="C84" s="313"/>
      <c r="D84" s="298">
        <v>460</v>
      </c>
      <c r="E84" s="298">
        <v>424</v>
      </c>
      <c r="F84" s="298">
        <v>253</v>
      </c>
      <c r="G84" s="298">
        <v>1054</v>
      </c>
      <c r="H84" s="366">
        <f>+G84</f>
        <v>1054</v>
      </c>
      <c r="I84" s="298">
        <v>1804</v>
      </c>
      <c r="J84" s="298">
        <v>2000</v>
      </c>
      <c r="K84" s="298">
        <v>2266</v>
      </c>
      <c r="L84" s="298">
        <v>2889</v>
      </c>
      <c r="M84" s="366">
        <f>+L84</f>
        <v>2889</v>
      </c>
      <c r="N84" s="298">
        <v>2214</v>
      </c>
      <c r="O84" s="298">
        <v>1161</v>
      </c>
      <c r="P84" s="298">
        <v>568</v>
      </c>
      <c r="Q84" s="298">
        <v>274</v>
      </c>
      <c r="R84" s="366">
        <f>+Q84</f>
        <v>274</v>
      </c>
      <c r="S84" s="301">
        <v>1002</v>
      </c>
      <c r="T84" s="301">
        <v>364</v>
      </c>
      <c r="U84" s="301">
        <v>27</v>
      </c>
      <c r="V84" s="301">
        <v>0</v>
      </c>
      <c r="W84" s="366">
        <f>+V84</f>
        <v>0</v>
      </c>
      <c r="X84" s="301">
        <v>1103</v>
      </c>
      <c r="Y84" s="301">
        <v>0</v>
      </c>
      <c r="Z84" s="301">
        <v>1203</v>
      </c>
      <c r="AA84" s="301">
        <v>369</v>
      </c>
      <c r="AB84" s="366">
        <f>+AA84</f>
        <v>369</v>
      </c>
      <c r="AC84" s="301">
        <v>255</v>
      </c>
      <c r="AD84" s="301">
        <v>435</v>
      </c>
      <c r="AE84" s="301">
        <v>511</v>
      </c>
      <c r="AF84" s="301">
        <v>464</v>
      </c>
      <c r="AG84" s="366">
        <f>+AF84</f>
        <v>464</v>
      </c>
      <c r="AH84" s="301">
        <v>1974</v>
      </c>
      <c r="AI84" s="301">
        <v>4493</v>
      </c>
      <c r="AJ84" s="298">
        <v>5756</v>
      </c>
      <c r="AK84" s="298">
        <v>4898</v>
      </c>
      <c r="AL84" s="331">
        <f t="shared" ref="AL84:CE84" si="168">+AK84</f>
        <v>4898</v>
      </c>
      <c r="AM84" s="330">
        <v>6256</v>
      </c>
      <c r="AN84" s="330">
        <v>5715</v>
      </c>
      <c r="AO84" s="333">
        <v>5070</v>
      </c>
      <c r="AP84" s="298">
        <v>6205</v>
      </c>
      <c r="AQ84" s="331">
        <f t="shared" si="168"/>
        <v>6205</v>
      </c>
      <c r="AR84" s="298">
        <v>5656</v>
      </c>
      <c r="AS84" s="301">
        <v>7038</v>
      </c>
      <c r="AT84" s="296">
        <v>4211</v>
      </c>
      <c r="AU84" s="296">
        <v>4815</v>
      </c>
      <c r="AV84" s="331">
        <f t="shared" si="168"/>
        <v>4815</v>
      </c>
      <c r="AW84" s="296">
        <v>6175</v>
      </c>
      <c r="AX84" s="296">
        <v>6298</v>
      </c>
      <c r="AY84" s="333">
        <v>5256</v>
      </c>
      <c r="AZ84" s="333">
        <v>5306</v>
      </c>
      <c r="BA84" s="331">
        <f t="shared" si="168"/>
        <v>5306</v>
      </c>
      <c r="BB84" s="298">
        <v>7832</v>
      </c>
      <c r="BC84" s="330">
        <v>7242</v>
      </c>
      <c r="BD84" s="298">
        <v>9253</v>
      </c>
      <c r="BE84" s="298">
        <v>5076</v>
      </c>
      <c r="BF84" s="331">
        <f t="shared" si="168"/>
        <v>5076</v>
      </c>
      <c r="BG84" s="330">
        <v>7962</v>
      </c>
      <c r="BH84" s="330">
        <v>8383</v>
      </c>
      <c r="BI84" s="330">
        <v>5525</v>
      </c>
      <c r="BJ84" s="330">
        <v>4071</v>
      </c>
      <c r="BK84" s="331">
        <f t="shared" si="168"/>
        <v>4071</v>
      </c>
      <c r="BL84" s="330">
        <v>4018</v>
      </c>
      <c r="BM84" s="569">
        <v>4774</v>
      </c>
      <c r="BN84" s="569">
        <v>6284</v>
      </c>
      <c r="BO84" s="330">
        <v>6892</v>
      </c>
      <c r="BP84" s="331">
        <f t="shared" si="168"/>
        <v>6892</v>
      </c>
      <c r="BQ84" s="578">
        <v>8577</v>
      </c>
      <c r="BR84" s="569">
        <v>8279</v>
      </c>
      <c r="BS84" s="330">
        <v>7717</v>
      </c>
      <c r="BT84" s="330">
        <v>5485</v>
      </c>
      <c r="BU84" s="331">
        <f t="shared" ref="BU84:BU86" si="169">BT84</f>
        <v>5485</v>
      </c>
      <c r="BV84" s="330">
        <f t="shared" si="168"/>
        <v>5485</v>
      </c>
      <c r="BW84" s="330">
        <f t="shared" si="168"/>
        <v>5485</v>
      </c>
      <c r="BX84" s="330">
        <f t="shared" si="168"/>
        <v>5485</v>
      </c>
      <c r="BY84" s="330">
        <f t="shared" si="168"/>
        <v>5485</v>
      </c>
      <c r="BZ84" s="331">
        <f t="shared" si="168"/>
        <v>5485</v>
      </c>
      <c r="CA84" s="330">
        <f t="shared" si="168"/>
        <v>5485</v>
      </c>
      <c r="CB84" s="330">
        <f t="shared" si="168"/>
        <v>5485</v>
      </c>
      <c r="CC84" s="330">
        <f t="shared" si="168"/>
        <v>5485</v>
      </c>
      <c r="CD84" s="330">
        <f t="shared" si="168"/>
        <v>5485</v>
      </c>
      <c r="CE84" s="331">
        <f t="shared" si="168"/>
        <v>5485</v>
      </c>
      <c r="CF84" s="330">
        <f t="shared" ref="CF84:CO84" si="170">+CE84</f>
        <v>5485</v>
      </c>
      <c r="CG84" s="330">
        <f t="shared" si="170"/>
        <v>5485</v>
      </c>
      <c r="CH84" s="330">
        <f t="shared" si="170"/>
        <v>5485</v>
      </c>
      <c r="CI84" s="330">
        <f t="shared" si="170"/>
        <v>5485</v>
      </c>
      <c r="CJ84" s="331">
        <f t="shared" si="170"/>
        <v>5485</v>
      </c>
      <c r="CK84" s="330">
        <f t="shared" si="170"/>
        <v>5485</v>
      </c>
      <c r="CL84" s="330">
        <f t="shared" si="170"/>
        <v>5485</v>
      </c>
      <c r="CM84" s="330">
        <f t="shared" si="170"/>
        <v>5485</v>
      </c>
      <c r="CN84" s="330">
        <f t="shared" si="170"/>
        <v>5485</v>
      </c>
      <c r="CO84" s="331">
        <f t="shared" si="170"/>
        <v>5485</v>
      </c>
      <c r="CP84" s="330">
        <f>+CO84</f>
        <v>5485</v>
      </c>
      <c r="CQ84" s="330">
        <f>+CP84</f>
        <v>5485</v>
      </c>
      <c r="CR84" s="330">
        <f>+CQ84</f>
        <v>5485</v>
      </c>
      <c r="CS84" s="330">
        <f>+CR84</f>
        <v>5485</v>
      </c>
      <c r="CT84" s="331">
        <f>+CS84</f>
        <v>5485</v>
      </c>
      <c r="CU84" s="313"/>
      <c r="CV84" s="313"/>
    </row>
    <row r="85" spans="1:100" x14ac:dyDescent="0.2">
      <c r="A85" s="313" t="s">
        <v>22</v>
      </c>
      <c r="B85" s="313"/>
      <c r="C85" s="313"/>
      <c r="D85" s="330">
        <v>4859</v>
      </c>
      <c r="E85" s="298">
        <v>5327</v>
      </c>
      <c r="F85" s="298">
        <v>5515</v>
      </c>
      <c r="G85" s="298">
        <v>5599</v>
      </c>
      <c r="H85" s="331">
        <f>G85</f>
        <v>5599</v>
      </c>
      <c r="I85" s="330">
        <v>5093</v>
      </c>
      <c r="J85" s="298">
        <v>5422</v>
      </c>
      <c r="K85" s="298">
        <v>5860</v>
      </c>
      <c r="L85" s="298">
        <v>5971</v>
      </c>
      <c r="M85" s="331">
        <f>L85</f>
        <v>5971</v>
      </c>
      <c r="N85" s="330">
        <v>5587</v>
      </c>
      <c r="O85" s="298">
        <v>6184</v>
      </c>
      <c r="P85" s="298">
        <v>6498</v>
      </c>
      <c r="Q85" s="298">
        <v>6496</v>
      </c>
      <c r="R85" s="331">
        <f>Q85</f>
        <v>6496</v>
      </c>
      <c r="S85" s="332">
        <v>6207</v>
      </c>
      <c r="T85" s="301">
        <v>6870</v>
      </c>
      <c r="U85" s="301">
        <v>7291</v>
      </c>
      <c r="V85" s="301">
        <v>7602</v>
      </c>
      <c r="W85" s="331">
        <f>V85</f>
        <v>7602</v>
      </c>
      <c r="X85" s="301">
        <v>7386</v>
      </c>
      <c r="Y85" s="301">
        <v>7986</v>
      </c>
      <c r="Z85" s="301">
        <v>8011</v>
      </c>
      <c r="AA85" s="301">
        <v>8273</v>
      </c>
      <c r="AB85" s="331">
        <f>AA85</f>
        <v>8273</v>
      </c>
      <c r="AC85" s="301">
        <v>7556</v>
      </c>
      <c r="AD85" s="301">
        <v>7772</v>
      </c>
      <c r="AE85" s="301">
        <v>8141</v>
      </c>
      <c r="AF85" s="301">
        <v>8127</v>
      </c>
      <c r="AG85" s="331">
        <f>AF85</f>
        <v>8127</v>
      </c>
      <c r="AH85" s="332">
        <v>9553</v>
      </c>
      <c r="AI85" s="332">
        <v>9843</v>
      </c>
      <c r="AJ85" s="330">
        <v>10699</v>
      </c>
      <c r="AK85" s="330">
        <v>10923</v>
      </c>
      <c r="AL85" s="331">
        <f>AK85</f>
        <v>10923</v>
      </c>
      <c r="AM85" s="330">
        <v>10243</v>
      </c>
      <c r="AN85" s="330">
        <v>11433</v>
      </c>
      <c r="AO85" s="333">
        <v>11524</v>
      </c>
      <c r="AP85" s="298">
        <v>11757</v>
      </c>
      <c r="AQ85" s="331">
        <f>AP85</f>
        <v>11757</v>
      </c>
      <c r="AR85" s="298">
        <v>11180</v>
      </c>
      <c r="AS85" s="301">
        <v>11153</v>
      </c>
      <c r="AT85" s="296">
        <v>11722</v>
      </c>
      <c r="AU85" s="296">
        <v>11903</v>
      </c>
      <c r="AV85" s="331">
        <f>AU85</f>
        <v>11903</v>
      </c>
      <c r="AW85" s="296">
        <v>11244</v>
      </c>
      <c r="AX85" s="296">
        <v>12101</v>
      </c>
      <c r="AY85" s="330">
        <v>12214</v>
      </c>
      <c r="AZ85" s="330">
        <v>12533</v>
      </c>
      <c r="BA85" s="331">
        <f>AZ85</f>
        <v>12533</v>
      </c>
      <c r="BB85" s="330">
        <v>11625</v>
      </c>
      <c r="BC85" s="330">
        <v>12986</v>
      </c>
      <c r="BD85" s="298">
        <v>13591</v>
      </c>
      <c r="BE85" s="298">
        <v>13016</v>
      </c>
      <c r="BF85" s="331">
        <f>BE85</f>
        <v>13016</v>
      </c>
      <c r="BG85" s="330">
        <v>12165</v>
      </c>
      <c r="BH85" s="330">
        <v>13163</v>
      </c>
      <c r="BI85" s="330">
        <v>13546</v>
      </c>
      <c r="BJ85" s="330">
        <v>13507</v>
      </c>
      <c r="BK85" s="331">
        <f>BJ85</f>
        <v>13507</v>
      </c>
      <c r="BL85" s="330">
        <v>12824</v>
      </c>
      <c r="BM85" s="569">
        <v>13685</v>
      </c>
      <c r="BN85" s="569">
        <v>14305</v>
      </c>
      <c r="BO85" s="330">
        <v>14243</v>
      </c>
      <c r="BP85" s="331">
        <f>BO85</f>
        <v>14243</v>
      </c>
      <c r="BQ85" s="578">
        <v>13067</v>
      </c>
      <c r="BR85" s="569">
        <v>13834</v>
      </c>
      <c r="BS85" s="330">
        <v>14641</v>
      </c>
      <c r="BT85" s="330">
        <v>15017</v>
      </c>
      <c r="BU85" s="331">
        <f t="shared" si="169"/>
        <v>15017</v>
      </c>
      <c r="BV85" s="330">
        <f>-BV173*4*BV8</f>
        <v>13591.319233107883</v>
      </c>
      <c r="BW85" s="330">
        <f>-BW173*4*BW8</f>
        <v>14414.426120022432</v>
      </c>
      <c r="BX85" s="330">
        <f>-BX173*4*BX8</f>
        <v>15080.713712750741</v>
      </c>
      <c r="BY85" s="330">
        <f>-BY173*4*BY8</f>
        <v>15464.53526890383</v>
      </c>
      <c r="BZ85" s="331">
        <f>BY85</f>
        <v>15464.53526890383</v>
      </c>
      <c r="CA85" s="330">
        <f>-CA173*4*CA8</f>
        <v>13922.623588659641</v>
      </c>
      <c r="CB85" s="330">
        <f>-CB173*4*CB8</f>
        <v>14795.016691953109</v>
      </c>
      <c r="CC85" s="330">
        <f>-CC173*4*CC8</f>
        <v>15466.94217951362</v>
      </c>
      <c r="CD85" s="330">
        <f>-CD173*4*CD8</f>
        <v>15879.18289281818</v>
      </c>
      <c r="CE85" s="331">
        <f>CD85</f>
        <v>15879.18289281818</v>
      </c>
      <c r="CF85" s="330">
        <f>-CF173*4*CF8</f>
        <v>14256.674016158426</v>
      </c>
      <c r="CG85" s="330">
        <f>-CG173*4*CG8</f>
        <v>15173.135121323321</v>
      </c>
      <c r="CH85" s="330">
        <f>-CH173*4*CH8</f>
        <v>15851.992741501528</v>
      </c>
      <c r="CI85" s="330">
        <f>-CI173*4*CI8</f>
        <v>16293.066828517693</v>
      </c>
      <c r="CJ85" s="331">
        <f>CI85</f>
        <v>16293.066828517693</v>
      </c>
      <c r="CK85" s="330">
        <f>-CK173*4*CK8</f>
        <v>14618.312263181875</v>
      </c>
      <c r="CL85" s="330">
        <f>-CL173*4*CL8</f>
        <v>15581.999984868782</v>
      </c>
      <c r="CM85" s="330">
        <f>-CM173*4*CM8</f>
        <v>16268.961211769982</v>
      </c>
      <c r="CN85" s="330">
        <f>-CN173*4*CN8</f>
        <v>16739.91085242452</v>
      </c>
      <c r="CO85" s="331">
        <f>CN85</f>
        <v>16739.91085242452</v>
      </c>
      <c r="CP85" s="330">
        <f>-CP173*4*CP8</f>
        <v>14992.302029424089</v>
      </c>
      <c r="CQ85" s="330">
        <f>-CQ173*4*CQ8</f>
        <v>16005.705977063215</v>
      </c>
      <c r="CR85" s="330">
        <f>-CR173*4*CR8</f>
        <v>16701.195569711235</v>
      </c>
      <c r="CS85" s="330">
        <f>-CS173*4*CS8</f>
        <v>17203.035542873447</v>
      </c>
      <c r="CT85" s="331">
        <f>CS85</f>
        <v>17203.035542873447</v>
      </c>
      <c r="CU85" s="313"/>
      <c r="CV85" s="313"/>
    </row>
    <row r="86" spans="1:100" x14ac:dyDescent="0.2">
      <c r="A86" s="313" t="s">
        <v>23</v>
      </c>
      <c r="B86" s="313"/>
      <c r="C86" s="313"/>
      <c r="D86" s="299">
        <v>639</v>
      </c>
      <c r="E86" s="299">
        <v>91</v>
      </c>
      <c r="F86" s="299">
        <v>205</v>
      </c>
      <c r="G86" s="299">
        <v>99</v>
      </c>
      <c r="H86" s="428">
        <f>G86</f>
        <v>99</v>
      </c>
      <c r="I86" s="299">
        <v>297</v>
      </c>
      <c r="J86" s="299">
        <v>546</v>
      </c>
      <c r="K86" s="299">
        <v>890</v>
      </c>
      <c r="L86" s="299">
        <v>546</v>
      </c>
      <c r="M86" s="428">
        <f>L86</f>
        <v>546</v>
      </c>
      <c r="N86" s="299">
        <v>359</v>
      </c>
      <c r="O86" s="299">
        <v>449</v>
      </c>
      <c r="P86" s="299">
        <v>668</v>
      </c>
      <c r="Q86" s="299">
        <v>90</v>
      </c>
      <c r="R86" s="428">
        <f>Q86</f>
        <v>90</v>
      </c>
      <c r="S86" s="429">
        <v>313</v>
      </c>
      <c r="T86" s="429">
        <v>355</v>
      </c>
      <c r="U86" s="429">
        <v>785</v>
      </c>
      <c r="V86" s="429">
        <v>151</v>
      </c>
      <c r="W86" s="428">
        <f>V86</f>
        <v>151</v>
      </c>
      <c r="X86" s="429">
        <v>98</v>
      </c>
      <c r="Y86" s="429">
        <v>353</v>
      </c>
      <c r="Z86" s="429">
        <v>507</v>
      </c>
      <c r="AA86" s="429">
        <v>145</v>
      </c>
      <c r="AB86" s="428">
        <f>AA86</f>
        <v>145</v>
      </c>
      <c r="AC86" s="429">
        <v>180</v>
      </c>
      <c r="AD86" s="429">
        <v>412</v>
      </c>
      <c r="AE86" s="429">
        <v>643</v>
      </c>
      <c r="AF86" s="429">
        <v>165</v>
      </c>
      <c r="AG86" s="428">
        <f>AF86</f>
        <v>165</v>
      </c>
      <c r="AH86" s="429">
        <v>127</v>
      </c>
      <c r="AI86" s="429">
        <v>236</v>
      </c>
      <c r="AJ86" s="299">
        <v>662</v>
      </c>
      <c r="AK86" s="299">
        <v>71</v>
      </c>
      <c r="AL86" s="428">
        <f>+AK86</f>
        <v>71</v>
      </c>
      <c r="AM86" s="299">
        <v>341</v>
      </c>
      <c r="AN86" s="299">
        <v>909</v>
      </c>
      <c r="AO86" s="297">
        <v>971</v>
      </c>
      <c r="AP86" s="299">
        <v>192</v>
      </c>
      <c r="AQ86" s="428">
        <f>+AP86</f>
        <v>192</v>
      </c>
      <c r="AR86" s="299">
        <v>149</v>
      </c>
      <c r="AS86" s="429">
        <v>78</v>
      </c>
      <c r="AT86" s="297">
        <v>287</v>
      </c>
      <c r="AU86" s="297">
        <v>371</v>
      </c>
      <c r="AV86" s="428">
        <f>+AU86</f>
        <v>371</v>
      </c>
      <c r="AW86" s="297">
        <v>575</v>
      </c>
      <c r="AX86" s="297">
        <v>763</v>
      </c>
      <c r="AY86" s="299">
        <v>998</v>
      </c>
      <c r="AZ86" s="299">
        <v>0</v>
      </c>
      <c r="BA86" s="428">
        <f>+AZ86</f>
        <v>0</v>
      </c>
      <c r="BB86" s="299">
        <v>0</v>
      </c>
      <c r="BC86" s="299">
        <v>0</v>
      </c>
      <c r="BD86" s="299">
        <v>0</v>
      </c>
      <c r="BE86" s="299">
        <v>0</v>
      </c>
      <c r="BF86" s="428">
        <f>+BE86</f>
        <v>0</v>
      </c>
      <c r="BG86" s="299">
        <v>0</v>
      </c>
      <c r="BH86" s="299">
        <f ca="1">BH175*4*BH$5</f>
        <v>0</v>
      </c>
      <c r="BI86" s="299">
        <f ca="1">BI175*4*BI$5</f>
        <v>0</v>
      </c>
      <c r="BJ86" s="299">
        <f ca="1">BJ175*4*BJ$5</f>
        <v>0</v>
      </c>
      <c r="BK86" s="428">
        <f ca="1">+BJ86</f>
        <v>0</v>
      </c>
      <c r="BL86" s="299">
        <f ca="1">BL175*4*BL$5</f>
        <v>0</v>
      </c>
      <c r="BM86" s="570">
        <v>0</v>
      </c>
      <c r="BN86" s="570">
        <f ca="1">BN175*4*BN$5</f>
        <v>0</v>
      </c>
      <c r="BO86" s="299">
        <v>0</v>
      </c>
      <c r="BP86" s="428">
        <f>+BO86</f>
        <v>0</v>
      </c>
      <c r="BQ86" s="603">
        <v>0</v>
      </c>
      <c r="BR86" s="570">
        <f ca="1">BR175*4*BR$5</f>
        <v>0</v>
      </c>
      <c r="BS86" s="299">
        <v>0</v>
      </c>
      <c r="BT86" s="299">
        <v>0</v>
      </c>
      <c r="BU86" s="428">
        <f t="shared" si="169"/>
        <v>0</v>
      </c>
      <c r="BV86" s="299">
        <f>BV175*4*BV$5</f>
        <v>0</v>
      </c>
      <c r="BW86" s="299">
        <f ca="1">BW175*4*BW$5</f>
        <v>0</v>
      </c>
      <c r="BX86" s="299">
        <f>BX175*4*BX$5</f>
        <v>0</v>
      </c>
      <c r="BY86" s="299">
        <f>BY175*4*BY$5</f>
        <v>0</v>
      </c>
      <c r="BZ86" s="428">
        <f>+BY86</f>
        <v>0</v>
      </c>
      <c r="CA86" s="299">
        <f>CA175*4*CA$5</f>
        <v>0</v>
      </c>
      <c r="CB86" s="299">
        <f ca="1">CB175*4*CB$5</f>
        <v>0</v>
      </c>
      <c r="CC86" s="299">
        <f>CC175*4*CC$5</f>
        <v>0</v>
      </c>
      <c r="CD86" s="299">
        <f>CD175*4*CD$5</f>
        <v>0</v>
      </c>
      <c r="CE86" s="428">
        <f>+CD86</f>
        <v>0</v>
      </c>
      <c r="CF86" s="299">
        <f>CF175*4*CF$5</f>
        <v>0</v>
      </c>
      <c r="CG86" s="299">
        <f ca="1">CG175*4*CG$5</f>
        <v>0</v>
      </c>
      <c r="CH86" s="299">
        <f>CH175*4*CH$5</f>
        <v>0</v>
      </c>
      <c r="CI86" s="299">
        <f>CI175*4*CI$5</f>
        <v>0</v>
      </c>
      <c r="CJ86" s="428">
        <f>+CI86</f>
        <v>0</v>
      </c>
      <c r="CK86" s="299">
        <f>CK175*4*CK$5</f>
        <v>0</v>
      </c>
      <c r="CL86" s="299">
        <f ca="1">CL175*4*CL$5</f>
        <v>0</v>
      </c>
      <c r="CM86" s="299">
        <f>CM175*4*CM$5</f>
        <v>0</v>
      </c>
      <c r="CN86" s="299">
        <f>CN175*4*CN$5</f>
        <v>0</v>
      </c>
      <c r="CO86" s="428">
        <f>+CN86</f>
        <v>0</v>
      </c>
      <c r="CP86" s="299">
        <f>CP175*4*CP$5</f>
        <v>0</v>
      </c>
      <c r="CQ86" s="299">
        <f ca="1">CQ175*4*CQ$5</f>
        <v>0</v>
      </c>
      <c r="CR86" s="299">
        <f>CR175*4*CR$5</f>
        <v>0</v>
      </c>
      <c r="CS86" s="299">
        <f>CS175*4*CS$5</f>
        <v>0</v>
      </c>
      <c r="CT86" s="428">
        <f>+CS86</f>
        <v>0</v>
      </c>
      <c r="CU86" s="313"/>
      <c r="CV86" s="313"/>
    </row>
    <row r="87" spans="1:100" x14ac:dyDescent="0.2">
      <c r="A87" s="59"/>
      <c r="B87" s="59" t="s">
        <v>100</v>
      </c>
      <c r="C87" s="59"/>
      <c r="D87" s="17">
        <f t="shared" ref="D87:L87" si="171">SUM(D83:D86)</f>
        <v>5958</v>
      </c>
      <c r="E87" s="17">
        <f t="shared" si="171"/>
        <v>5842</v>
      </c>
      <c r="F87" s="17">
        <f t="shared" si="171"/>
        <v>5973</v>
      </c>
      <c r="G87" s="17">
        <f t="shared" si="171"/>
        <v>6752</v>
      </c>
      <c r="H87" s="51">
        <f t="shared" si="171"/>
        <v>6752</v>
      </c>
      <c r="I87" s="17">
        <f t="shared" si="171"/>
        <v>7194</v>
      </c>
      <c r="J87" s="17">
        <f t="shared" si="171"/>
        <v>7968</v>
      </c>
      <c r="K87" s="17">
        <f t="shared" si="171"/>
        <v>9016</v>
      </c>
      <c r="L87" s="17">
        <f t="shared" si="171"/>
        <v>9406</v>
      </c>
      <c r="M87" s="51">
        <f t="shared" ref="M87:AF87" si="172">SUM(M83:M86)</f>
        <v>9406</v>
      </c>
      <c r="N87" s="17">
        <f t="shared" si="172"/>
        <v>8160</v>
      </c>
      <c r="O87" s="17">
        <f t="shared" si="172"/>
        <v>7794</v>
      </c>
      <c r="P87" s="17">
        <f t="shared" si="172"/>
        <v>7734</v>
      </c>
      <c r="Q87" s="17">
        <f t="shared" si="172"/>
        <v>6860</v>
      </c>
      <c r="R87" s="51">
        <f t="shared" si="172"/>
        <v>6860</v>
      </c>
      <c r="S87" s="92">
        <f t="shared" si="172"/>
        <v>7522</v>
      </c>
      <c r="T87" s="92">
        <f t="shared" si="172"/>
        <v>7589</v>
      </c>
      <c r="U87" s="92">
        <f t="shared" si="172"/>
        <v>8103</v>
      </c>
      <c r="V87" s="92">
        <f>SUM(V83:V86)</f>
        <v>7753</v>
      </c>
      <c r="W87" s="51">
        <f>+V87</f>
        <v>7753</v>
      </c>
      <c r="X87" s="92">
        <f t="shared" si="172"/>
        <v>8587</v>
      </c>
      <c r="Y87" s="92">
        <f t="shared" si="172"/>
        <v>8339</v>
      </c>
      <c r="Z87" s="92">
        <f t="shared" si="172"/>
        <v>9721</v>
      </c>
      <c r="AA87" s="92">
        <f>SUM(AA83:AA86)</f>
        <v>8787</v>
      </c>
      <c r="AB87" s="51">
        <f>+AA87</f>
        <v>8787</v>
      </c>
      <c r="AC87" s="92">
        <f t="shared" si="172"/>
        <v>7991</v>
      </c>
      <c r="AD87" s="92">
        <f t="shared" si="172"/>
        <v>8619</v>
      </c>
      <c r="AE87" s="92">
        <f t="shared" si="172"/>
        <v>9295</v>
      </c>
      <c r="AF87" s="92">
        <f t="shared" si="172"/>
        <v>8756</v>
      </c>
      <c r="AG87" s="51">
        <f>+AF87</f>
        <v>8756</v>
      </c>
      <c r="AH87" s="61">
        <f>SUM(AH83:AH86)</f>
        <v>11654</v>
      </c>
      <c r="AI87" s="61">
        <f>SUM(AI83:AI86)</f>
        <v>14572</v>
      </c>
      <c r="AJ87" s="60">
        <f>SUM(AJ83:AJ86)</f>
        <v>17117</v>
      </c>
      <c r="AK87" s="60">
        <f>SUM(AK83:AK86)</f>
        <v>15892</v>
      </c>
      <c r="AL87" s="51">
        <f>+AK87</f>
        <v>15892</v>
      </c>
      <c r="AM87" s="60">
        <f>SUM(AM83:AM86)</f>
        <v>16840</v>
      </c>
      <c r="AN87" s="60">
        <f>SUM(AN83:AN86)</f>
        <v>18057</v>
      </c>
      <c r="AO87" s="62">
        <f>SUM(AO83:AO86)</f>
        <v>17565</v>
      </c>
      <c r="AP87" s="17">
        <f>SUM(AP83:AP86)</f>
        <v>18154</v>
      </c>
      <c r="AQ87" s="51">
        <f>+AP87</f>
        <v>18154</v>
      </c>
      <c r="AR87" s="17">
        <f>SUM(AR83:AR86)</f>
        <v>16985</v>
      </c>
      <c r="AS87" s="92">
        <f>SUM(AS83:AS86)</f>
        <v>18269</v>
      </c>
      <c r="AT87" s="93">
        <f>SUM(AT83:AT86)</f>
        <v>16220</v>
      </c>
      <c r="AU87" s="93">
        <f>SUM(AU83:AU86)</f>
        <v>17089</v>
      </c>
      <c r="AV87" s="51">
        <f>+AU87</f>
        <v>17089</v>
      </c>
      <c r="AW87" s="93">
        <f>SUM(AW83:AW86)</f>
        <v>17994</v>
      </c>
      <c r="AX87" s="93">
        <f>SUM(AX83:AX86)</f>
        <v>19162</v>
      </c>
      <c r="AY87" s="60">
        <f>SUM(AY83:AY86)</f>
        <v>18468</v>
      </c>
      <c r="AZ87" s="60">
        <f>SUM(AZ83:AZ86)</f>
        <v>17839</v>
      </c>
      <c r="BA87" s="51">
        <f>+AZ87</f>
        <v>17839</v>
      </c>
      <c r="BB87" s="60">
        <f>SUM(BB83:BB86)</f>
        <v>19457</v>
      </c>
      <c r="BC87" s="60">
        <f>SUM(BC83:BC86)</f>
        <v>20228</v>
      </c>
      <c r="BD87" s="17">
        <f>SUM(BD83:BD86)</f>
        <v>22844</v>
      </c>
      <c r="BE87" s="17">
        <f>SUM(BE83:BE86)</f>
        <v>18092</v>
      </c>
      <c r="BF87" s="51">
        <f>+BE87</f>
        <v>18092</v>
      </c>
      <c r="BG87" s="60">
        <f>SUM(BG83:BG86)</f>
        <v>20127</v>
      </c>
      <c r="BH87" s="60">
        <f ca="1">SUM(BH83:BH86)</f>
        <v>21546</v>
      </c>
      <c r="BI87" s="60">
        <f ca="1">SUM(BI83:BI86)</f>
        <v>19071</v>
      </c>
      <c r="BJ87" s="60">
        <f ca="1">SUM(BJ83:BJ86)</f>
        <v>17578</v>
      </c>
      <c r="BK87" s="51">
        <f ca="1">+BJ87</f>
        <v>17578</v>
      </c>
      <c r="BL87" s="60">
        <f ca="1">SUM(BL83:BL86)</f>
        <v>16842</v>
      </c>
      <c r="BM87" s="17">
        <f>SUM(BM83:BM86)</f>
        <v>18459</v>
      </c>
      <c r="BN87" s="17">
        <f ca="1">SUM(BN83:BN86)</f>
        <v>20589</v>
      </c>
      <c r="BO87" s="60">
        <f>SUM(BO83:BO86)</f>
        <v>21135</v>
      </c>
      <c r="BP87" s="51">
        <f>+BO87</f>
        <v>21135</v>
      </c>
      <c r="BQ87" s="587">
        <f t="shared" ref="BQ87:BY87" si="173">SUM(BQ83:BQ86)</f>
        <v>21644</v>
      </c>
      <c r="BR87" s="17">
        <f t="shared" ca="1" si="173"/>
        <v>22113</v>
      </c>
      <c r="BS87" s="60">
        <f t="shared" si="173"/>
        <v>22358</v>
      </c>
      <c r="BT87" s="60">
        <f t="shared" si="173"/>
        <v>20502</v>
      </c>
      <c r="BU87" s="51">
        <f t="shared" si="173"/>
        <v>20502</v>
      </c>
      <c r="BV87" s="60">
        <f t="shared" ca="1" si="173"/>
        <v>21293.46114610909</v>
      </c>
      <c r="BW87" s="60">
        <f t="shared" ca="1" si="173"/>
        <v>24235.532537970623</v>
      </c>
      <c r="BX87" s="60">
        <f t="shared" ca="1" si="173"/>
        <v>23902.23250399563</v>
      </c>
      <c r="BY87" s="60">
        <f t="shared" ca="1" si="173"/>
        <v>24156.522553068589</v>
      </c>
      <c r="BZ87" s="51">
        <f ca="1">+BY87</f>
        <v>24156.522553068589</v>
      </c>
      <c r="CA87" s="60">
        <f ca="1">SUM(CA83:CA86)</f>
        <v>24451.131439459452</v>
      </c>
      <c r="CB87" s="60">
        <f ca="1">SUM(CB83:CB86)</f>
        <v>26908.602769139958</v>
      </c>
      <c r="CC87" s="60">
        <f ca="1">SUM(CC83:CC86)</f>
        <v>26022.849658483588</v>
      </c>
      <c r="CD87" s="60">
        <f ca="1">SUM(CD83:CD86)</f>
        <v>25805.116470419773</v>
      </c>
      <c r="CE87" s="51">
        <f ca="1">+CD87</f>
        <v>25805.116470419773</v>
      </c>
      <c r="CF87" s="60">
        <f ca="1">SUM(CF83:CF86)</f>
        <v>26008.732719959524</v>
      </c>
      <c r="CG87" s="60">
        <f ca="1">SUM(CG83:CG86)</f>
        <v>28416.279419681734</v>
      </c>
      <c r="CH87" s="60">
        <f ca="1">SUM(CH83:CH86)</f>
        <v>27418.7691072007</v>
      </c>
      <c r="CI87" s="60">
        <f ca="1">SUM(CI83:CI86)</f>
        <v>27101.008690876261</v>
      </c>
      <c r="CJ87" s="51">
        <f ca="1">+CI87</f>
        <v>27101.008690876261</v>
      </c>
      <c r="CK87" s="60">
        <f ca="1">SUM(CK83:CK86)</f>
        <v>27227.431357352187</v>
      </c>
      <c r="CL87" s="60">
        <f ca="1">SUM(CL83:CL86)</f>
        <v>29585.756391180905</v>
      </c>
      <c r="CM87" s="60">
        <f ca="1">SUM(CM83:CM86)</f>
        <v>28473.364926087648</v>
      </c>
      <c r="CN87" s="60">
        <f ca="1">SUM(CN83:CN86)</f>
        <v>28053.314860552444</v>
      </c>
      <c r="CO87" s="51">
        <f ca="1">+CN87</f>
        <v>28053.314860552444</v>
      </c>
      <c r="CP87" s="60">
        <f ca="1">SUM(CP83:CP86)</f>
        <v>28095.712099878732</v>
      </c>
      <c r="CQ87" s="60">
        <f ca="1">SUM(CQ83:CQ86)</f>
        <v>30403.998797677468</v>
      </c>
      <c r="CR87" s="60">
        <f ca="1">SUM(CR83:CR86)</f>
        <v>29172.851958870167</v>
      </c>
      <c r="CS87" s="60">
        <f ca="1">SUM(CS83:CS86)</f>
        <v>28646.626323192075</v>
      </c>
      <c r="CT87" s="51">
        <f ca="1">+CS87</f>
        <v>28646.626323192075</v>
      </c>
      <c r="CU87" s="59"/>
      <c r="CV87" s="59"/>
    </row>
    <row r="88" spans="1:100" ht="5.0999999999999996" customHeight="1" x14ac:dyDescent="0.2">
      <c r="A88" s="313"/>
      <c r="B88" s="313"/>
      <c r="C88" s="313"/>
      <c r="D88" s="330"/>
      <c r="E88" s="330"/>
      <c r="F88" s="330"/>
      <c r="G88" s="298"/>
      <c r="H88" s="331"/>
      <c r="I88" s="330"/>
      <c r="J88" s="330"/>
      <c r="K88" s="330"/>
      <c r="L88" s="298"/>
      <c r="M88" s="331"/>
      <c r="N88" s="298"/>
      <c r="O88" s="298"/>
      <c r="P88" s="298"/>
      <c r="Q88" s="298"/>
      <c r="R88" s="331"/>
      <c r="S88" s="301"/>
      <c r="T88" s="301"/>
      <c r="U88" s="301"/>
      <c r="V88" s="301"/>
      <c r="W88" s="437"/>
      <c r="X88" s="301"/>
      <c r="Y88" s="301"/>
      <c r="Z88" s="301"/>
      <c r="AA88" s="301"/>
      <c r="AB88" s="437"/>
      <c r="AC88" s="301"/>
      <c r="AD88" s="301"/>
      <c r="AE88" s="301"/>
      <c r="AF88" s="301"/>
      <c r="AG88" s="437"/>
      <c r="AH88" s="332"/>
      <c r="AI88" s="332"/>
      <c r="AJ88" s="330"/>
      <c r="AK88" s="330"/>
      <c r="AL88" s="331"/>
      <c r="AM88" s="330"/>
      <c r="AN88" s="330"/>
      <c r="AO88" s="333"/>
      <c r="AP88" s="298"/>
      <c r="AQ88" s="331"/>
      <c r="AR88" s="298"/>
      <c r="AS88" s="301"/>
      <c r="AT88" s="296"/>
      <c r="AU88" s="296"/>
      <c r="AV88" s="331"/>
      <c r="AW88" s="296"/>
      <c r="AX88" s="296"/>
      <c r="AY88" s="330"/>
      <c r="AZ88" s="330"/>
      <c r="BA88" s="331"/>
      <c r="BB88" s="330"/>
      <c r="BC88" s="330"/>
      <c r="BD88" s="298"/>
      <c r="BE88" s="298"/>
      <c r="BF88" s="331"/>
      <c r="BG88" s="330"/>
      <c r="BH88" s="330"/>
      <c r="BI88" s="330"/>
      <c r="BJ88" s="330"/>
      <c r="BK88" s="331"/>
      <c r="BL88" s="330"/>
      <c r="BM88" s="569"/>
      <c r="BN88" s="569"/>
      <c r="BO88" s="330"/>
      <c r="BP88" s="331"/>
      <c r="BQ88" s="578"/>
      <c r="BR88" s="569"/>
      <c r="BS88" s="330"/>
      <c r="BT88" s="330"/>
      <c r="BU88" s="331"/>
      <c r="BV88" s="330"/>
      <c r="BW88" s="330"/>
      <c r="BX88" s="330"/>
      <c r="BY88" s="330"/>
      <c r="BZ88" s="331"/>
      <c r="CA88" s="330"/>
      <c r="CB88" s="330"/>
      <c r="CC88" s="330"/>
      <c r="CD88" s="330"/>
      <c r="CE88" s="331"/>
      <c r="CF88" s="330"/>
      <c r="CG88" s="330"/>
      <c r="CH88" s="330"/>
      <c r="CI88" s="330"/>
      <c r="CJ88" s="331"/>
      <c r="CK88" s="330"/>
      <c r="CL88" s="330"/>
      <c r="CM88" s="330"/>
      <c r="CN88" s="330"/>
      <c r="CO88" s="331"/>
      <c r="CP88" s="330"/>
      <c r="CQ88" s="330"/>
      <c r="CR88" s="330"/>
      <c r="CS88" s="330"/>
      <c r="CT88" s="331"/>
      <c r="CU88" s="313"/>
      <c r="CV88" s="313"/>
    </row>
    <row r="89" spans="1:100" x14ac:dyDescent="0.2">
      <c r="A89" s="313" t="s">
        <v>101</v>
      </c>
      <c r="B89" s="313"/>
      <c r="C89" s="313"/>
      <c r="D89" s="298">
        <v>1648</v>
      </c>
      <c r="E89" s="298">
        <v>2445</v>
      </c>
      <c r="F89" s="298">
        <v>2409</v>
      </c>
      <c r="G89" s="298">
        <v>2397</v>
      </c>
      <c r="H89" s="331">
        <f>G89</f>
        <v>2397</v>
      </c>
      <c r="I89" s="298">
        <v>2390</v>
      </c>
      <c r="J89" s="298">
        <v>2331</v>
      </c>
      <c r="K89" s="298">
        <v>2300</v>
      </c>
      <c r="L89" s="298">
        <v>2313</v>
      </c>
      <c r="M89" s="331">
        <f>L89</f>
        <v>2313</v>
      </c>
      <c r="N89" s="298">
        <v>2288</v>
      </c>
      <c r="O89" s="298">
        <v>2542</v>
      </c>
      <c r="P89" s="298">
        <v>2528</v>
      </c>
      <c r="Q89" s="298">
        <v>2550</v>
      </c>
      <c r="R89" s="331">
        <f>Q89</f>
        <v>2550</v>
      </c>
      <c r="S89" s="301">
        <v>1807</v>
      </c>
      <c r="T89" s="301">
        <v>3261</v>
      </c>
      <c r="U89" s="301">
        <v>2954</v>
      </c>
      <c r="V89" s="301">
        <v>4203</v>
      </c>
      <c r="W89" s="331">
        <f>V89</f>
        <v>4203</v>
      </c>
      <c r="X89" s="301">
        <v>4884</v>
      </c>
      <c r="Y89" s="301">
        <v>6053</v>
      </c>
      <c r="Z89" s="301">
        <v>6537</v>
      </c>
      <c r="AA89" s="301">
        <v>7858</v>
      </c>
      <c r="AB89" s="331">
        <f>AA89</f>
        <v>7858</v>
      </c>
      <c r="AC89" s="301">
        <v>9241</v>
      </c>
      <c r="AD89" s="301">
        <v>8185</v>
      </c>
      <c r="AE89" s="301">
        <v>7434</v>
      </c>
      <c r="AF89" s="301">
        <v>7400</v>
      </c>
      <c r="AG89" s="331">
        <f>AF89</f>
        <v>7400</v>
      </c>
      <c r="AH89" s="301">
        <v>19884</v>
      </c>
      <c r="AI89" s="301">
        <v>19586</v>
      </c>
      <c r="AJ89" s="298">
        <v>18445</v>
      </c>
      <c r="AK89" s="298">
        <v>19999</v>
      </c>
      <c r="AL89" s="331">
        <f>AK89</f>
        <v>19999</v>
      </c>
      <c r="AM89" s="298">
        <v>20942</v>
      </c>
      <c r="AN89" s="330">
        <v>21607</v>
      </c>
      <c r="AO89" s="333">
        <v>21781</v>
      </c>
      <c r="AP89" s="298">
        <v>20568</v>
      </c>
      <c r="AQ89" s="331">
        <f>AP89</f>
        <v>20568</v>
      </c>
      <c r="AR89" s="298">
        <v>22054</v>
      </c>
      <c r="AS89" s="301">
        <v>21294</v>
      </c>
      <c r="AT89" s="296">
        <v>23732</v>
      </c>
      <c r="AU89" s="296">
        <v>23544</v>
      </c>
      <c r="AV89" s="331">
        <f>AU89</f>
        <v>23544</v>
      </c>
      <c r="AW89" s="296">
        <v>23225</v>
      </c>
      <c r="AX89" s="296">
        <v>23212</v>
      </c>
      <c r="AY89" s="296">
        <v>24293</v>
      </c>
      <c r="AZ89" s="296">
        <v>24333</v>
      </c>
      <c r="BA89" s="331">
        <f>AZ89</f>
        <v>24333</v>
      </c>
      <c r="BB89" s="330">
        <v>24240</v>
      </c>
      <c r="BC89" s="298">
        <v>25606</v>
      </c>
      <c r="BD89" s="298">
        <v>23489</v>
      </c>
      <c r="BE89" s="298">
        <v>23821</v>
      </c>
      <c r="BF89" s="331">
        <f>BE89</f>
        <v>23821</v>
      </c>
      <c r="BG89" s="330">
        <v>22403</v>
      </c>
      <c r="BH89" s="330">
        <v>23075</v>
      </c>
      <c r="BI89" s="330">
        <v>26318</v>
      </c>
      <c r="BJ89" s="330">
        <v>29213</v>
      </c>
      <c r="BK89" s="331">
        <f>BJ89</f>
        <v>29213</v>
      </c>
      <c r="BL89" s="330">
        <v>31068</v>
      </c>
      <c r="BM89" s="569">
        <v>30847</v>
      </c>
      <c r="BN89" s="569">
        <v>29322</v>
      </c>
      <c r="BO89" s="569">
        <v>30053</v>
      </c>
      <c r="BP89" s="331">
        <f>BO89</f>
        <v>30053</v>
      </c>
      <c r="BQ89" s="578">
        <v>30081</v>
      </c>
      <c r="BR89" s="569">
        <v>31205</v>
      </c>
      <c r="BS89" s="569">
        <v>31452</v>
      </c>
      <c r="BT89" s="569">
        <v>33796</v>
      </c>
      <c r="BU89" s="331">
        <f>BT89</f>
        <v>33796</v>
      </c>
      <c r="BV89" s="330">
        <f>+BT89</f>
        <v>33796</v>
      </c>
      <c r="BW89" s="330">
        <f>BV89-2000</f>
        <v>31796</v>
      </c>
      <c r="BX89" s="330">
        <f>BW89</f>
        <v>31796</v>
      </c>
      <c r="BY89" s="330">
        <f>BX89</f>
        <v>31796</v>
      </c>
      <c r="BZ89" s="331">
        <f>BY89</f>
        <v>31796</v>
      </c>
      <c r="CA89" s="330">
        <f>+BY89</f>
        <v>31796</v>
      </c>
      <c r="CB89" s="330">
        <f>CA89-2000</f>
        <v>29796</v>
      </c>
      <c r="CC89" s="330">
        <f>CB89</f>
        <v>29796</v>
      </c>
      <c r="CD89" s="330">
        <f>CC89</f>
        <v>29796</v>
      </c>
      <c r="CE89" s="331">
        <f>CD89</f>
        <v>29796</v>
      </c>
      <c r="CF89" s="330">
        <f>+CD89</f>
        <v>29796</v>
      </c>
      <c r="CG89" s="330">
        <f>CF89-2000</f>
        <v>27796</v>
      </c>
      <c r="CH89" s="330">
        <f>CG89</f>
        <v>27796</v>
      </c>
      <c r="CI89" s="330">
        <f>CH89</f>
        <v>27796</v>
      </c>
      <c r="CJ89" s="331">
        <f>CI89</f>
        <v>27796</v>
      </c>
      <c r="CK89" s="330">
        <f>+CI89</f>
        <v>27796</v>
      </c>
      <c r="CL89" s="330">
        <f>CK89-2000</f>
        <v>25796</v>
      </c>
      <c r="CM89" s="330">
        <f>CL89</f>
        <v>25796</v>
      </c>
      <c r="CN89" s="330">
        <f>CM89</f>
        <v>25796</v>
      </c>
      <c r="CO89" s="331">
        <f>CN89</f>
        <v>25796</v>
      </c>
      <c r="CP89" s="330">
        <f>+CN89</f>
        <v>25796</v>
      </c>
      <c r="CQ89" s="330">
        <f>CP89-2000</f>
        <v>23796</v>
      </c>
      <c r="CR89" s="330">
        <f>CQ89</f>
        <v>23796</v>
      </c>
      <c r="CS89" s="330">
        <f>CR89</f>
        <v>23796</v>
      </c>
      <c r="CT89" s="331">
        <f>CS89</f>
        <v>23796</v>
      </c>
      <c r="CU89" s="313"/>
      <c r="CV89" s="313"/>
    </row>
    <row r="90" spans="1:100" x14ac:dyDescent="0.2">
      <c r="A90" s="313" t="s">
        <v>102</v>
      </c>
      <c r="B90" s="313"/>
      <c r="C90" s="313"/>
      <c r="D90" s="298">
        <v>4185</v>
      </c>
      <c r="E90" s="298">
        <v>4202</v>
      </c>
      <c r="F90" s="298">
        <v>4124</v>
      </c>
      <c r="G90" s="298">
        <v>4099</v>
      </c>
      <c r="H90" s="331">
        <f>G90</f>
        <v>4099</v>
      </c>
      <c r="I90" s="298">
        <v>3962</v>
      </c>
      <c r="J90" s="298">
        <v>4024</v>
      </c>
      <c r="K90" s="298">
        <v>4144</v>
      </c>
      <c r="L90" s="298">
        <v>4323</v>
      </c>
      <c r="M90" s="331">
        <f>L90</f>
        <v>4323</v>
      </c>
      <c r="N90" s="298">
        <v>4427</v>
      </c>
      <c r="O90" s="298">
        <v>4430</v>
      </c>
      <c r="P90" s="298">
        <v>4534</v>
      </c>
      <c r="Q90" s="298">
        <v>4624</v>
      </c>
      <c r="R90" s="331">
        <f>Q90</f>
        <v>4624</v>
      </c>
      <c r="S90" s="301">
        <v>4805</v>
      </c>
      <c r="T90" s="301">
        <v>4876</v>
      </c>
      <c r="U90" s="301">
        <v>4781</v>
      </c>
      <c r="V90" s="301">
        <v>4792</v>
      </c>
      <c r="W90" s="331">
        <f>V90</f>
        <v>4792</v>
      </c>
      <c r="X90" s="301">
        <v>4833</v>
      </c>
      <c r="Y90" s="301">
        <v>4982</v>
      </c>
      <c r="Z90" s="301">
        <v>5432</v>
      </c>
      <c r="AA90" s="301">
        <v>6541</v>
      </c>
      <c r="AB90" s="331">
        <f>AA90</f>
        <v>6541</v>
      </c>
      <c r="AC90" s="301">
        <v>5475</v>
      </c>
      <c r="AD90" s="301">
        <v>5577</v>
      </c>
      <c r="AE90" s="301">
        <v>5713</v>
      </c>
      <c r="AF90" s="301">
        <v>5591</v>
      </c>
      <c r="AG90" s="331">
        <f>AF90</f>
        <v>5591</v>
      </c>
      <c r="AH90" s="301">
        <v>6607</v>
      </c>
      <c r="AI90" s="301">
        <v>6843</v>
      </c>
      <c r="AJ90" s="298">
        <v>7039</v>
      </c>
      <c r="AK90" s="298">
        <v>6729</v>
      </c>
      <c r="AL90" s="331">
        <f>AK90</f>
        <v>6729</v>
      </c>
      <c r="AM90" s="298">
        <v>6657</v>
      </c>
      <c r="AN90" s="298">
        <v>6669</v>
      </c>
      <c r="AO90" s="296">
        <v>6859</v>
      </c>
      <c r="AP90" s="298">
        <v>8266</v>
      </c>
      <c r="AQ90" s="331">
        <f>AP90</f>
        <v>8266</v>
      </c>
      <c r="AR90" s="298">
        <v>7323</v>
      </c>
      <c r="AS90" s="301">
        <v>7365</v>
      </c>
      <c r="AT90" s="296">
        <v>7551</v>
      </c>
      <c r="AU90" s="296">
        <v>6543</v>
      </c>
      <c r="AV90" s="331">
        <f>AU90</f>
        <v>6543</v>
      </c>
      <c r="AW90" s="296">
        <v>6621</v>
      </c>
      <c r="AX90" s="296">
        <v>6414</v>
      </c>
      <c r="AY90" s="296">
        <v>6604</v>
      </c>
      <c r="AZ90" s="296">
        <v>4931</v>
      </c>
      <c r="BA90" s="331">
        <f>AZ90</f>
        <v>4931</v>
      </c>
      <c r="BB90" s="298">
        <v>4811</v>
      </c>
      <c r="BC90" s="298">
        <v>4927</v>
      </c>
      <c r="BD90" s="298">
        <v>5076</v>
      </c>
      <c r="BE90" s="298">
        <v>5744</v>
      </c>
      <c r="BF90" s="331">
        <f>BE90</f>
        <v>5744</v>
      </c>
      <c r="BG90" s="298">
        <v>5882</v>
      </c>
      <c r="BH90" s="298">
        <v>5908</v>
      </c>
      <c r="BI90" s="298">
        <v>5915</v>
      </c>
      <c r="BJ90" s="298">
        <v>5887</v>
      </c>
      <c r="BK90" s="331">
        <f>BJ90</f>
        <v>5887</v>
      </c>
      <c r="BL90" s="298">
        <v>5811</v>
      </c>
      <c r="BM90" s="569">
        <v>5873</v>
      </c>
      <c r="BN90" s="569">
        <v>6088</v>
      </c>
      <c r="BO90" s="569">
        <v>6669</v>
      </c>
      <c r="BP90" s="331">
        <f>BO90</f>
        <v>6669</v>
      </c>
      <c r="BQ90" s="596">
        <v>6693</v>
      </c>
      <c r="BR90" s="569">
        <v>6666</v>
      </c>
      <c r="BS90" s="569">
        <v>6823</v>
      </c>
      <c r="BT90" s="569">
        <v>11283</v>
      </c>
      <c r="BU90" s="331">
        <f>BT90</f>
        <v>11283</v>
      </c>
      <c r="BV90" s="425">
        <f>+BU90+BV115+BV116</f>
        <v>10978.1</v>
      </c>
      <c r="BW90" s="425">
        <f>+BV90+BW115+BW116</f>
        <v>10677.300000000001</v>
      </c>
      <c r="BX90" s="425">
        <f>+BW90+BX115+BX116</f>
        <v>10377.525000000001</v>
      </c>
      <c r="BY90" s="425">
        <f>+BX90+BY115+BY116</f>
        <v>10109.525000000001</v>
      </c>
      <c r="BZ90" s="331">
        <f>BY90</f>
        <v>10109.525000000001</v>
      </c>
      <c r="CA90" s="425">
        <f>+BZ90+CA115+CA116</f>
        <v>10109.525000000001</v>
      </c>
      <c r="CB90" s="425">
        <f>+CA90+CB115+CB116</f>
        <v>10109.525000000001</v>
      </c>
      <c r="CC90" s="425">
        <f>+CB90+CC115+CC116</f>
        <v>10109.525000000001</v>
      </c>
      <c r="CD90" s="425">
        <f>+CC90+CD115+CD116</f>
        <v>10109.525000000001</v>
      </c>
      <c r="CE90" s="331">
        <f>CD90</f>
        <v>10109.525000000001</v>
      </c>
      <c r="CF90" s="425">
        <f>+CE90+CF115+CF116</f>
        <v>10109.525000000001</v>
      </c>
      <c r="CG90" s="425">
        <f>+CF90+CG115+CG116</f>
        <v>10109.525000000001</v>
      </c>
      <c r="CH90" s="425">
        <f>+CG90+CH115+CH116</f>
        <v>10109.525000000001</v>
      </c>
      <c r="CI90" s="425">
        <f>+CH90+CI115+CI116</f>
        <v>10109.525000000001</v>
      </c>
      <c r="CJ90" s="331">
        <f>CI90</f>
        <v>10109.525000000001</v>
      </c>
      <c r="CK90" s="425">
        <f>+CJ90+CK115+CK116</f>
        <v>10109.525000000001</v>
      </c>
      <c r="CL90" s="425">
        <f>+CK90+CL115+CL116</f>
        <v>10109.525000000001</v>
      </c>
      <c r="CM90" s="425">
        <f>+CL90+CM115+CM116</f>
        <v>10109.525000000001</v>
      </c>
      <c r="CN90" s="425">
        <f>+CM90+CN115+CN116</f>
        <v>10109.525000000001</v>
      </c>
      <c r="CO90" s="331">
        <f>CN90</f>
        <v>10109.525000000001</v>
      </c>
      <c r="CP90" s="425">
        <f>+CO90+CP115+CP116</f>
        <v>10109.525000000001</v>
      </c>
      <c r="CQ90" s="425">
        <f>+CP90+CQ115+CQ116</f>
        <v>10109.525000000001</v>
      </c>
      <c r="CR90" s="425">
        <f>+CQ90+CR115+CR116</f>
        <v>10109.525000000001</v>
      </c>
      <c r="CS90" s="425">
        <f>+CR90+CS115+CS116</f>
        <v>10109.525000000001</v>
      </c>
      <c r="CT90" s="331">
        <f>CS90</f>
        <v>10109.525000000001</v>
      </c>
      <c r="CU90" s="313"/>
      <c r="CV90" s="313"/>
    </row>
    <row r="91" spans="1:100" x14ac:dyDescent="0.2">
      <c r="A91" s="313" t="s">
        <v>118</v>
      </c>
      <c r="B91" s="313"/>
      <c r="C91" s="313"/>
      <c r="D91" s="298">
        <v>1226</v>
      </c>
      <c r="E91" s="298">
        <v>1191</v>
      </c>
      <c r="F91" s="298">
        <v>1313</v>
      </c>
      <c r="G91" s="298">
        <v>1216</v>
      </c>
      <c r="H91" s="331">
        <f>G91</f>
        <v>1216</v>
      </c>
      <c r="I91" s="298">
        <v>1212</v>
      </c>
      <c r="J91" s="298">
        <v>1171</v>
      </c>
      <c r="K91" s="298">
        <v>1338</v>
      </c>
      <c r="L91" s="298">
        <v>1434</v>
      </c>
      <c r="M91" s="331">
        <f>L91</f>
        <v>1434</v>
      </c>
      <c r="N91" s="298">
        <v>1378</v>
      </c>
      <c r="O91" s="298">
        <v>1427</v>
      </c>
      <c r="P91" s="298">
        <v>1462</v>
      </c>
      <c r="Q91" s="298">
        <v>528</v>
      </c>
      <c r="R91" s="331">
        <f>Q91</f>
        <v>528</v>
      </c>
      <c r="S91" s="301">
        <v>348</v>
      </c>
      <c r="T91" s="301">
        <v>326</v>
      </c>
      <c r="U91" s="301">
        <v>326</v>
      </c>
      <c r="V91" s="301">
        <v>646</v>
      </c>
      <c r="W91" s="331">
        <f>V91</f>
        <v>646</v>
      </c>
      <c r="X91" s="301">
        <v>681</v>
      </c>
      <c r="Y91" s="301">
        <v>752</v>
      </c>
      <c r="Z91" s="301">
        <v>716</v>
      </c>
      <c r="AA91" s="301">
        <v>226</v>
      </c>
      <c r="AB91" s="331">
        <f>AA91</f>
        <v>226</v>
      </c>
      <c r="AC91" s="301">
        <v>234</v>
      </c>
      <c r="AD91" s="301">
        <v>260</v>
      </c>
      <c r="AE91" s="301">
        <v>347</v>
      </c>
      <c r="AF91" s="301">
        <v>659</v>
      </c>
      <c r="AG91" s="331">
        <f>AF91</f>
        <v>659</v>
      </c>
      <c r="AH91" s="301">
        <v>4143</v>
      </c>
      <c r="AI91" s="301">
        <v>4159</v>
      </c>
      <c r="AJ91" s="298">
        <v>3865</v>
      </c>
      <c r="AK91" s="298">
        <v>4057</v>
      </c>
      <c r="AL91" s="331">
        <f>AK91</f>
        <v>4057</v>
      </c>
      <c r="AM91" s="298">
        <v>4972</v>
      </c>
      <c r="AN91" s="298">
        <v>4977</v>
      </c>
      <c r="AO91" s="296">
        <v>5170</v>
      </c>
      <c r="AP91" s="298">
        <v>4995</v>
      </c>
      <c r="AQ91" s="331">
        <f>AP91</f>
        <v>4995</v>
      </c>
      <c r="AR91" s="298">
        <v>5075</v>
      </c>
      <c r="AS91" s="301">
        <v>4867</v>
      </c>
      <c r="AT91" s="296">
        <v>4930</v>
      </c>
      <c r="AU91" s="296">
        <v>5063</v>
      </c>
      <c r="AV91" s="331">
        <f>AU91</f>
        <v>5063</v>
      </c>
      <c r="AW91" s="296">
        <v>5051</v>
      </c>
      <c r="AX91" s="296">
        <v>5100</v>
      </c>
      <c r="AY91" s="296">
        <v>5047</v>
      </c>
      <c r="AZ91" s="296">
        <v>5986</v>
      </c>
      <c r="BA91" s="331">
        <f>AZ91</f>
        <v>5986</v>
      </c>
      <c r="BB91" s="298">
        <v>6092</v>
      </c>
      <c r="BC91" s="298">
        <v>6072</v>
      </c>
      <c r="BD91" s="298">
        <v>5870</v>
      </c>
      <c r="BE91" s="298">
        <v>5304</v>
      </c>
      <c r="BF91" s="331">
        <f>BE91</f>
        <v>5304</v>
      </c>
      <c r="BG91" s="298">
        <v>5224</v>
      </c>
      <c r="BH91" s="298">
        <v>5269</v>
      </c>
      <c r="BI91" s="298">
        <v>5019</v>
      </c>
      <c r="BJ91" s="298">
        <v>4959</v>
      </c>
      <c r="BK91" s="331">
        <f>BJ91</f>
        <v>4959</v>
      </c>
      <c r="BL91" s="298">
        <v>5067</v>
      </c>
      <c r="BM91" s="569">
        <v>5156</v>
      </c>
      <c r="BN91" s="569">
        <v>5180</v>
      </c>
      <c r="BO91" s="569">
        <v>5073</v>
      </c>
      <c r="BP91" s="331">
        <f>BO91</f>
        <v>5073</v>
      </c>
      <c r="BQ91" s="596">
        <v>4521</v>
      </c>
      <c r="BR91" s="569">
        <v>4429</v>
      </c>
      <c r="BS91" s="569">
        <v>4419</v>
      </c>
      <c r="BT91" s="569">
        <v>3242</v>
      </c>
      <c r="BU91" s="331">
        <f>BT91</f>
        <v>3242</v>
      </c>
      <c r="BV91" s="425">
        <f>+BT91*1.005</f>
        <v>3258.2099999999996</v>
      </c>
      <c r="BW91" s="425">
        <f>+BV91*1.005</f>
        <v>3274.5010499999994</v>
      </c>
      <c r="BX91" s="425">
        <f>+BW91*1.005</f>
        <v>3290.8735552499988</v>
      </c>
      <c r="BY91" s="425">
        <f>+BX91*1.005</f>
        <v>3307.3279230262483</v>
      </c>
      <c r="BZ91" s="331">
        <f>BY91</f>
        <v>3307.3279230262483</v>
      </c>
      <c r="CA91" s="425">
        <f>+BY91*1.005</f>
        <v>3323.8645626413791</v>
      </c>
      <c r="CB91" s="425">
        <f>+CA91*1.005</f>
        <v>3340.4838854545856</v>
      </c>
      <c r="CC91" s="425">
        <f>+CB91*1.005</f>
        <v>3357.1863048818582</v>
      </c>
      <c r="CD91" s="425">
        <f>+CC91*1.005</f>
        <v>3373.9722364062673</v>
      </c>
      <c r="CE91" s="331">
        <f>CD91</f>
        <v>3373.9722364062673</v>
      </c>
      <c r="CF91" s="425">
        <f>+CD91*1.005</f>
        <v>3390.8420975882982</v>
      </c>
      <c r="CG91" s="425">
        <f>+CF91*1.005</f>
        <v>3407.7963080762393</v>
      </c>
      <c r="CH91" s="425">
        <f>+CG91*1.005</f>
        <v>3424.8352896166202</v>
      </c>
      <c r="CI91" s="425">
        <f>+CH91*1.005</f>
        <v>3441.9594660647031</v>
      </c>
      <c r="CJ91" s="331">
        <f>CI91</f>
        <v>3441.9594660647031</v>
      </c>
      <c r="CK91" s="425">
        <f>+CI91*1.005</f>
        <v>3459.1692633950261</v>
      </c>
      <c r="CL91" s="425">
        <f>+CK91*1.005</f>
        <v>3476.4651097120009</v>
      </c>
      <c r="CM91" s="425">
        <f>+CL91*1.005</f>
        <v>3493.8474352605604</v>
      </c>
      <c r="CN91" s="425">
        <f>+CM91*1.005</f>
        <v>3511.316672436863</v>
      </c>
      <c r="CO91" s="331">
        <f>CN91</f>
        <v>3511.316672436863</v>
      </c>
      <c r="CP91" s="425">
        <f>+CN91*1.005</f>
        <v>3528.873255799047</v>
      </c>
      <c r="CQ91" s="425">
        <f>+CP91*1.005</f>
        <v>3546.5176220780418</v>
      </c>
      <c r="CR91" s="425">
        <f>+CQ91*1.005</f>
        <v>3564.2502101884315</v>
      </c>
      <c r="CS91" s="425">
        <f>+CR91*1.005</f>
        <v>3582.0714612393731</v>
      </c>
      <c r="CT91" s="331">
        <f>CS91</f>
        <v>3582.0714612393731</v>
      </c>
      <c r="CU91" s="313"/>
      <c r="CV91" s="313"/>
    </row>
    <row r="92" spans="1:100" x14ac:dyDescent="0.2">
      <c r="A92" s="313" t="s">
        <v>63</v>
      </c>
      <c r="B92" s="313"/>
      <c r="C92" s="313"/>
      <c r="D92" s="299">
        <v>0</v>
      </c>
      <c r="E92" s="299">
        <v>0</v>
      </c>
      <c r="F92" s="299">
        <v>0</v>
      </c>
      <c r="G92" s="299">
        <v>0</v>
      </c>
      <c r="H92" s="428">
        <f>G92</f>
        <v>0</v>
      </c>
      <c r="I92" s="299">
        <v>0</v>
      </c>
      <c r="J92" s="299">
        <v>0</v>
      </c>
      <c r="K92" s="299">
        <v>0</v>
      </c>
      <c r="L92" s="299">
        <v>0</v>
      </c>
      <c r="M92" s="428">
        <f>L92</f>
        <v>0</v>
      </c>
      <c r="N92" s="299">
        <v>0</v>
      </c>
      <c r="O92" s="299">
        <v>0</v>
      </c>
      <c r="P92" s="299">
        <v>0</v>
      </c>
      <c r="Q92" s="299">
        <v>0</v>
      </c>
      <c r="R92" s="428">
        <f>Q92</f>
        <v>0</v>
      </c>
      <c r="S92" s="429">
        <v>0</v>
      </c>
      <c r="T92" s="429">
        <v>0</v>
      </c>
      <c r="U92" s="429">
        <v>0</v>
      </c>
      <c r="V92" s="429">
        <v>0</v>
      </c>
      <c r="W92" s="428">
        <f>V92</f>
        <v>0</v>
      </c>
      <c r="X92" s="429">
        <v>0</v>
      </c>
      <c r="Y92" s="429">
        <v>0</v>
      </c>
      <c r="Z92" s="429">
        <v>0</v>
      </c>
      <c r="AA92" s="429">
        <v>476</v>
      </c>
      <c r="AB92" s="428">
        <f>AA92</f>
        <v>476</v>
      </c>
      <c r="AC92" s="429">
        <v>395</v>
      </c>
      <c r="AD92" s="429">
        <v>432</v>
      </c>
      <c r="AE92" s="429">
        <v>537</v>
      </c>
      <c r="AF92" s="429">
        <v>638</v>
      </c>
      <c r="AG92" s="428">
        <f>AF92</f>
        <v>638</v>
      </c>
      <c r="AH92" s="429">
        <v>275</v>
      </c>
      <c r="AI92" s="429">
        <v>288</v>
      </c>
      <c r="AJ92" s="299">
        <v>298</v>
      </c>
      <c r="AK92" s="299">
        <v>312</v>
      </c>
      <c r="AL92" s="428">
        <f>AK92</f>
        <v>312</v>
      </c>
      <c r="AM92" s="299">
        <v>1689</v>
      </c>
      <c r="AN92" s="299">
        <v>418</v>
      </c>
      <c r="AO92" s="297">
        <v>426</v>
      </c>
      <c r="AP92" s="299">
        <v>311</v>
      </c>
      <c r="AQ92" s="428">
        <f>AP92</f>
        <v>311</v>
      </c>
      <c r="AR92" s="299">
        <v>313</v>
      </c>
      <c r="AS92" s="429">
        <v>138</v>
      </c>
      <c r="AT92" s="297">
        <v>145</v>
      </c>
      <c r="AU92" s="297">
        <v>105</v>
      </c>
      <c r="AV92" s="428">
        <f>AU92</f>
        <v>105</v>
      </c>
      <c r="AW92" s="297">
        <v>113</v>
      </c>
      <c r="AX92" s="297">
        <v>106</v>
      </c>
      <c r="AY92" s="297">
        <v>116</v>
      </c>
      <c r="AZ92" s="297">
        <v>110</v>
      </c>
      <c r="BA92" s="428">
        <f>AZ92</f>
        <v>110</v>
      </c>
      <c r="BB92" s="299">
        <v>120</v>
      </c>
      <c r="BC92" s="299">
        <v>129</v>
      </c>
      <c r="BD92" s="299">
        <v>116</v>
      </c>
      <c r="BE92" s="299">
        <v>110</v>
      </c>
      <c r="BF92" s="428">
        <f>BE92</f>
        <v>110</v>
      </c>
      <c r="BG92" s="299">
        <v>120</v>
      </c>
      <c r="BH92" s="299">
        <v>132</v>
      </c>
      <c r="BI92" s="299">
        <v>118</v>
      </c>
      <c r="BJ92" s="299">
        <v>107</v>
      </c>
      <c r="BK92" s="428">
        <f>BJ92</f>
        <v>107</v>
      </c>
      <c r="BL92" s="299">
        <v>120</v>
      </c>
      <c r="BM92" s="570">
        <v>128</v>
      </c>
      <c r="BN92" s="570">
        <v>116</v>
      </c>
      <c r="BO92" s="570">
        <v>104</v>
      </c>
      <c r="BP92" s="428">
        <f>BO92</f>
        <v>104</v>
      </c>
      <c r="BQ92" s="603">
        <v>114</v>
      </c>
      <c r="BR92" s="570">
        <v>126</v>
      </c>
      <c r="BS92" s="570">
        <v>116</v>
      </c>
      <c r="BT92" s="570">
        <v>92</v>
      </c>
      <c r="BU92" s="428">
        <f>BT92</f>
        <v>92</v>
      </c>
      <c r="BV92" s="435">
        <f>+BU92-BV42</f>
        <v>103.16499999999999</v>
      </c>
      <c r="BW92" s="435">
        <f>+BV92-BW42</f>
        <v>113.315</v>
      </c>
      <c r="BX92" s="435">
        <f>+BW92-BX42</f>
        <v>125.495</v>
      </c>
      <c r="BY92" s="435">
        <f>+BX92-BY42</f>
        <v>140.72</v>
      </c>
      <c r="BZ92" s="428">
        <f>BY92</f>
        <v>140.72</v>
      </c>
      <c r="CA92" s="435">
        <f>+BZ92-CA42</f>
        <v>152.05247499999999</v>
      </c>
      <c r="CB92" s="435">
        <f>+CA92-CB42</f>
        <v>162.35472499999997</v>
      </c>
      <c r="CC92" s="435">
        <f>+CB92-CC42</f>
        <v>174.71742499999996</v>
      </c>
      <c r="CD92" s="435">
        <f>+CC92-CD42</f>
        <v>190.17079999999996</v>
      </c>
      <c r="CE92" s="428">
        <f>CD92</f>
        <v>190.17079999999996</v>
      </c>
      <c r="CF92" s="435">
        <f>+CE92-CF42</f>
        <v>202.06989874999996</v>
      </c>
      <c r="CG92" s="435">
        <f>+CF92-CG42</f>
        <v>212.88726124999997</v>
      </c>
      <c r="CH92" s="435">
        <f>+CG92-CH42</f>
        <v>225.86809624999995</v>
      </c>
      <c r="CI92" s="435">
        <f>+CH92-CI42</f>
        <v>242.09413999999995</v>
      </c>
      <c r="CJ92" s="428">
        <f>CI92</f>
        <v>242.09413999999995</v>
      </c>
      <c r="CK92" s="435">
        <f>+CJ92-CK42</f>
        <v>254.58819368749994</v>
      </c>
      <c r="CL92" s="435">
        <f>+CK92-CL42</f>
        <v>265.94642431249991</v>
      </c>
      <c r="CM92" s="435">
        <f>+CL92-CM42</f>
        <v>279.57630106249991</v>
      </c>
      <c r="CN92" s="435">
        <f>+CM92-CN42</f>
        <v>296.6136469999999</v>
      </c>
      <c r="CO92" s="428">
        <f>CN92</f>
        <v>296.6136469999999</v>
      </c>
      <c r="CP92" s="435">
        <f>+CO92-CP42</f>
        <v>309.73240337187491</v>
      </c>
      <c r="CQ92" s="435">
        <f>+CP92-CQ42</f>
        <v>321.65854552812493</v>
      </c>
      <c r="CR92" s="435">
        <f>+CQ92-CR42</f>
        <v>335.96991611562493</v>
      </c>
      <c r="CS92" s="435">
        <f>+CR92-CS42</f>
        <v>353.85912934999993</v>
      </c>
      <c r="CT92" s="428">
        <f>CS92</f>
        <v>353.85912934999993</v>
      </c>
      <c r="CU92" s="313"/>
      <c r="CV92" s="313"/>
    </row>
    <row r="93" spans="1:100" x14ac:dyDescent="0.2">
      <c r="A93" s="59"/>
      <c r="B93" s="59" t="s">
        <v>103</v>
      </c>
      <c r="C93" s="59"/>
      <c r="D93" s="17">
        <f t="shared" ref="D93:L93" si="174">SUM(D89:D92)+D87</f>
        <v>13017</v>
      </c>
      <c r="E93" s="17">
        <f t="shared" si="174"/>
        <v>13680</v>
      </c>
      <c r="F93" s="17">
        <f t="shared" si="174"/>
        <v>13819</v>
      </c>
      <c r="G93" s="17">
        <f t="shared" si="174"/>
        <v>14464</v>
      </c>
      <c r="H93" s="51">
        <f t="shared" si="174"/>
        <v>14464</v>
      </c>
      <c r="I93" s="17">
        <f t="shared" si="174"/>
        <v>14758</v>
      </c>
      <c r="J93" s="17">
        <f t="shared" si="174"/>
        <v>15494</v>
      </c>
      <c r="K93" s="17">
        <f t="shared" si="174"/>
        <v>16798</v>
      </c>
      <c r="L93" s="17">
        <f t="shared" si="174"/>
        <v>17476</v>
      </c>
      <c r="M93" s="51">
        <f t="shared" ref="M93:AQ93" si="175">SUM(M89:M92)+M87</f>
        <v>17476</v>
      </c>
      <c r="N93" s="17">
        <f t="shared" si="175"/>
        <v>16253</v>
      </c>
      <c r="O93" s="17">
        <f t="shared" si="175"/>
        <v>16193</v>
      </c>
      <c r="P93" s="17">
        <f t="shared" si="175"/>
        <v>16258</v>
      </c>
      <c r="Q93" s="17">
        <f t="shared" si="175"/>
        <v>14562</v>
      </c>
      <c r="R93" s="51">
        <f t="shared" si="175"/>
        <v>14562</v>
      </c>
      <c r="S93" s="92">
        <f t="shared" si="175"/>
        <v>14482</v>
      </c>
      <c r="T93" s="92">
        <f t="shared" si="175"/>
        <v>16052</v>
      </c>
      <c r="U93" s="92">
        <f t="shared" si="175"/>
        <v>16164</v>
      </c>
      <c r="V93" s="61">
        <f>SUM(V89:V92)+V87</f>
        <v>17394</v>
      </c>
      <c r="W93" s="51">
        <f>SUM(W89:W92)+W87</f>
        <v>17394</v>
      </c>
      <c r="X93" s="92">
        <f t="shared" si="175"/>
        <v>18985</v>
      </c>
      <c r="Y93" s="92">
        <f t="shared" si="175"/>
        <v>20126</v>
      </c>
      <c r="Z93" s="92">
        <f t="shared" si="175"/>
        <v>22406</v>
      </c>
      <c r="AA93" s="61">
        <f>SUM(AA89:AA92)+AA87</f>
        <v>23888</v>
      </c>
      <c r="AB93" s="51">
        <f>SUM(AB89:AB92)+AB87</f>
        <v>23888</v>
      </c>
      <c r="AC93" s="92">
        <f t="shared" si="175"/>
        <v>23336</v>
      </c>
      <c r="AD93" s="92">
        <f t="shared" si="175"/>
        <v>23073</v>
      </c>
      <c r="AE93" s="61">
        <f t="shared" si="175"/>
        <v>23326</v>
      </c>
      <c r="AF93" s="61">
        <f t="shared" si="175"/>
        <v>23044</v>
      </c>
      <c r="AG93" s="51">
        <f t="shared" si="175"/>
        <v>23044</v>
      </c>
      <c r="AH93" s="61">
        <f t="shared" si="175"/>
        <v>42563</v>
      </c>
      <c r="AI93" s="61">
        <f t="shared" si="175"/>
        <v>45448</v>
      </c>
      <c r="AJ93" s="60">
        <f t="shared" si="175"/>
        <v>46764</v>
      </c>
      <c r="AK93" s="60">
        <f t="shared" si="175"/>
        <v>46989</v>
      </c>
      <c r="AL93" s="51">
        <f t="shared" si="175"/>
        <v>46989</v>
      </c>
      <c r="AM93" s="60">
        <f t="shared" si="175"/>
        <v>51100</v>
      </c>
      <c r="AN93" s="60">
        <f t="shared" si="175"/>
        <v>51728</v>
      </c>
      <c r="AO93" s="62">
        <f t="shared" si="175"/>
        <v>51801</v>
      </c>
      <c r="AP93" s="17">
        <f t="shared" si="175"/>
        <v>52294</v>
      </c>
      <c r="AQ93" s="51">
        <f t="shared" si="175"/>
        <v>52294</v>
      </c>
      <c r="AR93" s="17">
        <f t="shared" ref="AR93:BW93" si="176">SUM(AR89:AR92)+AR87</f>
        <v>51750</v>
      </c>
      <c r="AS93" s="92">
        <f t="shared" si="176"/>
        <v>51933</v>
      </c>
      <c r="AT93" s="93">
        <f t="shared" si="176"/>
        <v>52578</v>
      </c>
      <c r="AU93" s="93">
        <f t="shared" si="176"/>
        <v>52344</v>
      </c>
      <c r="AV93" s="51">
        <f t="shared" si="176"/>
        <v>52344</v>
      </c>
      <c r="AW93" s="93">
        <f t="shared" si="176"/>
        <v>53004</v>
      </c>
      <c r="AX93" s="93">
        <f t="shared" si="176"/>
        <v>53994</v>
      </c>
      <c r="AY93" s="93">
        <f t="shared" si="176"/>
        <v>54528</v>
      </c>
      <c r="AZ93" s="93">
        <f t="shared" si="176"/>
        <v>53199</v>
      </c>
      <c r="BA93" s="51">
        <f t="shared" si="176"/>
        <v>53199</v>
      </c>
      <c r="BB93" s="17">
        <f>SUM(BB89:BB92)+BB87</f>
        <v>54720</v>
      </c>
      <c r="BC93" s="60">
        <f t="shared" si="176"/>
        <v>56962</v>
      </c>
      <c r="BD93" s="17">
        <f>SUM(BD89:BD92)+BD87</f>
        <v>57395</v>
      </c>
      <c r="BE93" s="17">
        <f t="shared" si="176"/>
        <v>53071</v>
      </c>
      <c r="BF93" s="51">
        <f t="shared" si="176"/>
        <v>53071</v>
      </c>
      <c r="BG93" s="60">
        <f t="shared" si="176"/>
        <v>53756</v>
      </c>
      <c r="BH93" s="60">
        <f t="shared" ca="1" si="176"/>
        <v>55930</v>
      </c>
      <c r="BI93" s="60">
        <f t="shared" ca="1" si="176"/>
        <v>56441</v>
      </c>
      <c r="BJ93" s="60">
        <f t="shared" ca="1" si="176"/>
        <v>57744</v>
      </c>
      <c r="BK93" s="51">
        <f t="shared" ca="1" si="176"/>
        <v>57744</v>
      </c>
      <c r="BL93" s="60">
        <f t="shared" ca="1" si="176"/>
        <v>58908</v>
      </c>
      <c r="BM93" s="17">
        <f t="shared" si="176"/>
        <v>60463</v>
      </c>
      <c r="BN93" s="17">
        <f t="shared" ca="1" si="176"/>
        <v>61295</v>
      </c>
      <c r="BO93" s="17">
        <f t="shared" si="176"/>
        <v>63034</v>
      </c>
      <c r="BP93" s="51">
        <f t="shared" si="176"/>
        <v>63034</v>
      </c>
      <c r="BQ93" s="587">
        <f t="shared" si="176"/>
        <v>63053</v>
      </c>
      <c r="BR93" s="17">
        <f t="shared" ca="1" si="176"/>
        <v>64539</v>
      </c>
      <c r="BS93" s="17">
        <f t="shared" si="176"/>
        <v>65168</v>
      </c>
      <c r="BT93" s="17">
        <f t="shared" si="176"/>
        <v>68915</v>
      </c>
      <c r="BU93" s="51">
        <f t="shared" si="176"/>
        <v>68915</v>
      </c>
      <c r="BV93" s="60">
        <f t="shared" ca="1" si="176"/>
        <v>69428.936146109088</v>
      </c>
      <c r="BW93" s="60">
        <f t="shared" ca="1" si="176"/>
        <v>70096.648587970631</v>
      </c>
      <c r="BX93" s="60">
        <f t="shared" ref="BX93:CO93" ca="1" si="177">SUM(BX89:BX92)+BX87</f>
        <v>69492.126059245638</v>
      </c>
      <c r="BY93" s="60">
        <f t="shared" ca="1" si="177"/>
        <v>69510.095476094837</v>
      </c>
      <c r="BZ93" s="51">
        <f t="shared" ca="1" si="177"/>
        <v>69510.095476094837</v>
      </c>
      <c r="CA93" s="60">
        <f t="shared" ca="1" si="177"/>
        <v>69832.573477100828</v>
      </c>
      <c r="CB93" s="60">
        <f t="shared" ca="1" si="177"/>
        <v>70316.966379594553</v>
      </c>
      <c r="CC93" s="60">
        <f t="shared" ca="1" si="177"/>
        <v>69460.278388365448</v>
      </c>
      <c r="CD93" s="60">
        <f t="shared" ca="1" si="177"/>
        <v>69274.78450682605</v>
      </c>
      <c r="CE93" s="51">
        <f t="shared" ca="1" si="177"/>
        <v>69274.78450682605</v>
      </c>
      <c r="CF93" s="60">
        <f t="shared" ca="1" si="177"/>
        <v>69507.169716297823</v>
      </c>
      <c r="CG93" s="60">
        <f t="shared" ca="1" si="177"/>
        <v>69942.487989007976</v>
      </c>
      <c r="CH93" s="60">
        <f t="shared" ca="1" si="177"/>
        <v>68974.99749306732</v>
      </c>
      <c r="CI93" s="60">
        <f t="shared" ca="1" si="177"/>
        <v>68690.587296940968</v>
      </c>
      <c r="CJ93" s="51">
        <f t="shared" ca="1" si="177"/>
        <v>68690.587296940968</v>
      </c>
      <c r="CK93" s="60">
        <f t="shared" ca="1" si="177"/>
        <v>68846.713814434712</v>
      </c>
      <c r="CL93" s="60">
        <f t="shared" ca="1" si="177"/>
        <v>69233.692925205396</v>
      </c>
      <c r="CM93" s="60">
        <f t="shared" ca="1" si="177"/>
        <v>68152.313662410714</v>
      </c>
      <c r="CN93" s="60">
        <f t="shared" ca="1" si="177"/>
        <v>67766.770179989311</v>
      </c>
      <c r="CO93" s="51">
        <f t="shared" ca="1" si="177"/>
        <v>67766.770179989311</v>
      </c>
      <c r="CP93" s="60">
        <f ca="1">SUM(CP89:CP92)+CP87</f>
        <v>67839.842759049658</v>
      </c>
      <c r="CQ93" s="60">
        <f ca="1">SUM(CQ89:CQ92)+CQ87</f>
        <v>68177.699965283638</v>
      </c>
      <c r="CR93" s="60">
        <f ca="1">SUM(CR89:CR92)+CR87</f>
        <v>66978.597085174231</v>
      </c>
      <c r="CS93" s="60">
        <f ca="1">SUM(CS89:CS92)+CS87</f>
        <v>66488.08191378144</v>
      </c>
      <c r="CT93" s="51">
        <f ca="1">SUM(CT89:CT92)+CT87</f>
        <v>66488.08191378144</v>
      </c>
      <c r="CU93" s="59"/>
      <c r="CV93" s="59"/>
    </row>
    <row r="94" spans="1:100" ht="5.0999999999999996" customHeight="1" x14ac:dyDescent="0.2">
      <c r="A94" s="313"/>
      <c r="B94" s="313"/>
      <c r="C94" s="313"/>
      <c r="D94" s="330"/>
      <c r="E94" s="330"/>
      <c r="F94" s="330"/>
      <c r="G94" s="298"/>
      <c r="H94" s="331"/>
      <c r="I94" s="330"/>
      <c r="J94" s="330"/>
      <c r="K94" s="330"/>
      <c r="L94" s="298"/>
      <c r="M94" s="331"/>
      <c r="N94" s="298"/>
      <c r="O94" s="298"/>
      <c r="P94" s="298"/>
      <c r="Q94" s="298"/>
      <c r="R94" s="331"/>
      <c r="S94" s="301"/>
      <c r="T94" s="301"/>
      <c r="U94" s="301"/>
      <c r="V94" s="332"/>
      <c r="W94" s="437"/>
      <c r="X94" s="301"/>
      <c r="Y94" s="301"/>
      <c r="Z94" s="301"/>
      <c r="AA94" s="332"/>
      <c r="AB94" s="437"/>
      <c r="AC94" s="301"/>
      <c r="AD94" s="301"/>
      <c r="AE94" s="332"/>
      <c r="AF94" s="332"/>
      <c r="AG94" s="437"/>
      <c r="AH94" s="332"/>
      <c r="AI94" s="332"/>
      <c r="AJ94" s="330"/>
      <c r="AK94" s="330"/>
      <c r="AL94" s="331"/>
      <c r="AM94" s="330"/>
      <c r="AN94" s="330"/>
      <c r="AO94" s="333"/>
      <c r="AP94" s="298"/>
      <c r="AQ94" s="331"/>
      <c r="AR94" s="298"/>
      <c r="AS94" s="301"/>
      <c r="AT94" s="296"/>
      <c r="AU94" s="296"/>
      <c r="AV94" s="331"/>
      <c r="AW94" s="296"/>
      <c r="AX94" s="296"/>
      <c r="AY94" s="330"/>
      <c r="AZ94" s="330"/>
      <c r="BA94" s="331"/>
      <c r="BB94" s="330"/>
      <c r="BC94" s="330"/>
      <c r="BD94" s="298"/>
      <c r="BE94" s="298"/>
      <c r="BF94" s="331"/>
      <c r="BG94" s="330"/>
      <c r="BH94" s="330"/>
      <c r="BI94" s="330"/>
      <c r="BJ94" s="330"/>
      <c r="BK94" s="331"/>
      <c r="BL94" s="330"/>
      <c r="BM94" s="569"/>
      <c r="BN94" s="569"/>
      <c r="BO94" s="330"/>
      <c r="BP94" s="331"/>
      <c r="BQ94" s="578"/>
      <c r="BR94" s="569"/>
      <c r="BS94" s="330"/>
      <c r="BT94" s="330"/>
      <c r="BU94" s="331"/>
      <c r="BV94" s="330"/>
      <c r="BW94" s="330"/>
      <c r="BX94" s="330"/>
      <c r="BY94" s="330"/>
      <c r="BZ94" s="331"/>
      <c r="CA94" s="330"/>
      <c r="CB94" s="330"/>
      <c r="CC94" s="330"/>
      <c r="CD94" s="330"/>
      <c r="CE94" s="331"/>
      <c r="CF94" s="330"/>
      <c r="CG94" s="330"/>
      <c r="CH94" s="330"/>
      <c r="CI94" s="330"/>
      <c r="CJ94" s="331"/>
      <c r="CK94" s="330"/>
      <c r="CL94" s="330"/>
      <c r="CM94" s="330"/>
      <c r="CN94" s="330"/>
      <c r="CO94" s="331"/>
      <c r="CP94" s="330"/>
      <c r="CQ94" s="330"/>
      <c r="CR94" s="330"/>
      <c r="CS94" s="330"/>
      <c r="CT94" s="331"/>
      <c r="CU94" s="313"/>
      <c r="CV94" s="313"/>
    </row>
    <row r="95" spans="1:100" x14ac:dyDescent="0.2">
      <c r="A95" s="59" t="s">
        <v>104</v>
      </c>
      <c r="B95" s="59"/>
      <c r="C95" s="59"/>
      <c r="D95" s="60"/>
      <c r="E95" s="60"/>
      <c r="F95" s="60"/>
      <c r="G95" s="17"/>
      <c r="H95" s="51"/>
      <c r="I95" s="60"/>
      <c r="J95" s="60"/>
      <c r="K95" s="60"/>
      <c r="L95" s="17"/>
      <c r="M95" s="51"/>
      <c r="N95" s="17"/>
      <c r="O95" s="17"/>
      <c r="P95" s="17"/>
      <c r="Q95" s="17"/>
      <c r="R95" s="51"/>
      <c r="S95" s="92"/>
      <c r="T95" s="92"/>
      <c r="U95" s="92"/>
      <c r="V95" s="61"/>
      <c r="W95" s="437"/>
      <c r="X95" s="92"/>
      <c r="Y95" s="92"/>
      <c r="Z95" s="92"/>
      <c r="AA95" s="61"/>
      <c r="AB95" s="437"/>
      <c r="AC95" s="92"/>
      <c r="AD95" s="92"/>
      <c r="AE95" s="61"/>
      <c r="AF95" s="61"/>
      <c r="AG95" s="437"/>
      <c r="AH95" s="61"/>
      <c r="AI95" s="61"/>
      <c r="AJ95" s="60"/>
      <c r="AK95" s="60"/>
      <c r="AL95" s="51"/>
      <c r="AM95" s="60"/>
      <c r="AN95" s="60"/>
      <c r="AO95" s="62"/>
      <c r="AP95" s="17"/>
      <c r="AQ95" s="51"/>
      <c r="AR95" s="17"/>
      <c r="AS95" s="92"/>
      <c r="AT95" s="93"/>
      <c r="AU95" s="93"/>
      <c r="AV95" s="51"/>
      <c r="AW95" s="93"/>
      <c r="AX95" s="93"/>
      <c r="AY95" s="60"/>
      <c r="AZ95" s="60"/>
      <c r="BA95" s="51"/>
      <c r="BB95" s="60"/>
      <c r="BC95" s="60"/>
      <c r="BD95" s="17"/>
      <c r="BE95" s="17"/>
      <c r="BF95" s="51"/>
      <c r="BG95" s="60"/>
      <c r="BH95" s="60"/>
      <c r="BI95" s="60"/>
      <c r="BJ95" s="60"/>
      <c r="BK95" s="51"/>
      <c r="BL95" s="60"/>
      <c r="BM95" s="17"/>
      <c r="BN95" s="17"/>
      <c r="BO95" s="60"/>
      <c r="BP95" s="51"/>
      <c r="BQ95" s="587"/>
      <c r="BR95" s="17"/>
      <c r="BS95" s="60"/>
      <c r="BT95" s="60"/>
      <c r="BU95" s="51"/>
      <c r="BV95" s="60"/>
      <c r="BW95" s="60"/>
      <c r="BX95" s="60"/>
      <c r="BY95" s="60"/>
      <c r="BZ95" s="51"/>
      <c r="CA95" s="60"/>
      <c r="CB95" s="60"/>
      <c r="CC95" s="60"/>
      <c r="CD95" s="60"/>
      <c r="CE95" s="51"/>
      <c r="CF95" s="60"/>
      <c r="CG95" s="60"/>
      <c r="CH95" s="60"/>
      <c r="CI95" s="60"/>
      <c r="CJ95" s="51"/>
      <c r="CK95" s="60"/>
      <c r="CL95" s="60"/>
      <c r="CM95" s="60"/>
      <c r="CN95" s="60"/>
      <c r="CO95" s="51"/>
      <c r="CP95" s="60"/>
      <c r="CQ95" s="60"/>
      <c r="CR95" s="60"/>
      <c r="CS95" s="60"/>
      <c r="CT95" s="51"/>
      <c r="CU95" s="59"/>
      <c r="CV95" s="59"/>
    </row>
    <row r="96" spans="1:100" x14ac:dyDescent="0.2">
      <c r="A96" s="313" t="s">
        <v>24</v>
      </c>
      <c r="B96" s="313"/>
      <c r="C96" s="313"/>
      <c r="D96" s="298">
        <v>41</v>
      </c>
      <c r="E96" s="298">
        <v>41</v>
      </c>
      <c r="F96" s="298">
        <v>41</v>
      </c>
      <c r="G96" s="298">
        <v>41</v>
      </c>
      <c r="H96" s="331">
        <f>G96</f>
        <v>41</v>
      </c>
      <c r="I96" s="298">
        <v>41</v>
      </c>
      <c r="J96" s="298">
        <v>41</v>
      </c>
      <c r="K96" s="298">
        <v>41</v>
      </c>
      <c r="L96" s="298">
        <v>41</v>
      </c>
      <c r="M96" s="331">
        <f>L96</f>
        <v>41</v>
      </c>
      <c r="N96" s="298">
        <v>41</v>
      </c>
      <c r="O96" s="298">
        <v>41</v>
      </c>
      <c r="P96" s="298">
        <v>41</v>
      </c>
      <c r="Q96" s="298">
        <v>41</v>
      </c>
      <c r="R96" s="331">
        <f>Q96</f>
        <v>41</v>
      </c>
      <c r="S96" s="301">
        <v>41</v>
      </c>
      <c r="T96" s="301">
        <v>41</v>
      </c>
      <c r="U96" s="301">
        <v>41</v>
      </c>
      <c r="V96" s="301">
        <v>41</v>
      </c>
      <c r="W96" s="331">
        <f>V96</f>
        <v>41</v>
      </c>
      <c r="X96" s="301">
        <v>41</v>
      </c>
      <c r="Y96" s="301">
        <v>41</v>
      </c>
      <c r="Z96" s="301">
        <v>41</v>
      </c>
      <c r="AA96" s="301">
        <v>41</v>
      </c>
      <c r="AB96" s="331">
        <f>AA96</f>
        <v>41</v>
      </c>
      <c r="AC96" s="301">
        <v>41</v>
      </c>
      <c r="AD96" s="301">
        <v>41</v>
      </c>
      <c r="AE96" s="301">
        <v>41</v>
      </c>
      <c r="AF96" s="301">
        <v>41</v>
      </c>
      <c r="AG96" s="331">
        <f>AF96</f>
        <v>41</v>
      </c>
      <c r="AH96" s="301">
        <v>41</v>
      </c>
      <c r="AI96" s="301">
        <v>41</v>
      </c>
      <c r="AJ96" s="298">
        <v>41</v>
      </c>
      <c r="AK96" s="298">
        <v>41</v>
      </c>
      <c r="AL96" s="331">
        <f>AK96</f>
        <v>41</v>
      </c>
      <c r="AM96" s="298">
        <v>41</v>
      </c>
      <c r="AN96" s="298">
        <v>41</v>
      </c>
      <c r="AO96" s="296">
        <v>41</v>
      </c>
      <c r="AP96" s="298">
        <v>41</v>
      </c>
      <c r="AQ96" s="331">
        <f>AP96</f>
        <v>41</v>
      </c>
      <c r="AR96" s="298">
        <v>41</v>
      </c>
      <c r="AS96" s="301">
        <v>41</v>
      </c>
      <c r="AT96" s="296">
        <v>41</v>
      </c>
      <c r="AU96" s="296">
        <v>41</v>
      </c>
      <c r="AV96" s="331">
        <f>AU96</f>
        <v>41</v>
      </c>
      <c r="AW96" s="296">
        <v>41</v>
      </c>
      <c r="AX96" s="296">
        <v>41</v>
      </c>
      <c r="AY96" s="296">
        <v>41</v>
      </c>
      <c r="AZ96" s="296">
        <v>41</v>
      </c>
      <c r="BA96" s="331">
        <f>AZ96</f>
        <v>41</v>
      </c>
      <c r="BB96" s="298">
        <v>41</v>
      </c>
      <c r="BC96" s="298">
        <v>41</v>
      </c>
      <c r="BD96" s="298">
        <v>41</v>
      </c>
      <c r="BE96" s="298">
        <v>41</v>
      </c>
      <c r="BF96" s="331">
        <f>BE96</f>
        <v>41</v>
      </c>
      <c r="BG96" s="298">
        <v>41</v>
      </c>
      <c r="BH96" s="298">
        <v>41</v>
      </c>
      <c r="BI96" s="298">
        <v>41</v>
      </c>
      <c r="BJ96" s="298">
        <v>41</v>
      </c>
      <c r="BK96" s="331">
        <f t="shared" ref="BK96:BK99" si="178">BJ96</f>
        <v>41</v>
      </c>
      <c r="BL96" s="298">
        <v>41</v>
      </c>
      <c r="BM96" s="569">
        <v>41</v>
      </c>
      <c r="BN96" s="569">
        <v>41</v>
      </c>
      <c r="BO96" s="569">
        <v>41</v>
      </c>
      <c r="BP96" s="331">
        <f t="shared" ref="BP96:BP99" si="179">BO96</f>
        <v>41</v>
      </c>
      <c r="BQ96" s="596">
        <v>41</v>
      </c>
      <c r="BR96" s="569">
        <v>41</v>
      </c>
      <c r="BS96" s="569">
        <v>41</v>
      </c>
      <c r="BT96" s="569">
        <v>41</v>
      </c>
      <c r="BU96" s="331">
        <f t="shared" ref="BU96:BU99" si="180">BT96</f>
        <v>41</v>
      </c>
      <c r="BV96" s="425">
        <f>BT96</f>
        <v>41</v>
      </c>
      <c r="BW96" s="425">
        <f t="shared" ref="BW96:BZ99" si="181">BV96</f>
        <v>41</v>
      </c>
      <c r="BX96" s="425">
        <f t="shared" si="181"/>
        <v>41</v>
      </c>
      <c r="BY96" s="425">
        <f t="shared" si="181"/>
        <v>41</v>
      </c>
      <c r="BZ96" s="331">
        <f t="shared" si="181"/>
        <v>41</v>
      </c>
      <c r="CA96" s="425">
        <f>BY96</f>
        <v>41</v>
      </c>
      <c r="CB96" s="425">
        <f t="shared" ref="CB96:CE99" si="182">CA96</f>
        <v>41</v>
      </c>
      <c r="CC96" s="425">
        <f t="shared" si="182"/>
        <v>41</v>
      </c>
      <c r="CD96" s="425">
        <f t="shared" si="182"/>
        <v>41</v>
      </c>
      <c r="CE96" s="331">
        <f t="shared" si="182"/>
        <v>41</v>
      </c>
      <c r="CF96" s="425">
        <f>CD96</f>
        <v>41</v>
      </c>
      <c r="CG96" s="425">
        <f t="shared" ref="CG96:CJ99" si="183">CF96</f>
        <v>41</v>
      </c>
      <c r="CH96" s="425">
        <f t="shared" si="183"/>
        <v>41</v>
      </c>
      <c r="CI96" s="425">
        <f t="shared" si="183"/>
        <v>41</v>
      </c>
      <c r="CJ96" s="331">
        <f t="shared" si="183"/>
        <v>41</v>
      </c>
      <c r="CK96" s="425">
        <f>CI96</f>
        <v>41</v>
      </c>
      <c r="CL96" s="425">
        <f t="shared" ref="CL96:CO99" si="184">CK96</f>
        <v>41</v>
      </c>
      <c r="CM96" s="425">
        <f t="shared" si="184"/>
        <v>41</v>
      </c>
      <c r="CN96" s="425">
        <f t="shared" si="184"/>
        <v>41</v>
      </c>
      <c r="CO96" s="331">
        <f t="shared" si="184"/>
        <v>41</v>
      </c>
      <c r="CP96" s="425">
        <f>CN96</f>
        <v>41</v>
      </c>
      <c r="CQ96" s="425">
        <f t="shared" ref="CQ96:CT99" si="185">CP96</f>
        <v>41</v>
      </c>
      <c r="CR96" s="425">
        <f t="shared" si="185"/>
        <v>41</v>
      </c>
      <c r="CS96" s="425">
        <f t="shared" si="185"/>
        <v>41</v>
      </c>
      <c r="CT96" s="331">
        <f t="shared" si="185"/>
        <v>41</v>
      </c>
      <c r="CU96" s="313"/>
      <c r="CV96" s="313"/>
    </row>
    <row r="97" spans="1:100" x14ac:dyDescent="0.2">
      <c r="A97" s="313" t="s">
        <v>25</v>
      </c>
      <c r="B97" s="313"/>
      <c r="C97" s="313"/>
      <c r="D97" s="298">
        <f>-73</f>
        <v>-73</v>
      </c>
      <c r="E97" s="298">
        <f>-80</f>
        <v>-80</v>
      </c>
      <c r="F97" s="298">
        <f>-83</f>
        <v>-83</v>
      </c>
      <c r="G97" s="298">
        <f>-90</f>
        <v>-90</v>
      </c>
      <c r="H97" s="331">
        <f>G97</f>
        <v>-90</v>
      </c>
      <c r="I97" s="298">
        <f>-96</f>
        <v>-96</v>
      </c>
      <c r="J97" s="298">
        <f>-101</f>
        <v>-101</v>
      </c>
      <c r="K97" s="298">
        <f>-104</f>
        <v>-104</v>
      </c>
      <c r="L97" s="298">
        <f>-110</f>
        <v>-110</v>
      </c>
      <c r="M97" s="331">
        <f>L97</f>
        <v>-110</v>
      </c>
      <c r="N97" s="298">
        <f>-112</f>
        <v>-112</v>
      </c>
      <c r="O97" s="298">
        <f>-114</f>
        <v>-114</v>
      </c>
      <c r="P97" s="298">
        <f>-117</f>
        <v>-117</v>
      </c>
      <c r="Q97" s="298">
        <f>-120</f>
        <v>-120</v>
      </c>
      <c r="R97" s="331">
        <f>Q97</f>
        <v>-120</v>
      </c>
      <c r="S97" s="301">
        <f>-122</f>
        <v>-122</v>
      </c>
      <c r="T97" s="301">
        <v>-124</v>
      </c>
      <c r="U97" s="301">
        <v>-128</v>
      </c>
      <c r="V97" s="301">
        <v>-132</v>
      </c>
      <c r="W97" s="331">
        <f>V97</f>
        <v>-132</v>
      </c>
      <c r="X97" s="301">
        <v>-133</v>
      </c>
      <c r="Y97" s="301">
        <v>-135</v>
      </c>
      <c r="Z97" s="301">
        <v>-136</v>
      </c>
      <c r="AA97" s="301">
        <v>-138</v>
      </c>
      <c r="AB97" s="331">
        <f>AA97</f>
        <v>-138</v>
      </c>
      <c r="AC97" s="301">
        <v>-139</v>
      </c>
      <c r="AD97" s="301">
        <v>-141</v>
      </c>
      <c r="AE97" s="301">
        <v>-142</v>
      </c>
      <c r="AF97" s="301">
        <v>-145</v>
      </c>
      <c r="AG97" s="331">
        <f>AF97</f>
        <v>-145</v>
      </c>
      <c r="AH97" s="301">
        <v>-146</v>
      </c>
      <c r="AI97" s="301">
        <v>-147</v>
      </c>
      <c r="AJ97" s="298">
        <v>-148</v>
      </c>
      <c r="AK97" s="298">
        <v>-150</v>
      </c>
      <c r="AL97" s="331">
        <f>AK97</f>
        <v>-150</v>
      </c>
      <c r="AM97" s="298">
        <v>-152</v>
      </c>
      <c r="AN97" s="298">
        <v>-154</v>
      </c>
      <c r="AO97" s="296">
        <v>-155</v>
      </c>
      <c r="AP97" s="298">
        <v>-157</v>
      </c>
      <c r="AQ97" s="331">
        <f>AP97</f>
        <v>-157</v>
      </c>
      <c r="AR97" s="298">
        <v>-158</v>
      </c>
      <c r="AS97" s="301">
        <v>-160</v>
      </c>
      <c r="AT97" s="296">
        <v>-162</v>
      </c>
      <c r="AU97" s="296">
        <v>-164</v>
      </c>
      <c r="AV97" s="331">
        <f>AU97</f>
        <v>-164</v>
      </c>
      <c r="AW97" s="296">
        <v>-166</v>
      </c>
      <c r="AX97" s="296">
        <v>-168</v>
      </c>
      <c r="AY97" s="296">
        <v>-169</v>
      </c>
      <c r="AZ97" s="296">
        <v>-171</v>
      </c>
      <c r="BA97" s="331">
        <f>AZ97</f>
        <v>-171</v>
      </c>
      <c r="BB97" s="298">
        <v>-173</v>
      </c>
      <c r="BC97" s="298">
        <v>-174</v>
      </c>
      <c r="BD97" s="298">
        <v>-178</v>
      </c>
      <c r="BE97" s="298">
        <v>-181</v>
      </c>
      <c r="BF97" s="331">
        <f>BE97</f>
        <v>-181</v>
      </c>
      <c r="BG97" s="298">
        <v>-182</v>
      </c>
      <c r="BH97" s="298">
        <v>-183</v>
      </c>
      <c r="BI97" s="298">
        <v>-184</v>
      </c>
      <c r="BJ97" s="298">
        <v>-186</v>
      </c>
      <c r="BK97" s="331">
        <f t="shared" si="178"/>
        <v>-186</v>
      </c>
      <c r="BL97" s="298">
        <v>-187</v>
      </c>
      <c r="BM97" s="569">
        <v>-188</v>
      </c>
      <c r="BN97" s="569">
        <v>-189</v>
      </c>
      <c r="BO97" s="569">
        <v>-192</v>
      </c>
      <c r="BP97" s="331">
        <f t="shared" si="179"/>
        <v>-192</v>
      </c>
      <c r="BQ97" s="596">
        <v>-194</v>
      </c>
      <c r="BR97" s="569">
        <v>-194</v>
      </c>
      <c r="BS97" s="569">
        <v>-196</v>
      </c>
      <c r="BT97" s="569">
        <v>-197</v>
      </c>
      <c r="BU97" s="331">
        <f t="shared" si="180"/>
        <v>-197</v>
      </c>
      <c r="BV97" s="425">
        <f>BT97</f>
        <v>-197</v>
      </c>
      <c r="BW97" s="425">
        <f t="shared" si="181"/>
        <v>-197</v>
      </c>
      <c r="BX97" s="425">
        <f t="shared" si="181"/>
        <v>-197</v>
      </c>
      <c r="BY97" s="425">
        <f t="shared" si="181"/>
        <v>-197</v>
      </c>
      <c r="BZ97" s="331">
        <f t="shared" si="181"/>
        <v>-197</v>
      </c>
      <c r="CA97" s="425">
        <f>BY97</f>
        <v>-197</v>
      </c>
      <c r="CB97" s="425">
        <f t="shared" si="182"/>
        <v>-197</v>
      </c>
      <c r="CC97" s="425">
        <f t="shared" si="182"/>
        <v>-197</v>
      </c>
      <c r="CD97" s="425">
        <f t="shared" si="182"/>
        <v>-197</v>
      </c>
      <c r="CE97" s="331">
        <f t="shared" si="182"/>
        <v>-197</v>
      </c>
      <c r="CF97" s="425">
        <f>CD97</f>
        <v>-197</v>
      </c>
      <c r="CG97" s="425">
        <f t="shared" si="183"/>
        <v>-197</v>
      </c>
      <c r="CH97" s="425">
        <f t="shared" si="183"/>
        <v>-197</v>
      </c>
      <c r="CI97" s="425">
        <f t="shared" si="183"/>
        <v>-197</v>
      </c>
      <c r="CJ97" s="331">
        <f t="shared" si="183"/>
        <v>-197</v>
      </c>
      <c r="CK97" s="425">
        <f>CI97</f>
        <v>-197</v>
      </c>
      <c r="CL97" s="425">
        <f t="shared" si="184"/>
        <v>-197</v>
      </c>
      <c r="CM97" s="425">
        <f t="shared" si="184"/>
        <v>-197</v>
      </c>
      <c r="CN97" s="425">
        <f t="shared" si="184"/>
        <v>-197</v>
      </c>
      <c r="CO97" s="331">
        <f t="shared" si="184"/>
        <v>-197</v>
      </c>
      <c r="CP97" s="425">
        <f>CN97</f>
        <v>-197</v>
      </c>
      <c r="CQ97" s="425">
        <f t="shared" si="185"/>
        <v>-197</v>
      </c>
      <c r="CR97" s="425">
        <f t="shared" si="185"/>
        <v>-197</v>
      </c>
      <c r="CS97" s="425">
        <f t="shared" si="185"/>
        <v>-197</v>
      </c>
      <c r="CT97" s="331">
        <f t="shared" si="185"/>
        <v>-197</v>
      </c>
      <c r="CU97" s="313"/>
      <c r="CV97" s="313"/>
    </row>
    <row r="98" spans="1:100" x14ac:dyDescent="0.2">
      <c r="A98" s="313" t="s">
        <v>105</v>
      </c>
      <c r="B98" s="313"/>
      <c r="C98" s="313"/>
      <c r="D98" s="298">
        <v>30</v>
      </c>
      <c r="E98" s="298">
        <v>30</v>
      </c>
      <c r="F98" s="298">
        <v>30</v>
      </c>
      <c r="G98" s="298">
        <v>30</v>
      </c>
      <c r="H98" s="331">
        <f>G98</f>
        <v>30</v>
      </c>
      <c r="I98" s="298">
        <v>30</v>
      </c>
      <c r="J98" s="298">
        <v>30</v>
      </c>
      <c r="K98" s="298">
        <v>30</v>
      </c>
      <c r="L98" s="298">
        <v>30</v>
      </c>
      <c r="M98" s="331">
        <f>L98</f>
        <v>30</v>
      </c>
      <c r="N98" s="298">
        <v>30</v>
      </c>
      <c r="O98" s="298">
        <v>30</v>
      </c>
      <c r="P98" s="298">
        <v>30</v>
      </c>
      <c r="Q98" s="298">
        <v>30</v>
      </c>
      <c r="R98" s="331">
        <f>Q98</f>
        <v>30</v>
      </c>
      <c r="S98" s="301">
        <v>30</v>
      </c>
      <c r="T98" s="301">
        <v>30</v>
      </c>
      <c r="U98" s="301">
        <v>30</v>
      </c>
      <c r="V98" s="301">
        <v>30</v>
      </c>
      <c r="W98" s="331">
        <f>V98</f>
        <v>30</v>
      </c>
      <c r="X98" s="301">
        <v>30</v>
      </c>
      <c r="Y98" s="301">
        <v>30</v>
      </c>
      <c r="Z98" s="301">
        <v>30</v>
      </c>
      <c r="AA98" s="301">
        <v>30</v>
      </c>
      <c r="AB98" s="331">
        <f>AA98</f>
        <v>30</v>
      </c>
      <c r="AC98" s="301">
        <v>30</v>
      </c>
      <c r="AD98" s="301">
        <v>30</v>
      </c>
      <c r="AE98" s="301">
        <v>30</v>
      </c>
      <c r="AF98" s="301">
        <v>30</v>
      </c>
      <c r="AG98" s="331">
        <f>AF98</f>
        <v>30</v>
      </c>
      <c r="AH98" s="301">
        <v>31</v>
      </c>
      <c r="AI98" s="301">
        <v>31</v>
      </c>
      <c r="AJ98" s="298">
        <v>31</v>
      </c>
      <c r="AK98" s="298">
        <v>31</v>
      </c>
      <c r="AL98" s="331">
        <f>AK98</f>
        <v>31</v>
      </c>
      <c r="AM98" s="298">
        <v>31</v>
      </c>
      <c r="AN98" s="298">
        <v>31</v>
      </c>
      <c r="AO98" s="296">
        <v>31</v>
      </c>
      <c r="AP98" s="298">
        <v>31</v>
      </c>
      <c r="AQ98" s="331">
        <f>AP98</f>
        <v>31</v>
      </c>
      <c r="AR98" s="298">
        <v>31</v>
      </c>
      <c r="AS98" s="301">
        <v>31</v>
      </c>
      <c r="AT98" s="296">
        <v>31</v>
      </c>
      <c r="AU98" s="296">
        <v>26</v>
      </c>
      <c r="AV98" s="331">
        <f>AU98</f>
        <v>26</v>
      </c>
      <c r="AW98" s="296">
        <v>26</v>
      </c>
      <c r="AX98" s="296">
        <v>26</v>
      </c>
      <c r="AY98" s="296">
        <v>26</v>
      </c>
      <c r="AZ98" s="296">
        <v>25</v>
      </c>
      <c r="BA98" s="331">
        <f>AZ98</f>
        <v>25</v>
      </c>
      <c r="BB98" s="298">
        <v>25</v>
      </c>
      <c r="BC98" s="298">
        <v>25</v>
      </c>
      <c r="BD98" s="298">
        <v>25</v>
      </c>
      <c r="BE98" s="298">
        <v>25</v>
      </c>
      <c r="BF98" s="331">
        <f>BE98</f>
        <v>25</v>
      </c>
      <c r="BG98" s="298">
        <v>25</v>
      </c>
      <c r="BH98" s="298">
        <v>25</v>
      </c>
      <c r="BI98" s="298">
        <v>24</v>
      </c>
      <c r="BJ98" s="298">
        <v>24</v>
      </c>
      <c r="BK98" s="331">
        <f t="shared" si="178"/>
        <v>24</v>
      </c>
      <c r="BL98" s="298">
        <v>24</v>
      </c>
      <c r="BM98" s="569">
        <v>24</v>
      </c>
      <c r="BN98" s="569">
        <v>24</v>
      </c>
      <c r="BO98" s="569">
        <v>24</v>
      </c>
      <c r="BP98" s="331">
        <f t="shared" si="179"/>
        <v>24</v>
      </c>
      <c r="BQ98" s="596">
        <v>24</v>
      </c>
      <c r="BR98" s="569">
        <v>24</v>
      </c>
      <c r="BS98" s="569">
        <v>24</v>
      </c>
      <c r="BT98" s="569">
        <v>24</v>
      </c>
      <c r="BU98" s="331">
        <f t="shared" si="180"/>
        <v>24</v>
      </c>
      <c r="BV98" s="425">
        <f>BT98</f>
        <v>24</v>
      </c>
      <c r="BW98" s="425">
        <f t="shared" si="181"/>
        <v>24</v>
      </c>
      <c r="BX98" s="425">
        <f t="shared" si="181"/>
        <v>24</v>
      </c>
      <c r="BY98" s="425">
        <f t="shared" si="181"/>
        <v>24</v>
      </c>
      <c r="BZ98" s="331">
        <f t="shared" si="181"/>
        <v>24</v>
      </c>
      <c r="CA98" s="425">
        <f>BY98</f>
        <v>24</v>
      </c>
      <c r="CB98" s="425">
        <f t="shared" si="182"/>
        <v>24</v>
      </c>
      <c r="CC98" s="425">
        <f t="shared" si="182"/>
        <v>24</v>
      </c>
      <c r="CD98" s="425">
        <f t="shared" si="182"/>
        <v>24</v>
      </c>
      <c r="CE98" s="331">
        <f t="shared" si="182"/>
        <v>24</v>
      </c>
      <c r="CF98" s="425">
        <f>CD98</f>
        <v>24</v>
      </c>
      <c r="CG98" s="425">
        <f t="shared" si="183"/>
        <v>24</v>
      </c>
      <c r="CH98" s="425">
        <f t="shared" si="183"/>
        <v>24</v>
      </c>
      <c r="CI98" s="425">
        <f t="shared" si="183"/>
        <v>24</v>
      </c>
      <c r="CJ98" s="331">
        <f t="shared" si="183"/>
        <v>24</v>
      </c>
      <c r="CK98" s="425">
        <f>CI98</f>
        <v>24</v>
      </c>
      <c r="CL98" s="425">
        <f t="shared" si="184"/>
        <v>24</v>
      </c>
      <c r="CM98" s="425">
        <f t="shared" si="184"/>
        <v>24</v>
      </c>
      <c r="CN98" s="425">
        <f t="shared" si="184"/>
        <v>24</v>
      </c>
      <c r="CO98" s="331">
        <f t="shared" si="184"/>
        <v>24</v>
      </c>
      <c r="CP98" s="425">
        <f>CN98</f>
        <v>24</v>
      </c>
      <c r="CQ98" s="425">
        <f t="shared" si="185"/>
        <v>24</v>
      </c>
      <c r="CR98" s="425">
        <f t="shared" si="185"/>
        <v>24</v>
      </c>
      <c r="CS98" s="425">
        <f t="shared" si="185"/>
        <v>24</v>
      </c>
      <c r="CT98" s="331">
        <f t="shared" si="185"/>
        <v>24</v>
      </c>
      <c r="CU98" s="313"/>
      <c r="CV98" s="313"/>
    </row>
    <row r="99" spans="1:100" x14ac:dyDescent="0.2">
      <c r="A99" s="313" t="s">
        <v>106</v>
      </c>
      <c r="B99" s="313"/>
      <c r="C99" s="313"/>
      <c r="D99" s="298">
        <v>503</v>
      </c>
      <c r="E99" s="298">
        <v>486</v>
      </c>
      <c r="F99" s="298">
        <v>532</v>
      </c>
      <c r="G99" s="298">
        <v>618</v>
      </c>
      <c r="H99" s="331">
        <f>G99</f>
        <v>618</v>
      </c>
      <c r="I99" s="298">
        <v>627</v>
      </c>
      <c r="J99" s="298">
        <v>609</v>
      </c>
      <c r="K99" s="298">
        <v>641</v>
      </c>
      <c r="L99" s="298">
        <v>614</v>
      </c>
      <c r="M99" s="331">
        <f>L99</f>
        <v>614</v>
      </c>
      <c r="N99" s="298">
        <v>567</v>
      </c>
      <c r="O99" s="298">
        <v>552</v>
      </c>
      <c r="P99" s="298">
        <v>527</v>
      </c>
      <c r="Q99" s="298">
        <v>584</v>
      </c>
      <c r="R99" s="331">
        <f>Q99</f>
        <v>584</v>
      </c>
      <c r="S99" s="301">
        <v>479</v>
      </c>
      <c r="T99" s="301">
        <v>470</v>
      </c>
      <c r="U99" s="301">
        <v>461</v>
      </c>
      <c r="V99" s="301">
        <v>450</v>
      </c>
      <c r="W99" s="331">
        <f>V99</f>
        <v>450</v>
      </c>
      <c r="X99" s="301">
        <v>336</v>
      </c>
      <c r="Y99" s="301">
        <v>345</v>
      </c>
      <c r="Z99" s="301">
        <v>342</v>
      </c>
      <c r="AA99" s="301">
        <v>351</v>
      </c>
      <c r="AB99" s="331">
        <f>AA99</f>
        <v>351</v>
      </c>
      <c r="AC99" s="301">
        <v>233</v>
      </c>
      <c r="AD99" s="301">
        <v>269</v>
      </c>
      <c r="AE99" s="301">
        <v>279</v>
      </c>
      <c r="AF99" s="301">
        <v>250</v>
      </c>
      <c r="AG99" s="331">
        <f>AF99</f>
        <v>250</v>
      </c>
      <c r="AH99" s="301">
        <v>4510</v>
      </c>
      <c r="AI99" s="301">
        <v>4539</v>
      </c>
      <c r="AJ99" s="298">
        <v>4535</v>
      </c>
      <c r="AK99" s="298">
        <v>4527</v>
      </c>
      <c r="AL99" s="331">
        <f>AK99</f>
        <v>4527</v>
      </c>
      <c r="AM99" s="298">
        <v>4407</v>
      </c>
      <c r="AN99" s="298">
        <v>4358</v>
      </c>
      <c r="AO99" s="296">
        <v>4406</v>
      </c>
      <c r="AP99" s="298">
        <v>4461</v>
      </c>
      <c r="AQ99" s="331">
        <f>AP99</f>
        <v>4461</v>
      </c>
      <c r="AR99" s="298">
        <v>4251</v>
      </c>
      <c r="AS99" s="301">
        <v>4223</v>
      </c>
      <c r="AT99" s="296">
        <v>4179</v>
      </c>
      <c r="AU99" s="296">
        <v>4178</v>
      </c>
      <c r="AV99" s="331">
        <f>AU99</f>
        <v>4178</v>
      </c>
      <c r="AW99" s="296">
        <v>4136</v>
      </c>
      <c r="AX99" s="296">
        <v>3995</v>
      </c>
      <c r="AY99" s="296">
        <v>4040</v>
      </c>
      <c r="AZ99" s="296">
        <v>4095</v>
      </c>
      <c r="BA99" s="331">
        <f>AZ99</f>
        <v>4095</v>
      </c>
      <c r="BB99" s="298">
        <v>3942</v>
      </c>
      <c r="BC99" s="298">
        <v>3978</v>
      </c>
      <c r="BD99" s="298">
        <v>4028</v>
      </c>
      <c r="BE99" s="298">
        <v>4115</v>
      </c>
      <c r="BF99" s="331">
        <f>BE99</f>
        <v>4115</v>
      </c>
      <c r="BG99" s="298">
        <v>4129</v>
      </c>
      <c r="BH99" s="298">
        <v>3973</v>
      </c>
      <c r="BI99" s="298">
        <v>4021</v>
      </c>
      <c r="BJ99" s="298">
        <v>4076</v>
      </c>
      <c r="BK99" s="331">
        <f t="shared" si="178"/>
        <v>4076</v>
      </c>
      <c r="BL99" s="298">
        <v>3906</v>
      </c>
      <c r="BM99" s="569">
        <v>3940</v>
      </c>
      <c r="BN99" s="569">
        <v>4001</v>
      </c>
      <c r="BO99" s="569">
        <v>4091</v>
      </c>
      <c r="BP99" s="331">
        <f t="shared" si="179"/>
        <v>4091</v>
      </c>
      <c r="BQ99" s="596">
        <v>3857</v>
      </c>
      <c r="BR99" s="569">
        <v>3913</v>
      </c>
      <c r="BS99" s="569">
        <v>3944</v>
      </c>
      <c r="BT99" s="569">
        <v>3996</v>
      </c>
      <c r="BU99" s="331">
        <f t="shared" si="180"/>
        <v>3996</v>
      </c>
      <c r="BV99" s="425">
        <f>BT99</f>
        <v>3996</v>
      </c>
      <c r="BW99" s="425">
        <f t="shared" si="181"/>
        <v>3996</v>
      </c>
      <c r="BX99" s="425">
        <f t="shared" si="181"/>
        <v>3996</v>
      </c>
      <c r="BY99" s="425">
        <f t="shared" si="181"/>
        <v>3996</v>
      </c>
      <c r="BZ99" s="331">
        <f t="shared" si="181"/>
        <v>3996</v>
      </c>
      <c r="CA99" s="425">
        <f>BY99</f>
        <v>3996</v>
      </c>
      <c r="CB99" s="425">
        <f t="shared" si="182"/>
        <v>3996</v>
      </c>
      <c r="CC99" s="425">
        <f t="shared" si="182"/>
        <v>3996</v>
      </c>
      <c r="CD99" s="425">
        <f t="shared" si="182"/>
        <v>3996</v>
      </c>
      <c r="CE99" s="331">
        <f t="shared" si="182"/>
        <v>3996</v>
      </c>
      <c r="CF99" s="425">
        <f>CD99</f>
        <v>3996</v>
      </c>
      <c r="CG99" s="425">
        <f t="shared" si="183"/>
        <v>3996</v>
      </c>
      <c r="CH99" s="425">
        <f t="shared" si="183"/>
        <v>3996</v>
      </c>
      <c r="CI99" s="425">
        <f t="shared" si="183"/>
        <v>3996</v>
      </c>
      <c r="CJ99" s="331">
        <f t="shared" si="183"/>
        <v>3996</v>
      </c>
      <c r="CK99" s="425">
        <f>CI99</f>
        <v>3996</v>
      </c>
      <c r="CL99" s="425">
        <f t="shared" si="184"/>
        <v>3996</v>
      </c>
      <c r="CM99" s="425">
        <f t="shared" si="184"/>
        <v>3996</v>
      </c>
      <c r="CN99" s="425">
        <f t="shared" si="184"/>
        <v>3996</v>
      </c>
      <c r="CO99" s="331">
        <f t="shared" si="184"/>
        <v>3996</v>
      </c>
      <c r="CP99" s="425">
        <f>CN99</f>
        <v>3996</v>
      </c>
      <c r="CQ99" s="425">
        <f t="shared" si="185"/>
        <v>3996</v>
      </c>
      <c r="CR99" s="425">
        <f t="shared" si="185"/>
        <v>3996</v>
      </c>
      <c r="CS99" s="425">
        <f t="shared" si="185"/>
        <v>3996</v>
      </c>
      <c r="CT99" s="331">
        <f t="shared" si="185"/>
        <v>3996</v>
      </c>
      <c r="CU99" s="313"/>
      <c r="CV99" s="313"/>
    </row>
    <row r="100" spans="1:100" x14ac:dyDescent="0.2">
      <c r="A100" s="313" t="s">
        <v>107</v>
      </c>
      <c r="B100" s="313"/>
      <c r="C100" s="313"/>
      <c r="D100" s="298">
        <v>16491</v>
      </c>
      <c r="E100" s="298">
        <v>17157</v>
      </c>
      <c r="F100" s="298">
        <v>18133</v>
      </c>
      <c r="G100" s="298">
        <v>18730</v>
      </c>
      <c r="H100" s="331">
        <f>+G100</f>
        <v>18730</v>
      </c>
      <c r="I100" s="298">
        <v>19255</v>
      </c>
      <c r="J100" s="298">
        <v>20011</v>
      </c>
      <c r="K100" s="298">
        <v>20441</v>
      </c>
      <c r="L100" s="298">
        <v>21116</v>
      </c>
      <c r="M100" s="331">
        <f>+L100</f>
        <v>21116</v>
      </c>
      <c r="N100" s="298">
        <v>21702</v>
      </c>
      <c r="O100" s="298">
        <v>22563</v>
      </c>
      <c r="P100" s="298">
        <v>23546</v>
      </c>
      <c r="Q100" s="298">
        <v>24837</v>
      </c>
      <c r="R100" s="331">
        <f>+Q100</f>
        <v>24837</v>
      </c>
      <c r="S100" s="301">
        <v>25446</v>
      </c>
      <c r="T100" s="301">
        <v>26391</v>
      </c>
      <c r="U100" s="301">
        <v>27526</v>
      </c>
      <c r="V100" s="301">
        <v>28184</v>
      </c>
      <c r="W100" s="331">
        <f>+V100</f>
        <v>28184</v>
      </c>
      <c r="X100" s="301">
        <v>28642</v>
      </c>
      <c r="Y100" s="301">
        <v>29669</v>
      </c>
      <c r="Z100" s="301">
        <v>30581</v>
      </c>
      <c r="AA100" s="301">
        <v>30638</v>
      </c>
      <c r="AB100" s="331">
        <f>+AA100</f>
        <v>30638</v>
      </c>
      <c r="AC100" s="301">
        <v>31109</v>
      </c>
      <c r="AD100" s="301">
        <v>32065</v>
      </c>
      <c r="AE100" s="301">
        <v>33077</v>
      </c>
      <c r="AF100" s="301">
        <v>33805</v>
      </c>
      <c r="AG100" s="331">
        <f>+AF100</f>
        <v>33805</v>
      </c>
      <c r="AH100" s="301">
        <v>34496</v>
      </c>
      <c r="AI100" s="301">
        <v>35328</v>
      </c>
      <c r="AJ100" s="298">
        <v>36487</v>
      </c>
      <c r="AK100" s="298">
        <v>37090</v>
      </c>
      <c r="AL100" s="331">
        <f>+AK100</f>
        <v>37090</v>
      </c>
      <c r="AM100" s="298">
        <v>37466</v>
      </c>
      <c r="AN100" s="298">
        <v>38527</v>
      </c>
      <c r="AO100" s="296">
        <v>39714</v>
      </c>
      <c r="AP100" s="298">
        <v>40316</v>
      </c>
      <c r="AQ100" s="331">
        <f>+AP100</f>
        <v>40316</v>
      </c>
      <c r="AR100" s="298">
        <v>40631</v>
      </c>
      <c r="AS100" s="301">
        <v>41274</v>
      </c>
      <c r="AT100" s="296">
        <v>42332</v>
      </c>
      <c r="AU100" s="296">
        <v>43158</v>
      </c>
      <c r="AV100" s="331">
        <f>+AU100</f>
        <v>43158</v>
      </c>
      <c r="AW100" s="296">
        <v>43395</v>
      </c>
      <c r="AX100" s="296">
        <v>44523</v>
      </c>
      <c r="AY100" s="296">
        <v>45554</v>
      </c>
      <c r="AZ100" s="296">
        <v>46420</v>
      </c>
      <c r="BA100" s="331">
        <f>+AZ100</f>
        <v>46420</v>
      </c>
      <c r="BB100" s="298">
        <v>46770</v>
      </c>
      <c r="BC100" s="298">
        <v>47748</v>
      </c>
      <c r="BD100" s="298">
        <v>48764</v>
      </c>
      <c r="BE100" s="298">
        <v>49092</v>
      </c>
      <c r="BF100" s="331">
        <f>+BE100</f>
        <v>49092</v>
      </c>
      <c r="BG100" s="330">
        <v>49335</v>
      </c>
      <c r="BH100" s="330">
        <v>50268</v>
      </c>
      <c r="BI100" s="330">
        <v>49767</v>
      </c>
      <c r="BJ100" s="330">
        <v>50472</v>
      </c>
      <c r="BK100" s="331">
        <f>+BJ100</f>
        <v>50472</v>
      </c>
      <c r="BL100" s="330">
        <v>50383</v>
      </c>
      <c r="BM100" s="569">
        <v>51295</v>
      </c>
      <c r="BN100" s="569">
        <v>52200</v>
      </c>
      <c r="BO100" s="569">
        <v>52518</v>
      </c>
      <c r="BP100" s="331">
        <f>+BO100</f>
        <v>52518</v>
      </c>
      <c r="BQ100" s="578">
        <v>52756</v>
      </c>
      <c r="BR100" s="569">
        <v>53706</v>
      </c>
      <c r="BS100" s="569">
        <v>54698</v>
      </c>
      <c r="BT100" s="569">
        <v>52839</v>
      </c>
      <c r="BU100" s="331">
        <f>+BT100</f>
        <v>52839</v>
      </c>
      <c r="BV100" s="330">
        <f ca="1">BU100+BV43+BV142+BV114+BV118+BV119</f>
        <v>53033.963790822243</v>
      </c>
      <c r="BW100" s="330">
        <f ca="1">BV100+BW43+BW142+BW114+BW118+BW119</f>
        <v>54020.071371321275</v>
      </c>
      <c r="BX100" s="330">
        <f ca="1">BW100+BX43+BX142+BX114+BX118+BX119</f>
        <v>55142.66089024215</v>
      </c>
      <c r="BY100" s="330">
        <f ca="1">BX100+BY43+BY142+BY114+BY118+BY119</f>
        <v>56034.638835320809</v>
      </c>
      <c r="BZ100" s="331">
        <f ca="1">+BY100</f>
        <v>56034.638835320809</v>
      </c>
      <c r="CA100" s="330">
        <f ca="1">BZ100+CA43+CA142+CA114+CA118+CA119</f>
        <v>56171.975868729489</v>
      </c>
      <c r="CB100" s="330">
        <f ca="1">CA100+CB43+CB142+CB114+CB118+CB119</f>
        <v>57233.332968326788</v>
      </c>
      <c r="CC100" s="330">
        <f ca="1">CB100+CC43+CC142+CC114+CC118+CC119</f>
        <v>58434.585706277343</v>
      </c>
      <c r="CD100" s="330">
        <f ca="1">CC100+CD43+CD142+CD114+CD118+CD119</f>
        <v>59427.916123528252</v>
      </c>
      <c r="CE100" s="331">
        <f ca="1">+CD100</f>
        <v>59427.916123528252</v>
      </c>
      <c r="CF100" s="330">
        <f ca="1">CE100+CF43+CF142+CF114+CF118+CF119</f>
        <v>59606.314897956756</v>
      </c>
      <c r="CG100" s="330">
        <f ca="1">CF100+CG43+CG142+CG114+CG118+CG119</f>
        <v>60748.6286686163</v>
      </c>
      <c r="CH100" s="330">
        <f ca="1">CG100+CH43+CH142+CH114+CH118+CH119</f>
        <v>62032.64992062372</v>
      </c>
      <c r="CI100" s="330">
        <f ca="1">CH100+CI43+CI142+CI114+CI118+CI119</f>
        <v>63130.979596707846</v>
      </c>
      <c r="CJ100" s="331">
        <f ca="1">+CI100</f>
        <v>63130.979596707846</v>
      </c>
      <c r="CK100" s="330">
        <f ca="1">CJ100+CK43+CK142+CK114+CK118+CK119</f>
        <v>63352.22575784559</v>
      </c>
      <c r="CL100" s="330">
        <f ca="1">CK100+CL43+CL142+CL114+CL118+CL119</f>
        <v>64579.180974710733</v>
      </c>
      <c r="CM100" s="330">
        <f ca="1">CL100+CM43+CM142+CM114+CM118+CM119</f>
        <v>65949.762301183539</v>
      </c>
      <c r="CN100" s="330">
        <f ca="1">CM100+CN43+CN142+CN114+CN118+CN119</f>
        <v>67157.843790831132</v>
      </c>
      <c r="CO100" s="331">
        <f ca="1">+CN100</f>
        <v>67157.843790831132</v>
      </c>
      <c r="CP100" s="330">
        <f ca="1">CO100+CP43+CP142+CP114+CP118+CP119</f>
        <v>67424.642482584255</v>
      </c>
      <c r="CQ100" s="330">
        <f ca="1">CP100+CQ43+CQ142+CQ114+CQ118+CQ119</f>
        <v>68740.960536384911</v>
      </c>
      <c r="CR100" s="330">
        <f ca="1">CQ100+CR43+CR142+CR114+CR118+CR119</f>
        <v>70202.848607095613</v>
      </c>
      <c r="CS100" s="330">
        <f ca="1">CR100+CS43+CS142+CS114+CS118+CS119</f>
        <v>71527.189771510195</v>
      </c>
      <c r="CT100" s="331">
        <f ca="1">+CS100</f>
        <v>71527.189771510195</v>
      </c>
      <c r="CU100" s="313"/>
      <c r="CV100" s="313"/>
    </row>
    <row r="101" spans="1:100" x14ac:dyDescent="0.2">
      <c r="A101" s="433" t="s">
        <v>109</v>
      </c>
      <c r="B101" s="433"/>
      <c r="C101" s="433"/>
      <c r="D101" s="298">
        <v>-1206</v>
      </c>
      <c r="E101" s="298">
        <v>-1335</v>
      </c>
      <c r="F101" s="298">
        <v>-1327</v>
      </c>
      <c r="G101" s="298">
        <v>-886</v>
      </c>
      <c r="H101" s="438">
        <f>+G101</f>
        <v>-886</v>
      </c>
      <c r="I101" s="298">
        <v>-853</v>
      </c>
      <c r="J101" s="298">
        <v>-1030</v>
      </c>
      <c r="K101" s="298">
        <v>-921</v>
      </c>
      <c r="L101" s="298">
        <v>-1053</v>
      </c>
      <c r="M101" s="438">
        <f>+L101</f>
        <v>-1053</v>
      </c>
      <c r="N101" s="298">
        <v>-989</v>
      </c>
      <c r="O101" s="298">
        <v>-902</v>
      </c>
      <c r="P101" s="298">
        <v>-811</v>
      </c>
      <c r="Q101" s="298">
        <v>-2246</v>
      </c>
      <c r="R101" s="438">
        <f>+Q101</f>
        <v>-2246</v>
      </c>
      <c r="S101" s="301">
        <v>-2238</v>
      </c>
      <c r="T101" s="301">
        <v>-1888</v>
      </c>
      <c r="U101" s="301">
        <v>-1837</v>
      </c>
      <c r="V101" s="439">
        <v>-952</v>
      </c>
      <c r="W101" s="438">
        <f>+V101</f>
        <v>-952</v>
      </c>
      <c r="X101" s="301">
        <v>-711</v>
      </c>
      <c r="Y101" s="301">
        <v>-473</v>
      </c>
      <c r="Z101" s="301">
        <v>-945</v>
      </c>
      <c r="AA101" s="439">
        <v>-4694</v>
      </c>
      <c r="AB101" s="438">
        <f>+AA101</f>
        <v>-4694</v>
      </c>
      <c r="AC101" s="439">
        <v>-5698</v>
      </c>
      <c r="AD101" s="439">
        <v>-4438</v>
      </c>
      <c r="AE101" s="439">
        <v>-4262</v>
      </c>
      <c r="AF101" s="439">
        <v>-3794</v>
      </c>
      <c r="AG101" s="438">
        <f>+AF101</f>
        <v>-3794</v>
      </c>
      <c r="AH101" s="439">
        <v>-3569</v>
      </c>
      <c r="AI101" s="439">
        <v>-4226</v>
      </c>
      <c r="AJ101" s="300">
        <v>-4358</v>
      </c>
      <c r="AK101" s="300">
        <v>-3630</v>
      </c>
      <c r="AL101" s="438">
        <f>+AK101</f>
        <v>-3630</v>
      </c>
      <c r="AM101" s="300">
        <v>-3035</v>
      </c>
      <c r="AN101" s="300">
        <v>-2254</v>
      </c>
      <c r="AO101" s="420">
        <v>-2800</v>
      </c>
      <c r="AP101" s="300">
        <v>-6229</v>
      </c>
      <c r="AQ101" s="438">
        <f>+AP101</f>
        <v>-6229</v>
      </c>
      <c r="AR101" s="300">
        <v>-4464</v>
      </c>
      <c r="AS101" s="439">
        <v>-6636</v>
      </c>
      <c r="AT101" s="420">
        <v>-6086</v>
      </c>
      <c r="AU101" s="420">
        <v>-5487</v>
      </c>
      <c r="AV101" s="438">
        <f>+AU101</f>
        <v>-5487</v>
      </c>
      <c r="AW101" s="420">
        <v>-5607</v>
      </c>
      <c r="AX101" s="420">
        <v>-6275</v>
      </c>
      <c r="AY101" s="420">
        <v>-6907</v>
      </c>
      <c r="AZ101" s="420">
        <v>-5127</v>
      </c>
      <c r="BA101" s="438">
        <f>+AZ101</f>
        <v>-5127</v>
      </c>
      <c r="BB101" s="300">
        <v>-5940</v>
      </c>
      <c r="BC101" s="300">
        <v>-5481</v>
      </c>
      <c r="BD101" s="300">
        <v>-6146</v>
      </c>
      <c r="BE101" s="300">
        <v>-10669</v>
      </c>
      <c r="BF101" s="438">
        <f>+BE101</f>
        <v>-10669</v>
      </c>
      <c r="BG101" s="295">
        <v>-11566</v>
      </c>
      <c r="BH101" s="295">
        <v>-11101</v>
      </c>
      <c r="BI101" s="295">
        <v>-12514</v>
      </c>
      <c r="BJ101" s="295">
        <v>-13319</v>
      </c>
      <c r="BK101" s="438">
        <f>+BJ101</f>
        <v>-13319</v>
      </c>
      <c r="BL101" s="295">
        <v>-13569</v>
      </c>
      <c r="BM101" s="571">
        <v>-12813</v>
      </c>
      <c r="BN101" s="571">
        <v>-12829</v>
      </c>
      <c r="BO101" s="571">
        <v>-13919</v>
      </c>
      <c r="BP101" s="438">
        <f>+BO101</f>
        <v>-13919</v>
      </c>
      <c r="BQ101" s="604">
        <v>-13416</v>
      </c>
      <c r="BR101" s="571">
        <v>-13174</v>
      </c>
      <c r="BS101" s="571">
        <v>-12875</v>
      </c>
      <c r="BT101" s="571">
        <v>-13057</v>
      </c>
      <c r="BU101" s="438">
        <f>+BT101</f>
        <v>-13057</v>
      </c>
      <c r="BV101" s="295">
        <f t="shared" ref="BV101:CE101" si="186">+BU101</f>
        <v>-13057</v>
      </c>
      <c r="BW101" s="295">
        <f t="shared" si="186"/>
        <v>-13057</v>
      </c>
      <c r="BX101" s="295">
        <f t="shared" si="186"/>
        <v>-13057</v>
      </c>
      <c r="BY101" s="295">
        <f t="shared" si="186"/>
        <v>-13057</v>
      </c>
      <c r="BZ101" s="438">
        <f t="shared" si="186"/>
        <v>-13057</v>
      </c>
      <c r="CA101" s="295">
        <f t="shared" si="186"/>
        <v>-13057</v>
      </c>
      <c r="CB101" s="295">
        <f t="shared" si="186"/>
        <v>-13057</v>
      </c>
      <c r="CC101" s="295">
        <f t="shared" si="186"/>
        <v>-13057</v>
      </c>
      <c r="CD101" s="295">
        <f t="shared" si="186"/>
        <v>-13057</v>
      </c>
      <c r="CE101" s="438">
        <f t="shared" si="186"/>
        <v>-13057</v>
      </c>
      <c r="CF101" s="295">
        <f>+CE101</f>
        <v>-13057</v>
      </c>
      <c r="CG101" s="295">
        <f>+CF101</f>
        <v>-13057</v>
      </c>
      <c r="CH101" s="295">
        <f>+CG101</f>
        <v>-13057</v>
      </c>
      <c r="CI101" s="295">
        <f>+CH101</f>
        <v>-13057</v>
      </c>
      <c r="CJ101" s="438">
        <f>+CI101</f>
        <v>-13057</v>
      </c>
      <c r="CK101" s="295">
        <f>+CJ101</f>
        <v>-13057</v>
      </c>
      <c r="CL101" s="295">
        <f>+CK101</f>
        <v>-13057</v>
      </c>
      <c r="CM101" s="295">
        <f>+CL101</f>
        <v>-13057</v>
      </c>
      <c r="CN101" s="295">
        <f>+CM101</f>
        <v>-13057</v>
      </c>
      <c r="CO101" s="438">
        <f>+CN101</f>
        <v>-13057</v>
      </c>
      <c r="CP101" s="295">
        <f>+CO101</f>
        <v>-13057</v>
      </c>
      <c r="CQ101" s="295">
        <f>+CP101</f>
        <v>-13057</v>
      </c>
      <c r="CR101" s="295">
        <f>+CQ101</f>
        <v>-13057</v>
      </c>
      <c r="CS101" s="295">
        <f>+CR101</f>
        <v>-13057</v>
      </c>
      <c r="CT101" s="438">
        <f>+CS101</f>
        <v>-13057</v>
      </c>
      <c r="CU101" s="433"/>
      <c r="CV101" s="433"/>
    </row>
    <row r="102" spans="1:100" x14ac:dyDescent="0.2">
      <c r="A102" s="313" t="s">
        <v>108</v>
      </c>
      <c r="B102" s="313"/>
      <c r="C102" s="313"/>
      <c r="D102" s="298">
        <v>-3300</v>
      </c>
      <c r="E102" s="298">
        <v>-3974</v>
      </c>
      <c r="F102" s="298">
        <v>-4541</v>
      </c>
      <c r="G102" s="298">
        <v>-4920</v>
      </c>
      <c r="H102" s="331">
        <f>G102</f>
        <v>-4920</v>
      </c>
      <c r="I102" s="298">
        <v>-5091</v>
      </c>
      <c r="J102" s="298">
        <v>-5370</v>
      </c>
      <c r="K102" s="298">
        <v>-6028</v>
      </c>
      <c r="L102" s="298">
        <v>-6387</v>
      </c>
      <c r="M102" s="331">
        <f>L102</f>
        <v>-6387</v>
      </c>
      <c r="N102" s="298">
        <v>-6498</v>
      </c>
      <c r="O102" s="298">
        <v>-6937</v>
      </c>
      <c r="P102" s="298">
        <v>-7208</v>
      </c>
      <c r="Q102" s="298">
        <v>-7758</v>
      </c>
      <c r="R102" s="331">
        <f>Q102</f>
        <v>-7758</v>
      </c>
      <c r="S102" s="301">
        <v>-8288</v>
      </c>
      <c r="T102" s="301">
        <v>-9047</v>
      </c>
      <c r="U102" s="301">
        <v>-9849</v>
      </c>
      <c r="V102" s="301">
        <v>-10387</v>
      </c>
      <c r="W102" s="331">
        <f>V102</f>
        <v>-10387</v>
      </c>
      <c r="X102" s="301">
        <v>-11491</v>
      </c>
      <c r="Y102" s="301">
        <v>-12824</v>
      </c>
      <c r="Z102" s="301">
        <v>-13861</v>
      </c>
      <c r="AA102" s="301">
        <v>-14122</v>
      </c>
      <c r="AB102" s="331">
        <f>AA102</f>
        <v>-14122</v>
      </c>
      <c r="AC102" s="301">
        <v>-13892</v>
      </c>
      <c r="AD102" s="301">
        <v>-13849</v>
      </c>
      <c r="AE102" s="301">
        <v>-13729</v>
      </c>
      <c r="AF102" s="301">
        <v>-13383</v>
      </c>
      <c r="AG102" s="331">
        <f>AF102</f>
        <v>-13383</v>
      </c>
      <c r="AH102" s="301">
        <v>-13782</v>
      </c>
      <c r="AI102" s="301">
        <v>-15940</v>
      </c>
      <c r="AJ102" s="298">
        <v>-16650</v>
      </c>
      <c r="AK102" s="298">
        <v>-16745</v>
      </c>
      <c r="AL102" s="331">
        <f>AK102</f>
        <v>-16745</v>
      </c>
      <c r="AM102" s="298">
        <v>-16773</v>
      </c>
      <c r="AN102" s="298">
        <v>-16597</v>
      </c>
      <c r="AO102" s="296">
        <v>-17660</v>
      </c>
      <c r="AP102" s="298">
        <v>-17875</v>
      </c>
      <c r="AQ102" s="331">
        <f>AP102</f>
        <v>-17875</v>
      </c>
      <c r="AR102" s="298">
        <v>-17691</v>
      </c>
      <c r="AS102" s="301">
        <v>-18316</v>
      </c>
      <c r="AT102" s="296">
        <v>-18896</v>
      </c>
      <c r="AU102" s="296">
        <v>-19458</v>
      </c>
      <c r="AV102" s="331">
        <f>AU102</f>
        <v>-19458</v>
      </c>
      <c r="AW102" s="296">
        <v>-19474</v>
      </c>
      <c r="AX102" s="296">
        <v>-19483</v>
      </c>
      <c r="AY102" s="296">
        <v>-20299</v>
      </c>
      <c r="AZ102" s="296">
        <v>-21004</v>
      </c>
      <c r="BA102" s="331">
        <f>AZ102</f>
        <v>-21004</v>
      </c>
      <c r="BB102" s="298">
        <v>-21892</v>
      </c>
      <c r="BC102" s="298">
        <v>-22666</v>
      </c>
      <c r="BD102" s="298">
        <v>-23463</v>
      </c>
      <c r="BE102" s="298">
        <v>-24985</v>
      </c>
      <c r="BF102" s="331">
        <f>BE102</f>
        <v>-24985</v>
      </c>
      <c r="BG102" s="298">
        <v>-25913</v>
      </c>
      <c r="BH102" s="298">
        <v>-26691</v>
      </c>
      <c r="BI102" s="298">
        <v>-27694</v>
      </c>
      <c r="BJ102" s="298">
        <v>-29185</v>
      </c>
      <c r="BK102" s="331">
        <f>BJ102</f>
        <v>-29185</v>
      </c>
      <c r="BL102" s="298">
        <v>-29487</v>
      </c>
      <c r="BM102" s="569">
        <v>-30051</v>
      </c>
      <c r="BN102" s="569">
        <v>-30646</v>
      </c>
      <c r="BO102" s="569">
        <v>-31468</v>
      </c>
      <c r="BP102" s="331">
        <f>BO102</f>
        <v>-31468</v>
      </c>
      <c r="BQ102" s="596">
        <v>-31499</v>
      </c>
      <c r="BR102" s="569">
        <v>-31912</v>
      </c>
      <c r="BS102" s="569">
        <v>-32341</v>
      </c>
      <c r="BT102" s="569">
        <v>-32757</v>
      </c>
      <c r="BU102" s="331">
        <f>BT102</f>
        <v>-32757</v>
      </c>
      <c r="BV102" s="298">
        <f>BU102+BV181+BV141</f>
        <v>-33315.012499999997</v>
      </c>
      <c r="BW102" s="298">
        <f>BV102+BW181+BW141</f>
        <v>-33873.024999999994</v>
      </c>
      <c r="BX102" s="298">
        <f>BW102+BX181+BX141</f>
        <v>-34431.037499999991</v>
      </c>
      <c r="BY102" s="298">
        <f>BX102+BY181+BY141</f>
        <v>-34989.049999999988</v>
      </c>
      <c r="BZ102" s="331">
        <f>BY102</f>
        <v>-34989.049999999988</v>
      </c>
      <c r="CA102" s="298">
        <f>BZ102+CA181+CA141</f>
        <v>-35549.963124999987</v>
      </c>
      <c r="CB102" s="298">
        <f>CA102+CB181+CB141</f>
        <v>-36110.876249999987</v>
      </c>
      <c r="CC102" s="298">
        <f>CB102+CC181+CC141</f>
        <v>-36671.789374999986</v>
      </c>
      <c r="CD102" s="298">
        <f>CC102+CD181+CD141</f>
        <v>-37232.702499999985</v>
      </c>
      <c r="CE102" s="331">
        <f>CD102</f>
        <v>-37232.702499999985</v>
      </c>
      <c r="CF102" s="298">
        <f>CE102+CF181+CF141</f>
        <v>-37796.661281249988</v>
      </c>
      <c r="CG102" s="298">
        <f>CF102+CG181+CG141</f>
        <v>-38360.620062499991</v>
      </c>
      <c r="CH102" s="298">
        <f>CG102+CH181+CH141</f>
        <v>-38924.578843749994</v>
      </c>
      <c r="CI102" s="298">
        <f>CH102+CI181+CI141</f>
        <v>-39488.537624999997</v>
      </c>
      <c r="CJ102" s="331">
        <f>CI102</f>
        <v>-39488.537624999997</v>
      </c>
      <c r="CK102" s="298">
        <f>CJ102+CK181+CK141</f>
        <v>-40055.694345312499</v>
      </c>
      <c r="CL102" s="298">
        <f>CK102+CL181+CL141</f>
        <v>-40622.851065625</v>
      </c>
      <c r="CM102" s="298">
        <f>CL102+CM181+CM141</f>
        <v>-41190.007785937501</v>
      </c>
      <c r="CN102" s="298">
        <f>CM102+CN181+CN141</f>
        <v>-41757.164506250003</v>
      </c>
      <c r="CO102" s="331">
        <f>CN102</f>
        <v>-41757.164506250003</v>
      </c>
      <c r="CP102" s="298">
        <f>CO102+CP181+CP141</f>
        <v>-42327.679062578129</v>
      </c>
      <c r="CQ102" s="298">
        <f>CP102+CQ181+CQ141</f>
        <v>-42898.193618906254</v>
      </c>
      <c r="CR102" s="298">
        <f>CQ102+CR181+CR141</f>
        <v>-43468.70817523438</v>
      </c>
      <c r="CS102" s="298">
        <f>CR102+CS181+CS141</f>
        <v>-44039.222731562506</v>
      </c>
      <c r="CT102" s="331">
        <f>CS102</f>
        <v>-44039.222731562506</v>
      </c>
      <c r="CU102" s="313"/>
      <c r="CV102" s="313"/>
    </row>
    <row r="103" spans="1:100" x14ac:dyDescent="0.2">
      <c r="A103" s="59"/>
      <c r="B103" s="59" t="s">
        <v>110</v>
      </c>
      <c r="C103" s="59"/>
      <c r="D103" s="95">
        <f t="shared" ref="D103:AH103" si="187">SUM(D96:D102)</f>
        <v>12486</v>
      </c>
      <c r="E103" s="95">
        <f t="shared" si="187"/>
        <v>12325</v>
      </c>
      <c r="F103" s="95">
        <f t="shared" si="187"/>
        <v>12785</v>
      </c>
      <c r="G103" s="95">
        <f t="shared" si="187"/>
        <v>13523</v>
      </c>
      <c r="H103" s="96">
        <f t="shared" si="187"/>
        <v>13523</v>
      </c>
      <c r="I103" s="95">
        <f t="shared" si="187"/>
        <v>13913</v>
      </c>
      <c r="J103" s="95">
        <f t="shared" si="187"/>
        <v>14190</v>
      </c>
      <c r="K103" s="95">
        <f t="shared" si="187"/>
        <v>14100</v>
      </c>
      <c r="L103" s="95">
        <f t="shared" si="187"/>
        <v>14251</v>
      </c>
      <c r="M103" s="96">
        <f t="shared" si="187"/>
        <v>14251</v>
      </c>
      <c r="N103" s="95">
        <f t="shared" si="187"/>
        <v>14741</v>
      </c>
      <c r="O103" s="97">
        <f t="shared" si="187"/>
        <v>15233</v>
      </c>
      <c r="P103" s="97">
        <f t="shared" si="187"/>
        <v>16008</v>
      </c>
      <c r="Q103" s="97">
        <f t="shared" si="187"/>
        <v>15368</v>
      </c>
      <c r="R103" s="96">
        <f t="shared" si="187"/>
        <v>15368</v>
      </c>
      <c r="S103" s="98">
        <f t="shared" si="187"/>
        <v>15348</v>
      </c>
      <c r="T103" s="98">
        <f t="shared" si="187"/>
        <v>15873</v>
      </c>
      <c r="U103" s="99">
        <f t="shared" si="187"/>
        <v>16244</v>
      </c>
      <c r="V103" s="98">
        <f>SUM(V96:V102)</f>
        <v>17234</v>
      </c>
      <c r="W103" s="96">
        <f>SUM(W96:W102)</f>
        <v>17234</v>
      </c>
      <c r="X103" s="99">
        <f t="shared" si="187"/>
        <v>16714</v>
      </c>
      <c r="Y103" s="99">
        <f t="shared" si="187"/>
        <v>16653</v>
      </c>
      <c r="Z103" s="99">
        <f t="shared" si="187"/>
        <v>16052</v>
      </c>
      <c r="AA103" s="98">
        <f>SUM(AA96:AA102)</f>
        <v>12106</v>
      </c>
      <c r="AB103" s="96">
        <f>SUM(AB96:AB102)</f>
        <v>12106</v>
      </c>
      <c r="AC103" s="99">
        <f t="shared" si="187"/>
        <v>11684</v>
      </c>
      <c r="AD103" s="99">
        <f t="shared" si="187"/>
        <v>13977</v>
      </c>
      <c r="AE103" s="98">
        <f t="shared" si="187"/>
        <v>15294</v>
      </c>
      <c r="AF103" s="98">
        <f t="shared" si="187"/>
        <v>16804</v>
      </c>
      <c r="AG103" s="96">
        <f t="shared" si="187"/>
        <v>16804</v>
      </c>
      <c r="AH103" s="98">
        <f t="shared" si="187"/>
        <v>21581</v>
      </c>
      <c r="AI103" s="98">
        <f t="shared" ref="AI103:BN103" si="188">SUM(AI96:AI102)</f>
        <v>19626</v>
      </c>
      <c r="AJ103" s="97">
        <f t="shared" si="188"/>
        <v>19938</v>
      </c>
      <c r="AK103" s="97">
        <f t="shared" si="188"/>
        <v>21164</v>
      </c>
      <c r="AL103" s="96">
        <f t="shared" si="188"/>
        <v>21164</v>
      </c>
      <c r="AM103" s="97">
        <f t="shared" si="188"/>
        <v>21985</v>
      </c>
      <c r="AN103" s="97">
        <f t="shared" si="188"/>
        <v>23952</v>
      </c>
      <c r="AO103" s="100">
        <f t="shared" si="188"/>
        <v>23577</v>
      </c>
      <c r="AP103" s="95">
        <f t="shared" si="188"/>
        <v>20588</v>
      </c>
      <c r="AQ103" s="96">
        <f t="shared" si="188"/>
        <v>20588</v>
      </c>
      <c r="AR103" s="95">
        <f t="shared" si="188"/>
        <v>22641</v>
      </c>
      <c r="AS103" s="99">
        <f t="shared" si="188"/>
        <v>20457</v>
      </c>
      <c r="AT103" s="101">
        <f t="shared" si="188"/>
        <v>21439</v>
      </c>
      <c r="AU103" s="101">
        <f t="shared" si="188"/>
        <v>22294</v>
      </c>
      <c r="AV103" s="96">
        <f t="shared" si="188"/>
        <v>22294</v>
      </c>
      <c r="AW103" s="101">
        <f t="shared" si="188"/>
        <v>22351</v>
      </c>
      <c r="AX103" s="101">
        <f t="shared" si="188"/>
        <v>22659</v>
      </c>
      <c r="AY103" s="101">
        <f t="shared" si="188"/>
        <v>22286</v>
      </c>
      <c r="AZ103" s="101">
        <f t="shared" si="188"/>
        <v>24279</v>
      </c>
      <c r="BA103" s="96">
        <f t="shared" si="188"/>
        <v>24279</v>
      </c>
      <c r="BB103" s="95">
        <f>SUM(BB96:BB102)</f>
        <v>22773</v>
      </c>
      <c r="BC103" s="95">
        <f t="shared" si="188"/>
        <v>23471</v>
      </c>
      <c r="BD103" s="97">
        <f t="shared" si="188"/>
        <v>23071</v>
      </c>
      <c r="BE103" s="95">
        <f t="shared" si="188"/>
        <v>17438</v>
      </c>
      <c r="BF103" s="96">
        <f t="shared" si="188"/>
        <v>17438</v>
      </c>
      <c r="BG103" s="97">
        <f t="shared" si="188"/>
        <v>15869</v>
      </c>
      <c r="BH103" s="97">
        <f t="shared" si="188"/>
        <v>16332</v>
      </c>
      <c r="BI103" s="97">
        <f t="shared" si="188"/>
        <v>13461</v>
      </c>
      <c r="BJ103" s="97">
        <f t="shared" si="188"/>
        <v>11923</v>
      </c>
      <c r="BK103" s="96">
        <f t="shared" si="188"/>
        <v>11923</v>
      </c>
      <c r="BL103" s="97">
        <f t="shared" si="188"/>
        <v>11111</v>
      </c>
      <c r="BM103" s="95">
        <f t="shared" si="188"/>
        <v>12248</v>
      </c>
      <c r="BN103" s="95">
        <f t="shared" si="188"/>
        <v>12602</v>
      </c>
      <c r="BO103" s="95">
        <f t="shared" ref="BO103:CO103" si="189">SUM(BO96:BO102)</f>
        <v>11095</v>
      </c>
      <c r="BP103" s="96">
        <f t="shared" si="189"/>
        <v>11095</v>
      </c>
      <c r="BQ103" s="605">
        <f t="shared" si="189"/>
        <v>11569</v>
      </c>
      <c r="BR103" s="95">
        <f t="shared" si="189"/>
        <v>12404</v>
      </c>
      <c r="BS103" s="95">
        <f t="shared" si="189"/>
        <v>13295</v>
      </c>
      <c r="BT103" s="95">
        <f t="shared" si="189"/>
        <v>10889</v>
      </c>
      <c r="BU103" s="96">
        <f t="shared" si="189"/>
        <v>10889</v>
      </c>
      <c r="BV103" s="97">
        <f t="shared" ca="1" si="189"/>
        <v>10525.951290822246</v>
      </c>
      <c r="BW103" s="97">
        <f t="shared" ca="1" si="189"/>
        <v>10954.046371321281</v>
      </c>
      <c r="BX103" s="97">
        <f t="shared" ca="1" si="189"/>
        <v>11518.623390242159</v>
      </c>
      <c r="BY103" s="97">
        <f t="shared" ca="1" si="189"/>
        <v>11852.588835320821</v>
      </c>
      <c r="BZ103" s="96">
        <f t="shared" ca="1" si="189"/>
        <v>11852.588835320821</v>
      </c>
      <c r="CA103" s="97">
        <f t="shared" ca="1" si="189"/>
        <v>11429.012743729501</v>
      </c>
      <c r="CB103" s="97">
        <f t="shared" ca="1" si="189"/>
        <v>11929.456718326801</v>
      </c>
      <c r="CC103" s="97">
        <f t="shared" ca="1" si="189"/>
        <v>12569.796331277357</v>
      </c>
      <c r="CD103" s="97">
        <f t="shared" ca="1" si="189"/>
        <v>13002.213623528267</v>
      </c>
      <c r="CE103" s="96">
        <f t="shared" ca="1" si="189"/>
        <v>13002.213623528267</v>
      </c>
      <c r="CF103" s="97">
        <f t="shared" ca="1" si="189"/>
        <v>12616.653616706768</v>
      </c>
      <c r="CG103" s="97">
        <f t="shared" ca="1" si="189"/>
        <v>13195.008606116309</v>
      </c>
      <c r="CH103" s="97">
        <f t="shared" ca="1" si="189"/>
        <v>13915.071076873726</v>
      </c>
      <c r="CI103" s="97">
        <f t="shared" ca="1" si="189"/>
        <v>14449.441971707856</v>
      </c>
      <c r="CJ103" s="96">
        <f t="shared" ca="1" si="189"/>
        <v>14449.441971707856</v>
      </c>
      <c r="CK103" s="97">
        <f t="shared" ca="1" si="189"/>
        <v>14103.531412533091</v>
      </c>
      <c r="CL103" s="97">
        <f t="shared" ca="1" si="189"/>
        <v>14763.329909085733</v>
      </c>
      <c r="CM103" s="97">
        <f t="shared" ca="1" si="189"/>
        <v>15566.754515246037</v>
      </c>
      <c r="CN103" s="97">
        <f t="shared" ca="1" si="189"/>
        <v>16207.679284581129</v>
      </c>
      <c r="CO103" s="96">
        <f t="shared" ca="1" si="189"/>
        <v>16207.679284581129</v>
      </c>
      <c r="CP103" s="97">
        <f ca="1">SUM(CP96:CP102)</f>
        <v>15903.963420006126</v>
      </c>
      <c r="CQ103" s="97">
        <f ca="1">SUM(CQ96:CQ102)</f>
        <v>16649.766917478657</v>
      </c>
      <c r="CR103" s="97">
        <f ca="1">SUM(CR96:CR102)</f>
        <v>17541.140431861233</v>
      </c>
      <c r="CS103" s="97">
        <f ca="1">SUM(CS96:CS102)</f>
        <v>18294.967039947689</v>
      </c>
      <c r="CT103" s="96">
        <f ca="1">SUM(CT96:CT102)</f>
        <v>18294.967039947689</v>
      </c>
      <c r="CU103" s="59"/>
      <c r="CV103" s="59"/>
    </row>
    <row r="104" spans="1:100" ht="5.0999999999999996" customHeight="1" x14ac:dyDescent="0.2">
      <c r="A104" s="313"/>
      <c r="B104" s="313"/>
      <c r="C104" s="313"/>
      <c r="D104" s="330"/>
      <c r="E104" s="330"/>
      <c r="F104" s="330"/>
      <c r="G104" s="298"/>
      <c r="H104" s="331"/>
      <c r="I104" s="330"/>
      <c r="J104" s="330"/>
      <c r="K104" s="330"/>
      <c r="L104" s="298"/>
      <c r="M104" s="331"/>
      <c r="N104" s="298"/>
      <c r="O104" s="330"/>
      <c r="P104" s="330"/>
      <c r="Q104" s="330"/>
      <c r="R104" s="331"/>
      <c r="S104" s="332"/>
      <c r="T104" s="332"/>
      <c r="U104" s="332"/>
      <c r="V104" s="332"/>
      <c r="W104" s="331"/>
      <c r="X104" s="332"/>
      <c r="Y104" s="301"/>
      <c r="Z104" s="332"/>
      <c r="AA104" s="332"/>
      <c r="AB104" s="331"/>
      <c r="AC104" s="301"/>
      <c r="AD104" s="301"/>
      <c r="AE104" s="332"/>
      <c r="AF104" s="332"/>
      <c r="AG104" s="331"/>
      <c r="AH104" s="332"/>
      <c r="AI104" s="332"/>
      <c r="AJ104" s="330"/>
      <c r="AK104" s="330"/>
      <c r="AL104" s="331"/>
      <c r="AM104" s="330"/>
      <c r="AN104" s="330"/>
      <c r="AO104" s="333"/>
      <c r="AP104" s="298"/>
      <c r="AQ104" s="331"/>
      <c r="AR104" s="298"/>
      <c r="AS104" s="301"/>
      <c r="AT104" s="296"/>
      <c r="AU104" s="296"/>
      <c r="AV104" s="331"/>
      <c r="AW104" s="296"/>
      <c r="AX104" s="296"/>
      <c r="AY104" s="330"/>
      <c r="AZ104" s="330"/>
      <c r="BA104" s="331"/>
      <c r="BB104" s="330"/>
      <c r="BC104" s="330"/>
      <c r="BD104" s="330"/>
      <c r="BE104" s="330"/>
      <c r="BF104" s="331"/>
      <c r="BG104" s="330"/>
      <c r="BH104" s="330"/>
      <c r="BI104" s="330"/>
      <c r="BJ104" s="330"/>
      <c r="BK104" s="331"/>
      <c r="BL104" s="330"/>
      <c r="BM104" s="569"/>
      <c r="BN104" s="569"/>
      <c r="BO104" s="569"/>
      <c r="BP104" s="331"/>
      <c r="BQ104" s="578"/>
      <c r="BR104" s="569"/>
      <c r="BS104" s="330"/>
      <c r="BT104" s="330"/>
      <c r="BU104" s="331"/>
      <c r="BV104" s="330"/>
      <c r="BW104" s="330"/>
      <c r="BX104" s="330"/>
      <c r="BY104" s="330"/>
      <c r="BZ104" s="331"/>
      <c r="CA104" s="330"/>
      <c r="CB104" s="330"/>
      <c r="CC104" s="330"/>
      <c r="CD104" s="330"/>
      <c r="CE104" s="331"/>
      <c r="CF104" s="330"/>
      <c r="CG104" s="330"/>
      <c r="CH104" s="330"/>
      <c r="CI104" s="330"/>
      <c r="CJ104" s="331"/>
      <c r="CK104" s="330"/>
      <c r="CL104" s="330"/>
      <c r="CM104" s="330"/>
      <c r="CN104" s="330"/>
      <c r="CO104" s="331"/>
      <c r="CP104" s="330"/>
      <c r="CQ104" s="330"/>
      <c r="CR104" s="330"/>
      <c r="CS104" s="330"/>
      <c r="CT104" s="331"/>
      <c r="CU104" s="313"/>
      <c r="CV104" s="313"/>
    </row>
    <row r="105" spans="1:100" x14ac:dyDescent="0.2">
      <c r="A105" s="59"/>
      <c r="B105" s="59" t="s">
        <v>111</v>
      </c>
      <c r="C105" s="59"/>
      <c r="D105" s="60">
        <f t="shared" ref="D105:AI105" si="190">+D103+D93</f>
        <v>25503</v>
      </c>
      <c r="E105" s="60">
        <f t="shared" si="190"/>
        <v>26005</v>
      </c>
      <c r="F105" s="60">
        <f t="shared" si="190"/>
        <v>26604</v>
      </c>
      <c r="G105" s="17">
        <f t="shared" si="190"/>
        <v>27987</v>
      </c>
      <c r="H105" s="51">
        <f t="shared" si="190"/>
        <v>27987</v>
      </c>
      <c r="I105" s="60">
        <f t="shared" si="190"/>
        <v>28671</v>
      </c>
      <c r="J105" s="60">
        <f t="shared" si="190"/>
        <v>29684</v>
      </c>
      <c r="K105" s="60">
        <f t="shared" si="190"/>
        <v>30898</v>
      </c>
      <c r="L105" s="17">
        <f t="shared" si="190"/>
        <v>31727</v>
      </c>
      <c r="M105" s="51">
        <f t="shared" si="190"/>
        <v>31727</v>
      </c>
      <c r="N105" s="17">
        <f t="shared" si="190"/>
        <v>30994</v>
      </c>
      <c r="O105" s="60">
        <f t="shared" si="190"/>
        <v>31426</v>
      </c>
      <c r="P105" s="60">
        <f t="shared" si="190"/>
        <v>32266</v>
      </c>
      <c r="Q105" s="60">
        <f t="shared" si="190"/>
        <v>29930</v>
      </c>
      <c r="R105" s="51">
        <f t="shared" si="190"/>
        <v>29930</v>
      </c>
      <c r="S105" s="61">
        <f t="shared" si="190"/>
        <v>29830</v>
      </c>
      <c r="T105" s="61">
        <f t="shared" si="190"/>
        <v>31925</v>
      </c>
      <c r="U105" s="61">
        <f t="shared" si="190"/>
        <v>32408</v>
      </c>
      <c r="V105" s="61">
        <f>+V103+V93</f>
        <v>34628</v>
      </c>
      <c r="W105" s="51">
        <f>+W103+W93</f>
        <v>34628</v>
      </c>
      <c r="X105" s="61">
        <f t="shared" si="190"/>
        <v>35699</v>
      </c>
      <c r="Y105" s="61">
        <f t="shared" si="190"/>
        <v>36779</v>
      </c>
      <c r="Z105" s="61">
        <f t="shared" si="190"/>
        <v>38458</v>
      </c>
      <c r="AA105" s="61">
        <f>+AA103+AA93</f>
        <v>35994</v>
      </c>
      <c r="AB105" s="51">
        <f>+AB103+AB93</f>
        <v>35994</v>
      </c>
      <c r="AC105" s="92">
        <f t="shared" si="190"/>
        <v>35020</v>
      </c>
      <c r="AD105" s="92">
        <f t="shared" si="190"/>
        <v>37050</v>
      </c>
      <c r="AE105" s="61">
        <f t="shared" si="190"/>
        <v>38620</v>
      </c>
      <c r="AF105" s="61">
        <f t="shared" si="190"/>
        <v>39848</v>
      </c>
      <c r="AG105" s="51">
        <f t="shared" si="190"/>
        <v>39848</v>
      </c>
      <c r="AH105" s="61">
        <f t="shared" si="190"/>
        <v>64144</v>
      </c>
      <c r="AI105" s="61">
        <f t="shared" si="190"/>
        <v>65074</v>
      </c>
      <c r="AJ105" s="60">
        <f t="shared" ref="AJ105:BO105" si="191">+AJ103+AJ93</f>
        <v>66702</v>
      </c>
      <c r="AK105" s="60">
        <f t="shared" si="191"/>
        <v>68153</v>
      </c>
      <c r="AL105" s="51">
        <f t="shared" si="191"/>
        <v>68153</v>
      </c>
      <c r="AM105" s="60">
        <f t="shared" si="191"/>
        <v>73085</v>
      </c>
      <c r="AN105" s="60">
        <f t="shared" si="191"/>
        <v>75680</v>
      </c>
      <c r="AO105" s="62">
        <f t="shared" si="191"/>
        <v>75378</v>
      </c>
      <c r="AP105" s="17">
        <f t="shared" si="191"/>
        <v>72882</v>
      </c>
      <c r="AQ105" s="51">
        <f t="shared" si="191"/>
        <v>72882</v>
      </c>
      <c r="AR105" s="17">
        <f t="shared" si="191"/>
        <v>74391</v>
      </c>
      <c r="AS105" s="92">
        <f t="shared" si="191"/>
        <v>72390</v>
      </c>
      <c r="AT105" s="93">
        <f t="shared" si="191"/>
        <v>74017</v>
      </c>
      <c r="AU105" s="93">
        <f t="shared" si="191"/>
        <v>74638</v>
      </c>
      <c r="AV105" s="51">
        <f t="shared" si="191"/>
        <v>74638</v>
      </c>
      <c r="AW105" s="93">
        <f t="shared" si="191"/>
        <v>75355</v>
      </c>
      <c r="AX105" s="93">
        <f t="shared" si="191"/>
        <v>76653</v>
      </c>
      <c r="AY105" s="60">
        <f t="shared" si="191"/>
        <v>76814</v>
      </c>
      <c r="AZ105" s="60">
        <f t="shared" si="191"/>
        <v>77478</v>
      </c>
      <c r="BA105" s="51">
        <f t="shared" si="191"/>
        <v>77478</v>
      </c>
      <c r="BB105" s="60">
        <f t="shared" si="191"/>
        <v>77493</v>
      </c>
      <c r="BC105" s="60">
        <f t="shared" si="191"/>
        <v>80433</v>
      </c>
      <c r="BD105" s="60">
        <f t="shared" si="191"/>
        <v>80466</v>
      </c>
      <c r="BE105" s="60">
        <f t="shared" si="191"/>
        <v>70509</v>
      </c>
      <c r="BF105" s="51">
        <f t="shared" si="191"/>
        <v>70509</v>
      </c>
      <c r="BG105" s="60">
        <f t="shared" si="191"/>
        <v>69625</v>
      </c>
      <c r="BH105" s="60">
        <f t="shared" ca="1" si="191"/>
        <v>72262</v>
      </c>
      <c r="BI105" s="60">
        <f t="shared" ca="1" si="191"/>
        <v>69902</v>
      </c>
      <c r="BJ105" s="60">
        <f t="shared" ca="1" si="191"/>
        <v>69667</v>
      </c>
      <c r="BK105" s="51">
        <f t="shared" ca="1" si="191"/>
        <v>69667</v>
      </c>
      <c r="BL105" s="60">
        <f t="shared" ca="1" si="191"/>
        <v>70019</v>
      </c>
      <c r="BM105" s="17">
        <f t="shared" si="191"/>
        <v>72711</v>
      </c>
      <c r="BN105" s="17">
        <f t="shared" ca="1" si="191"/>
        <v>73897</v>
      </c>
      <c r="BO105" s="17">
        <f t="shared" si="191"/>
        <v>74129</v>
      </c>
      <c r="BP105" s="51">
        <f t="shared" ref="BP105:CO105" si="192">+BP103+BP93</f>
        <v>74129</v>
      </c>
      <c r="BQ105" s="587">
        <f t="shared" si="192"/>
        <v>74622</v>
      </c>
      <c r="BR105" s="17">
        <f t="shared" ca="1" si="192"/>
        <v>76943</v>
      </c>
      <c r="BS105" s="60">
        <f t="shared" si="192"/>
        <v>78463</v>
      </c>
      <c r="BT105" s="60">
        <f t="shared" si="192"/>
        <v>79804</v>
      </c>
      <c r="BU105" s="51">
        <f t="shared" si="192"/>
        <v>79804</v>
      </c>
      <c r="BV105" s="60">
        <f t="shared" ca="1" si="192"/>
        <v>79954.887436931342</v>
      </c>
      <c r="BW105" s="60">
        <f t="shared" ca="1" si="192"/>
        <v>81050.694959291912</v>
      </c>
      <c r="BX105" s="60">
        <f t="shared" ca="1" si="192"/>
        <v>81010.749449487805</v>
      </c>
      <c r="BY105" s="60">
        <f t="shared" ca="1" si="192"/>
        <v>81362.684311415651</v>
      </c>
      <c r="BZ105" s="51">
        <f t="shared" ca="1" si="192"/>
        <v>81362.684311415651</v>
      </c>
      <c r="CA105" s="60">
        <f t="shared" ca="1" si="192"/>
        <v>81261.58622083033</v>
      </c>
      <c r="CB105" s="60">
        <f t="shared" ca="1" si="192"/>
        <v>82246.423097921361</v>
      </c>
      <c r="CC105" s="60">
        <f t="shared" ca="1" si="192"/>
        <v>82030.074719642813</v>
      </c>
      <c r="CD105" s="60">
        <f t="shared" ca="1" si="192"/>
        <v>82276.998130354317</v>
      </c>
      <c r="CE105" s="51">
        <f t="shared" ca="1" si="192"/>
        <v>82276.998130354317</v>
      </c>
      <c r="CF105" s="60">
        <f t="shared" ca="1" si="192"/>
        <v>82123.823333004591</v>
      </c>
      <c r="CG105" s="60">
        <f t="shared" ca="1" si="192"/>
        <v>83137.496595124278</v>
      </c>
      <c r="CH105" s="60">
        <f t="shared" ca="1" si="192"/>
        <v>82890.068569941039</v>
      </c>
      <c r="CI105" s="60">
        <f t="shared" ca="1" si="192"/>
        <v>83140.029268648825</v>
      </c>
      <c r="CJ105" s="51">
        <f t="shared" ca="1" si="192"/>
        <v>83140.029268648825</v>
      </c>
      <c r="CK105" s="60">
        <f t="shared" ca="1" si="192"/>
        <v>82950.245226967803</v>
      </c>
      <c r="CL105" s="60">
        <f t="shared" ca="1" si="192"/>
        <v>83997.022834291129</v>
      </c>
      <c r="CM105" s="60">
        <f t="shared" ca="1" si="192"/>
        <v>83719.068177656751</v>
      </c>
      <c r="CN105" s="60">
        <f t="shared" ca="1" si="192"/>
        <v>83974.44946457044</v>
      </c>
      <c r="CO105" s="51">
        <f t="shared" ca="1" si="192"/>
        <v>83974.44946457044</v>
      </c>
      <c r="CP105" s="60">
        <f ca="1">+CP103+CP93</f>
        <v>83743.806179055784</v>
      </c>
      <c r="CQ105" s="60">
        <f ca="1">+CQ103+CQ93</f>
        <v>84827.466882762295</v>
      </c>
      <c r="CR105" s="60">
        <f ca="1">+CR103+CR93</f>
        <v>84519.737517035464</v>
      </c>
      <c r="CS105" s="60">
        <f ca="1">+CS103+CS93</f>
        <v>84783.048953729129</v>
      </c>
      <c r="CT105" s="51">
        <f ca="1">+CT103+CT93</f>
        <v>84783.048953729129</v>
      </c>
      <c r="CU105" s="59"/>
      <c r="CV105" s="59"/>
    </row>
    <row r="106" spans="1:100" x14ac:dyDescent="0.2">
      <c r="A106" s="59"/>
      <c r="B106" s="59"/>
      <c r="C106" s="59"/>
      <c r="D106" s="60"/>
      <c r="E106" s="60"/>
      <c r="F106" s="60"/>
      <c r="G106" s="17"/>
      <c r="H106" s="51"/>
      <c r="I106" s="60"/>
      <c r="J106" s="60"/>
      <c r="K106" s="60"/>
      <c r="L106" s="17"/>
      <c r="M106" s="51"/>
      <c r="N106" s="17"/>
      <c r="O106" s="60"/>
      <c r="P106" s="60"/>
      <c r="Q106" s="60"/>
      <c r="R106" s="51"/>
      <c r="S106" s="61"/>
      <c r="T106" s="61"/>
      <c r="U106" s="61"/>
      <c r="V106" s="61"/>
      <c r="W106" s="51"/>
      <c r="X106" s="61"/>
      <c r="Y106" s="61"/>
      <c r="Z106" s="61"/>
      <c r="AA106" s="61"/>
      <c r="AB106" s="51"/>
      <c r="AC106" s="92"/>
      <c r="AD106" s="92"/>
      <c r="AE106" s="61"/>
      <c r="AF106" s="61"/>
      <c r="AG106" s="51"/>
      <c r="AH106" s="61"/>
      <c r="AI106" s="61"/>
      <c r="AJ106" s="60"/>
      <c r="AK106" s="60"/>
      <c r="AL106" s="51"/>
      <c r="AM106" s="60"/>
      <c r="AN106" s="60"/>
      <c r="AO106" s="62"/>
      <c r="AP106" s="17"/>
      <c r="AQ106" s="51"/>
      <c r="AR106" s="60"/>
      <c r="AS106" s="61"/>
      <c r="AT106" s="61"/>
      <c r="AU106" s="61"/>
      <c r="AV106" s="51"/>
      <c r="AW106" s="60"/>
      <c r="AX106" s="60"/>
      <c r="AY106" s="60"/>
      <c r="AZ106" s="60"/>
      <c r="BA106" s="51"/>
      <c r="BB106" s="60"/>
      <c r="BC106" s="60"/>
      <c r="BD106" s="60"/>
      <c r="BE106" s="60"/>
      <c r="BF106" s="51"/>
      <c r="BG106" s="60"/>
      <c r="BH106" s="60"/>
      <c r="BI106" s="60"/>
      <c r="BJ106" s="60"/>
      <c r="BK106" s="51"/>
      <c r="BL106" s="60"/>
      <c r="BM106" s="17"/>
      <c r="BN106" s="17"/>
      <c r="BO106" s="60"/>
      <c r="BP106" s="51"/>
      <c r="BQ106" s="587"/>
      <c r="BR106" s="60"/>
      <c r="BS106" s="60"/>
      <c r="BT106" s="60"/>
      <c r="BU106" s="51"/>
      <c r="BV106" s="60"/>
      <c r="BW106" s="60"/>
      <c r="BX106" s="60"/>
      <c r="BY106" s="60"/>
      <c r="BZ106" s="51"/>
      <c r="CA106" s="60"/>
      <c r="CB106" s="60"/>
      <c r="CC106" s="60"/>
      <c r="CD106" s="60"/>
      <c r="CE106" s="51"/>
      <c r="CF106" s="60"/>
      <c r="CG106" s="60"/>
      <c r="CH106" s="60"/>
      <c r="CI106" s="60"/>
      <c r="CJ106" s="51"/>
      <c r="CK106" s="60"/>
      <c r="CL106" s="60"/>
      <c r="CM106" s="60"/>
      <c r="CN106" s="60"/>
      <c r="CO106" s="51"/>
      <c r="CP106" s="60"/>
      <c r="CQ106" s="60"/>
      <c r="CR106" s="60"/>
      <c r="CS106" s="60"/>
      <c r="CT106" s="51"/>
      <c r="CU106" s="59"/>
      <c r="CV106" s="59"/>
    </row>
    <row r="107" spans="1:100" x14ac:dyDescent="0.2">
      <c r="A107" s="65" t="s">
        <v>112</v>
      </c>
      <c r="B107" s="65"/>
      <c r="C107" s="65"/>
      <c r="D107" s="102">
        <f t="shared" ref="D107:AH107" si="193">D80-D105</f>
        <v>0</v>
      </c>
      <c r="E107" s="102">
        <f t="shared" si="193"/>
        <v>0</v>
      </c>
      <c r="F107" s="102">
        <f t="shared" si="193"/>
        <v>0</v>
      </c>
      <c r="G107" s="103">
        <f t="shared" si="193"/>
        <v>0</v>
      </c>
      <c r="H107" s="104">
        <f t="shared" si="193"/>
        <v>0</v>
      </c>
      <c r="I107" s="102">
        <f t="shared" si="193"/>
        <v>0</v>
      </c>
      <c r="J107" s="102">
        <f t="shared" si="193"/>
        <v>0</v>
      </c>
      <c r="K107" s="102">
        <f t="shared" si="193"/>
        <v>0</v>
      </c>
      <c r="L107" s="103">
        <f t="shared" si="193"/>
        <v>0</v>
      </c>
      <c r="M107" s="104">
        <f t="shared" si="193"/>
        <v>0</v>
      </c>
      <c r="N107" s="103">
        <f t="shared" si="193"/>
        <v>0</v>
      </c>
      <c r="O107" s="102">
        <f t="shared" si="193"/>
        <v>0</v>
      </c>
      <c r="P107" s="102">
        <f t="shared" si="193"/>
        <v>0</v>
      </c>
      <c r="Q107" s="102">
        <f t="shared" si="193"/>
        <v>0</v>
      </c>
      <c r="R107" s="104">
        <f t="shared" si="193"/>
        <v>0</v>
      </c>
      <c r="S107" s="105">
        <f t="shared" si="193"/>
        <v>0</v>
      </c>
      <c r="T107" s="105">
        <f t="shared" si="193"/>
        <v>0</v>
      </c>
      <c r="U107" s="105">
        <f t="shared" si="193"/>
        <v>0</v>
      </c>
      <c r="V107" s="105">
        <f>V80-V105</f>
        <v>0</v>
      </c>
      <c r="W107" s="104">
        <f>W80-W105</f>
        <v>0</v>
      </c>
      <c r="X107" s="105">
        <f t="shared" si="193"/>
        <v>0</v>
      </c>
      <c r="Y107" s="105">
        <f t="shared" si="193"/>
        <v>0</v>
      </c>
      <c r="Z107" s="105">
        <f t="shared" si="193"/>
        <v>0</v>
      </c>
      <c r="AA107" s="105">
        <f>AA80-AA105</f>
        <v>0</v>
      </c>
      <c r="AB107" s="104">
        <f>AB80-AB105</f>
        <v>0</v>
      </c>
      <c r="AC107" s="106">
        <f t="shared" si="193"/>
        <v>0</v>
      </c>
      <c r="AD107" s="106">
        <f t="shared" si="193"/>
        <v>0</v>
      </c>
      <c r="AE107" s="105">
        <f t="shared" si="193"/>
        <v>0</v>
      </c>
      <c r="AF107" s="105">
        <f t="shared" si="193"/>
        <v>0</v>
      </c>
      <c r="AG107" s="104">
        <f t="shared" si="193"/>
        <v>0</v>
      </c>
      <c r="AH107" s="105">
        <f t="shared" si="193"/>
        <v>0</v>
      </c>
      <c r="AI107" s="105">
        <f t="shared" ref="AI107:BN107" si="194">AI80-AI105</f>
        <v>0</v>
      </c>
      <c r="AJ107" s="102">
        <f t="shared" si="194"/>
        <v>0</v>
      </c>
      <c r="AK107" s="102">
        <f t="shared" si="194"/>
        <v>0</v>
      </c>
      <c r="AL107" s="104">
        <f t="shared" si="194"/>
        <v>0</v>
      </c>
      <c r="AM107" s="102">
        <f t="shared" si="194"/>
        <v>0</v>
      </c>
      <c r="AN107" s="102">
        <f t="shared" si="194"/>
        <v>0</v>
      </c>
      <c r="AO107" s="107">
        <f t="shared" si="194"/>
        <v>0</v>
      </c>
      <c r="AP107" s="102">
        <f t="shared" si="194"/>
        <v>0</v>
      </c>
      <c r="AQ107" s="104">
        <f t="shared" si="194"/>
        <v>0</v>
      </c>
      <c r="AR107" s="102">
        <f t="shared" si="194"/>
        <v>0</v>
      </c>
      <c r="AS107" s="105">
        <f t="shared" si="194"/>
        <v>0</v>
      </c>
      <c r="AT107" s="105">
        <f t="shared" si="194"/>
        <v>0</v>
      </c>
      <c r="AU107" s="105">
        <f t="shared" si="194"/>
        <v>0</v>
      </c>
      <c r="AV107" s="104">
        <f t="shared" si="194"/>
        <v>0</v>
      </c>
      <c r="AW107" s="102">
        <f t="shared" si="194"/>
        <v>0</v>
      </c>
      <c r="AX107" s="102">
        <f t="shared" si="194"/>
        <v>0</v>
      </c>
      <c r="AY107" s="102">
        <f t="shared" si="194"/>
        <v>0</v>
      </c>
      <c r="AZ107" s="102">
        <f t="shared" si="194"/>
        <v>0</v>
      </c>
      <c r="BA107" s="104">
        <f t="shared" si="194"/>
        <v>0</v>
      </c>
      <c r="BB107" s="102">
        <f t="shared" si="194"/>
        <v>0</v>
      </c>
      <c r="BC107" s="102">
        <f t="shared" si="194"/>
        <v>0</v>
      </c>
      <c r="BD107" s="102">
        <f t="shared" si="194"/>
        <v>0</v>
      </c>
      <c r="BE107" s="102">
        <f t="shared" si="194"/>
        <v>0</v>
      </c>
      <c r="BF107" s="104">
        <f t="shared" si="194"/>
        <v>0</v>
      </c>
      <c r="BG107" s="102">
        <f t="shared" si="194"/>
        <v>0</v>
      </c>
      <c r="BH107" s="102">
        <f t="shared" ca="1" si="194"/>
        <v>0</v>
      </c>
      <c r="BI107" s="102">
        <f t="shared" ca="1" si="194"/>
        <v>0</v>
      </c>
      <c r="BJ107" s="102">
        <f t="shared" ca="1" si="194"/>
        <v>0</v>
      </c>
      <c r="BK107" s="104">
        <f t="shared" ca="1" si="194"/>
        <v>0</v>
      </c>
      <c r="BL107" s="102">
        <f t="shared" ca="1" si="194"/>
        <v>0</v>
      </c>
      <c r="BM107" s="102">
        <f t="shared" si="194"/>
        <v>0</v>
      </c>
      <c r="BN107" s="102">
        <f t="shared" ca="1" si="194"/>
        <v>0</v>
      </c>
      <c r="BO107" s="102">
        <f t="shared" ref="BO107:CO107" si="195">BO80-BO105</f>
        <v>0</v>
      </c>
      <c r="BP107" s="104">
        <f t="shared" si="195"/>
        <v>0</v>
      </c>
      <c r="BQ107" s="606">
        <f t="shared" si="195"/>
        <v>0</v>
      </c>
      <c r="BR107" s="102">
        <f t="shared" ca="1" si="195"/>
        <v>0</v>
      </c>
      <c r="BS107" s="102">
        <f t="shared" si="195"/>
        <v>0</v>
      </c>
      <c r="BT107" s="102">
        <f t="shared" si="195"/>
        <v>0</v>
      </c>
      <c r="BU107" s="104">
        <f t="shared" si="195"/>
        <v>0</v>
      </c>
      <c r="BV107" s="102">
        <f t="shared" ca="1" si="195"/>
        <v>0</v>
      </c>
      <c r="BW107" s="102">
        <f t="shared" ca="1" si="195"/>
        <v>0</v>
      </c>
      <c r="BX107" s="102">
        <f t="shared" ca="1" si="195"/>
        <v>0</v>
      </c>
      <c r="BY107" s="102">
        <f t="shared" ca="1" si="195"/>
        <v>0</v>
      </c>
      <c r="BZ107" s="104">
        <f t="shared" ca="1" si="195"/>
        <v>0</v>
      </c>
      <c r="CA107" s="102">
        <f t="shared" ca="1" si="195"/>
        <v>0</v>
      </c>
      <c r="CB107" s="102">
        <f t="shared" ca="1" si="195"/>
        <v>0</v>
      </c>
      <c r="CC107" s="102">
        <f t="shared" ca="1" si="195"/>
        <v>0</v>
      </c>
      <c r="CD107" s="102">
        <f t="shared" ca="1" si="195"/>
        <v>0</v>
      </c>
      <c r="CE107" s="104">
        <f t="shared" ca="1" si="195"/>
        <v>0</v>
      </c>
      <c r="CF107" s="102">
        <f t="shared" ca="1" si="195"/>
        <v>0</v>
      </c>
      <c r="CG107" s="102">
        <f t="shared" ca="1" si="195"/>
        <v>0</v>
      </c>
      <c r="CH107" s="102">
        <f t="shared" ca="1" si="195"/>
        <v>0</v>
      </c>
      <c r="CI107" s="102">
        <f t="shared" ca="1" si="195"/>
        <v>0</v>
      </c>
      <c r="CJ107" s="104">
        <f t="shared" ca="1" si="195"/>
        <v>0</v>
      </c>
      <c r="CK107" s="102">
        <f t="shared" ca="1" si="195"/>
        <v>0</v>
      </c>
      <c r="CL107" s="102">
        <f t="shared" ca="1" si="195"/>
        <v>0</v>
      </c>
      <c r="CM107" s="102">
        <f t="shared" ca="1" si="195"/>
        <v>0</v>
      </c>
      <c r="CN107" s="102">
        <f t="shared" ca="1" si="195"/>
        <v>0</v>
      </c>
      <c r="CO107" s="104">
        <f t="shared" ca="1" si="195"/>
        <v>0</v>
      </c>
      <c r="CP107" s="102">
        <f ca="1">CP80-CP105</f>
        <v>0</v>
      </c>
      <c r="CQ107" s="102">
        <f ca="1">CQ80-CQ105</f>
        <v>0</v>
      </c>
      <c r="CR107" s="102">
        <f ca="1">CR80-CR105</f>
        <v>0</v>
      </c>
      <c r="CS107" s="102">
        <f ca="1">CS80-CS105</f>
        <v>0</v>
      </c>
      <c r="CT107" s="104">
        <f ca="1">CT80-CT105</f>
        <v>0</v>
      </c>
      <c r="CU107" s="65"/>
      <c r="CV107" s="65"/>
    </row>
    <row r="108" spans="1:100" x14ac:dyDescent="0.2">
      <c r="A108" s="313"/>
      <c r="B108" s="313"/>
      <c r="C108" s="313"/>
      <c r="D108" s="440"/>
      <c r="E108" s="440"/>
      <c r="F108" s="440"/>
      <c r="G108" s="440"/>
      <c r="H108" s="419"/>
      <c r="I108" s="440"/>
      <c r="J108" s="440"/>
      <c r="K108" s="440"/>
      <c r="L108" s="440"/>
      <c r="M108" s="419"/>
      <c r="N108" s="440"/>
      <c r="O108" s="440"/>
      <c r="P108" s="440"/>
      <c r="Q108" s="440"/>
      <c r="R108" s="419"/>
      <c r="S108" s="441"/>
      <c r="T108" s="441"/>
      <c r="U108" s="441"/>
      <c r="V108" s="441"/>
      <c r="W108" s="419"/>
      <c r="X108" s="441"/>
      <c r="Y108" s="441"/>
      <c r="Z108" s="441"/>
      <c r="AA108" s="441"/>
      <c r="AB108" s="419"/>
      <c r="AC108" s="418"/>
      <c r="AD108" s="441"/>
      <c r="AE108" s="441"/>
      <c r="AF108" s="441"/>
      <c r="AG108" s="355"/>
      <c r="AH108" s="441"/>
      <c r="AI108" s="441"/>
      <c r="AJ108" s="440"/>
      <c r="AK108" s="440"/>
      <c r="AL108" s="355"/>
      <c r="AM108" s="440"/>
      <c r="AN108" s="440"/>
      <c r="AO108" s="442"/>
      <c r="AP108" s="440"/>
      <c r="AQ108" s="419"/>
      <c r="AR108" s="440"/>
      <c r="AS108" s="441"/>
      <c r="AT108" s="440"/>
      <c r="AU108" s="440"/>
      <c r="AV108" s="419"/>
      <c r="AW108" s="440"/>
      <c r="AX108" s="440"/>
      <c r="AY108" s="440"/>
      <c r="AZ108" s="440"/>
      <c r="BA108" s="419"/>
      <c r="BB108" s="440"/>
      <c r="BC108" s="440"/>
      <c r="BD108" s="440"/>
      <c r="BE108" s="440"/>
      <c r="BF108" s="419"/>
      <c r="BG108" s="440"/>
      <c r="BH108" s="440"/>
      <c r="BI108" s="440"/>
      <c r="BJ108" s="440"/>
      <c r="BK108" s="419"/>
      <c r="BL108" s="440"/>
      <c r="BM108" s="440"/>
      <c r="BN108" s="440"/>
      <c r="BO108" s="440"/>
      <c r="BP108" s="419"/>
      <c r="BQ108" s="607"/>
      <c r="BR108" s="440"/>
      <c r="BS108" s="440"/>
      <c r="BT108" s="440"/>
      <c r="BU108" s="419"/>
      <c r="BV108" s="440"/>
      <c r="BW108" s="440"/>
      <c r="BX108" s="440"/>
      <c r="BY108" s="440"/>
      <c r="BZ108" s="419"/>
      <c r="CA108" s="440"/>
      <c r="CB108" s="440"/>
      <c r="CC108" s="440"/>
      <c r="CD108" s="440"/>
      <c r="CE108" s="419"/>
      <c r="CF108" s="440"/>
      <c r="CG108" s="440"/>
      <c r="CH108" s="440"/>
      <c r="CI108" s="440"/>
      <c r="CJ108" s="419"/>
      <c r="CK108" s="440"/>
      <c r="CL108" s="440"/>
      <c r="CM108" s="440"/>
      <c r="CN108" s="440"/>
      <c r="CO108" s="419"/>
      <c r="CP108" s="440"/>
      <c r="CQ108" s="440"/>
      <c r="CR108" s="440"/>
      <c r="CS108" s="440"/>
      <c r="CT108" s="419"/>
      <c r="CU108" s="313"/>
      <c r="CV108" s="313"/>
    </row>
    <row r="109" spans="1:100" x14ac:dyDescent="0.2">
      <c r="A109" s="53" t="s">
        <v>113</v>
      </c>
      <c r="B109" s="53"/>
      <c r="C109" s="53"/>
      <c r="D109" s="54">
        <f t="shared" ref="D109:O109" si="196">D4</f>
        <v>38077</v>
      </c>
      <c r="E109" s="55">
        <f t="shared" si="196"/>
        <v>38167</v>
      </c>
      <c r="F109" s="55">
        <f t="shared" si="196"/>
        <v>38257</v>
      </c>
      <c r="G109" s="55">
        <f t="shared" si="196"/>
        <v>38347</v>
      </c>
      <c r="H109" s="56">
        <f t="shared" si="196"/>
        <v>2004</v>
      </c>
      <c r="I109" s="54">
        <f t="shared" si="196"/>
        <v>38437</v>
      </c>
      <c r="J109" s="55">
        <f t="shared" si="196"/>
        <v>38527</v>
      </c>
      <c r="K109" s="55">
        <f t="shared" si="196"/>
        <v>38622</v>
      </c>
      <c r="L109" s="55">
        <f t="shared" si="196"/>
        <v>38712</v>
      </c>
      <c r="M109" s="56">
        <f t="shared" si="196"/>
        <v>2005</v>
      </c>
      <c r="N109" s="54">
        <f t="shared" si="196"/>
        <v>38802</v>
      </c>
      <c r="O109" s="55">
        <f t="shared" si="196"/>
        <v>38892</v>
      </c>
      <c r="P109" s="55">
        <f t="shared" ref="P109:AU109" si="197">P4</f>
        <v>38987</v>
      </c>
      <c r="Q109" s="55">
        <f t="shared" si="197"/>
        <v>39077</v>
      </c>
      <c r="R109" s="56">
        <f t="shared" si="197"/>
        <v>2006</v>
      </c>
      <c r="S109" s="57">
        <f t="shared" si="197"/>
        <v>39157</v>
      </c>
      <c r="T109" s="58">
        <f t="shared" si="197"/>
        <v>39242</v>
      </c>
      <c r="U109" s="58">
        <f t="shared" si="197"/>
        <v>39332</v>
      </c>
      <c r="V109" s="58">
        <f t="shared" si="197"/>
        <v>39422</v>
      </c>
      <c r="W109" s="56">
        <f t="shared" si="197"/>
        <v>2007</v>
      </c>
      <c r="X109" s="57">
        <f t="shared" si="197"/>
        <v>39517</v>
      </c>
      <c r="Y109" s="58">
        <f t="shared" si="197"/>
        <v>39607</v>
      </c>
      <c r="Z109" s="58">
        <f t="shared" si="197"/>
        <v>39707</v>
      </c>
      <c r="AA109" s="58">
        <f t="shared" si="197"/>
        <v>39797</v>
      </c>
      <c r="AB109" s="56">
        <f t="shared" si="197"/>
        <v>2008</v>
      </c>
      <c r="AC109" s="57">
        <f t="shared" si="197"/>
        <v>39887</v>
      </c>
      <c r="AD109" s="58">
        <f t="shared" si="197"/>
        <v>39977</v>
      </c>
      <c r="AE109" s="58">
        <f t="shared" si="197"/>
        <v>40077</v>
      </c>
      <c r="AF109" s="58">
        <f t="shared" si="197"/>
        <v>40167</v>
      </c>
      <c r="AG109" s="56">
        <f t="shared" si="197"/>
        <v>2009</v>
      </c>
      <c r="AH109" s="57">
        <f t="shared" si="197"/>
        <v>40247</v>
      </c>
      <c r="AI109" s="58">
        <f t="shared" si="197"/>
        <v>40339</v>
      </c>
      <c r="AJ109" s="55">
        <f t="shared" si="197"/>
        <v>40429</v>
      </c>
      <c r="AK109" s="55">
        <f t="shared" si="197"/>
        <v>40543</v>
      </c>
      <c r="AL109" s="56">
        <f t="shared" si="197"/>
        <v>2010</v>
      </c>
      <c r="AM109" s="54">
        <f t="shared" si="197"/>
        <v>40613</v>
      </c>
      <c r="AN109" s="55">
        <f t="shared" si="197"/>
        <v>40705</v>
      </c>
      <c r="AO109" s="86">
        <f t="shared" si="197"/>
        <v>40797</v>
      </c>
      <c r="AP109" s="55">
        <f t="shared" si="197"/>
        <v>40887</v>
      </c>
      <c r="AQ109" s="56">
        <f t="shared" si="197"/>
        <v>2011</v>
      </c>
      <c r="AR109" s="54">
        <f t="shared" si="197"/>
        <v>40980</v>
      </c>
      <c r="AS109" s="58">
        <f t="shared" si="197"/>
        <v>41072</v>
      </c>
      <c r="AT109" s="55">
        <f t="shared" si="197"/>
        <v>41164</v>
      </c>
      <c r="AU109" s="55">
        <f t="shared" si="197"/>
        <v>41274</v>
      </c>
      <c r="AV109" s="56">
        <f t="shared" ref="AV109:BU109" si="198">AV4</f>
        <v>2012</v>
      </c>
      <c r="AW109" s="54">
        <f t="shared" si="198"/>
        <v>41346</v>
      </c>
      <c r="AX109" s="55">
        <f t="shared" si="198"/>
        <v>41438</v>
      </c>
      <c r="AY109" s="55">
        <f t="shared" si="198"/>
        <v>41530</v>
      </c>
      <c r="AZ109" s="55">
        <f t="shared" si="198"/>
        <v>41621</v>
      </c>
      <c r="BA109" s="56">
        <f t="shared" si="198"/>
        <v>2013</v>
      </c>
      <c r="BB109" s="54">
        <f t="shared" si="198"/>
        <v>41712</v>
      </c>
      <c r="BC109" s="55">
        <f t="shared" si="198"/>
        <v>41804</v>
      </c>
      <c r="BD109" s="55">
        <f t="shared" si="198"/>
        <v>41896</v>
      </c>
      <c r="BE109" s="55">
        <f t="shared" si="198"/>
        <v>41987</v>
      </c>
      <c r="BF109" s="56">
        <f t="shared" si="198"/>
        <v>2014</v>
      </c>
      <c r="BG109" s="54">
        <f t="shared" si="198"/>
        <v>42078</v>
      </c>
      <c r="BH109" s="55">
        <f t="shared" si="198"/>
        <v>42170</v>
      </c>
      <c r="BI109" s="55">
        <f t="shared" si="198"/>
        <v>42262</v>
      </c>
      <c r="BJ109" s="55">
        <f t="shared" si="198"/>
        <v>42353</v>
      </c>
      <c r="BK109" s="56">
        <f t="shared" si="198"/>
        <v>2015</v>
      </c>
      <c r="BL109" s="54">
        <f t="shared" si="198"/>
        <v>42445</v>
      </c>
      <c r="BM109" s="55">
        <f t="shared" si="198"/>
        <v>42537</v>
      </c>
      <c r="BN109" s="55">
        <f t="shared" si="198"/>
        <v>42629</v>
      </c>
      <c r="BO109" s="55">
        <f t="shared" si="198"/>
        <v>42720</v>
      </c>
      <c r="BP109" s="56">
        <f t="shared" si="198"/>
        <v>2016</v>
      </c>
      <c r="BQ109" s="601">
        <f t="shared" si="198"/>
        <v>42811</v>
      </c>
      <c r="BR109" s="55">
        <f t="shared" si="198"/>
        <v>42903</v>
      </c>
      <c r="BS109" s="55">
        <f t="shared" si="198"/>
        <v>42995</v>
      </c>
      <c r="BT109" s="55">
        <f t="shared" si="198"/>
        <v>43086</v>
      </c>
      <c r="BU109" s="56">
        <f t="shared" si="198"/>
        <v>2017</v>
      </c>
      <c r="BV109" s="54" t="str">
        <f t="shared" ref="BV109:CE109" si="199">BV4</f>
        <v>Mar-18 E</v>
      </c>
      <c r="BW109" s="55" t="str">
        <f t="shared" si="199"/>
        <v>Jun-18 E</v>
      </c>
      <c r="BX109" s="55" t="str">
        <f t="shared" si="199"/>
        <v>Sep-18 E</v>
      </c>
      <c r="BY109" s="55" t="str">
        <f t="shared" si="199"/>
        <v>Dec-18 E</v>
      </c>
      <c r="BZ109" s="56" t="str">
        <f t="shared" si="199"/>
        <v>2018E</v>
      </c>
      <c r="CA109" s="54" t="str">
        <f t="shared" si="199"/>
        <v>Mar-19 E</v>
      </c>
      <c r="CB109" s="55" t="str">
        <f t="shared" si="199"/>
        <v>Jun-19 E</v>
      </c>
      <c r="CC109" s="55" t="str">
        <f t="shared" si="199"/>
        <v>Sep-19 E</v>
      </c>
      <c r="CD109" s="55" t="str">
        <f t="shared" si="199"/>
        <v>Dec-19 E</v>
      </c>
      <c r="CE109" s="56" t="str">
        <f t="shared" si="199"/>
        <v>2019E</v>
      </c>
      <c r="CF109" s="54" t="str">
        <f t="shared" ref="CF109:CO109" si="200">CF4</f>
        <v>Mar-20 E</v>
      </c>
      <c r="CG109" s="55" t="str">
        <f t="shared" si="200"/>
        <v>Jun-20 E</v>
      </c>
      <c r="CH109" s="55" t="str">
        <f t="shared" si="200"/>
        <v>Sep-20 E</v>
      </c>
      <c r="CI109" s="55" t="str">
        <f t="shared" si="200"/>
        <v>Dec-20 E</v>
      </c>
      <c r="CJ109" s="56" t="str">
        <f t="shared" si="200"/>
        <v>2020E</v>
      </c>
      <c r="CK109" s="54" t="str">
        <f t="shared" si="200"/>
        <v>Mar-21 E</v>
      </c>
      <c r="CL109" s="55" t="str">
        <f t="shared" si="200"/>
        <v>Jun-21 E</v>
      </c>
      <c r="CM109" s="55" t="str">
        <f t="shared" si="200"/>
        <v>Sep-21 E</v>
      </c>
      <c r="CN109" s="55" t="str">
        <f t="shared" si="200"/>
        <v>Dec-21 E</v>
      </c>
      <c r="CO109" s="56" t="str">
        <f t="shared" si="200"/>
        <v>2021E</v>
      </c>
      <c r="CP109" s="54" t="str">
        <f>CP4</f>
        <v>Mar-22 E</v>
      </c>
      <c r="CQ109" s="55" t="str">
        <f>CQ4</f>
        <v>Jun-22 E</v>
      </c>
      <c r="CR109" s="55" t="str">
        <f>CR4</f>
        <v>Sep-22 E</v>
      </c>
      <c r="CS109" s="55" t="str">
        <f>CS4</f>
        <v>Dec-22 E</v>
      </c>
      <c r="CT109" s="56" t="str">
        <f>CT4</f>
        <v>2022E</v>
      </c>
      <c r="CU109" s="59"/>
      <c r="CV109" s="59"/>
    </row>
    <row r="110" spans="1:100" ht="5.0999999999999996" customHeight="1" x14ac:dyDescent="0.2">
      <c r="A110" s="313"/>
      <c r="B110" s="313"/>
      <c r="C110" s="313"/>
      <c r="D110" s="358"/>
      <c r="E110" s="358"/>
      <c r="F110" s="358"/>
      <c r="G110" s="358"/>
      <c r="H110" s="351"/>
      <c r="I110" s="358"/>
      <c r="J110" s="358"/>
      <c r="K110" s="358"/>
      <c r="L110" s="358"/>
      <c r="M110" s="351"/>
      <c r="N110" s="359"/>
      <c r="O110" s="359"/>
      <c r="P110" s="359"/>
      <c r="Q110" s="359"/>
      <c r="R110" s="351"/>
      <c r="S110" s="359"/>
      <c r="T110" s="359"/>
      <c r="U110" s="359"/>
      <c r="V110" s="359"/>
      <c r="W110" s="351"/>
      <c r="X110" s="359"/>
      <c r="Y110" s="359"/>
      <c r="Z110" s="359"/>
      <c r="AA110" s="359"/>
      <c r="AB110" s="351"/>
      <c r="AC110" s="359"/>
      <c r="AD110" s="359"/>
      <c r="AE110" s="359"/>
      <c r="AF110" s="359"/>
      <c r="AG110" s="351"/>
      <c r="AH110" s="359"/>
      <c r="AI110" s="359"/>
      <c r="AJ110" s="358"/>
      <c r="AK110" s="358"/>
      <c r="AL110" s="351"/>
      <c r="AM110" s="358"/>
      <c r="AN110" s="358"/>
      <c r="AO110" s="360"/>
      <c r="AP110" s="358"/>
      <c r="AQ110" s="351"/>
      <c r="AR110" s="358"/>
      <c r="AS110" s="359"/>
      <c r="AT110" s="358"/>
      <c r="AU110" s="358"/>
      <c r="AV110" s="373"/>
      <c r="AW110" s="358"/>
      <c r="AX110" s="358"/>
      <c r="AY110" s="358"/>
      <c r="AZ110" s="358"/>
      <c r="BA110" s="351"/>
      <c r="BB110" s="358"/>
      <c r="BC110" s="358"/>
      <c r="BD110" s="358"/>
      <c r="BE110" s="358"/>
      <c r="BF110" s="351"/>
      <c r="BG110" s="358"/>
      <c r="BH110" s="358"/>
      <c r="BI110" s="358"/>
      <c r="BJ110" s="358"/>
      <c r="BK110" s="351"/>
      <c r="BL110" s="358"/>
      <c r="BM110" s="358"/>
      <c r="BN110" s="358"/>
      <c r="BO110" s="358"/>
      <c r="BP110" s="351"/>
      <c r="BQ110" s="592"/>
      <c r="BR110" s="358"/>
      <c r="BS110" s="358"/>
      <c r="BT110" s="358"/>
      <c r="BU110" s="351"/>
      <c r="BV110" s="358"/>
      <c r="BW110" s="358"/>
      <c r="BX110" s="358"/>
      <c r="BY110" s="358"/>
      <c r="BZ110" s="351"/>
      <c r="CA110" s="358"/>
      <c r="CB110" s="358"/>
      <c r="CC110" s="358"/>
      <c r="CD110" s="358"/>
      <c r="CE110" s="351"/>
      <c r="CF110" s="358"/>
      <c r="CG110" s="358"/>
      <c r="CH110" s="358"/>
      <c r="CI110" s="358"/>
      <c r="CJ110" s="351"/>
      <c r="CK110" s="358"/>
      <c r="CL110" s="358"/>
      <c r="CM110" s="358"/>
      <c r="CN110" s="358"/>
      <c r="CO110" s="351"/>
      <c r="CP110" s="358"/>
      <c r="CQ110" s="358"/>
      <c r="CR110" s="358"/>
      <c r="CS110" s="358"/>
      <c r="CT110" s="351"/>
      <c r="CU110" s="313"/>
      <c r="CV110" s="313"/>
    </row>
    <row r="111" spans="1:100" x14ac:dyDescent="0.2">
      <c r="A111" s="313" t="s">
        <v>114</v>
      </c>
      <c r="B111" s="377"/>
      <c r="C111" s="377"/>
      <c r="D111" s="298">
        <f t="shared" ref="D111:O111" si="201">D43</f>
        <v>804.40499999999997</v>
      </c>
      <c r="E111" s="298">
        <f t="shared" si="201"/>
        <v>1058.9100000000001</v>
      </c>
      <c r="F111" s="298">
        <f t="shared" si="201"/>
        <v>1143.0999999999999</v>
      </c>
      <c r="G111" s="298">
        <f t="shared" si="201"/>
        <v>1001.1</v>
      </c>
      <c r="H111" s="331">
        <f t="shared" si="201"/>
        <v>4007.5150000000003</v>
      </c>
      <c r="I111" s="298">
        <f t="shared" si="201"/>
        <v>912</v>
      </c>
      <c r="J111" s="298">
        <f t="shared" si="201"/>
        <v>1194</v>
      </c>
      <c r="K111" s="298">
        <f t="shared" si="201"/>
        <v>1325.5700000000002</v>
      </c>
      <c r="L111" s="298">
        <f t="shared" si="201"/>
        <v>1098</v>
      </c>
      <c r="M111" s="331">
        <f t="shared" si="201"/>
        <v>4529.57</v>
      </c>
      <c r="N111" s="330">
        <f t="shared" si="201"/>
        <v>947</v>
      </c>
      <c r="O111" s="330">
        <f t="shared" si="201"/>
        <v>1375</v>
      </c>
      <c r="P111" s="330">
        <f t="shared" ref="P111:AQ111" si="202">P43</f>
        <v>1494</v>
      </c>
      <c r="Q111" s="330">
        <f>Q43</f>
        <v>1249</v>
      </c>
      <c r="R111" s="331">
        <f>R43</f>
        <v>5065</v>
      </c>
      <c r="S111" s="332">
        <f>S43</f>
        <v>1084.0293000000001</v>
      </c>
      <c r="T111" s="301">
        <f t="shared" si="202"/>
        <v>1547</v>
      </c>
      <c r="U111" s="332">
        <f>U43</f>
        <v>1649.9706999999999</v>
      </c>
      <c r="V111" s="332">
        <f>V43</f>
        <v>1306</v>
      </c>
      <c r="W111" s="331">
        <f t="shared" si="202"/>
        <v>5587</v>
      </c>
      <c r="X111" s="301">
        <f>X43</f>
        <v>1151</v>
      </c>
      <c r="Y111" s="332">
        <f>Y43</f>
        <v>1660</v>
      </c>
      <c r="Z111" s="332">
        <f>Z43</f>
        <v>1688</v>
      </c>
      <c r="AA111" s="332">
        <f>AA43</f>
        <v>1388</v>
      </c>
      <c r="AB111" s="331">
        <f t="shared" si="202"/>
        <v>5887</v>
      </c>
      <c r="AC111" s="301">
        <f t="shared" si="202"/>
        <v>1114</v>
      </c>
      <c r="AD111" s="332">
        <f t="shared" si="202"/>
        <v>1605</v>
      </c>
      <c r="AE111" s="332">
        <f t="shared" si="202"/>
        <v>1705</v>
      </c>
      <c r="AF111" s="332">
        <f t="shared" si="202"/>
        <v>1422</v>
      </c>
      <c r="AG111" s="331">
        <f t="shared" si="202"/>
        <v>5846</v>
      </c>
      <c r="AH111" s="301">
        <f t="shared" si="202"/>
        <v>1220</v>
      </c>
      <c r="AI111" s="301">
        <f t="shared" si="202"/>
        <v>1793</v>
      </c>
      <c r="AJ111" s="330">
        <f>AJ43</f>
        <v>1974</v>
      </c>
      <c r="AK111" s="330">
        <f t="shared" si="202"/>
        <v>1688</v>
      </c>
      <c r="AL111" s="331">
        <f t="shared" si="202"/>
        <v>6675</v>
      </c>
      <c r="AM111" s="301">
        <f t="shared" si="202"/>
        <v>1194</v>
      </c>
      <c r="AN111" s="330">
        <f t="shared" si="202"/>
        <v>1937</v>
      </c>
      <c r="AO111" s="333">
        <f t="shared" si="202"/>
        <v>2089</v>
      </c>
      <c r="AP111" s="298">
        <f t="shared" si="202"/>
        <v>1815</v>
      </c>
      <c r="AQ111" s="331">
        <f t="shared" si="202"/>
        <v>7035</v>
      </c>
      <c r="AR111" s="333">
        <f t="shared" ref="AR111:BW111" si="203">AR43</f>
        <v>1092</v>
      </c>
      <c r="AS111" s="332">
        <f t="shared" si="203"/>
        <v>1765</v>
      </c>
      <c r="AT111" s="330">
        <f t="shared" si="203"/>
        <v>1893</v>
      </c>
      <c r="AU111" s="330">
        <f t="shared" si="203"/>
        <v>1704</v>
      </c>
      <c r="AV111" s="331">
        <f t="shared" si="203"/>
        <v>6454</v>
      </c>
      <c r="AW111" s="330">
        <f t="shared" si="203"/>
        <v>1206</v>
      </c>
      <c r="AX111" s="330">
        <f t="shared" si="203"/>
        <v>2050</v>
      </c>
      <c r="AY111" s="330">
        <f t="shared" si="203"/>
        <v>1936</v>
      </c>
      <c r="AZ111" s="330">
        <f>AZ43</f>
        <v>1631</v>
      </c>
      <c r="BA111" s="331">
        <f t="shared" si="203"/>
        <v>6823</v>
      </c>
      <c r="BB111" s="330">
        <f t="shared" si="203"/>
        <v>1271</v>
      </c>
      <c r="BC111" s="330">
        <f>BC43</f>
        <v>2027</v>
      </c>
      <c r="BD111" s="298">
        <f>BD43</f>
        <v>2079</v>
      </c>
      <c r="BE111" s="330">
        <f>BE43</f>
        <v>1689</v>
      </c>
      <c r="BF111" s="331">
        <f t="shared" si="203"/>
        <v>7066</v>
      </c>
      <c r="BG111" s="330">
        <f t="shared" si="203"/>
        <v>1251</v>
      </c>
      <c r="BH111" s="330">
        <f t="shared" si="203"/>
        <v>1972</v>
      </c>
      <c r="BI111" s="330">
        <f t="shared" si="203"/>
        <v>2001</v>
      </c>
      <c r="BJ111" s="330">
        <f t="shared" si="203"/>
        <v>1564</v>
      </c>
      <c r="BK111" s="331">
        <f t="shared" si="203"/>
        <v>6788</v>
      </c>
      <c r="BL111" s="330">
        <f t="shared" si="203"/>
        <v>1300</v>
      </c>
      <c r="BM111" s="330">
        <f t="shared" si="203"/>
        <v>1971</v>
      </c>
      <c r="BN111" s="569">
        <f t="shared" si="203"/>
        <v>2036</v>
      </c>
      <c r="BO111" s="330">
        <f t="shared" si="203"/>
        <v>1733</v>
      </c>
      <c r="BP111" s="331">
        <f t="shared" si="203"/>
        <v>7040</v>
      </c>
      <c r="BQ111" s="330">
        <f t="shared" si="203"/>
        <v>1354</v>
      </c>
      <c r="BR111" s="330">
        <f t="shared" si="203"/>
        <v>2155</v>
      </c>
      <c r="BS111" s="330">
        <f t="shared" si="203"/>
        <v>2134</v>
      </c>
      <c r="BT111" s="330">
        <f t="shared" si="203"/>
        <v>1881</v>
      </c>
      <c r="BU111" s="331">
        <f t="shared" si="203"/>
        <v>7524</v>
      </c>
      <c r="BV111" s="330">
        <f t="shared" ca="1" si="203"/>
        <v>1303.7652913925972</v>
      </c>
      <c r="BW111" s="330">
        <f t="shared" ca="1" si="203"/>
        <v>2269.5509953488004</v>
      </c>
      <c r="BX111" s="330">
        <f t="shared" ref="BX111:CO111" ca="1" si="204">BX43</f>
        <v>2412.3636577131169</v>
      </c>
      <c r="BY111" s="330">
        <f t="shared" ca="1" si="204"/>
        <v>2155.7387544604335</v>
      </c>
      <c r="BZ111" s="331">
        <f t="shared" ca="1" si="204"/>
        <v>8141.4186989149466</v>
      </c>
      <c r="CA111" s="330">
        <f t="shared" ca="1" si="204"/>
        <v>1411.0881083024285</v>
      </c>
      <c r="CB111" s="330">
        <f t="shared" ca="1" si="204"/>
        <v>2413.6216487535203</v>
      </c>
      <c r="CC111" s="330">
        <f t="shared" ca="1" si="204"/>
        <v>2560.2299034439366</v>
      </c>
      <c r="CD111" s="330">
        <f t="shared" ca="1" si="204"/>
        <v>2325.0605744230388</v>
      </c>
      <c r="CE111" s="331">
        <f t="shared" ca="1" si="204"/>
        <v>8710.0002349229235</v>
      </c>
      <c r="CF111" s="330">
        <f t="shared" ca="1" si="204"/>
        <v>1520.669207922793</v>
      </c>
      <c r="CG111" s="330">
        <f t="shared" ca="1" si="204"/>
        <v>2567.4430728042689</v>
      </c>
      <c r="CH111" s="330">
        <f t="shared" ca="1" si="204"/>
        <v>2716.2671377041597</v>
      </c>
      <c r="CI111" s="330">
        <f t="shared" ca="1" si="204"/>
        <v>2502.0362733679494</v>
      </c>
      <c r="CJ111" s="331">
        <f t="shared" ca="1" si="204"/>
        <v>9306.4156917991731</v>
      </c>
      <c r="CK111" s="330">
        <f t="shared" ca="1" si="204"/>
        <v>1636.0734061166706</v>
      </c>
      <c r="CL111" s="330">
        <f t="shared" ca="1" si="204"/>
        <v>2729.2451578966584</v>
      </c>
      <c r="CM111" s="330">
        <f t="shared" ca="1" si="204"/>
        <v>2880.4151388800215</v>
      </c>
      <c r="CN111" s="330">
        <f t="shared" ca="1" si="204"/>
        <v>2688.0223506946536</v>
      </c>
      <c r="CO111" s="331">
        <f t="shared" ca="1" si="204"/>
        <v>9933.756053588002</v>
      </c>
      <c r="CP111" s="330">
        <f ca="1">CP43</f>
        <v>1758.4726009009955</v>
      </c>
      <c r="CQ111" s="330">
        <f ca="1">CQ43</f>
        <v>2900.3330561234638</v>
      </c>
      <c r="CR111" s="330">
        <f ca="1">CR43</f>
        <v>3053.8988680065495</v>
      </c>
      <c r="CS111" s="330">
        <f ca="1">CS43</f>
        <v>2885.0410512631966</v>
      </c>
      <c r="CT111" s="331">
        <f ca="1">CT43</f>
        <v>10597.745576294203</v>
      </c>
      <c r="CU111" s="313"/>
      <c r="CV111" s="313"/>
    </row>
    <row r="112" spans="1:100" x14ac:dyDescent="0.2">
      <c r="A112" s="313" t="s">
        <v>115</v>
      </c>
      <c r="B112" s="377"/>
      <c r="C112" s="377"/>
      <c r="D112" s="330"/>
      <c r="E112" s="330"/>
      <c r="F112" s="330"/>
      <c r="G112" s="330"/>
      <c r="H112" s="331"/>
      <c r="I112" s="330"/>
      <c r="J112" s="330"/>
      <c r="K112" s="330"/>
      <c r="L112" s="330"/>
      <c r="M112" s="331"/>
      <c r="N112" s="330"/>
      <c r="O112" s="330"/>
      <c r="P112" s="330"/>
      <c r="Q112" s="330"/>
      <c r="R112" s="331"/>
      <c r="S112" s="332"/>
      <c r="T112" s="332"/>
      <c r="U112" s="332"/>
      <c r="V112" s="332"/>
      <c r="W112" s="331"/>
      <c r="X112" s="301"/>
      <c r="Y112" s="332"/>
      <c r="Z112" s="332"/>
      <c r="AA112" s="332"/>
      <c r="AB112" s="331"/>
      <c r="AC112" s="301"/>
      <c r="AD112" s="332"/>
      <c r="AE112" s="332"/>
      <c r="AF112" s="332"/>
      <c r="AG112" s="331"/>
      <c r="AH112" s="332"/>
      <c r="AI112" s="301"/>
      <c r="AJ112" s="330"/>
      <c r="AK112" s="330"/>
      <c r="AL112" s="331"/>
      <c r="AM112" s="332"/>
      <c r="AN112" s="330"/>
      <c r="AO112" s="333"/>
      <c r="AP112" s="298"/>
      <c r="AQ112" s="331"/>
      <c r="AR112" s="333"/>
      <c r="AS112" s="332"/>
      <c r="AT112" s="330"/>
      <c r="AU112" s="330"/>
      <c r="AV112" s="331"/>
      <c r="AW112" s="330"/>
      <c r="AX112" s="330"/>
      <c r="AY112" s="330"/>
      <c r="AZ112" s="330"/>
      <c r="BA112" s="331"/>
      <c r="BB112" s="330"/>
      <c r="BC112" s="330"/>
      <c r="BD112" s="298"/>
      <c r="BE112" s="330"/>
      <c r="BF112" s="456"/>
      <c r="BG112" s="330"/>
      <c r="BH112" s="330"/>
      <c r="BI112" s="330"/>
      <c r="BJ112" s="330"/>
      <c r="BK112" s="456"/>
      <c r="BL112" s="330"/>
      <c r="BM112" s="569"/>
      <c r="BN112" s="569"/>
      <c r="BO112" s="330"/>
      <c r="BP112" s="331"/>
      <c r="BQ112" s="330"/>
      <c r="BR112" s="569"/>
      <c r="BS112" s="569"/>
      <c r="BT112" s="330"/>
      <c r="BU112" s="331"/>
      <c r="BV112" s="330"/>
      <c r="BW112" s="330"/>
      <c r="BX112" s="330"/>
      <c r="BY112" s="330"/>
      <c r="BZ112" s="331"/>
      <c r="CA112" s="330"/>
      <c r="CB112" s="330"/>
      <c r="CC112" s="330"/>
      <c r="CD112" s="330"/>
      <c r="CE112" s="331"/>
      <c r="CF112" s="330"/>
      <c r="CG112" s="330"/>
      <c r="CH112" s="330"/>
      <c r="CI112" s="330"/>
      <c r="CJ112" s="331"/>
      <c r="CK112" s="330"/>
      <c r="CL112" s="330"/>
      <c r="CM112" s="330"/>
      <c r="CN112" s="330"/>
      <c r="CO112" s="331"/>
      <c r="CP112" s="330"/>
      <c r="CQ112" s="330"/>
      <c r="CR112" s="330"/>
      <c r="CS112" s="330"/>
      <c r="CT112" s="331"/>
      <c r="CU112" s="313"/>
      <c r="CV112" s="313"/>
    </row>
    <row r="113" spans="1:100" x14ac:dyDescent="0.2">
      <c r="A113" s="313"/>
      <c r="B113" s="377" t="s">
        <v>116</v>
      </c>
      <c r="C113" s="377"/>
      <c r="D113" s="298">
        <v>275</v>
      </c>
      <c r="E113" s="298">
        <v>293</v>
      </c>
      <c r="F113" s="298">
        <v>295</v>
      </c>
      <c r="G113" s="298">
        <v>401</v>
      </c>
      <c r="H113" s="366">
        <v>1264</v>
      </c>
      <c r="I113" s="298">
        <v>282</v>
      </c>
      <c r="J113" s="298">
        <v>306</v>
      </c>
      <c r="K113" s="298">
        <v>308</v>
      </c>
      <c r="L113" s="298">
        <v>412</v>
      </c>
      <c r="M113" s="366">
        <v>1308</v>
      </c>
      <c r="N113" s="298">
        <v>286</v>
      </c>
      <c r="O113" s="301">
        <v>324</v>
      </c>
      <c r="P113" s="301">
        <v>330</v>
      </c>
      <c r="Q113" s="301">
        <f t="shared" ref="Q113:Q118" si="205">+R113-N113-O113-P113</f>
        <v>466</v>
      </c>
      <c r="R113" s="366">
        <v>1406</v>
      </c>
      <c r="S113" s="301">
        <v>276</v>
      </c>
      <c r="T113" s="301">
        <v>332</v>
      </c>
      <c r="U113" s="301">
        <v>340</v>
      </c>
      <c r="V113" s="301">
        <f t="shared" ref="V113:V118" si="206">+W113-S113-T113-U113</f>
        <v>478</v>
      </c>
      <c r="W113" s="366">
        <v>1426</v>
      </c>
      <c r="X113" s="301">
        <v>303</v>
      </c>
      <c r="Y113" s="301">
        <f>678-X113</f>
        <v>375</v>
      </c>
      <c r="Z113" s="301">
        <f>1055-X113-Y113</f>
        <v>377</v>
      </c>
      <c r="AA113" s="301">
        <f t="shared" ref="AA113:AA119" si="207">+AB113-X113-Y113-Z113</f>
        <v>488</v>
      </c>
      <c r="AB113" s="366">
        <v>1543</v>
      </c>
      <c r="AC113" s="301">
        <v>314</v>
      </c>
      <c r="AD113" s="301">
        <f>685-AC113</f>
        <v>371</v>
      </c>
      <c r="AE113" s="301">
        <f>1083-AC113-AD113</f>
        <v>398</v>
      </c>
      <c r="AF113" s="301">
        <f t="shared" ref="AF113:AF119" si="208">+AG113-AC113-AD113-AE113</f>
        <v>552</v>
      </c>
      <c r="AG113" s="366">
        <v>1635</v>
      </c>
      <c r="AH113" s="301">
        <v>376</v>
      </c>
      <c r="AI113" s="301">
        <f>969-AH113</f>
        <v>593</v>
      </c>
      <c r="AJ113" s="298">
        <f>1580-AH113-AI113</f>
        <v>611</v>
      </c>
      <c r="AK113" s="301">
        <f t="shared" ref="AK113:AK119" si="209">+AL113-AH113-AI113-AJ113</f>
        <v>747</v>
      </c>
      <c r="AL113" s="366">
        <v>2327</v>
      </c>
      <c r="AM113" s="301">
        <v>523</v>
      </c>
      <c r="AN113" s="301">
        <f>1187-AM113</f>
        <v>664</v>
      </c>
      <c r="AO113" s="296">
        <f>1877-AN113-AM113</f>
        <v>690</v>
      </c>
      <c r="AP113" s="298">
        <f t="shared" ref="AP113:AP119" si="210">+AQ113-AM113-AN113-AO113</f>
        <v>860</v>
      </c>
      <c r="AQ113" s="366">
        <v>2737</v>
      </c>
      <c r="AR113" s="296">
        <v>555</v>
      </c>
      <c r="AS113" s="301">
        <f>1201-AR113</f>
        <v>646</v>
      </c>
      <c r="AT113" s="298">
        <f>1837-AS113-AR113</f>
        <v>636</v>
      </c>
      <c r="AU113" s="298">
        <f>AV113-SUM(AR113:AT113)</f>
        <v>852</v>
      </c>
      <c r="AV113" s="366">
        <v>2689</v>
      </c>
      <c r="AW113" s="298">
        <v>551</v>
      </c>
      <c r="AX113" s="298">
        <f>1185-AW113</f>
        <v>634</v>
      </c>
      <c r="AY113" s="298">
        <f>1815-AX113-AW113</f>
        <v>630</v>
      </c>
      <c r="AZ113" s="298">
        <f t="shared" ref="AZ113:AZ119" si="211">BA113-SUM(AW113:AY113)</f>
        <v>848</v>
      </c>
      <c r="BA113" s="366">
        <v>2663</v>
      </c>
      <c r="BB113" s="298">
        <v>532</v>
      </c>
      <c r="BC113" s="298">
        <f>1162-BB113</f>
        <v>630</v>
      </c>
      <c r="BD113" s="298">
        <f>1794-BC113-BB113</f>
        <v>632</v>
      </c>
      <c r="BE113" s="298">
        <f t="shared" ref="BE113:BE119" si="212">BF113-SUM(BB113:BD113)</f>
        <v>831</v>
      </c>
      <c r="BF113" s="366">
        <v>2625</v>
      </c>
      <c r="BG113" s="298">
        <v>496</v>
      </c>
      <c r="BH113" s="298">
        <f>1075-BG113</f>
        <v>579</v>
      </c>
      <c r="BI113" s="298">
        <f>1644-BH113-BG113</f>
        <v>569</v>
      </c>
      <c r="BJ113" s="298">
        <f t="shared" ref="BJ113:BJ119" si="213">BK113-SUM(BG113:BI113)</f>
        <v>772</v>
      </c>
      <c r="BK113" s="366">
        <v>2416</v>
      </c>
      <c r="BL113" s="298">
        <v>481</v>
      </c>
      <c r="BM113" s="298">
        <f>1044-BL113</f>
        <v>563</v>
      </c>
      <c r="BN113" s="569">
        <f>1611-BM113-BL113</f>
        <v>567</v>
      </c>
      <c r="BO113" s="298">
        <f t="shared" ref="BO113:BO119" si="214">BP113-SUM(BL113:BN113)</f>
        <v>757</v>
      </c>
      <c r="BP113" s="366">
        <v>2368</v>
      </c>
      <c r="BQ113" s="298">
        <v>477</v>
      </c>
      <c r="BR113" s="569">
        <f>1031-BQ113</f>
        <v>554</v>
      </c>
      <c r="BS113" s="569">
        <f>1604-BR113-BQ113</f>
        <v>573</v>
      </c>
      <c r="BT113" s="298">
        <f t="shared" ref="BT113:BT125" si="215">BU113-SUM(BQ113:BS113)</f>
        <v>765</v>
      </c>
      <c r="BU113" s="366">
        <v>2369</v>
      </c>
      <c r="BV113" s="298">
        <f>BV171/4*BU74</f>
        <v>495.65909227894639</v>
      </c>
      <c r="BW113" s="298">
        <f>BW171/4*BV74</f>
        <v>571.85862819723582</v>
      </c>
      <c r="BX113" s="298">
        <f>BX171/4*BW74</f>
        <v>593.49513763936591</v>
      </c>
      <c r="BY113" s="298">
        <f>BY171/4*BX74</f>
        <v>790.07993249672029</v>
      </c>
      <c r="BZ113" s="366">
        <f>BV113+BW113+BX113+BY113</f>
        <v>2451.0927906122683</v>
      </c>
      <c r="CA113" s="298">
        <f>CA171/4*BZ74</f>
        <v>528.99841319203267</v>
      </c>
      <c r="CB113" s="298">
        <f>CB171/4*CA74</f>
        <v>605.90940090277013</v>
      </c>
      <c r="CC113" s="298">
        <f>CC171/4*CB74</f>
        <v>622.95956261095284</v>
      </c>
      <c r="CD113" s="298">
        <f>CD171/4*CC74</f>
        <v>821.59452574782711</v>
      </c>
      <c r="CE113" s="366">
        <f>CA113+CB113+CC113+CD113</f>
        <v>2579.4619024535828</v>
      </c>
      <c r="CF113" s="298">
        <f>CF171/4*CE74</f>
        <v>546.08015020775554</v>
      </c>
      <c r="CG113" s="298">
        <f>CG171/4*CF74</f>
        <v>624.99317757964616</v>
      </c>
      <c r="CH113" s="298">
        <f>CH171/4*CG74</f>
        <v>641.96157548080055</v>
      </c>
      <c r="CI113" s="298">
        <f>CI171/4*CH74</f>
        <v>845.82146314427848</v>
      </c>
      <c r="CJ113" s="366">
        <f>CF113+CG113+CH113+CI113</f>
        <v>2658.8563664124808</v>
      </c>
      <c r="CK113" s="298">
        <f>CK171/4*CJ74</f>
        <v>561.61357569698669</v>
      </c>
      <c r="CL113" s="298">
        <f>CL171/4*CK74</f>
        <v>642.32297894243084</v>
      </c>
      <c r="CM113" s="298">
        <f>CM171/4*CL74</f>
        <v>659.20771816172487</v>
      </c>
      <c r="CN113" s="298">
        <f>CN171/4*CM74</f>
        <v>867.7987861736874</v>
      </c>
      <c r="CO113" s="366">
        <f>CK113+CL113+CM113+CN113</f>
        <v>2730.9430589748299</v>
      </c>
      <c r="CP113" s="298">
        <f>CP171/4*CO74</f>
        <v>575.79468144040857</v>
      </c>
      <c r="CQ113" s="298">
        <f>CQ171/4*CP74</f>
        <v>658.11819757398848</v>
      </c>
      <c r="CR113" s="298">
        <f>CR171/4*CQ74</f>
        <v>674.91505466015349</v>
      </c>
      <c r="CS113" s="298">
        <f>CS171/4*CR74</f>
        <v>887.80134958444773</v>
      </c>
      <c r="CT113" s="366">
        <f>CP113+CQ113+CR113+CS113</f>
        <v>2796.6292832589979</v>
      </c>
      <c r="CU113" s="313"/>
      <c r="CV113" s="313"/>
    </row>
    <row r="114" spans="1:100" x14ac:dyDescent="0.2">
      <c r="A114" s="313"/>
      <c r="B114" s="377" t="s">
        <v>117</v>
      </c>
      <c r="C114" s="377"/>
      <c r="D114" s="298">
        <v>91</v>
      </c>
      <c r="E114" s="298">
        <v>84</v>
      </c>
      <c r="F114" s="298">
        <v>86</v>
      </c>
      <c r="G114" s="298">
        <v>107</v>
      </c>
      <c r="H114" s="331">
        <v>368</v>
      </c>
      <c r="I114" s="298">
        <v>77</v>
      </c>
      <c r="J114" s="298">
        <v>70</v>
      </c>
      <c r="K114" s="298">
        <v>68</v>
      </c>
      <c r="L114" s="298">
        <v>96</v>
      </c>
      <c r="M114" s="331">
        <v>311</v>
      </c>
      <c r="N114" s="298">
        <v>67</v>
      </c>
      <c r="O114" s="301">
        <v>61</v>
      </c>
      <c r="P114" s="301">
        <v>63</v>
      </c>
      <c r="Q114" s="301">
        <f t="shared" si="205"/>
        <v>79</v>
      </c>
      <c r="R114" s="331">
        <v>270</v>
      </c>
      <c r="S114" s="301">
        <v>63</v>
      </c>
      <c r="T114" s="301">
        <v>60</v>
      </c>
      <c r="U114" s="301">
        <v>59</v>
      </c>
      <c r="V114" s="301">
        <f t="shared" si="206"/>
        <v>78</v>
      </c>
      <c r="W114" s="331">
        <v>260</v>
      </c>
      <c r="X114" s="301">
        <v>72</v>
      </c>
      <c r="Y114" s="301">
        <f>112-X114</f>
        <v>40</v>
      </c>
      <c r="Z114" s="301">
        <f>169-X114-Y114</f>
        <v>57</v>
      </c>
      <c r="AA114" s="301">
        <f t="shared" si="207"/>
        <v>69</v>
      </c>
      <c r="AB114" s="331">
        <v>238</v>
      </c>
      <c r="AC114" s="301">
        <v>54</v>
      </c>
      <c r="AD114" s="301">
        <f>108-AC114</f>
        <v>54</v>
      </c>
      <c r="AE114" s="301">
        <f>159-AC114-AD114</f>
        <v>51</v>
      </c>
      <c r="AF114" s="301">
        <f t="shared" si="208"/>
        <v>68</v>
      </c>
      <c r="AG114" s="331">
        <v>227</v>
      </c>
      <c r="AH114" s="301">
        <v>47</v>
      </c>
      <c r="AI114" s="301">
        <f>119-AH114</f>
        <v>72</v>
      </c>
      <c r="AJ114" s="298">
        <f>191-AH114-AI114</f>
        <v>72</v>
      </c>
      <c r="AK114" s="301">
        <f t="shared" si="209"/>
        <v>108</v>
      </c>
      <c r="AL114" s="331">
        <v>299</v>
      </c>
      <c r="AM114" s="301">
        <v>72</v>
      </c>
      <c r="AN114" s="301">
        <f>146-AM114</f>
        <v>74</v>
      </c>
      <c r="AO114" s="296">
        <f>222-AN114-AM114</f>
        <v>76</v>
      </c>
      <c r="AP114" s="298">
        <f t="shared" si="210"/>
        <v>104</v>
      </c>
      <c r="AQ114" s="331">
        <v>326</v>
      </c>
      <c r="AR114" s="296">
        <v>56</v>
      </c>
      <c r="AS114" s="301">
        <f>125-AR114</f>
        <v>69</v>
      </c>
      <c r="AT114" s="298">
        <f>193-AS114-AR114</f>
        <v>68</v>
      </c>
      <c r="AU114" s="298">
        <f t="shared" ref="AU114:AU120" si="216">AV114-SUM(AR114:AT114)</f>
        <v>85</v>
      </c>
      <c r="AV114" s="331">
        <v>278</v>
      </c>
      <c r="AW114" s="298">
        <v>77</v>
      </c>
      <c r="AX114" s="298">
        <f>149-AW114</f>
        <v>72</v>
      </c>
      <c r="AY114" s="298">
        <f>219-AX114-AW114</f>
        <v>70</v>
      </c>
      <c r="AZ114" s="298">
        <f t="shared" si="211"/>
        <v>84</v>
      </c>
      <c r="BA114" s="331">
        <v>303</v>
      </c>
      <c r="BB114" s="298">
        <v>72</v>
      </c>
      <c r="BC114" s="298">
        <f>140-BB114</f>
        <v>68</v>
      </c>
      <c r="BD114" s="298">
        <f>207-BC114-BB114</f>
        <v>67</v>
      </c>
      <c r="BE114" s="298">
        <f t="shared" si="212"/>
        <v>90</v>
      </c>
      <c r="BF114" s="331">
        <v>297</v>
      </c>
      <c r="BG114" s="298">
        <v>76</v>
      </c>
      <c r="BH114" s="298">
        <f>144-BG114</f>
        <v>68</v>
      </c>
      <c r="BI114" s="298">
        <f>208-BH114-BG114</f>
        <v>64</v>
      </c>
      <c r="BJ114" s="298">
        <f t="shared" si="213"/>
        <v>87</v>
      </c>
      <c r="BK114" s="331">
        <v>295</v>
      </c>
      <c r="BL114" s="298">
        <v>69</v>
      </c>
      <c r="BM114" s="298">
        <f>123-BL114</f>
        <v>54</v>
      </c>
      <c r="BN114" s="569">
        <f>190-BM114-BL114</f>
        <v>67</v>
      </c>
      <c r="BO114" s="298">
        <f t="shared" si="214"/>
        <v>94</v>
      </c>
      <c r="BP114" s="331">
        <v>284</v>
      </c>
      <c r="BQ114" s="298">
        <v>72</v>
      </c>
      <c r="BR114" s="569">
        <f>143-BQ114</f>
        <v>71</v>
      </c>
      <c r="BS114" s="569">
        <f>206-BR114-BQ114</f>
        <v>63</v>
      </c>
      <c r="BT114" s="298">
        <f t="shared" si="215"/>
        <v>86</v>
      </c>
      <c r="BU114" s="331">
        <v>292</v>
      </c>
      <c r="BV114" s="425">
        <f>+BQ114*1.05</f>
        <v>75.600000000000009</v>
      </c>
      <c r="BW114" s="425">
        <f>+BR114*1.05</f>
        <v>74.55</v>
      </c>
      <c r="BX114" s="425">
        <f>+BS114*1.05</f>
        <v>66.150000000000006</v>
      </c>
      <c r="BY114" s="425">
        <f>+BT114*1.05</f>
        <v>90.3</v>
      </c>
      <c r="BZ114" s="331">
        <f>BV114+BW114+BX114+BY114</f>
        <v>306.60000000000002</v>
      </c>
      <c r="CA114" s="425">
        <f>+BV114*1.05</f>
        <v>79.38000000000001</v>
      </c>
      <c r="CB114" s="425">
        <f>+BW114*1.05</f>
        <v>78.277500000000003</v>
      </c>
      <c r="CC114" s="425">
        <f>+BX114*1.05</f>
        <v>69.45750000000001</v>
      </c>
      <c r="CD114" s="425">
        <f>+BY114*1.05</f>
        <v>94.814999999999998</v>
      </c>
      <c r="CE114" s="331">
        <f>CA114+CB114+CC114+CD114</f>
        <v>321.93000000000006</v>
      </c>
      <c r="CF114" s="425">
        <f>+CA114*1.05</f>
        <v>83.349000000000018</v>
      </c>
      <c r="CG114" s="425">
        <f>+CB114*1.05</f>
        <v>82.191375000000008</v>
      </c>
      <c r="CH114" s="425">
        <f>+CC114*1.05</f>
        <v>72.930375000000012</v>
      </c>
      <c r="CI114" s="425">
        <f>+CD114*1.05</f>
        <v>99.555750000000003</v>
      </c>
      <c r="CJ114" s="331">
        <f>CF114+CG114+CH114+CI114</f>
        <v>338.02650000000006</v>
      </c>
      <c r="CK114" s="425">
        <f>+CF114*1.05</f>
        <v>87.51645000000002</v>
      </c>
      <c r="CL114" s="425">
        <f>+CG114*1.05</f>
        <v>86.300943750000016</v>
      </c>
      <c r="CM114" s="425">
        <f>+CH114*1.05</f>
        <v>76.576893750000011</v>
      </c>
      <c r="CN114" s="425">
        <f>+CI114*1.05</f>
        <v>104.53353750000001</v>
      </c>
      <c r="CO114" s="331">
        <f>CK114+CL114+CM114+CN114</f>
        <v>354.92782500000004</v>
      </c>
      <c r="CP114" s="425">
        <f>+CK114*1.05</f>
        <v>91.892272500000018</v>
      </c>
      <c r="CQ114" s="425">
        <f>+CL114*1.05</f>
        <v>90.615990937500015</v>
      </c>
      <c r="CR114" s="425">
        <f>+CM114*1.05</f>
        <v>80.40573843750002</v>
      </c>
      <c r="CS114" s="425">
        <f>+CN114*1.05</f>
        <v>109.76021437500002</v>
      </c>
      <c r="CT114" s="331">
        <f>CP114+CQ114+CR114+CS114</f>
        <v>372.67421625000009</v>
      </c>
      <c r="CU114" s="313"/>
      <c r="CV114" s="357"/>
    </row>
    <row r="115" spans="1:100" x14ac:dyDescent="0.2">
      <c r="A115" s="313"/>
      <c r="B115" s="377" t="s">
        <v>2</v>
      </c>
      <c r="C115" s="377"/>
      <c r="D115" s="330">
        <v>0</v>
      </c>
      <c r="E115" s="330">
        <f>0-D115</f>
        <v>0</v>
      </c>
      <c r="F115" s="330">
        <v>0</v>
      </c>
      <c r="G115" s="298">
        <f>H115-F115-E115-D115</f>
        <v>-534</v>
      </c>
      <c r="H115" s="331">
        <v>-534</v>
      </c>
      <c r="I115" s="298">
        <v>0</v>
      </c>
      <c r="J115" s="298">
        <v>0</v>
      </c>
      <c r="K115" s="330">
        <v>0</v>
      </c>
      <c r="L115" s="298">
        <f>M115-K115-J115-I115</f>
        <v>-877</v>
      </c>
      <c r="M115" s="331">
        <f>-877</f>
        <v>-877</v>
      </c>
      <c r="N115" s="330">
        <v>-28</v>
      </c>
      <c r="O115" s="332">
        <v>-60</v>
      </c>
      <c r="P115" s="301">
        <f>-90-N115-O115</f>
        <v>-2</v>
      </c>
      <c r="Q115" s="301">
        <f>R115-P115-O115-N115</f>
        <v>-41</v>
      </c>
      <c r="R115" s="331">
        <v>-131</v>
      </c>
      <c r="S115" s="301">
        <f>-34+118</f>
        <v>84</v>
      </c>
      <c r="T115" s="301">
        <f>-116+240-S115</f>
        <v>40</v>
      </c>
      <c r="U115" s="301">
        <f>-155+362-T115-S115</f>
        <v>83</v>
      </c>
      <c r="V115" s="301">
        <f t="shared" si="206"/>
        <v>-517</v>
      </c>
      <c r="W115" s="331">
        <v>-310</v>
      </c>
      <c r="X115" s="301">
        <v>-38</v>
      </c>
      <c r="Y115" s="301">
        <f>-86-X115</f>
        <v>-48</v>
      </c>
      <c r="Z115" s="301">
        <f>-132-X115-Y115</f>
        <v>-46</v>
      </c>
      <c r="AA115" s="301">
        <f t="shared" si="207"/>
        <v>-87</v>
      </c>
      <c r="AB115" s="331">
        <v>-219</v>
      </c>
      <c r="AC115" s="301">
        <v>-1042</v>
      </c>
      <c r="AD115" s="301">
        <f>-1088-AC115</f>
        <v>-46</v>
      </c>
      <c r="AE115" s="301">
        <f>-1130-AC115-AD115</f>
        <v>-42</v>
      </c>
      <c r="AF115" s="301">
        <f t="shared" si="208"/>
        <v>-169</v>
      </c>
      <c r="AG115" s="331">
        <v>-1299</v>
      </c>
      <c r="AH115" s="301">
        <v>-640</v>
      </c>
      <c r="AI115" s="301">
        <f>-694-AH115</f>
        <v>-54</v>
      </c>
      <c r="AJ115" s="298">
        <f>-1350-AH115-AI115</f>
        <v>-656</v>
      </c>
      <c r="AK115" s="301">
        <f t="shared" si="209"/>
        <v>-384</v>
      </c>
      <c r="AL115" s="331">
        <v>-1734</v>
      </c>
      <c r="AM115" s="301">
        <v>-59</v>
      </c>
      <c r="AN115" s="301">
        <v>-50</v>
      </c>
      <c r="AO115" s="296">
        <f>-185-AN115-AM115</f>
        <v>-76</v>
      </c>
      <c r="AP115" s="298">
        <f t="shared" si="210"/>
        <v>-164</v>
      </c>
      <c r="AQ115" s="331">
        <v>-349</v>
      </c>
      <c r="AR115" s="296">
        <v>-1100</v>
      </c>
      <c r="AS115" s="301">
        <f>-1169-AR115</f>
        <v>-69</v>
      </c>
      <c r="AT115" s="298">
        <f>-1253-AS115-AR115</f>
        <v>-84</v>
      </c>
      <c r="AU115" s="298">
        <f t="shared" si="216"/>
        <v>-612</v>
      </c>
      <c r="AV115" s="331">
        <v>-1865</v>
      </c>
      <c r="AW115" s="298">
        <v>-87</v>
      </c>
      <c r="AX115" s="298">
        <f>-180-AW115</f>
        <v>-93</v>
      </c>
      <c r="AY115" s="298">
        <f>-208-AX115-AW115</f>
        <v>-28</v>
      </c>
      <c r="AZ115" s="298">
        <f t="shared" si="211"/>
        <v>-54</v>
      </c>
      <c r="BA115" s="331">
        <v>-262</v>
      </c>
      <c r="BB115" s="298">
        <v>-84</v>
      </c>
      <c r="BC115" s="298">
        <f>+-155-BB115</f>
        <v>-71</v>
      </c>
      <c r="BD115" s="298">
        <f>-196-BC115-BB115</f>
        <v>-41</v>
      </c>
      <c r="BE115" s="298">
        <f t="shared" si="212"/>
        <v>-459</v>
      </c>
      <c r="BF115" s="331">
        <v>-655</v>
      </c>
      <c r="BG115" s="298">
        <v>-83</v>
      </c>
      <c r="BH115" s="298">
        <f>+-117-BG115</f>
        <v>-34</v>
      </c>
      <c r="BI115" s="298">
        <f>-165-BH115-BG115</f>
        <v>-48</v>
      </c>
      <c r="BJ115" s="298">
        <f t="shared" si="213"/>
        <v>-40</v>
      </c>
      <c r="BK115" s="331">
        <v>-205</v>
      </c>
      <c r="BL115" s="298">
        <v>-93</v>
      </c>
      <c r="BM115" s="298">
        <f>+-155-BL115</f>
        <v>-62</v>
      </c>
      <c r="BN115" s="569">
        <f>+-182-BM115-BL115</f>
        <v>-27</v>
      </c>
      <c r="BO115" s="298">
        <f t="shared" si="214"/>
        <v>-513</v>
      </c>
      <c r="BP115" s="331">
        <v>-695</v>
      </c>
      <c r="BQ115" s="298">
        <v>-79</v>
      </c>
      <c r="BR115" s="569">
        <f>-131-BQ115</f>
        <v>-52</v>
      </c>
      <c r="BS115" s="569">
        <f>-169-BR115-BQ115</f>
        <v>-38</v>
      </c>
      <c r="BT115" s="298">
        <f t="shared" si="215"/>
        <v>-51</v>
      </c>
      <c r="BU115" s="331">
        <v>-220</v>
      </c>
      <c r="BV115" s="425">
        <f>-1400/4</f>
        <v>-350</v>
      </c>
      <c r="BW115" s="425">
        <f>-1400/4</f>
        <v>-350</v>
      </c>
      <c r="BX115" s="425">
        <f>-1400/4</f>
        <v>-350</v>
      </c>
      <c r="BY115" s="425">
        <f>-1400/4</f>
        <v>-350</v>
      </c>
      <c r="BZ115" s="331">
        <f>BV115+BW115+BX115+BY115</f>
        <v>-1400</v>
      </c>
      <c r="CA115" s="425">
        <f>-CA116</f>
        <v>-46.227499999999992</v>
      </c>
      <c r="CB115" s="425">
        <f>-CB116</f>
        <v>-50.429999999999993</v>
      </c>
      <c r="CC115" s="425">
        <f>-CC116</f>
        <v>-51.480624999999989</v>
      </c>
      <c r="CD115" s="425">
        <f>-CD116</f>
        <v>-84.05</v>
      </c>
      <c r="CE115" s="331">
        <f>CA115+CB115+CC115+CD115</f>
        <v>-232.18812499999996</v>
      </c>
      <c r="CF115" s="425">
        <f>-CF116</f>
        <v>-47.383187499999991</v>
      </c>
      <c r="CG115" s="425">
        <f>-CG116</f>
        <v>-51.690749999999987</v>
      </c>
      <c r="CH115" s="425">
        <f>-CH116</f>
        <v>-52.767640624999984</v>
      </c>
      <c r="CI115" s="425">
        <f>-CI116</f>
        <v>-86.15124999999999</v>
      </c>
      <c r="CJ115" s="331">
        <f>CF115+CG115+CH115+CI115</f>
        <v>-237.99282812499996</v>
      </c>
      <c r="CK115" s="425">
        <f>-CK116</f>
        <v>-48.567767187499989</v>
      </c>
      <c r="CL115" s="425">
        <f>-CL116</f>
        <v>-52.983018749999985</v>
      </c>
      <c r="CM115" s="425">
        <f>-CM116</f>
        <v>-54.086831640624979</v>
      </c>
      <c r="CN115" s="425">
        <f>-CN116</f>
        <v>-88.305031249999985</v>
      </c>
      <c r="CO115" s="331">
        <f>CK115+CL115+CM115+CN115</f>
        <v>-243.94264882812493</v>
      </c>
      <c r="CP115" s="425">
        <f>-CP116</f>
        <v>-49.781961367187485</v>
      </c>
      <c r="CQ115" s="425">
        <f>-CQ116</f>
        <v>-54.307594218749983</v>
      </c>
      <c r="CR115" s="425">
        <f>-CR116</f>
        <v>-55.439002431640596</v>
      </c>
      <c r="CS115" s="425">
        <f>-CS116</f>
        <v>-90.512657031249972</v>
      </c>
      <c r="CT115" s="331">
        <f>CP115+CQ115+CR115+CS115</f>
        <v>-250.04121504882804</v>
      </c>
      <c r="CU115" s="313"/>
      <c r="CV115" s="357"/>
    </row>
    <row r="116" spans="1:100" x14ac:dyDescent="0.2">
      <c r="A116" s="313"/>
      <c r="B116" s="377" t="s">
        <v>3</v>
      </c>
      <c r="C116" s="377"/>
      <c r="D116" s="330">
        <v>0</v>
      </c>
      <c r="E116" s="330">
        <f>0-D116</f>
        <v>0</v>
      </c>
      <c r="F116" s="330">
        <v>0</v>
      </c>
      <c r="G116" s="298">
        <f>H116-F116-E116-D116</f>
        <v>395</v>
      </c>
      <c r="H116" s="331">
        <v>395</v>
      </c>
      <c r="I116" s="298">
        <v>0</v>
      </c>
      <c r="J116" s="298">
        <v>0</v>
      </c>
      <c r="K116" s="330">
        <v>0</v>
      </c>
      <c r="L116" s="298">
        <f>M116-K116-J116-I116</f>
        <v>464</v>
      </c>
      <c r="M116" s="331">
        <f>464</f>
        <v>464</v>
      </c>
      <c r="N116" s="330">
        <v>123</v>
      </c>
      <c r="O116" s="332">
        <v>248</v>
      </c>
      <c r="P116" s="301">
        <f>370-N116-O116</f>
        <v>-1</v>
      </c>
      <c r="Q116" s="301">
        <f>R116-P116-O116-N116</f>
        <v>174</v>
      </c>
      <c r="R116" s="331">
        <v>544</v>
      </c>
      <c r="S116" s="301">
        <f>-34+118</f>
        <v>84</v>
      </c>
      <c r="T116" s="301">
        <f>-116+240-S116</f>
        <v>40</v>
      </c>
      <c r="U116" s="301">
        <f>-155+362-T116-S116</f>
        <v>83</v>
      </c>
      <c r="V116" s="301">
        <f t="shared" si="206"/>
        <v>328</v>
      </c>
      <c r="W116" s="331">
        <v>535</v>
      </c>
      <c r="X116" s="301">
        <v>104</v>
      </c>
      <c r="Y116" s="301">
        <f>211-X116</f>
        <v>107</v>
      </c>
      <c r="Z116" s="301">
        <f>318-X116-Y116</f>
        <v>107</v>
      </c>
      <c r="AA116" s="301">
        <f t="shared" si="207"/>
        <v>141</v>
      </c>
      <c r="AB116" s="331">
        <v>459</v>
      </c>
      <c r="AC116" s="301">
        <v>96</v>
      </c>
      <c r="AD116" s="301">
        <f>192-AC116</f>
        <v>96</v>
      </c>
      <c r="AE116" s="301">
        <f>290-AC116-AD116</f>
        <v>98</v>
      </c>
      <c r="AF116" s="301">
        <f t="shared" si="208"/>
        <v>133</v>
      </c>
      <c r="AG116" s="331">
        <v>423</v>
      </c>
      <c r="AH116" s="301">
        <v>113</v>
      </c>
      <c r="AI116" s="301">
        <f>248-AH116</f>
        <v>135</v>
      </c>
      <c r="AJ116" s="298">
        <f>310-AH116-AI116</f>
        <v>62</v>
      </c>
      <c r="AK116" s="301">
        <f t="shared" si="209"/>
        <v>143</v>
      </c>
      <c r="AL116" s="331">
        <v>453</v>
      </c>
      <c r="AM116" s="301">
        <v>119</v>
      </c>
      <c r="AN116" s="301">
        <f>254-AM116</f>
        <v>135</v>
      </c>
      <c r="AO116" s="296">
        <f>389-AN116-AM116</f>
        <v>135</v>
      </c>
      <c r="AP116" s="298">
        <f t="shared" si="210"/>
        <v>182</v>
      </c>
      <c r="AQ116" s="331">
        <v>571</v>
      </c>
      <c r="AR116" s="296">
        <v>129</v>
      </c>
      <c r="AS116" s="301">
        <f>271-AR116</f>
        <v>142</v>
      </c>
      <c r="AT116" s="298">
        <f>414-AS116-AR116</f>
        <v>143</v>
      </c>
      <c r="AU116" s="298">
        <f t="shared" si="216"/>
        <v>382</v>
      </c>
      <c r="AV116" s="331">
        <v>796</v>
      </c>
      <c r="AW116" s="298">
        <v>149</v>
      </c>
      <c r="AX116" s="298">
        <f>306-AW116</f>
        <v>157</v>
      </c>
      <c r="AY116" s="298">
        <f>462-AX116-AW116</f>
        <v>156</v>
      </c>
      <c r="AZ116" s="298">
        <f t="shared" si="211"/>
        <v>201</v>
      </c>
      <c r="BA116" s="331">
        <v>663</v>
      </c>
      <c r="BB116" s="298">
        <v>119</v>
      </c>
      <c r="BC116" s="298">
        <f>243-BB116</f>
        <v>124</v>
      </c>
      <c r="BD116" s="298">
        <f>368-BC116-BB116</f>
        <v>125</v>
      </c>
      <c r="BE116" s="298">
        <f t="shared" si="212"/>
        <v>299</v>
      </c>
      <c r="BF116" s="331">
        <v>667</v>
      </c>
      <c r="BG116" s="298">
        <v>104</v>
      </c>
      <c r="BH116" s="298">
        <f>215-BG116</f>
        <v>111</v>
      </c>
      <c r="BI116" s="298">
        <f>326-BH116-BG116</f>
        <v>111</v>
      </c>
      <c r="BJ116" s="298">
        <f t="shared" si="213"/>
        <v>141</v>
      </c>
      <c r="BK116" s="331">
        <v>467</v>
      </c>
      <c r="BL116" s="298">
        <v>60</v>
      </c>
      <c r="BM116" s="298">
        <f>124-BL116</f>
        <v>64</v>
      </c>
      <c r="BN116" s="569">
        <f>191-BM116-BL116</f>
        <v>67</v>
      </c>
      <c r="BO116" s="298">
        <f t="shared" si="214"/>
        <v>310</v>
      </c>
      <c r="BP116" s="331">
        <v>501</v>
      </c>
      <c r="BQ116" s="298">
        <v>44</v>
      </c>
      <c r="BR116" s="569">
        <f>92-BQ116</f>
        <v>48</v>
      </c>
      <c r="BS116" s="569">
        <f>141-BR116-BQ116</f>
        <v>49</v>
      </c>
      <c r="BT116" s="298">
        <f t="shared" si="215"/>
        <v>80</v>
      </c>
      <c r="BU116" s="331">
        <v>221</v>
      </c>
      <c r="BV116" s="425">
        <f>BQ116*1.025</f>
        <v>45.099999999999994</v>
      </c>
      <c r="BW116" s="425">
        <f>BR116*1.025</f>
        <v>49.199999999999996</v>
      </c>
      <c r="BX116" s="425">
        <f>BS116*1.025</f>
        <v>50.224999999999994</v>
      </c>
      <c r="BY116" s="425">
        <f>BT116*1.025</f>
        <v>82</v>
      </c>
      <c r="BZ116" s="331">
        <f>BV116+BW116+BX116+BY116</f>
        <v>226.52499999999998</v>
      </c>
      <c r="CA116" s="425">
        <f>BV116*1.025</f>
        <v>46.227499999999992</v>
      </c>
      <c r="CB116" s="425">
        <f>BW116*1.025</f>
        <v>50.429999999999993</v>
      </c>
      <c r="CC116" s="425">
        <f>BX116*1.025</f>
        <v>51.480624999999989</v>
      </c>
      <c r="CD116" s="425">
        <f>BY116*1.025</f>
        <v>84.05</v>
      </c>
      <c r="CE116" s="331">
        <f>CA116+CB116+CC116+CD116</f>
        <v>232.18812499999996</v>
      </c>
      <c r="CF116" s="425">
        <f>CA116*1.025</f>
        <v>47.383187499999991</v>
      </c>
      <c r="CG116" s="425">
        <f>CB116*1.025</f>
        <v>51.690749999999987</v>
      </c>
      <c r="CH116" s="425">
        <f>CC116*1.025</f>
        <v>52.767640624999984</v>
      </c>
      <c r="CI116" s="425">
        <f>CD116*1.025</f>
        <v>86.15124999999999</v>
      </c>
      <c r="CJ116" s="331">
        <f>CF116+CG116+CH116+CI116</f>
        <v>237.99282812499996</v>
      </c>
      <c r="CK116" s="425">
        <f>CF116*1.025</f>
        <v>48.567767187499989</v>
      </c>
      <c r="CL116" s="425">
        <f>CG116*1.025</f>
        <v>52.983018749999985</v>
      </c>
      <c r="CM116" s="425">
        <f>CH116*1.025</f>
        <v>54.086831640624979</v>
      </c>
      <c r="CN116" s="425">
        <f>CI116*1.025</f>
        <v>88.305031249999985</v>
      </c>
      <c r="CO116" s="331">
        <f>CK116+CL116+CM116+CN116</f>
        <v>243.94264882812493</v>
      </c>
      <c r="CP116" s="425">
        <f>CK116*1.025</f>
        <v>49.781961367187485</v>
      </c>
      <c r="CQ116" s="425">
        <f>CL116*1.025</f>
        <v>54.307594218749983</v>
      </c>
      <c r="CR116" s="425">
        <f>CM116*1.025</f>
        <v>55.439002431640596</v>
      </c>
      <c r="CS116" s="425">
        <f>CN116*1.025</f>
        <v>90.512657031249972</v>
      </c>
      <c r="CT116" s="331">
        <f>CP116+CQ116+CR116+CS116</f>
        <v>250.04121504882804</v>
      </c>
      <c r="CU116" s="313"/>
      <c r="CV116" s="357"/>
    </row>
    <row r="117" spans="1:100" x14ac:dyDescent="0.2">
      <c r="A117" s="313"/>
      <c r="B117" s="377" t="s">
        <v>118</v>
      </c>
      <c r="C117" s="377"/>
      <c r="D117" s="298">
        <v>-34</v>
      </c>
      <c r="E117" s="298">
        <v>-6</v>
      </c>
      <c r="F117" s="298">
        <v>102</v>
      </c>
      <c r="G117" s="298">
        <v>-83</v>
      </c>
      <c r="H117" s="331">
        <v>-203</v>
      </c>
      <c r="I117" s="298">
        <v>-7</v>
      </c>
      <c r="J117" s="298">
        <v>-41</v>
      </c>
      <c r="K117" s="298">
        <v>149</v>
      </c>
      <c r="L117" s="298">
        <v>339</v>
      </c>
      <c r="M117" s="331">
        <v>440</v>
      </c>
      <c r="N117" s="298">
        <v>20</v>
      </c>
      <c r="O117" s="301">
        <v>-6</v>
      </c>
      <c r="P117" s="301">
        <v>34</v>
      </c>
      <c r="Q117" s="301">
        <f t="shared" si="205"/>
        <v>-558</v>
      </c>
      <c r="R117" s="331">
        <v>-510</v>
      </c>
      <c r="S117" s="301">
        <v>11</v>
      </c>
      <c r="T117" s="301">
        <v>53</v>
      </c>
      <c r="U117" s="301">
        <v>-67</v>
      </c>
      <c r="V117" s="301">
        <f t="shared" si="206"/>
        <v>121</v>
      </c>
      <c r="W117" s="331">
        <v>118</v>
      </c>
      <c r="X117" s="332">
        <v>122</v>
      </c>
      <c r="Y117" s="301">
        <f>222-X117</f>
        <v>100</v>
      </c>
      <c r="Z117" s="332">
        <f>275-X117-Y117</f>
        <v>53</v>
      </c>
      <c r="AA117" s="301">
        <f t="shared" si="207"/>
        <v>298</v>
      </c>
      <c r="AB117" s="331">
        <v>573</v>
      </c>
      <c r="AC117" s="332">
        <v>-2</v>
      </c>
      <c r="AD117" s="301">
        <f>4-AC117</f>
        <v>6</v>
      </c>
      <c r="AE117" s="332">
        <f>59-AC117-AD117</f>
        <v>55</v>
      </c>
      <c r="AF117" s="301">
        <f t="shared" si="208"/>
        <v>225</v>
      </c>
      <c r="AG117" s="331">
        <v>284</v>
      </c>
      <c r="AH117" s="332">
        <v>-127</v>
      </c>
      <c r="AI117" s="301">
        <f>186-AH117</f>
        <v>313</v>
      </c>
      <c r="AJ117" s="330">
        <f>291-AH117-AI117</f>
        <v>105</v>
      </c>
      <c r="AK117" s="301">
        <f t="shared" si="209"/>
        <v>209</v>
      </c>
      <c r="AL117" s="331">
        <v>500</v>
      </c>
      <c r="AM117" s="332">
        <v>-98</v>
      </c>
      <c r="AN117" s="332">
        <f>-146-AM117</f>
        <v>-48</v>
      </c>
      <c r="AO117" s="333">
        <f>132-AN117-AM117</f>
        <v>278</v>
      </c>
      <c r="AP117" s="298">
        <f t="shared" si="210"/>
        <v>363</v>
      </c>
      <c r="AQ117" s="331">
        <v>495</v>
      </c>
      <c r="AR117" s="333">
        <v>120</v>
      </c>
      <c r="AS117" s="332">
        <f>85-AR117</f>
        <v>-35</v>
      </c>
      <c r="AT117" s="330">
        <f>283-AS117-AR117</f>
        <v>198</v>
      </c>
      <c r="AU117" s="330">
        <f t="shared" si="216"/>
        <v>38</v>
      </c>
      <c r="AV117" s="331">
        <v>321</v>
      </c>
      <c r="AW117" s="330">
        <v>-23</v>
      </c>
      <c r="AX117" s="330">
        <f>-189-AW117</f>
        <v>-166</v>
      </c>
      <c r="AY117" s="330">
        <f>-66-AX117-AW117</f>
        <v>123</v>
      </c>
      <c r="AZ117" s="330">
        <f t="shared" si="211"/>
        <v>-992</v>
      </c>
      <c r="BA117" s="331">
        <v>-1058</v>
      </c>
      <c r="BB117" s="298">
        <v>62</v>
      </c>
      <c r="BC117" s="298">
        <f>35-BB117</f>
        <v>-27</v>
      </c>
      <c r="BD117" s="298">
        <f>-8-BC117-BB117</f>
        <v>-43</v>
      </c>
      <c r="BE117" s="330">
        <f t="shared" si="212"/>
        <v>-11</v>
      </c>
      <c r="BF117" s="331">
        <v>-19</v>
      </c>
      <c r="BG117" s="330">
        <v>-19</v>
      </c>
      <c r="BH117" s="298">
        <f>42-BG117</f>
        <v>61</v>
      </c>
      <c r="BI117" s="298">
        <f>186-BH117-BG117</f>
        <v>144</v>
      </c>
      <c r="BJ117" s="330">
        <f t="shared" si="213"/>
        <v>-108</v>
      </c>
      <c r="BK117" s="331">
        <v>78</v>
      </c>
      <c r="BL117" s="330">
        <v>19</v>
      </c>
      <c r="BM117" s="298">
        <f>119-BL117</f>
        <v>100</v>
      </c>
      <c r="BN117" s="569">
        <f>285-BM117-BL117</f>
        <v>166</v>
      </c>
      <c r="BO117" s="330">
        <f t="shared" si="214"/>
        <v>167</v>
      </c>
      <c r="BP117" s="331">
        <v>452</v>
      </c>
      <c r="BQ117" s="330">
        <v>129</v>
      </c>
      <c r="BR117" s="569">
        <f>130-BQ117</f>
        <v>1</v>
      </c>
      <c r="BS117" s="569">
        <f>284-BR117-BQ117</f>
        <v>154</v>
      </c>
      <c r="BT117" s="298">
        <f t="shared" si="215"/>
        <v>335</v>
      </c>
      <c r="BU117" s="331">
        <v>619</v>
      </c>
      <c r="BV117" s="330">
        <f>+BV91-BU91</f>
        <v>16.209999999999582</v>
      </c>
      <c r="BW117" s="330">
        <f>+BW91-BV91</f>
        <v>16.291049999999814</v>
      </c>
      <c r="BX117" s="330">
        <f>+BX91-BW91</f>
        <v>16.372505249999449</v>
      </c>
      <c r="BY117" s="330">
        <f>+BY91-BX91</f>
        <v>16.454367776249455</v>
      </c>
      <c r="BZ117" s="331">
        <f>BV117+BW117+BX117+BY117</f>
        <v>65.3279230262483</v>
      </c>
      <c r="CA117" s="330">
        <f>+CA91-BZ91</f>
        <v>16.536639615130753</v>
      </c>
      <c r="CB117" s="330">
        <f>+CB91-CA91</f>
        <v>16.619322813206509</v>
      </c>
      <c r="CC117" s="330">
        <f>+CC91-CB91</f>
        <v>16.702419427272616</v>
      </c>
      <c r="CD117" s="330">
        <f>+CD91-CC91</f>
        <v>16.785931524409079</v>
      </c>
      <c r="CE117" s="331">
        <f>CA117+CB117+CC117+CD117</f>
        <v>66.644313380018957</v>
      </c>
      <c r="CF117" s="330">
        <f>+CF91-CE91</f>
        <v>16.869861182030945</v>
      </c>
      <c r="CG117" s="330">
        <f>+CG91-CF91</f>
        <v>16.954210487941054</v>
      </c>
      <c r="CH117" s="330">
        <f>+CH91-CG91</f>
        <v>17.038981540380973</v>
      </c>
      <c r="CI117" s="330">
        <f>+CI91-CH91</f>
        <v>17.124176448082835</v>
      </c>
      <c r="CJ117" s="331">
        <f>CF117+CG117+CH117+CI117</f>
        <v>67.987229658435808</v>
      </c>
      <c r="CK117" s="330">
        <f>+CK91-CJ91</f>
        <v>17.209797330322999</v>
      </c>
      <c r="CL117" s="330">
        <f>+CL91-CK91</f>
        <v>17.295846316974803</v>
      </c>
      <c r="CM117" s="330">
        <f>+CM91-CL91</f>
        <v>17.382325548559493</v>
      </c>
      <c r="CN117" s="330">
        <f>+CN91-CM91</f>
        <v>17.469237176302613</v>
      </c>
      <c r="CO117" s="331">
        <f>CK117+CL117+CM117+CN117</f>
        <v>69.357206372159908</v>
      </c>
      <c r="CP117" s="330">
        <f>+CP91-CO91</f>
        <v>17.556583362184028</v>
      </c>
      <c r="CQ117" s="330">
        <f>+CQ91-CP91</f>
        <v>17.644366278994767</v>
      </c>
      <c r="CR117" s="330">
        <f>+CR91-CQ91</f>
        <v>17.73258811038977</v>
      </c>
      <c r="CS117" s="330">
        <f>+CS91-CR91</f>
        <v>17.821251050941555</v>
      </c>
      <c r="CT117" s="331">
        <f>CP117+CQ117+CR117+CS117</f>
        <v>70.75478880251012</v>
      </c>
      <c r="CU117" s="313"/>
      <c r="CV117" s="357"/>
    </row>
    <row r="118" spans="1:100" x14ac:dyDescent="0.2">
      <c r="A118" s="313"/>
      <c r="B118" s="377" t="s">
        <v>12</v>
      </c>
      <c r="C118" s="377"/>
      <c r="D118" s="298">
        <v>-36</v>
      </c>
      <c r="E118" s="298">
        <v>-81</v>
      </c>
      <c r="F118" s="298">
        <v>-131</v>
      </c>
      <c r="G118" s="298">
        <v>-49</v>
      </c>
      <c r="H118" s="331">
        <v>-297</v>
      </c>
      <c r="I118" s="298">
        <v>-51</v>
      </c>
      <c r="J118" s="298">
        <v>-108</v>
      </c>
      <c r="K118" s="298">
        <v>-186</v>
      </c>
      <c r="L118" s="298">
        <v>-66</v>
      </c>
      <c r="M118" s="331">
        <v>-411</v>
      </c>
      <c r="N118" s="298">
        <v>-70</v>
      </c>
      <c r="O118" s="301">
        <v>-159</v>
      </c>
      <c r="P118" s="301">
        <f>-381-N118-O118</f>
        <v>-152</v>
      </c>
      <c r="Q118" s="301">
        <f t="shared" si="205"/>
        <v>-61</v>
      </c>
      <c r="R118" s="331">
        <v>-442</v>
      </c>
      <c r="S118" s="301">
        <v>-57</v>
      </c>
      <c r="T118" s="301">
        <v>-150</v>
      </c>
      <c r="U118" s="301">
        <v>-191</v>
      </c>
      <c r="V118" s="301">
        <f t="shared" si="206"/>
        <v>-43</v>
      </c>
      <c r="W118" s="331">
        <v>-441</v>
      </c>
      <c r="X118" s="332">
        <v>-52</v>
      </c>
      <c r="Y118" s="301">
        <f>-196-X118</f>
        <v>-144</v>
      </c>
      <c r="Z118" s="332">
        <f>-372-X118-Y118</f>
        <v>-176</v>
      </c>
      <c r="AA118" s="301">
        <f t="shared" si="207"/>
        <v>170</v>
      </c>
      <c r="AB118" s="331">
        <v>-202</v>
      </c>
      <c r="AC118" s="332">
        <v>-6</v>
      </c>
      <c r="AD118" s="301">
        <f>-101-AC118</f>
        <v>-95</v>
      </c>
      <c r="AE118" s="332">
        <f>-222-AC118-AD118</f>
        <v>-121</v>
      </c>
      <c r="AF118" s="301">
        <f t="shared" si="208"/>
        <v>-13</v>
      </c>
      <c r="AG118" s="331">
        <v>-235</v>
      </c>
      <c r="AH118" s="332">
        <v>46</v>
      </c>
      <c r="AI118" s="301">
        <f>42-AH118</f>
        <v>-4</v>
      </c>
      <c r="AJ118" s="330">
        <f>37-AH118-AI118</f>
        <v>-5</v>
      </c>
      <c r="AK118" s="301">
        <f t="shared" si="209"/>
        <v>5</v>
      </c>
      <c r="AL118" s="331">
        <v>42</v>
      </c>
      <c r="AM118" s="332">
        <v>0</v>
      </c>
      <c r="AN118" s="332">
        <v>0</v>
      </c>
      <c r="AO118" s="333">
        <v>0</v>
      </c>
      <c r="AP118" s="298">
        <f t="shared" si="210"/>
        <v>0</v>
      </c>
      <c r="AQ118" s="331">
        <v>0</v>
      </c>
      <c r="AR118" s="333">
        <v>0</v>
      </c>
      <c r="AS118" s="332">
        <v>0</v>
      </c>
      <c r="AT118" s="330">
        <v>0</v>
      </c>
      <c r="AU118" s="330">
        <f t="shared" si="216"/>
        <v>0</v>
      </c>
      <c r="AV118" s="331">
        <v>0</v>
      </c>
      <c r="AW118" s="330">
        <v>0</v>
      </c>
      <c r="AX118" s="330">
        <v>0</v>
      </c>
      <c r="AY118" s="330">
        <v>0</v>
      </c>
      <c r="AZ118" s="330">
        <f t="shared" si="211"/>
        <v>0</v>
      </c>
      <c r="BA118" s="331">
        <v>0</v>
      </c>
      <c r="BB118" s="298">
        <v>0</v>
      </c>
      <c r="BC118" s="298">
        <v>0</v>
      </c>
      <c r="BD118" s="298">
        <f>-BD32</f>
        <v>0</v>
      </c>
      <c r="BE118" s="330">
        <f t="shared" si="212"/>
        <v>0</v>
      </c>
      <c r="BF118" s="331">
        <v>0</v>
      </c>
      <c r="BG118" s="330">
        <v>0</v>
      </c>
      <c r="BH118" s="330">
        <v>0</v>
      </c>
      <c r="BI118" s="298">
        <f>-BI32</f>
        <v>0</v>
      </c>
      <c r="BJ118" s="330">
        <f t="shared" si="213"/>
        <v>0</v>
      </c>
      <c r="BK118" s="331">
        <v>0</v>
      </c>
      <c r="BL118" s="330">
        <f>-BL32</f>
        <v>0</v>
      </c>
      <c r="BM118" s="330">
        <v>0</v>
      </c>
      <c r="BN118" s="569">
        <v>0</v>
      </c>
      <c r="BO118" s="330">
        <f t="shared" si="214"/>
        <v>0</v>
      </c>
      <c r="BP118" s="331">
        <v>0</v>
      </c>
      <c r="BQ118" s="330">
        <v>0</v>
      </c>
      <c r="BR118" s="569">
        <v>0</v>
      </c>
      <c r="BS118" s="569">
        <v>0</v>
      </c>
      <c r="BT118" s="298">
        <f t="shared" si="215"/>
        <v>0</v>
      </c>
      <c r="BU118" s="331">
        <v>0</v>
      </c>
      <c r="BV118" s="330">
        <f>-BV32</f>
        <v>0</v>
      </c>
      <c r="BW118" s="330">
        <f>-BW32</f>
        <v>0</v>
      </c>
      <c r="BX118" s="330">
        <f>-BX32</f>
        <v>0</v>
      </c>
      <c r="BY118" s="330">
        <f>-BY32</f>
        <v>0</v>
      </c>
      <c r="BZ118" s="331">
        <f>+BV118+BW118+BX118+BY118</f>
        <v>0</v>
      </c>
      <c r="CA118" s="330">
        <f>-CA32</f>
        <v>0</v>
      </c>
      <c r="CB118" s="330">
        <f>-CB32</f>
        <v>0</v>
      </c>
      <c r="CC118" s="330">
        <f>-CC32</f>
        <v>0</v>
      </c>
      <c r="CD118" s="330">
        <f>-CD32</f>
        <v>0</v>
      </c>
      <c r="CE118" s="331">
        <f>+CA118+CB118+CC118+CD118</f>
        <v>0</v>
      </c>
      <c r="CF118" s="330">
        <f>-CF32</f>
        <v>0</v>
      </c>
      <c r="CG118" s="330">
        <f>-CG32</f>
        <v>0</v>
      </c>
      <c r="CH118" s="330">
        <f>-CH32</f>
        <v>0</v>
      </c>
      <c r="CI118" s="330">
        <f>-CI32</f>
        <v>0</v>
      </c>
      <c r="CJ118" s="331">
        <f>+CF118+CG118+CH118+CI118</f>
        <v>0</v>
      </c>
      <c r="CK118" s="330">
        <f>-CK32</f>
        <v>0</v>
      </c>
      <c r="CL118" s="330">
        <f>-CL32</f>
        <v>0</v>
      </c>
      <c r="CM118" s="330">
        <f>-CM32</f>
        <v>0</v>
      </c>
      <c r="CN118" s="330">
        <f>-CN32</f>
        <v>0</v>
      </c>
      <c r="CO118" s="331">
        <f>+CK118+CL118+CM118+CN118</f>
        <v>0</v>
      </c>
      <c r="CP118" s="330">
        <f>-CP32</f>
        <v>0</v>
      </c>
      <c r="CQ118" s="330">
        <f>-CQ32</f>
        <v>0</v>
      </c>
      <c r="CR118" s="330">
        <f>-CR32</f>
        <v>0</v>
      </c>
      <c r="CS118" s="330">
        <f>-CS32</f>
        <v>0</v>
      </c>
      <c r="CT118" s="331">
        <f>+CP118+CQ118+CR118+CS118</f>
        <v>0</v>
      </c>
      <c r="CU118" s="313"/>
      <c r="CV118" s="357"/>
    </row>
    <row r="119" spans="1:100" x14ac:dyDescent="0.2">
      <c r="A119" s="313"/>
      <c r="B119" s="377" t="s">
        <v>226</v>
      </c>
      <c r="C119" s="377"/>
      <c r="D119" s="298"/>
      <c r="E119" s="298"/>
      <c r="F119" s="298"/>
      <c r="G119" s="298"/>
      <c r="H119" s="331"/>
      <c r="I119" s="298"/>
      <c r="J119" s="298"/>
      <c r="K119" s="298"/>
      <c r="L119" s="298"/>
      <c r="M119" s="331"/>
      <c r="N119" s="298"/>
      <c r="O119" s="301"/>
      <c r="P119" s="301"/>
      <c r="Q119" s="301"/>
      <c r="R119" s="331"/>
      <c r="S119" s="301"/>
      <c r="T119" s="301"/>
      <c r="U119" s="301"/>
      <c r="V119" s="301"/>
      <c r="W119" s="331"/>
      <c r="X119" s="332">
        <v>-18</v>
      </c>
      <c r="Y119" s="332">
        <f>-24-X119</f>
        <v>-6</v>
      </c>
      <c r="Z119" s="332">
        <f>-24-X119-Y119</f>
        <v>0</v>
      </c>
      <c r="AA119" s="301">
        <f t="shared" si="207"/>
        <v>-156</v>
      </c>
      <c r="AB119" s="331">
        <v>-180</v>
      </c>
      <c r="AC119" s="332">
        <v>-124</v>
      </c>
      <c r="AD119" s="332">
        <f>-160-AC119</f>
        <v>-36</v>
      </c>
      <c r="AE119" s="332">
        <f>-183-AC119-AD119</f>
        <v>-23</v>
      </c>
      <c r="AF119" s="301">
        <f t="shared" si="208"/>
        <v>-13</v>
      </c>
      <c r="AG119" s="331">
        <v>-196</v>
      </c>
      <c r="AH119" s="332">
        <v>-26</v>
      </c>
      <c r="AI119" s="301">
        <f>-28-AH119</f>
        <v>-2</v>
      </c>
      <c r="AJ119" s="330">
        <f>-29-AH119-AI119</f>
        <v>-1</v>
      </c>
      <c r="AK119" s="301">
        <f t="shared" si="209"/>
        <v>-2</v>
      </c>
      <c r="AL119" s="331">
        <v>-31</v>
      </c>
      <c r="AM119" s="332">
        <v>-1</v>
      </c>
      <c r="AN119" s="332">
        <f>-1-AM119</f>
        <v>0</v>
      </c>
      <c r="AO119" s="333">
        <f>-1-AN119-AM119</f>
        <v>0</v>
      </c>
      <c r="AP119" s="298">
        <f t="shared" si="210"/>
        <v>0</v>
      </c>
      <c r="AQ119" s="331">
        <v>-1</v>
      </c>
      <c r="AR119" s="296">
        <v>0</v>
      </c>
      <c r="AS119" s="301">
        <v>0</v>
      </c>
      <c r="AT119" s="301">
        <v>0</v>
      </c>
      <c r="AU119" s="301">
        <f t="shared" si="216"/>
        <v>0</v>
      </c>
      <c r="AV119" s="331">
        <v>0</v>
      </c>
      <c r="AW119" s="301">
        <f>-30-1</f>
        <v>-31</v>
      </c>
      <c r="AX119" s="301">
        <f>-74-18-AW119</f>
        <v>-61</v>
      </c>
      <c r="AY119" s="301">
        <f>-100-26-AX119</f>
        <v>-65</v>
      </c>
      <c r="AZ119" s="301">
        <f t="shared" si="211"/>
        <v>-2</v>
      </c>
      <c r="BA119" s="331">
        <f>-133-26</f>
        <v>-159</v>
      </c>
      <c r="BB119" s="298">
        <f>-25+-47</f>
        <v>-72</v>
      </c>
      <c r="BC119" s="298">
        <f>+-112-BB119</f>
        <v>-40</v>
      </c>
      <c r="BD119" s="298">
        <f>-169-BC119-BB119</f>
        <v>-57</v>
      </c>
      <c r="BE119" s="301">
        <f t="shared" si="212"/>
        <v>-97</v>
      </c>
      <c r="BF119" s="331">
        <v>-266</v>
      </c>
      <c r="BG119" s="301">
        <v>-47</v>
      </c>
      <c r="BH119" s="298">
        <f>+-107-BG119</f>
        <v>-60</v>
      </c>
      <c r="BI119" s="298">
        <f>-149-BH119-BG119</f>
        <v>-42</v>
      </c>
      <c r="BJ119" s="301">
        <f t="shared" si="213"/>
        <v>-59</v>
      </c>
      <c r="BK119" s="331">
        <v>-208</v>
      </c>
      <c r="BL119" s="301">
        <v>-30</v>
      </c>
      <c r="BM119" s="298">
        <f>+-67-BL119</f>
        <v>-37</v>
      </c>
      <c r="BN119" s="569">
        <f>-90-BM119-BL119</f>
        <v>-23</v>
      </c>
      <c r="BO119" s="301">
        <f t="shared" si="214"/>
        <v>-35</v>
      </c>
      <c r="BP119" s="331">
        <v>-125</v>
      </c>
      <c r="BQ119" s="301">
        <v>-7</v>
      </c>
      <c r="BR119" s="569">
        <f>-25-BQ119</f>
        <v>-18</v>
      </c>
      <c r="BS119" s="569">
        <f>-83-BR119-BQ119</f>
        <v>-58</v>
      </c>
      <c r="BT119" s="298">
        <f t="shared" si="215"/>
        <v>-30</v>
      </c>
      <c r="BU119" s="331">
        <v>-113</v>
      </c>
      <c r="BV119" s="425">
        <v>-31.75</v>
      </c>
      <c r="BW119" s="425">
        <f>+BV119</f>
        <v>-31.75</v>
      </c>
      <c r="BX119" s="425">
        <f>+BW119</f>
        <v>-31.75</v>
      </c>
      <c r="BY119" s="425">
        <f>+BX119</f>
        <v>-31.75</v>
      </c>
      <c r="BZ119" s="331">
        <f>+BV119+BW119+BX119+BY119</f>
        <v>-127</v>
      </c>
      <c r="CA119" s="425">
        <f>+BV119*1.02</f>
        <v>-32.384999999999998</v>
      </c>
      <c r="CB119" s="425">
        <f>+BW119*1.02</f>
        <v>-32.384999999999998</v>
      </c>
      <c r="CC119" s="425">
        <f>+BX119*1.02</f>
        <v>-32.384999999999998</v>
      </c>
      <c r="CD119" s="425">
        <f>+BY119*1.02</f>
        <v>-32.384999999999998</v>
      </c>
      <c r="CE119" s="331">
        <f>+CA119+CB119+CC119+CD119</f>
        <v>-129.54</v>
      </c>
      <c r="CF119" s="425">
        <f>+CA119*1.02</f>
        <v>-33.032699999999998</v>
      </c>
      <c r="CG119" s="425">
        <f>+CB119*1.02</f>
        <v>-33.032699999999998</v>
      </c>
      <c r="CH119" s="425">
        <f>+CC119*1.02</f>
        <v>-33.032699999999998</v>
      </c>
      <c r="CI119" s="425">
        <f>+CD119*1.02</f>
        <v>-33.032699999999998</v>
      </c>
      <c r="CJ119" s="331">
        <f>+CF119+CG119+CH119+CI119</f>
        <v>-132.13079999999999</v>
      </c>
      <c r="CK119" s="425">
        <f>+CF119*1.02</f>
        <v>-33.693353999999999</v>
      </c>
      <c r="CL119" s="425">
        <f>+CG119*1.02</f>
        <v>-33.693353999999999</v>
      </c>
      <c r="CM119" s="425">
        <f>+CH119*1.02</f>
        <v>-33.693353999999999</v>
      </c>
      <c r="CN119" s="425">
        <f>+CI119*1.02</f>
        <v>-33.693353999999999</v>
      </c>
      <c r="CO119" s="331">
        <f>+CK119+CL119+CM119+CN119</f>
        <v>-134.773416</v>
      </c>
      <c r="CP119" s="425">
        <f>+CK119*1.02</f>
        <v>-34.36722108</v>
      </c>
      <c r="CQ119" s="425">
        <f>+CL119*1.02</f>
        <v>-34.36722108</v>
      </c>
      <c r="CR119" s="425">
        <f>+CM119*1.02</f>
        <v>-34.36722108</v>
      </c>
      <c r="CS119" s="425">
        <f>+CN119*1.02</f>
        <v>-34.36722108</v>
      </c>
      <c r="CT119" s="331">
        <f>+CP119+CQ119+CR119+CS119</f>
        <v>-137.46888432</v>
      </c>
      <c r="CU119" s="313"/>
      <c r="CV119" s="357"/>
    </row>
    <row r="120" spans="1:100" x14ac:dyDescent="0.2">
      <c r="A120" s="313"/>
      <c r="B120" s="377" t="s">
        <v>74</v>
      </c>
      <c r="C120" s="377"/>
      <c r="D120" s="330"/>
      <c r="E120" s="330"/>
      <c r="F120" s="330"/>
      <c r="G120" s="330"/>
      <c r="H120" s="331">
        <f>+H127-H111-SUM(H113:H118)-SUM(H122:H126)</f>
        <v>366.48499999999967</v>
      </c>
      <c r="I120" s="330"/>
      <c r="J120" s="330"/>
      <c r="K120" s="330"/>
      <c r="L120" s="330"/>
      <c r="M120" s="331">
        <f t="shared" ref="M120:R120" si="217">+M127-M111-SUM(M113:M118)-SUM(M122:M126)</f>
        <v>-249.56999999999971</v>
      </c>
      <c r="N120" s="330">
        <f t="shared" si="217"/>
        <v>47</v>
      </c>
      <c r="O120" s="332">
        <f t="shared" si="217"/>
        <v>-161</v>
      </c>
      <c r="P120" s="332">
        <f t="shared" si="217"/>
        <v>36</v>
      </c>
      <c r="Q120" s="301">
        <f t="shared" si="217"/>
        <v>585</v>
      </c>
      <c r="R120" s="366">
        <f t="shared" si="217"/>
        <v>507</v>
      </c>
      <c r="S120" s="332">
        <f t="shared" ref="S120:AY120" si="218">+S127-S111-SUM(S113:S119)-SUM(S122:S126)</f>
        <v>-189.02930000000015</v>
      </c>
      <c r="T120" s="332">
        <f t="shared" si="218"/>
        <v>-154</v>
      </c>
      <c r="U120" s="332">
        <f t="shared" si="218"/>
        <v>-27.970699999999852</v>
      </c>
      <c r="V120" s="301">
        <f t="shared" si="218"/>
        <v>105</v>
      </c>
      <c r="W120" s="366">
        <f t="shared" si="218"/>
        <v>-266</v>
      </c>
      <c r="X120" s="301">
        <f t="shared" si="218"/>
        <v>-104</v>
      </c>
      <c r="Y120" s="301">
        <f t="shared" si="218"/>
        <v>-84</v>
      </c>
      <c r="Z120" s="301">
        <f t="shared" si="218"/>
        <v>-143</v>
      </c>
      <c r="AA120" s="301">
        <f t="shared" si="218"/>
        <v>-345</v>
      </c>
      <c r="AB120" s="366">
        <f t="shared" si="218"/>
        <v>-676</v>
      </c>
      <c r="AC120" s="301">
        <f t="shared" si="218"/>
        <v>-24</v>
      </c>
      <c r="AD120" s="301">
        <f t="shared" si="218"/>
        <v>-10</v>
      </c>
      <c r="AE120" s="301">
        <f t="shared" si="218"/>
        <v>-146</v>
      </c>
      <c r="AF120" s="301">
        <f t="shared" si="218"/>
        <v>27</v>
      </c>
      <c r="AG120" s="366">
        <f t="shared" si="218"/>
        <v>-153</v>
      </c>
      <c r="AH120" s="301">
        <f t="shared" si="218"/>
        <v>-394</v>
      </c>
      <c r="AI120" s="301">
        <f t="shared" si="218"/>
        <v>-208</v>
      </c>
      <c r="AJ120" s="301">
        <f t="shared" si="218"/>
        <v>-99</v>
      </c>
      <c r="AK120" s="301">
        <f t="shared" si="218"/>
        <v>-145</v>
      </c>
      <c r="AL120" s="366">
        <f t="shared" si="218"/>
        <v>-846</v>
      </c>
      <c r="AM120" s="301">
        <f t="shared" si="218"/>
        <v>-219</v>
      </c>
      <c r="AN120" s="301">
        <f t="shared" si="218"/>
        <v>-297</v>
      </c>
      <c r="AO120" s="296">
        <f t="shared" si="218"/>
        <v>-219</v>
      </c>
      <c r="AP120" s="301">
        <f>+AO79-AP79+(AP92-AO92-AP133)</f>
        <v>-289</v>
      </c>
      <c r="AQ120" s="366">
        <f t="shared" si="218"/>
        <v>-1026</v>
      </c>
      <c r="AR120" s="296">
        <f t="shared" si="218"/>
        <v>-138</v>
      </c>
      <c r="AS120" s="301">
        <f t="shared" si="218"/>
        <v>-301</v>
      </c>
      <c r="AT120" s="301">
        <f t="shared" si="218"/>
        <v>-67</v>
      </c>
      <c r="AU120" s="301">
        <f t="shared" si="216"/>
        <v>-122</v>
      </c>
      <c r="AV120" s="366">
        <f t="shared" si="218"/>
        <v>-628</v>
      </c>
      <c r="AW120" s="301">
        <f>+AW127-AW111-SUM(AW113:AW119)-SUM(AW122:AW126)</f>
        <v>-79</v>
      </c>
      <c r="AX120" s="301">
        <f t="shared" si="218"/>
        <v>-296</v>
      </c>
      <c r="AY120" s="301">
        <f t="shared" si="218"/>
        <v>-10</v>
      </c>
      <c r="AZ120" s="301">
        <f>BA120-SUM(AW120:AY120)</f>
        <v>142</v>
      </c>
      <c r="BA120" s="366">
        <f>+BA127-BA111-SUM(BA113:BA119)-SUM(BA122:BA126)</f>
        <v>-243</v>
      </c>
      <c r="BB120" s="301">
        <f>+BB127-BB111-SUM(BB113:BB119)-SUM(BB122:BB126)</f>
        <v>-83</v>
      </c>
      <c r="BC120" s="301">
        <f>+BC127-BC111-SUM(BC113:BC119)-SUM(BC122:BC126)</f>
        <v>-84</v>
      </c>
      <c r="BD120" s="301">
        <f>+BD127-BD111-SUM(BD113:BD119)-SUM(BD122:BD126)</f>
        <v>-84</v>
      </c>
      <c r="BE120" s="301">
        <f>BF120-SUM(BB120:BD120)</f>
        <v>-117</v>
      </c>
      <c r="BF120" s="366">
        <f>+BF127-BF111-SUM(BF113:BF119)-SUM(BF122:BF126)</f>
        <v>-368</v>
      </c>
      <c r="BG120" s="301">
        <f>+BG127-BG111-SUM(BG113:BG119)-SUM(BG122:BG126)</f>
        <v>-2</v>
      </c>
      <c r="BH120" s="301">
        <f>+BH127-BH111-SUM(BH113:BH119)-SUM(BH122:BH126)</f>
        <v>-122</v>
      </c>
      <c r="BI120" s="301">
        <f>+BI127-BI111-SUM(BI113:BI119)-SUM(BI122:BI126)</f>
        <v>-107</v>
      </c>
      <c r="BJ120" s="301">
        <f>BK120-SUM(BG120:BI120)</f>
        <v>55</v>
      </c>
      <c r="BK120" s="366">
        <f>+BK127-BK111-SUM(BK113:BK119)-SUM(BK122:BK126)</f>
        <v>-176</v>
      </c>
      <c r="BL120" s="301">
        <f>+BL127-BL111-SUM(BL113:BL119)-SUM(BL122:BL126)</f>
        <v>-198</v>
      </c>
      <c r="BM120" s="301">
        <f>+BM127-BM111-SUM(BM113:BM119)-SUM(BM122:BM126)</f>
        <v>35</v>
      </c>
      <c r="BN120" s="572">
        <f>+BN127-BN111-SUM(BN113:BN119)-SUM(BN122:BN126)</f>
        <v>-67</v>
      </c>
      <c r="BO120" s="301">
        <f>BP120-SUM(BL120:BN120)</f>
        <v>-103</v>
      </c>
      <c r="BP120" s="366">
        <f>+BP127-BP111-SUM(BP113:BP119)-SUM(BP122:BP126)</f>
        <v>-333</v>
      </c>
      <c r="BQ120" s="301">
        <f>+BQ127-BQ111-SUM(BQ113:BQ119)-SUM(BQ122:BQ126)</f>
        <v>-35</v>
      </c>
      <c r="BR120" s="572">
        <f>+BR127-BR111-SUM(BR113:BR119)-SUM(BR122:BR126)</f>
        <v>-136</v>
      </c>
      <c r="BS120" s="572">
        <f>+BS127-BS111-SUM(BS113:BS119)-SUM(BS122:BS126)</f>
        <v>12</v>
      </c>
      <c r="BT120" s="298">
        <f t="shared" si="215"/>
        <v>-52</v>
      </c>
      <c r="BU120" s="366">
        <f>+BU127-BU111-SUM(BU113:BU119)-SUM(BU122:BU126)</f>
        <v>-211</v>
      </c>
      <c r="BV120" s="301">
        <f>+BU79-BV79+BV92-BU92</f>
        <v>11.164999999999992</v>
      </c>
      <c r="BW120" s="301">
        <f>+BV79-BW79+BW92-BV92</f>
        <v>10.150000000000006</v>
      </c>
      <c r="BX120" s="301">
        <f>+BW79-BX79+BX92-BW92</f>
        <v>12.180000000000007</v>
      </c>
      <c r="BY120" s="301">
        <f>+BX79-BY79+BY92-BX92</f>
        <v>15.224999999999994</v>
      </c>
      <c r="BZ120" s="366">
        <f>+BV120+BW120+BX120+BY120</f>
        <v>48.72</v>
      </c>
      <c r="CA120" s="301">
        <f>+BZ79-CA79+CA92-BZ92</f>
        <v>11.332474999999988</v>
      </c>
      <c r="CB120" s="301">
        <f>+CA79-CB79+CB92-CA92</f>
        <v>10.302249999999987</v>
      </c>
      <c r="CC120" s="301">
        <f>+CB79-CC79+CC92-CB92</f>
        <v>12.36269999999999</v>
      </c>
      <c r="CD120" s="301">
        <f>+CC79-CD79+CD92-CC92</f>
        <v>15.453374999999994</v>
      </c>
      <c r="CE120" s="366">
        <f>+CA120+CB120+CC120+CD120</f>
        <v>49.450799999999958</v>
      </c>
      <c r="CF120" s="301">
        <f>+CE79-CF79+CF92-CE92</f>
        <v>11.899098750000007</v>
      </c>
      <c r="CG120" s="301">
        <f>+CF79-CG79+CG92-CF92</f>
        <v>10.817362500000002</v>
      </c>
      <c r="CH120" s="301">
        <f>+CG79-CH79+CH92-CG92</f>
        <v>12.980834999999985</v>
      </c>
      <c r="CI120" s="301">
        <f>+CH79-CI79+CI92-CH92</f>
        <v>16.226043750000002</v>
      </c>
      <c r="CJ120" s="366">
        <f>+CF120+CG120+CH120+CI120</f>
        <v>51.923339999999996</v>
      </c>
      <c r="CK120" s="301">
        <f>+CJ79-CK79+CK92-CJ92</f>
        <v>12.494053687499985</v>
      </c>
      <c r="CL120" s="301">
        <f>+CK79-CL79+CL92-CK92</f>
        <v>11.358230624999976</v>
      </c>
      <c r="CM120" s="301">
        <f>+CL79-CM79+CM92-CL92</f>
        <v>13.629876749999994</v>
      </c>
      <c r="CN120" s="301">
        <f>+CM79-CN79+CN92-CM92</f>
        <v>17.037345937499992</v>
      </c>
      <c r="CO120" s="366">
        <f>+CK120+CL120+CM120+CN120</f>
        <v>54.519506999999948</v>
      </c>
      <c r="CP120" s="301">
        <f>+CO79-CP79+CP92-CO92</f>
        <v>13.118756371875008</v>
      </c>
      <c r="CQ120" s="301">
        <f>+CP79-CQ79+CQ92-CP92</f>
        <v>11.926142156250023</v>
      </c>
      <c r="CR120" s="301">
        <f>+CQ79-CR79+CR92-CQ92</f>
        <v>14.311370587499994</v>
      </c>
      <c r="CS120" s="301">
        <f>+CR79-CS79+CS92-CR92</f>
        <v>17.889213234375006</v>
      </c>
      <c r="CT120" s="366">
        <f>+CP120+CQ120+CR120+CS120</f>
        <v>57.245482350000032</v>
      </c>
      <c r="CU120" s="313"/>
      <c r="CV120" s="357"/>
    </row>
    <row r="121" spans="1:100" x14ac:dyDescent="0.2">
      <c r="A121" s="313" t="s">
        <v>119</v>
      </c>
      <c r="B121" s="377"/>
      <c r="C121" s="377"/>
      <c r="D121" s="330"/>
      <c r="E121" s="330"/>
      <c r="F121" s="330"/>
      <c r="G121" s="330"/>
      <c r="H121" s="331"/>
      <c r="I121" s="330"/>
      <c r="J121" s="330"/>
      <c r="K121" s="330"/>
      <c r="L121" s="330"/>
      <c r="M121" s="331"/>
      <c r="N121" s="330"/>
      <c r="O121" s="332"/>
      <c r="P121" s="332"/>
      <c r="Q121" s="332"/>
      <c r="R121" s="331"/>
      <c r="S121" s="301"/>
      <c r="T121" s="332"/>
      <c r="U121" s="332"/>
      <c r="V121" s="332"/>
      <c r="W121" s="331"/>
      <c r="X121" s="332"/>
      <c r="Y121" s="301"/>
      <c r="Z121" s="332"/>
      <c r="AA121" s="332"/>
      <c r="AB121" s="331"/>
      <c r="AC121" s="332"/>
      <c r="AD121" s="301"/>
      <c r="AE121" s="332"/>
      <c r="AF121" s="332"/>
      <c r="AG121" s="331"/>
      <c r="AH121" s="332"/>
      <c r="AI121" s="301"/>
      <c r="AJ121" s="330"/>
      <c r="AK121" s="330"/>
      <c r="AL121" s="331"/>
      <c r="AM121" s="332"/>
      <c r="AN121" s="330"/>
      <c r="AO121" s="333"/>
      <c r="AP121" s="298"/>
      <c r="AQ121" s="331"/>
      <c r="AR121" s="333"/>
      <c r="AS121" s="332"/>
      <c r="AT121" s="330"/>
      <c r="AU121" s="330"/>
      <c r="AV121" s="331"/>
      <c r="AW121" s="330"/>
      <c r="AX121" s="330"/>
      <c r="AY121" s="330"/>
      <c r="AZ121" s="330"/>
      <c r="BA121" s="331"/>
      <c r="BB121" s="330"/>
      <c r="BC121" s="298"/>
      <c r="BD121" s="330"/>
      <c r="BE121" s="330"/>
      <c r="BF121" s="331"/>
      <c r="BG121" s="330"/>
      <c r="BH121" s="330"/>
      <c r="BI121" s="330"/>
      <c r="BJ121" s="330"/>
      <c r="BK121" s="331"/>
      <c r="BL121" s="330"/>
      <c r="BM121" s="330"/>
      <c r="BN121" s="569"/>
      <c r="BO121" s="330"/>
      <c r="BP121" s="331"/>
      <c r="BQ121" s="330"/>
      <c r="BR121" s="569"/>
      <c r="BS121" s="569"/>
      <c r="BT121" s="330"/>
      <c r="BU121" s="331"/>
      <c r="BV121" s="330"/>
      <c r="BW121" s="330"/>
      <c r="BX121" s="330"/>
      <c r="BY121" s="330"/>
      <c r="BZ121" s="331"/>
      <c r="CA121" s="330"/>
      <c r="CB121" s="330"/>
      <c r="CC121" s="330"/>
      <c r="CD121" s="330"/>
      <c r="CE121" s="331"/>
      <c r="CF121" s="330"/>
      <c r="CG121" s="330"/>
      <c r="CH121" s="330"/>
      <c r="CI121" s="330"/>
      <c r="CJ121" s="331"/>
      <c r="CK121" s="330"/>
      <c r="CL121" s="330"/>
      <c r="CM121" s="330"/>
      <c r="CN121" s="330"/>
      <c r="CO121" s="331"/>
      <c r="CP121" s="330"/>
      <c r="CQ121" s="330"/>
      <c r="CR121" s="330"/>
      <c r="CS121" s="330"/>
      <c r="CT121" s="331"/>
      <c r="CU121" s="313"/>
      <c r="CV121" s="357"/>
    </row>
    <row r="122" spans="1:100" x14ac:dyDescent="0.2">
      <c r="A122" s="313"/>
      <c r="B122" s="377" t="s">
        <v>120</v>
      </c>
      <c r="C122" s="377"/>
      <c r="D122" s="332"/>
      <c r="E122" s="301"/>
      <c r="F122" s="332"/>
      <c r="G122" s="332"/>
      <c r="H122" s="331">
        <v>-130</v>
      </c>
      <c r="I122" s="332"/>
      <c r="J122" s="332"/>
      <c r="K122" s="332"/>
      <c r="L122" s="332"/>
      <c r="M122" s="331">
        <v>-272</v>
      </c>
      <c r="N122" s="332">
        <f>-347</f>
        <v>-347</v>
      </c>
      <c r="O122" s="332">
        <f>-753-N122</f>
        <v>-406</v>
      </c>
      <c r="P122" s="332">
        <f>-785-O122-N122</f>
        <v>-32</v>
      </c>
      <c r="Q122" s="332">
        <f t="shared" ref="Q122:Q127" si="219">+R122-N122-O122-P122</f>
        <v>455</v>
      </c>
      <c r="R122" s="331">
        <v>-330</v>
      </c>
      <c r="S122" s="301">
        <v>-377</v>
      </c>
      <c r="T122" s="332">
        <f>-852-S122</f>
        <v>-475</v>
      </c>
      <c r="U122" s="332">
        <f>-844-S122-T122</f>
        <v>8</v>
      </c>
      <c r="V122" s="332">
        <f t="shared" ref="V122:V127" si="220">+W122-S122-T122-U122</f>
        <v>439</v>
      </c>
      <c r="W122" s="331">
        <v>-405</v>
      </c>
      <c r="X122" s="332">
        <v>-353</v>
      </c>
      <c r="Y122" s="301">
        <f>-1102-X122</f>
        <v>-749</v>
      </c>
      <c r="Z122" s="332">
        <f>-1166-X122-Y122</f>
        <v>-64</v>
      </c>
      <c r="AA122" s="332">
        <f t="shared" ref="AA122:AA127" si="221">+AB122-X122-Y122-Z122</f>
        <v>617</v>
      </c>
      <c r="AB122" s="331">
        <v>-549</v>
      </c>
      <c r="AC122" s="332">
        <v>-114</v>
      </c>
      <c r="AD122" s="301">
        <f>-489-AC122</f>
        <v>-375</v>
      </c>
      <c r="AE122" s="332">
        <f>-459-AC122-AD122</f>
        <v>30</v>
      </c>
      <c r="AF122" s="332">
        <f t="shared" ref="AF122:AF127" si="222">+AG122-AC122-AD122-AE122</f>
        <v>647</v>
      </c>
      <c r="AG122" s="331">
        <v>188</v>
      </c>
      <c r="AH122" s="332">
        <v>-155</v>
      </c>
      <c r="AI122" s="301">
        <f>-994-AH122</f>
        <v>-839</v>
      </c>
      <c r="AJ122" s="330">
        <f>-1287-AH122-AI122</f>
        <v>-293</v>
      </c>
      <c r="AK122" s="332">
        <f t="shared" ref="AK122:AK127" si="223">+AL122-AH122-AI122-AJ122</f>
        <v>1019</v>
      </c>
      <c r="AL122" s="331">
        <v>-268</v>
      </c>
      <c r="AM122" s="332">
        <v>-271</v>
      </c>
      <c r="AN122" s="330">
        <f>-1491-AM122</f>
        <v>-1220</v>
      </c>
      <c r="AO122" s="333">
        <f>-1643-AN122-AM122</f>
        <v>-152</v>
      </c>
      <c r="AP122" s="298">
        <f t="shared" ref="AP122:AP127" si="224">+AQ122-AM122-AN122-AO122</f>
        <v>977</v>
      </c>
      <c r="AQ122" s="331">
        <v>-666</v>
      </c>
      <c r="AR122" s="333">
        <v>-71</v>
      </c>
      <c r="AS122" s="332">
        <f>-1084-AR122</f>
        <v>-1013</v>
      </c>
      <c r="AT122" s="330">
        <f>-1300-AS122-AR122</f>
        <v>-216</v>
      </c>
      <c r="AU122" s="330">
        <f>AV122-SUM(AR122:AT122)</f>
        <v>1050</v>
      </c>
      <c r="AV122" s="331">
        <v>-250</v>
      </c>
      <c r="AW122" s="330">
        <v>-175</v>
      </c>
      <c r="AX122" s="330">
        <f>-1088-AW122</f>
        <v>-913</v>
      </c>
      <c r="AY122" s="330">
        <f>-1262-AX122-AW122</f>
        <v>-174</v>
      </c>
      <c r="AZ122" s="330">
        <f>BA122-SUM(AW122:AY122)</f>
        <v>1174</v>
      </c>
      <c r="BA122" s="331">
        <v>-88</v>
      </c>
      <c r="BB122" s="330">
        <v>-358</v>
      </c>
      <c r="BC122" s="298">
        <f>+-1554-BB122</f>
        <v>-1196</v>
      </c>
      <c r="BD122" s="330">
        <f>+-1582-BC122-BB122</f>
        <v>-28</v>
      </c>
      <c r="BE122" s="330">
        <f>BF122-SUM(BB122:BD122)</f>
        <v>1239</v>
      </c>
      <c r="BF122" s="331">
        <v>-343</v>
      </c>
      <c r="BG122" s="330">
        <v>-435</v>
      </c>
      <c r="BH122" s="298">
        <f>+-1309-BG122</f>
        <v>-874</v>
      </c>
      <c r="BI122" s="330">
        <f>+-1553-BH122-BG122</f>
        <v>-244</v>
      </c>
      <c r="BJ122" s="330">
        <f>BK122-SUM(BG122:BI122)</f>
        <v>1092</v>
      </c>
      <c r="BK122" s="331">
        <v>-461</v>
      </c>
      <c r="BL122" s="330">
        <v>-349</v>
      </c>
      <c r="BM122" s="298">
        <f>+-1049-BL122</f>
        <v>-700</v>
      </c>
      <c r="BN122" s="569">
        <f>-1301-BM122-BL122</f>
        <v>-252</v>
      </c>
      <c r="BO122" s="330">
        <f>BP122-SUM(BL122:BN122)</f>
        <v>952</v>
      </c>
      <c r="BP122" s="331">
        <v>-349</v>
      </c>
      <c r="BQ122" s="330">
        <v>-128</v>
      </c>
      <c r="BR122" s="569">
        <f>+-733-BQ122</f>
        <v>-605</v>
      </c>
      <c r="BS122" s="569">
        <f>-999-BR122-BQ122</f>
        <v>-266</v>
      </c>
      <c r="BT122" s="298">
        <f t="shared" si="215"/>
        <v>797</v>
      </c>
      <c r="BU122" s="331">
        <v>-202</v>
      </c>
      <c r="BV122" s="330">
        <f>-(BV69-BU69)</f>
        <v>-80.119750956305325</v>
      </c>
      <c r="BW122" s="330">
        <f>-(BW69-BV69)</f>
        <v>-703.11401168898919</v>
      </c>
      <c r="BX122" s="330">
        <f>-(BX69-BW69)</f>
        <v>-398.94275378717884</v>
      </c>
      <c r="BY122" s="330">
        <f>-(BY69-BX69)</f>
        <v>1076.3484386627943</v>
      </c>
      <c r="BZ122" s="331">
        <f>BV122+BW122+BX122+BY122</f>
        <v>-105.82807776967911</v>
      </c>
      <c r="CA122" s="330">
        <f>-(CA69-BZ69)</f>
        <v>-180.25936299094519</v>
      </c>
      <c r="CB122" s="330">
        <f>-(CB69-CA69)</f>
        <v>-738.95365068839783</v>
      </c>
      <c r="CC122" s="330">
        <f>-(CC69-CB69)</f>
        <v>-404.77997862975826</v>
      </c>
      <c r="CD122" s="330">
        <f>-(CD69-CC69)</f>
        <v>1100.7295447252973</v>
      </c>
      <c r="CE122" s="331">
        <f>CA122+CB122+CC122+CD122</f>
        <v>-223.26344758380401</v>
      </c>
      <c r="CF122" s="330">
        <f>-(CF69-CE69)</f>
        <v>-166.27682630785148</v>
      </c>
      <c r="CG122" s="330">
        <f>-(CG69-CF69)</f>
        <v>-772.29142641415638</v>
      </c>
      <c r="CH122" s="330">
        <f>-(CH69-CG69)</f>
        <v>-411.37455380885876</v>
      </c>
      <c r="CI122" s="330">
        <f>-(CI69-CH69)</f>
        <v>1125.0949395603293</v>
      </c>
      <c r="CJ122" s="331">
        <f>CF122+CG122+CH122+CI122</f>
        <v>-224.84786697053732</v>
      </c>
      <c r="CK122" s="330">
        <f>-(CK69-CJ69)</f>
        <v>-158.43448850374898</v>
      </c>
      <c r="CL122" s="330">
        <f>-(CL69-CK69)</f>
        <v>-807.36839160325599</v>
      </c>
      <c r="CM122" s="330">
        <f>-(CM69-CL69)</f>
        <v>-418.28034163767916</v>
      </c>
      <c r="CN122" s="330">
        <f>-(CN69-CM69)</f>
        <v>1150.4315065871133</v>
      </c>
      <c r="CO122" s="331">
        <f>CK122+CL122+CM122+CN122</f>
        <v>-233.65171515757083</v>
      </c>
      <c r="CP122" s="330">
        <f>-(CP69-CO69)</f>
        <v>-149.83105765016171</v>
      </c>
      <c r="CQ122" s="330">
        <f>-(CQ69-CP69)</f>
        <v>-844.26964968994616</v>
      </c>
      <c r="CR122" s="330">
        <f>-(CR69-CQ69)</f>
        <v>-425.50634324306338</v>
      </c>
      <c r="CS122" s="330">
        <f>-(CS69-CR69)</f>
        <v>1176.7771384072839</v>
      </c>
      <c r="CT122" s="331">
        <f>CP122+CQ122+CR122+CS122</f>
        <v>-242.82991217588733</v>
      </c>
      <c r="CU122" s="313"/>
      <c r="CV122" s="357"/>
    </row>
    <row r="123" spans="1:100" x14ac:dyDescent="0.2">
      <c r="A123" s="313"/>
      <c r="B123" s="377" t="s">
        <v>121</v>
      </c>
      <c r="C123" s="377"/>
      <c r="D123" s="332"/>
      <c r="E123" s="301"/>
      <c r="F123" s="332"/>
      <c r="G123" s="332"/>
      <c r="H123" s="331">
        <v>-100</v>
      </c>
      <c r="I123" s="332"/>
      <c r="J123" s="332"/>
      <c r="K123" s="332"/>
      <c r="L123" s="332"/>
      <c r="M123" s="331">
        <v>-132</v>
      </c>
      <c r="N123" s="332">
        <f>-179</f>
        <v>-179</v>
      </c>
      <c r="O123" s="332">
        <f>-396-N123</f>
        <v>-217</v>
      </c>
      <c r="P123" s="332">
        <f>-246-O123-N123</f>
        <v>150</v>
      </c>
      <c r="Q123" s="332">
        <f t="shared" si="219"/>
        <v>60</v>
      </c>
      <c r="R123" s="331">
        <v>-186</v>
      </c>
      <c r="S123" s="301">
        <v>-134</v>
      </c>
      <c r="T123" s="332">
        <f>-526-S123</f>
        <v>-392</v>
      </c>
      <c r="U123" s="332">
        <f>-244-S123-T123</f>
        <v>282</v>
      </c>
      <c r="V123" s="332">
        <f t="shared" si="220"/>
        <v>40</v>
      </c>
      <c r="W123" s="331">
        <v>-204</v>
      </c>
      <c r="X123" s="332">
        <v>-175</v>
      </c>
      <c r="Y123" s="301">
        <f>-602-X123</f>
        <v>-427</v>
      </c>
      <c r="Z123" s="332">
        <f>-362-X123-Y123</f>
        <v>240</v>
      </c>
      <c r="AA123" s="332">
        <f t="shared" si="221"/>
        <v>17</v>
      </c>
      <c r="AB123" s="331">
        <v>-345</v>
      </c>
      <c r="AC123" s="332">
        <v>-139</v>
      </c>
      <c r="AD123" s="301">
        <f>-384-AC123</f>
        <v>-245</v>
      </c>
      <c r="AE123" s="332">
        <f>-128-AC123-AD123</f>
        <v>256</v>
      </c>
      <c r="AF123" s="332">
        <f t="shared" si="222"/>
        <v>145</v>
      </c>
      <c r="AG123" s="331">
        <v>17</v>
      </c>
      <c r="AH123" s="332">
        <v>309</v>
      </c>
      <c r="AI123" s="301">
        <f>40-AH123</f>
        <v>-269</v>
      </c>
      <c r="AJ123" s="330">
        <f>224-AH123-AI123</f>
        <v>184</v>
      </c>
      <c r="AK123" s="332">
        <f t="shared" si="223"/>
        <v>52</v>
      </c>
      <c r="AL123" s="331">
        <v>276</v>
      </c>
      <c r="AM123" s="332">
        <v>-77</v>
      </c>
      <c r="AN123" s="330">
        <f>-742-AM123</f>
        <v>-665</v>
      </c>
      <c r="AO123" s="333">
        <f>-466-AN123-AM123</f>
        <v>276</v>
      </c>
      <c r="AP123" s="298">
        <f t="shared" si="224"/>
        <v>135</v>
      </c>
      <c r="AQ123" s="331">
        <v>-331</v>
      </c>
      <c r="AR123" s="333">
        <v>-266</v>
      </c>
      <c r="AS123" s="332">
        <f>-643-AR123</f>
        <v>-377</v>
      </c>
      <c r="AT123" s="330">
        <f>-234-AS123-AR123</f>
        <v>409</v>
      </c>
      <c r="AU123" s="330">
        <f>AV123-SUM(AR123:AT123)</f>
        <v>378</v>
      </c>
      <c r="AV123" s="331">
        <v>144</v>
      </c>
      <c r="AW123" s="330">
        <v>-351</v>
      </c>
      <c r="AX123" s="330">
        <f>-659-AW123</f>
        <v>-308</v>
      </c>
      <c r="AY123" s="330">
        <f>-337-AX123-AW123</f>
        <v>322</v>
      </c>
      <c r="AZ123" s="330">
        <f>BA123-SUM(AW123:AY123)</f>
        <v>341</v>
      </c>
      <c r="BA123" s="331">
        <v>4</v>
      </c>
      <c r="BB123" s="330">
        <v>-406</v>
      </c>
      <c r="BC123" s="298">
        <f>-822-BB123</f>
        <v>-416</v>
      </c>
      <c r="BD123" s="330">
        <f>-481-BC123-BB123</f>
        <v>341</v>
      </c>
      <c r="BE123" s="330">
        <f>BF123-SUM(BB123:BD123)</f>
        <v>370</v>
      </c>
      <c r="BF123" s="331">
        <v>-111</v>
      </c>
      <c r="BG123" s="330">
        <v>-414</v>
      </c>
      <c r="BH123" s="298">
        <f>-862-BG123</f>
        <v>-448</v>
      </c>
      <c r="BI123" s="330">
        <f>-574-BH123-BG123</f>
        <v>288</v>
      </c>
      <c r="BJ123" s="330">
        <f>BK123-SUM(BG123:BI123)</f>
        <v>463</v>
      </c>
      <c r="BK123" s="331">
        <v>-111</v>
      </c>
      <c r="BL123" s="330">
        <v>-530</v>
      </c>
      <c r="BM123" s="298">
        <f>-755-BL123</f>
        <v>-225</v>
      </c>
      <c r="BN123" s="569">
        <f>-381-BM123-BL123</f>
        <v>374</v>
      </c>
      <c r="BO123" s="330">
        <f>BP123-SUM(BL123:BN123)</f>
        <v>306</v>
      </c>
      <c r="BP123" s="331">
        <v>-75</v>
      </c>
      <c r="BQ123" s="330">
        <v>-513</v>
      </c>
      <c r="BR123" s="569">
        <f>-826-BQ123</f>
        <v>-313</v>
      </c>
      <c r="BS123" s="569">
        <f>-424-BR123-BQ123</f>
        <v>402</v>
      </c>
      <c r="BT123" s="298">
        <f t="shared" si="215"/>
        <v>256</v>
      </c>
      <c r="BU123" s="331">
        <v>-168</v>
      </c>
      <c r="BV123" s="330">
        <f>BU70-BV70</f>
        <v>-611.72391695102397</v>
      </c>
      <c r="BW123" s="330">
        <f>BV70-BW70</f>
        <v>-351.59292624598311</v>
      </c>
      <c r="BX123" s="330">
        <f>BW70-BX70</f>
        <v>409.91436805259355</v>
      </c>
      <c r="BY123" s="330">
        <f>BX70-BY70</f>
        <v>278.60541442111526</v>
      </c>
      <c r="BZ123" s="331">
        <f>BV123+BW123+BX123+BY123</f>
        <v>-274.79706072329827</v>
      </c>
      <c r="CA123" s="330">
        <f>BZ70-CA70</f>
        <v>-423.67492782183808</v>
      </c>
      <c r="CB123" s="330">
        <f>CA70-CB70</f>
        <v>-368.09070789574525</v>
      </c>
      <c r="CC123" s="330">
        <f>CB70-CC70</f>
        <v>423.51227049126601</v>
      </c>
      <c r="CD123" s="330">
        <f>CC70-CD70</f>
        <v>281.86793735966785</v>
      </c>
      <c r="CE123" s="331">
        <f>CA123+CB123+CC123+CD123</f>
        <v>-86.385427866649479</v>
      </c>
      <c r="CF123" s="330">
        <f>CE70-CF70</f>
        <v>-424.75659755023253</v>
      </c>
      <c r="CG123" s="330">
        <f>CF70-CG70</f>
        <v>-383.19882562860994</v>
      </c>
      <c r="CH123" s="330">
        <f>CG70-CH70</f>
        <v>436.71293989840524</v>
      </c>
      <c r="CI123" s="330">
        <f>CH70-CI70</f>
        <v>285.01615805755227</v>
      </c>
      <c r="CJ123" s="331">
        <f>CF123+CG123+CH123+CI123</f>
        <v>-86.226325222884952</v>
      </c>
      <c r="CK123" s="330">
        <f>CJ70-CK70</f>
        <v>-433.22090955640988</v>
      </c>
      <c r="CL123" s="330">
        <f>CK70-CL70</f>
        <v>-399.42423522658419</v>
      </c>
      <c r="CM123" s="330">
        <f>CL70-CM70</f>
        <v>450.84593698484377</v>
      </c>
      <c r="CN123" s="330">
        <f>CM70-CN70</f>
        <v>288.70615729312567</v>
      </c>
      <c r="CO123" s="331">
        <f>CK123+CL123+CM123+CN123</f>
        <v>-93.093050505024621</v>
      </c>
      <c r="CP123" s="330">
        <f>CO70-CP70</f>
        <v>-438.05259343471153</v>
      </c>
      <c r="CQ123" s="330">
        <f>CP70-CQ70</f>
        <v>-416.44161952670402</v>
      </c>
      <c r="CR123" s="330">
        <f>CQ70-CR70</f>
        <v>465.46162250347334</v>
      </c>
      <c r="CS123" s="330">
        <f>CR70-CS70</f>
        <v>292.54771454724823</v>
      </c>
      <c r="CT123" s="331">
        <f>CP123+CQ123+CR123+CS123</f>
        <v>-96.484875910693972</v>
      </c>
      <c r="CU123" s="313"/>
      <c r="CV123" s="313"/>
    </row>
    <row r="124" spans="1:100" x14ac:dyDescent="0.2">
      <c r="A124" s="313"/>
      <c r="B124" s="377" t="s">
        <v>122</v>
      </c>
      <c r="C124" s="377"/>
      <c r="D124" s="332"/>
      <c r="E124" s="301"/>
      <c r="F124" s="332"/>
      <c r="G124" s="332"/>
      <c r="H124" s="331">
        <v>-31</v>
      </c>
      <c r="I124" s="332"/>
      <c r="J124" s="332"/>
      <c r="K124" s="332"/>
      <c r="L124" s="332"/>
      <c r="M124" s="331">
        <v>-56</v>
      </c>
      <c r="N124" s="332">
        <f>-39</f>
        <v>-39</v>
      </c>
      <c r="O124" s="332">
        <f>-29-N124</f>
        <v>10</v>
      </c>
      <c r="P124" s="332">
        <f>2-O124-N124</f>
        <v>31</v>
      </c>
      <c r="Q124" s="332">
        <f t="shared" si="219"/>
        <v>-39</v>
      </c>
      <c r="R124" s="331">
        <v>-37</v>
      </c>
      <c r="S124" s="301">
        <v>-75</v>
      </c>
      <c r="T124" s="332">
        <f>-69-S124</f>
        <v>6</v>
      </c>
      <c r="U124" s="332">
        <f>51-S124-T124</f>
        <v>120</v>
      </c>
      <c r="V124" s="332">
        <f t="shared" si="220"/>
        <v>-67</v>
      </c>
      <c r="W124" s="331">
        <v>-16</v>
      </c>
      <c r="X124" s="332">
        <v>-335</v>
      </c>
      <c r="Y124" s="301">
        <f>-219-X124</f>
        <v>116</v>
      </c>
      <c r="Z124" s="332">
        <f>-49-X124-Y124</f>
        <v>170</v>
      </c>
      <c r="AA124" s="332">
        <f t="shared" si="221"/>
        <v>-19</v>
      </c>
      <c r="AB124" s="331">
        <v>-68</v>
      </c>
      <c r="AC124" s="332">
        <v>-203</v>
      </c>
      <c r="AD124" s="301">
        <f>-124-AC124</f>
        <v>79</v>
      </c>
      <c r="AE124" s="332">
        <f>17-AC124-AD124</f>
        <v>141</v>
      </c>
      <c r="AF124" s="332">
        <f t="shared" si="222"/>
        <v>-144</v>
      </c>
      <c r="AG124" s="331">
        <v>-127</v>
      </c>
      <c r="AH124" s="332">
        <v>-98</v>
      </c>
      <c r="AI124" s="301">
        <f>-139-AH124</f>
        <v>-41</v>
      </c>
      <c r="AJ124" s="330">
        <f>-14-AH124-AI124</f>
        <v>125</v>
      </c>
      <c r="AK124" s="332">
        <f t="shared" si="223"/>
        <v>158</v>
      </c>
      <c r="AL124" s="331">
        <v>144</v>
      </c>
      <c r="AM124" s="332">
        <v>-137</v>
      </c>
      <c r="AN124" s="330">
        <f>-144-AM124</f>
        <v>-7</v>
      </c>
      <c r="AO124" s="333">
        <f>-54-AN124-AM124</f>
        <v>90</v>
      </c>
      <c r="AP124" s="298">
        <f t="shared" si="224"/>
        <v>27</v>
      </c>
      <c r="AQ124" s="331">
        <v>-27</v>
      </c>
      <c r="AR124" s="333">
        <v>-197</v>
      </c>
      <c r="AS124" s="332">
        <f>-196-AR124</f>
        <v>1</v>
      </c>
      <c r="AT124" s="330">
        <f>-83-AS124-AR124</f>
        <v>113</v>
      </c>
      <c r="AU124" s="330">
        <f>AV124-SUM(AR124:AT124)</f>
        <v>172</v>
      </c>
      <c r="AV124" s="331">
        <v>89</v>
      </c>
      <c r="AW124" s="330">
        <v>-201</v>
      </c>
      <c r="AX124" s="330">
        <f>-241-AW124</f>
        <v>-40</v>
      </c>
      <c r="AY124" s="330">
        <f>-156-AX124-AW124</f>
        <v>85</v>
      </c>
      <c r="AZ124" s="330">
        <f>BA124-SUM(AW124:AY124)</f>
        <v>105</v>
      </c>
      <c r="BA124" s="331">
        <v>-51</v>
      </c>
      <c r="BB124" s="330">
        <v>-234</v>
      </c>
      <c r="BC124" s="298">
        <f>-152-BB124</f>
        <v>82</v>
      </c>
      <c r="BD124" s="330">
        <f>-18-BC124-BB124</f>
        <v>134</v>
      </c>
      <c r="BE124" s="330">
        <f>BF124-SUM(BB124:BD124)</f>
        <v>98</v>
      </c>
      <c r="BF124" s="331">
        <v>80</v>
      </c>
      <c r="BG124" s="330">
        <v>-262</v>
      </c>
      <c r="BH124" s="298">
        <f>-264-BG124</f>
        <v>-2</v>
      </c>
      <c r="BI124" s="330">
        <f>-157-BH124-BG124</f>
        <v>107</v>
      </c>
      <c r="BJ124" s="330">
        <f>BK124-SUM(BG124:BI124)</f>
        <v>107</v>
      </c>
      <c r="BK124" s="331">
        <v>-50</v>
      </c>
      <c r="BL124" s="330">
        <v>-255</v>
      </c>
      <c r="BM124" s="298">
        <f>-202-BL124</f>
        <v>53</v>
      </c>
      <c r="BN124" s="569">
        <f>-141-BM124-BL124</f>
        <v>61</v>
      </c>
      <c r="BO124" s="330">
        <f>BP124-SUM(BL124:BN124)</f>
        <v>151</v>
      </c>
      <c r="BP124" s="331">
        <v>10</v>
      </c>
      <c r="BQ124" s="330">
        <v>-299</v>
      </c>
      <c r="BR124" s="569">
        <f>-250-BQ124</f>
        <v>49</v>
      </c>
      <c r="BS124" s="569">
        <f>-119-BR124-BQ124</f>
        <v>131</v>
      </c>
      <c r="BT124" s="298">
        <f t="shared" si="215"/>
        <v>139</v>
      </c>
      <c r="BU124" s="331">
        <v>20</v>
      </c>
      <c r="BV124" s="330">
        <f>+BU71-BV71</f>
        <v>476.43991483119885</v>
      </c>
      <c r="BW124" s="330">
        <f>+BV71-BW71</f>
        <v>103.87678932522965</v>
      </c>
      <c r="BX124" s="330">
        <f>+BW71-BX71</f>
        <v>194.05619692369351</v>
      </c>
      <c r="BY124" s="330">
        <f>+BX71-BY71</f>
        <v>-833.35951224014605</v>
      </c>
      <c r="BZ124" s="331">
        <f>BV124+BW124+BX124+BY124</f>
        <v>-58.98661116002404</v>
      </c>
      <c r="CA124" s="330">
        <f>+BZ71-CA71</f>
        <v>504.41707970205039</v>
      </c>
      <c r="CB124" s="330">
        <f>+CA71-CB71</f>
        <v>104.97688419270287</v>
      </c>
      <c r="CC124" s="330">
        <f>+CB71-CC71</f>
        <v>200.6795212765428</v>
      </c>
      <c r="CD124" s="330">
        <f>+CC71-CD71</f>
        <v>-860.33203842459227</v>
      </c>
      <c r="CE124" s="331">
        <f>CA124+CB124+CC124+CD124</f>
        <v>-50.258553253296213</v>
      </c>
      <c r="CF124" s="330">
        <f>+CE71-CF71</f>
        <v>523.16736497365378</v>
      </c>
      <c r="CG124" s="330">
        <f>+CF71-CG71</f>
        <v>106.47544322271915</v>
      </c>
      <c r="CH124" s="330">
        <f>+CG71-CH71</f>
        <v>207.25569746977578</v>
      </c>
      <c r="CI124" s="330">
        <f>+CH71-CI71</f>
        <v>-887.51372557036973</v>
      </c>
      <c r="CJ124" s="331">
        <f>CF124+CG124+CH124+CI124</f>
        <v>-50.615219904221021</v>
      </c>
      <c r="CK124" s="330">
        <f>+CJ71-CK71</f>
        <v>541.11133771511277</v>
      </c>
      <c r="CL124" s="330">
        <f>+CK71-CL71</f>
        <v>107.96639511387662</v>
      </c>
      <c r="CM124" s="330">
        <f>+CL71-CM71</f>
        <v>214.08331443425607</v>
      </c>
      <c r="CN124" s="330">
        <f>+CM71-CN71</f>
        <v>-915.75809033525536</v>
      </c>
      <c r="CO124" s="331">
        <f>CK124+CL124+CM124+CN124</f>
        <v>-52.59704307200991</v>
      </c>
      <c r="CP124" s="330">
        <f>+CO71-CP71</f>
        <v>559.82625737628655</v>
      </c>
      <c r="CQ124" s="330">
        <f>+CP71-CQ71</f>
        <v>109.44775980132704</v>
      </c>
      <c r="CR124" s="330">
        <f>+CQ71-CR71</f>
        <v>221.1734862237704</v>
      </c>
      <c r="CS124" s="330">
        <f>+CR71-CS71</f>
        <v>-945.11063883471115</v>
      </c>
      <c r="CT124" s="331">
        <f>CP124+CQ124+CR124+CS124</f>
        <v>-54.66313543332717</v>
      </c>
      <c r="CU124" s="313"/>
      <c r="CV124" s="313"/>
    </row>
    <row r="125" spans="1:100" x14ac:dyDescent="0.2">
      <c r="A125" s="313"/>
      <c r="B125" s="377" t="s">
        <v>99</v>
      </c>
      <c r="C125" s="377"/>
      <c r="D125" s="332"/>
      <c r="E125" s="301"/>
      <c r="F125" s="332"/>
      <c r="G125" s="332"/>
      <c r="H125" s="331">
        <v>216</v>
      </c>
      <c r="I125" s="332"/>
      <c r="J125" s="332"/>
      <c r="K125" s="332"/>
      <c r="L125" s="332"/>
      <c r="M125" s="331">
        <v>188</v>
      </c>
      <c r="N125" s="332">
        <f>-441</f>
        <v>-441</v>
      </c>
      <c r="O125" s="332">
        <f>-6-N125</f>
        <v>435</v>
      </c>
      <c r="P125" s="332">
        <f>263-O125-N125</f>
        <v>269</v>
      </c>
      <c r="Q125" s="332">
        <f t="shared" si="219"/>
        <v>-40</v>
      </c>
      <c r="R125" s="331">
        <v>223</v>
      </c>
      <c r="S125" s="301">
        <v>-413</v>
      </c>
      <c r="T125" s="332">
        <f>+-28-S125</f>
        <v>385</v>
      </c>
      <c r="U125" s="332">
        <f>324-S125-T125</f>
        <v>352</v>
      </c>
      <c r="V125" s="332">
        <f t="shared" si="220"/>
        <v>198</v>
      </c>
      <c r="W125" s="331">
        <v>522</v>
      </c>
      <c r="X125" s="332">
        <v>-308</v>
      </c>
      <c r="Y125" s="301">
        <f>149-X125</f>
        <v>457</v>
      </c>
      <c r="Z125" s="332">
        <f>212-X125-Y125</f>
        <v>63</v>
      </c>
      <c r="AA125" s="332">
        <f t="shared" si="221"/>
        <v>506</v>
      </c>
      <c r="AB125" s="331">
        <v>718</v>
      </c>
      <c r="AC125" s="332">
        <v>-413</v>
      </c>
      <c r="AD125" s="301">
        <f>-505-AC125</f>
        <v>-92</v>
      </c>
      <c r="AE125" s="332">
        <f>-241-AC125-AD125</f>
        <v>264</v>
      </c>
      <c r="AF125" s="332">
        <f t="shared" si="222"/>
        <v>108</v>
      </c>
      <c r="AG125" s="331">
        <v>-133</v>
      </c>
      <c r="AH125" s="332">
        <v>-616</v>
      </c>
      <c r="AI125" s="301">
        <f>-55-AH125</f>
        <v>561</v>
      </c>
      <c r="AJ125" s="330">
        <f>762-AH125-AI125</f>
        <v>817</v>
      </c>
      <c r="AK125" s="332">
        <f t="shared" si="223"/>
        <v>-274</v>
      </c>
      <c r="AL125" s="331">
        <v>488</v>
      </c>
      <c r="AM125" s="332">
        <v>-1028</v>
      </c>
      <c r="AN125" s="330">
        <f>-65-AM125</f>
        <v>963</v>
      </c>
      <c r="AO125" s="333">
        <f>142-AN125-AM125</f>
        <v>207</v>
      </c>
      <c r="AP125" s="298">
        <f t="shared" si="224"/>
        <v>378</v>
      </c>
      <c r="AQ125" s="331">
        <v>520</v>
      </c>
      <c r="AR125" s="333">
        <v>-960</v>
      </c>
      <c r="AS125" s="332">
        <f>-193-AR125</f>
        <v>767</v>
      </c>
      <c r="AT125" s="330">
        <f>281-AS125-AR125</f>
        <v>474</v>
      </c>
      <c r="AU125" s="330">
        <f>AV125-SUM(AR125:AT125)</f>
        <v>267</v>
      </c>
      <c r="AV125" s="331">
        <v>548</v>
      </c>
      <c r="AW125" s="330">
        <v>-578</v>
      </c>
      <c r="AX125" s="330">
        <f>400-AW125</f>
        <v>978</v>
      </c>
      <c r="AY125" s="330">
        <f>734-AX125-AW125</f>
        <v>334</v>
      </c>
      <c r="AZ125" s="330">
        <f>BA125-SUM(AW125:AY125)</f>
        <v>273</v>
      </c>
      <c r="BA125" s="331">
        <v>1007</v>
      </c>
      <c r="BB125" s="330">
        <v>-813</v>
      </c>
      <c r="BC125" s="330">
        <f>120-BB125</f>
        <v>933</v>
      </c>
      <c r="BD125" s="330">
        <f>537-BC125-BB125</f>
        <v>417</v>
      </c>
      <c r="BE125" s="330">
        <f>BF125-SUM(BB125:BD125)</f>
        <v>625</v>
      </c>
      <c r="BF125" s="331">
        <v>1162</v>
      </c>
      <c r="BG125" s="330">
        <v>-689</v>
      </c>
      <c r="BH125" s="330">
        <f>197-BG125</f>
        <v>886</v>
      </c>
      <c r="BI125" s="330">
        <f>1014-BH125-BG125</f>
        <v>817</v>
      </c>
      <c r="BJ125" s="330">
        <f>BK125-SUM(BG125:BI125)</f>
        <v>678</v>
      </c>
      <c r="BK125" s="331">
        <v>1692</v>
      </c>
      <c r="BL125" s="330">
        <v>-661</v>
      </c>
      <c r="BM125" s="330">
        <f>-73-BL125</f>
        <v>588</v>
      </c>
      <c r="BN125" s="569">
        <f>523-BM125-BL125</f>
        <v>596</v>
      </c>
      <c r="BO125" s="330">
        <f>BP125-SUM(BL125:BN125)</f>
        <v>474</v>
      </c>
      <c r="BP125" s="331">
        <v>997</v>
      </c>
      <c r="BQ125" s="330">
        <v>-1386</v>
      </c>
      <c r="BR125" s="569">
        <f>-838-BQ125</f>
        <v>548</v>
      </c>
      <c r="BS125" s="569">
        <f>-496-BR125-BQ125</f>
        <v>342</v>
      </c>
      <c r="BT125" s="298">
        <f t="shared" si="215"/>
        <v>697</v>
      </c>
      <c r="BU125" s="331">
        <v>201</v>
      </c>
      <c r="BV125" s="330">
        <f t="shared" ref="BV125:BY126" si="225">+BV85-BU85</f>
        <v>-1425.6807668921174</v>
      </c>
      <c r="BW125" s="330">
        <f t="shared" si="225"/>
        <v>823.10688691454925</v>
      </c>
      <c r="BX125" s="330">
        <f t="shared" si="225"/>
        <v>666.28759272830939</v>
      </c>
      <c r="BY125" s="330">
        <f t="shared" si="225"/>
        <v>383.82155615308875</v>
      </c>
      <c r="BZ125" s="331">
        <f>BV125+BW125+BX125+BY125</f>
        <v>447.53526890383</v>
      </c>
      <c r="CA125" s="330">
        <f t="shared" ref="CA125:CD126" si="226">+CA85-BZ85</f>
        <v>-1541.9116802441895</v>
      </c>
      <c r="CB125" s="330">
        <f t="shared" si="226"/>
        <v>872.39310329346881</v>
      </c>
      <c r="CC125" s="330">
        <f t="shared" si="226"/>
        <v>671.9254875605111</v>
      </c>
      <c r="CD125" s="330">
        <f t="shared" si="226"/>
        <v>412.2407133045599</v>
      </c>
      <c r="CE125" s="331">
        <f>CA125+CB125+CC125+CD125</f>
        <v>414.64762391435033</v>
      </c>
      <c r="CF125" s="330">
        <f t="shared" ref="CF125:CI126" si="227">+CF85-CE85</f>
        <v>-1622.5088766597546</v>
      </c>
      <c r="CG125" s="330">
        <f t="shared" si="227"/>
        <v>916.46110516489534</v>
      </c>
      <c r="CH125" s="330">
        <f t="shared" si="227"/>
        <v>678.85762017820707</v>
      </c>
      <c r="CI125" s="330">
        <f t="shared" si="227"/>
        <v>441.07408701616441</v>
      </c>
      <c r="CJ125" s="331">
        <f>CF125+CG125+CH125+CI125</f>
        <v>413.88393569951222</v>
      </c>
      <c r="CK125" s="330">
        <f t="shared" ref="CK125:CN126" si="228">+CK85-CJ85</f>
        <v>-1674.7545653358175</v>
      </c>
      <c r="CL125" s="330">
        <f t="shared" si="228"/>
        <v>963.68772168690703</v>
      </c>
      <c r="CM125" s="330">
        <f t="shared" si="228"/>
        <v>686.96122690119955</v>
      </c>
      <c r="CN125" s="330">
        <f t="shared" si="228"/>
        <v>470.9496406545386</v>
      </c>
      <c r="CO125" s="331">
        <f>CK125+CL125+CM125+CN125</f>
        <v>446.84402390682772</v>
      </c>
      <c r="CP125" s="330">
        <f t="shared" ref="CP125:CS126" si="229">+CP85-CO85</f>
        <v>-1747.6088230004316</v>
      </c>
      <c r="CQ125" s="330">
        <f t="shared" si="229"/>
        <v>1013.4039476391263</v>
      </c>
      <c r="CR125" s="330">
        <f t="shared" si="229"/>
        <v>695.48959264802033</v>
      </c>
      <c r="CS125" s="330">
        <f t="shared" si="229"/>
        <v>501.83997316221212</v>
      </c>
      <c r="CT125" s="331">
        <f>CP125+CQ125+CR125+CS125</f>
        <v>463.12469044892714</v>
      </c>
      <c r="CU125" s="313"/>
      <c r="CV125" s="313"/>
    </row>
    <row r="126" spans="1:100" x14ac:dyDescent="0.2">
      <c r="A126" s="313"/>
      <c r="B126" s="377" t="s">
        <v>1</v>
      </c>
      <c r="C126" s="377"/>
      <c r="D126" s="430"/>
      <c r="E126" s="429"/>
      <c r="F126" s="430"/>
      <c r="G126" s="430"/>
      <c r="H126" s="428">
        <v>-268</v>
      </c>
      <c r="I126" s="430"/>
      <c r="J126" s="430"/>
      <c r="K126" s="430"/>
      <c r="L126" s="430"/>
      <c r="M126" s="428">
        <v>609</v>
      </c>
      <c r="N126" s="430">
        <f>-140</f>
        <v>-140</v>
      </c>
      <c r="O126" s="430">
        <f>0-N126</f>
        <v>140</v>
      </c>
      <c r="P126" s="430">
        <f>242-O126-N126</f>
        <v>242</v>
      </c>
      <c r="Q126" s="430">
        <f t="shared" si="219"/>
        <v>-537</v>
      </c>
      <c r="R126" s="428">
        <v>-295</v>
      </c>
      <c r="S126" s="429">
        <v>269</v>
      </c>
      <c r="T126" s="430">
        <f>369-S126</f>
        <v>100</v>
      </c>
      <c r="U126" s="430">
        <f>830-S126-T126</f>
        <v>461</v>
      </c>
      <c r="V126" s="430">
        <f t="shared" si="220"/>
        <v>-702</v>
      </c>
      <c r="W126" s="428">
        <v>128</v>
      </c>
      <c r="X126" s="430">
        <v>151</v>
      </c>
      <c r="Y126" s="429">
        <f>427-X126</f>
        <v>276</v>
      </c>
      <c r="Z126" s="430">
        <f>566-X126-Y126</f>
        <v>139</v>
      </c>
      <c r="AA126" s="430">
        <f t="shared" si="221"/>
        <v>-746</v>
      </c>
      <c r="AB126" s="428">
        <v>-180</v>
      </c>
      <c r="AC126" s="430">
        <v>223</v>
      </c>
      <c r="AD126" s="429">
        <f>669-AC126</f>
        <v>446</v>
      </c>
      <c r="AE126" s="430">
        <f>914-AC126-AD126</f>
        <v>245</v>
      </c>
      <c r="AF126" s="430">
        <f t="shared" si="222"/>
        <v>-595</v>
      </c>
      <c r="AG126" s="428">
        <v>319</v>
      </c>
      <c r="AH126" s="430">
        <v>186</v>
      </c>
      <c r="AI126" s="429">
        <f>337-AH126</f>
        <v>151</v>
      </c>
      <c r="AJ126" s="427">
        <f>787-AH126-AI126</f>
        <v>450</v>
      </c>
      <c r="AK126" s="430">
        <f t="shared" si="223"/>
        <v>-664</v>
      </c>
      <c r="AL126" s="428">
        <v>123</v>
      </c>
      <c r="AM126" s="430">
        <v>362</v>
      </c>
      <c r="AN126" s="427">
        <f>849-AM126</f>
        <v>487</v>
      </c>
      <c r="AO126" s="431">
        <f>936-AN126-AM126</f>
        <v>87</v>
      </c>
      <c r="AP126" s="299">
        <f t="shared" si="224"/>
        <v>-1276</v>
      </c>
      <c r="AQ126" s="428">
        <v>-340</v>
      </c>
      <c r="AR126" s="431">
        <v>90</v>
      </c>
      <c r="AS126" s="430">
        <f>432-AR126</f>
        <v>342</v>
      </c>
      <c r="AT126" s="427">
        <f>736-AS126-AR126</f>
        <v>304</v>
      </c>
      <c r="AU126" s="427">
        <f>AV126-SUM(AR126:AT126)</f>
        <v>-833</v>
      </c>
      <c r="AV126" s="428">
        <v>-97</v>
      </c>
      <c r="AW126" s="427">
        <v>244</v>
      </c>
      <c r="AX126" s="427">
        <f>543-AW126</f>
        <v>299</v>
      </c>
      <c r="AY126" s="427">
        <f>811-AX126-AW126</f>
        <v>268</v>
      </c>
      <c r="AZ126" s="427">
        <f>BA126-SUM(AW126:AY126)</f>
        <v>-725</v>
      </c>
      <c r="BA126" s="428">
        <v>86</v>
      </c>
      <c r="BB126" s="427">
        <f>175</f>
        <v>175</v>
      </c>
      <c r="BC126" s="427">
        <f>636-BB126</f>
        <v>461</v>
      </c>
      <c r="BD126" s="427">
        <f>1115-BC126-BB126</f>
        <v>479</v>
      </c>
      <c r="BE126" s="427">
        <f>BF126-SUM(BB126:BD126)</f>
        <v>-744</v>
      </c>
      <c r="BF126" s="428">
        <v>371</v>
      </c>
      <c r="BG126" s="427">
        <f>294</f>
        <v>294</v>
      </c>
      <c r="BH126" s="427">
        <f>648-BG126</f>
        <v>354</v>
      </c>
      <c r="BI126" s="427">
        <f>1002-BH126-BG126</f>
        <v>354</v>
      </c>
      <c r="BJ126" s="427">
        <f>BK126-SUM(BG126:BI126)</f>
        <v>-947</v>
      </c>
      <c r="BK126" s="428">
        <v>55</v>
      </c>
      <c r="BL126" s="427">
        <v>318</v>
      </c>
      <c r="BM126" s="427">
        <f>704-BL126</f>
        <v>386</v>
      </c>
      <c r="BN126" s="427">
        <f>813-BM126-BL126</f>
        <v>109</v>
      </c>
      <c r="BO126" s="427">
        <f>BP126-SUM(BL126:BN126)</f>
        <v>-484</v>
      </c>
      <c r="BP126" s="428">
        <v>329</v>
      </c>
      <c r="BQ126" s="427">
        <v>172</v>
      </c>
      <c r="BR126" s="570">
        <f>310-BQ126</f>
        <v>138</v>
      </c>
      <c r="BS126" s="570">
        <f>633-BR126-BQ126</f>
        <v>323</v>
      </c>
      <c r="BT126" s="427">
        <f>BU126-SUM(BQ126:BS126)</f>
        <v>-971</v>
      </c>
      <c r="BU126" s="428">
        <v>-338</v>
      </c>
      <c r="BV126" s="427">
        <f t="shared" si="225"/>
        <v>0</v>
      </c>
      <c r="BW126" s="427">
        <f t="shared" ca="1" si="225"/>
        <v>0</v>
      </c>
      <c r="BX126" s="427">
        <f t="shared" ca="1" si="225"/>
        <v>0</v>
      </c>
      <c r="BY126" s="427">
        <f t="shared" si="225"/>
        <v>0</v>
      </c>
      <c r="BZ126" s="428">
        <f ca="1">BV126+BW126+BX126+BY126</f>
        <v>0</v>
      </c>
      <c r="CA126" s="427">
        <f t="shared" si="226"/>
        <v>0</v>
      </c>
      <c r="CB126" s="427">
        <f t="shared" ca="1" si="226"/>
        <v>0</v>
      </c>
      <c r="CC126" s="427">
        <f t="shared" ca="1" si="226"/>
        <v>0</v>
      </c>
      <c r="CD126" s="427">
        <f t="shared" si="226"/>
        <v>0</v>
      </c>
      <c r="CE126" s="428">
        <f ca="1">CA126+CB126+CC126+CD126</f>
        <v>0</v>
      </c>
      <c r="CF126" s="427">
        <f t="shared" si="227"/>
        <v>0</v>
      </c>
      <c r="CG126" s="427">
        <f t="shared" ca="1" si="227"/>
        <v>0</v>
      </c>
      <c r="CH126" s="427">
        <f t="shared" ca="1" si="227"/>
        <v>0</v>
      </c>
      <c r="CI126" s="427">
        <f t="shared" si="227"/>
        <v>0</v>
      </c>
      <c r="CJ126" s="428">
        <f ca="1">CF126+CG126+CH126+CI126</f>
        <v>0</v>
      </c>
      <c r="CK126" s="427">
        <f t="shared" si="228"/>
        <v>0</v>
      </c>
      <c r="CL126" s="427">
        <f t="shared" ca="1" si="228"/>
        <v>0</v>
      </c>
      <c r="CM126" s="427">
        <f t="shared" ca="1" si="228"/>
        <v>0</v>
      </c>
      <c r="CN126" s="427">
        <f t="shared" si="228"/>
        <v>0</v>
      </c>
      <c r="CO126" s="428">
        <f ca="1">CK126+CL126+CM126+CN126</f>
        <v>0</v>
      </c>
      <c r="CP126" s="427">
        <f t="shared" si="229"/>
        <v>0</v>
      </c>
      <c r="CQ126" s="427">
        <f t="shared" ca="1" si="229"/>
        <v>0</v>
      </c>
      <c r="CR126" s="427">
        <f t="shared" ca="1" si="229"/>
        <v>0</v>
      </c>
      <c r="CS126" s="427">
        <f t="shared" si="229"/>
        <v>0</v>
      </c>
      <c r="CT126" s="428">
        <f ca="1">CP126+CQ126+CR126+CS126</f>
        <v>0</v>
      </c>
      <c r="CU126" s="313"/>
      <c r="CV126" s="313"/>
    </row>
    <row r="127" spans="1:100" x14ac:dyDescent="0.2">
      <c r="A127" s="59" t="s">
        <v>123</v>
      </c>
      <c r="B127" s="91"/>
      <c r="C127" s="91"/>
      <c r="D127" s="92"/>
      <c r="E127" s="92"/>
      <c r="F127" s="92"/>
      <c r="G127" s="92"/>
      <c r="H127" s="51">
        <v>5054</v>
      </c>
      <c r="I127" s="92"/>
      <c r="J127" s="92"/>
      <c r="K127" s="92"/>
      <c r="L127" s="92"/>
      <c r="M127" s="51">
        <v>5852</v>
      </c>
      <c r="N127" s="17">
        <v>246</v>
      </c>
      <c r="O127" s="92">
        <f>1830-N127</f>
        <v>1584</v>
      </c>
      <c r="P127" s="92">
        <v>2462</v>
      </c>
      <c r="Q127" s="61">
        <f t="shared" si="219"/>
        <v>1792</v>
      </c>
      <c r="R127" s="51">
        <v>6084</v>
      </c>
      <c r="S127" s="92">
        <v>626</v>
      </c>
      <c r="T127" s="92">
        <v>1392</v>
      </c>
      <c r="U127" s="92">
        <v>3152</v>
      </c>
      <c r="V127" s="61">
        <f t="shared" si="220"/>
        <v>1764</v>
      </c>
      <c r="W127" s="51">
        <v>6934</v>
      </c>
      <c r="X127" s="61">
        <v>520</v>
      </c>
      <c r="Y127" s="92">
        <f>2193-X127</f>
        <v>1673</v>
      </c>
      <c r="Z127" s="61">
        <f>4658-X127-Y127</f>
        <v>2465</v>
      </c>
      <c r="AA127" s="61">
        <f t="shared" si="221"/>
        <v>2341</v>
      </c>
      <c r="AB127" s="51">
        <v>6999</v>
      </c>
      <c r="AC127" s="61">
        <v>-266</v>
      </c>
      <c r="AD127" s="92">
        <f>1492-AC127</f>
        <v>1758</v>
      </c>
      <c r="AE127" s="61">
        <f>4403-AC127-AD127</f>
        <v>2911</v>
      </c>
      <c r="AF127" s="61">
        <f t="shared" si="222"/>
        <v>2393</v>
      </c>
      <c r="AG127" s="51">
        <v>6796</v>
      </c>
      <c r="AH127" s="61">
        <v>241</v>
      </c>
      <c r="AI127" s="92">
        <f>2442-AH127</f>
        <v>2201</v>
      </c>
      <c r="AJ127" s="60">
        <f>5788-AH127-AI127</f>
        <v>3346</v>
      </c>
      <c r="AK127" s="61">
        <f t="shared" si="223"/>
        <v>2660</v>
      </c>
      <c r="AL127" s="51">
        <v>8448</v>
      </c>
      <c r="AM127" s="61">
        <v>380</v>
      </c>
      <c r="AN127" s="60">
        <f>2353-AM127</f>
        <v>1973</v>
      </c>
      <c r="AO127" s="62">
        <f>5834-AN127-AM127</f>
        <v>3481</v>
      </c>
      <c r="AP127" s="17">
        <f t="shared" si="224"/>
        <v>3110</v>
      </c>
      <c r="AQ127" s="51">
        <v>8944</v>
      </c>
      <c r="AR127" s="62">
        <v>-690</v>
      </c>
      <c r="AS127" s="61">
        <f>1247-AR127</f>
        <v>1937</v>
      </c>
      <c r="AT127" s="60">
        <f>5118-AS127-AR127</f>
        <v>3871</v>
      </c>
      <c r="AU127" s="60">
        <f>SUM(AU111,AU113:AU120,AU122:AU126)</f>
        <v>3361</v>
      </c>
      <c r="AV127" s="51">
        <v>8479</v>
      </c>
      <c r="AW127" s="60">
        <v>702</v>
      </c>
      <c r="AX127" s="60">
        <f>3015-AW127</f>
        <v>2313</v>
      </c>
      <c r="AY127" s="60">
        <f>6662-AX127-AW127</f>
        <v>3647</v>
      </c>
      <c r="AZ127" s="60">
        <f t="shared" ref="AZ127:BW127" si="230">SUM(AZ111:AZ126)</f>
        <v>3026</v>
      </c>
      <c r="BA127" s="51">
        <v>9688</v>
      </c>
      <c r="BB127" s="60">
        <v>181</v>
      </c>
      <c r="BC127" s="60">
        <f>2672-BB127</f>
        <v>2491</v>
      </c>
      <c r="BD127" s="60">
        <f>6693-BC127-BB127</f>
        <v>4021</v>
      </c>
      <c r="BE127" s="60">
        <f>SUM(BE111:BE126)</f>
        <v>3813</v>
      </c>
      <c r="BF127" s="51">
        <v>10506</v>
      </c>
      <c r="BG127" s="60">
        <v>270</v>
      </c>
      <c r="BH127" s="60">
        <f>2761-BG127</f>
        <v>2491</v>
      </c>
      <c r="BI127" s="60">
        <f>6775-BH127-BG127</f>
        <v>4014</v>
      </c>
      <c r="BJ127" s="60">
        <f>SUM(BJ111:BJ126)</f>
        <v>3805</v>
      </c>
      <c r="BK127" s="51">
        <v>10580</v>
      </c>
      <c r="BL127" s="60">
        <v>131</v>
      </c>
      <c r="BM127" s="60">
        <f>2921-BL127</f>
        <v>2790</v>
      </c>
      <c r="BN127" s="60">
        <f>6595-BM127-BL127</f>
        <v>3674</v>
      </c>
      <c r="BO127" s="60">
        <f>SUM(BO111:BO126)</f>
        <v>3809</v>
      </c>
      <c r="BP127" s="51">
        <v>10404</v>
      </c>
      <c r="BQ127" s="60">
        <v>-199</v>
      </c>
      <c r="BR127" s="17">
        <f>2241-BQ127</f>
        <v>2440</v>
      </c>
      <c r="BS127" s="17">
        <f>6062-BR127-BQ127</f>
        <v>3821</v>
      </c>
      <c r="BT127" s="60">
        <f t="shared" si="230"/>
        <v>3932</v>
      </c>
      <c r="BU127" s="51">
        <v>9994</v>
      </c>
      <c r="BV127" s="60">
        <f t="shared" ca="1" si="230"/>
        <v>-75.335136296704832</v>
      </c>
      <c r="BW127" s="60">
        <f t="shared" ca="1" si="230"/>
        <v>2482.1274118508427</v>
      </c>
      <c r="BX127" s="60">
        <f t="shared" ref="BX127:CO127" ca="1" si="231">SUM(BX111:BX126)</f>
        <v>3640.3517045198996</v>
      </c>
      <c r="BY127" s="60">
        <f t="shared" ca="1" si="231"/>
        <v>3673.4639517302553</v>
      </c>
      <c r="BZ127" s="51">
        <f t="shared" ca="1" si="231"/>
        <v>9720.6079318042921</v>
      </c>
      <c r="CA127" s="60">
        <f t="shared" ca="1" si="231"/>
        <v>373.5217447546695</v>
      </c>
      <c r="CB127" s="60">
        <f t="shared" ca="1" si="231"/>
        <v>2962.670751371526</v>
      </c>
      <c r="CC127" s="60">
        <f t="shared" ca="1" si="231"/>
        <v>4140.6643861807243</v>
      </c>
      <c r="CD127" s="60">
        <f t="shared" ca="1" si="231"/>
        <v>4175.8305636602072</v>
      </c>
      <c r="CE127" s="51">
        <f t="shared" ca="1" si="231"/>
        <v>11652.687445967125</v>
      </c>
      <c r="CF127" s="60">
        <f t="shared" ca="1" si="231"/>
        <v>455.4596825183944</v>
      </c>
      <c r="CG127" s="60">
        <f t="shared" ca="1" si="231"/>
        <v>3136.812794716704</v>
      </c>
      <c r="CH127" s="60">
        <f t="shared" ca="1" si="231"/>
        <v>4339.5979084628707</v>
      </c>
      <c r="CI127" s="60">
        <f t="shared" ca="1" si="231"/>
        <v>4411.4024657739865</v>
      </c>
      <c r="CJ127" s="51">
        <f t="shared" ca="1" si="231"/>
        <v>12343.272851471958</v>
      </c>
      <c r="CK127" s="60">
        <f t="shared" ca="1" si="231"/>
        <v>555.91530315061709</v>
      </c>
      <c r="CL127" s="60">
        <f t="shared" ca="1" si="231"/>
        <v>3317.6912935020073</v>
      </c>
      <c r="CM127" s="60">
        <f t="shared" ca="1" si="231"/>
        <v>4547.1287357729252</v>
      </c>
      <c r="CN127" s="60">
        <f t="shared" ca="1" si="231"/>
        <v>4655.4971176816653</v>
      </c>
      <c r="CO127" s="51">
        <f t="shared" ca="1" si="231"/>
        <v>13076.232450107214</v>
      </c>
      <c r="CP127" s="60">
        <f ca="1">SUM(CP111:CP126)</f>
        <v>646.80145678644476</v>
      </c>
      <c r="CQ127" s="60">
        <f ca="1">SUM(CQ111:CQ126)</f>
        <v>3506.4109702140004</v>
      </c>
      <c r="CR127" s="60">
        <f ca="1">SUM(CR111:CR126)</f>
        <v>4763.5147568542934</v>
      </c>
      <c r="CS127" s="60">
        <f ca="1">SUM(CS111:CS126)</f>
        <v>4910.0000457099941</v>
      </c>
      <c r="CT127" s="51">
        <f ca="1">SUM(CT111:CT126)</f>
        <v>13826.727229564729</v>
      </c>
      <c r="CU127" s="59"/>
      <c r="CV127" s="59"/>
    </row>
    <row r="128" spans="1:100" ht="5.0999999999999996" customHeight="1" x14ac:dyDescent="0.2">
      <c r="A128" s="313"/>
      <c r="B128" s="377"/>
      <c r="C128" s="377"/>
      <c r="D128" s="272"/>
      <c r="E128" s="272"/>
      <c r="F128" s="272"/>
      <c r="G128" s="273"/>
      <c r="H128" s="274"/>
      <c r="I128" s="272"/>
      <c r="J128" s="273"/>
      <c r="K128" s="272"/>
      <c r="L128" s="273"/>
      <c r="M128" s="274"/>
      <c r="N128" s="237"/>
      <c r="O128" s="273"/>
      <c r="P128" s="273"/>
      <c r="Q128" s="273"/>
      <c r="R128" s="274"/>
      <c r="S128" s="92"/>
      <c r="T128" s="273"/>
      <c r="U128" s="273"/>
      <c r="V128" s="273"/>
      <c r="W128" s="274"/>
      <c r="X128" s="273"/>
      <c r="Y128" s="273"/>
      <c r="Z128" s="273"/>
      <c r="AA128" s="273"/>
      <c r="AB128" s="274"/>
      <c r="AC128" s="273"/>
      <c r="AD128" s="273"/>
      <c r="AE128" s="273"/>
      <c r="AF128" s="273"/>
      <c r="AG128" s="274"/>
      <c r="AH128" s="273"/>
      <c r="AI128" s="273"/>
      <c r="AJ128" s="237"/>
      <c r="AK128" s="237"/>
      <c r="AL128" s="274"/>
      <c r="AM128" s="237"/>
      <c r="AN128" s="237"/>
      <c r="AO128" s="234"/>
      <c r="AP128" s="237"/>
      <c r="AQ128" s="51"/>
      <c r="AR128" s="234"/>
      <c r="AS128" s="273"/>
      <c r="AT128" s="237"/>
      <c r="AU128" s="237"/>
      <c r="AV128" s="51"/>
      <c r="AW128" s="237"/>
      <c r="AX128" s="237"/>
      <c r="AY128" s="237"/>
      <c r="AZ128" s="237"/>
      <c r="BA128" s="51"/>
      <c r="BB128" s="237"/>
      <c r="BC128" s="237"/>
      <c r="BD128" s="237"/>
      <c r="BE128" s="237"/>
      <c r="BF128" s="51"/>
      <c r="BG128" s="237"/>
      <c r="BH128" s="237"/>
      <c r="BI128" s="237"/>
      <c r="BJ128" s="237"/>
      <c r="BK128" s="51"/>
      <c r="BL128" s="237"/>
      <c r="BM128" s="237"/>
      <c r="BN128" s="237"/>
      <c r="BO128" s="237"/>
      <c r="BP128" s="51"/>
      <c r="BQ128" s="609"/>
      <c r="BR128" s="237"/>
      <c r="BS128" s="237"/>
      <c r="BT128" s="237"/>
      <c r="BU128" s="274"/>
      <c r="BV128" s="237"/>
      <c r="BW128" s="237"/>
      <c r="BX128" s="237"/>
      <c r="BY128" s="237"/>
      <c r="BZ128" s="274"/>
      <c r="CA128" s="237"/>
      <c r="CB128" s="237"/>
      <c r="CC128" s="237"/>
      <c r="CD128" s="237"/>
      <c r="CE128" s="274"/>
      <c r="CF128" s="237"/>
      <c r="CG128" s="237"/>
      <c r="CH128" s="237"/>
      <c r="CI128" s="237"/>
      <c r="CJ128" s="274"/>
      <c r="CK128" s="237"/>
      <c r="CL128" s="237"/>
      <c r="CM128" s="237"/>
      <c r="CN128" s="237"/>
      <c r="CO128" s="274"/>
      <c r="CP128" s="237"/>
      <c r="CQ128" s="237"/>
      <c r="CR128" s="237"/>
      <c r="CS128" s="237"/>
      <c r="CT128" s="274"/>
      <c r="CU128" s="313"/>
      <c r="CV128" s="313"/>
    </row>
    <row r="129" spans="1:100" x14ac:dyDescent="0.2">
      <c r="A129" s="313" t="s">
        <v>124</v>
      </c>
      <c r="B129" s="377"/>
      <c r="C129" s="377"/>
      <c r="D129" s="275"/>
      <c r="E129" s="275"/>
      <c r="F129" s="275"/>
      <c r="G129" s="275"/>
      <c r="H129" s="276"/>
      <c r="I129" s="275"/>
      <c r="J129" s="275"/>
      <c r="K129" s="275"/>
      <c r="L129" s="275"/>
      <c r="M129" s="276"/>
      <c r="N129" s="277"/>
      <c r="O129" s="275"/>
      <c r="P129" s="275"/>
      <c r="Q129" s="275"/>
      <c r="R129" s="276"/>
      <c r="S129" s="92"/>
      <c r="T129" s="275"/>
      <c r="U129" s="275"/>
      <c r="V129" s="275"/>
      <c r="W129" s="276"/>
      <c r="X129" s="275"/>
      <c r="Y129" s="275"/>
      <c r="Z129" s="275"/>
      <c r="AA129" s="275"/>
      <c r="AB129" s="276"/>
      <c r="AC129" s="275"/>
      <c r="AD129" s="275"/>
      <c r="AE129" s="275"/>
      <c r="AF129" s="275"/>
      <c r="AG129" s="276"/>
      <c r="AH129" s="277"/>
      <c r="AI129" s="277"/>
      <c r="AJ129" s="278"/>
      <c r="AK129" s="277"/>
      <c r="AL129" s="276"/>
      <c r="AM129" s="277"/>
      <c r="AN129" s="277"/>
      <c r="AO129" s="278"/>
      <c r="AP129" s="277"/>
      <c r="AQ129" s="276"/>
      <c r="AR129" s="278"/>
      <c r="AS129" s="275"/>
      <c r="AT129" s="277"/>
      <c r="AU129" s="277"/>
      <c r="AV129" s="276"/>
      <c r="AW129" s="277"/>
      <c r="AX129" s="277"/>
      <c r="AY129" s="277"/>
      <c r="AZ129" s="277"/>
      <c r="BA129" s="289"/>
      <c r="BB129" s="277"/>
      <c r="BC129" s="277"/>
      <c r="BD129" s="277"/>
      <c r="BE129" s="277"/>
      <c r="BF129" s="289"/>
      <c r="BG129" s="277"/>
      <c r="BH129" s="277"/>
      <c r="BI129" s="235"/>
      <c r="BJ129" s="277"/>
      <c r="BK129" s="289"/>
      <c r="BL129" s="277"/>
      <c r="BM129" s="277"/>
      <c r="BN129" s="277"/>
      <c r="BO129" s="277"/>
      <c r="BP129" s="289"/>
      <c r="BQ129" s="610"/>
      <c r="BR129" s="277"/>
      <c r="BS129" s="293"/>
      <c r="BT129" s="277"/>
      <c r="BU129" s="276"/>
      <c r="BV129" s="277"/>
      <c r="BW129" s="277"/>
      <c r="BX129" s="277"/>
      <c r="BY129" s="277"/>
      <c r="BZ129" s="276"/>
      <c r="CA129" s="277"/>
      <c r="CB129" s="277"/>
      <c r="CC129" s="277"/>
      <c r="CD129" s="277"/>
      <c r="CE129" s="276"/>
      <c r="CF129" s="277"/>
      <c r="CG129" s="277"/>
      <c r="CH129" s="277"/>
      <c r="CI129" s="277"/>
      <c r="CJ129" s="276"/>
      <c r="CK129" s="277"/>
      <c r="CL129" s="277"/>
      <c r="CM129" s="277"/>
      <c r="CN129" s="277"/>
      <c r="CO129" s="276"/>
      <c r="CP129" s="277"/>
      <c r="CQ129" s="277"/>
      <c r="CR129" s="277"/>
      <c r="CS129" s="277"/>
      <c r="CT129" s="276"/>
      <c r="CU129" s="313"/>
      <c r="CV129" s="313"/>
    </row>
    <row r="130" spans="1:100" x14ac:dyDescent="0.2">
      <c r="A130" s="313"/>
      <c r="B130" s="377" t="s">
        <v>125</v>
      </c>
      <c r="C130" s="377"/>
      <c r="D130" s="301"/>
      <c r="E130" s="301"/>
      <c r="F130" s="301"/>
      <c r="G130" s="301"/>
      <c r="H130" s="366">
        <v>-1387</v>
      </c>
      <c r="I130" s="301"/>
      <c r="J130" s="301"/>
      <c r="K130" s="301"/>
      <c r="L130" s="301"/>
      <c r="M130" s="366">
        <v>-1736</v>
      </c>
      <c r="N130" s="301">
        <v>-289</v>
      </c>
      <c r="O130" s="301">
        <v>-419</v>
      </c>
      <c r="P130" s="301">
        <v>-422</v>
      </c>
      <c r="Q130" s="301">
        <f>+R130-N130-O130-P130</f>
        <v>-938</v>
      </c>
      <c r="R130" s="366">
        <v>-2068</v>
      </c>
      <c r="S130" s="301">
        <v>-267</v>
      </c>
      <c r="T130" s="301">
        <v>-476</v>
      </c>
      <c r="U130" s="301">
        <v>-517</v>
      </c>
      <c r="V130" s="301">
        <f>+W130-S130-T130-U130</f>
        <v>-1170</v>
      </c>
      <c r="W130" s="366">
        <v>-2430</v>
      </c>
      <c r="X130" s="301">
        <v>-309</v>
      </c>
      <c r="Y130" s="301">
        <f>-896-X130</f>
        <v>-587</v>
      </c>
      <c r="Z130" s="301">
        <f>-1399-X130-Y130</f>
        <v>-503</v>
      </c>
      <c r="AA130" s="301">
        <f>+AB130-X130-Y130-Z130</f>
        <v>-1047</v>
      </c>
      <c r="AB130" s="366">
        <v>-2446</v>
      </c>
      <c r="AC130" s="301">
        <v>-298</v>
      </c>
      <c r="AD130" s="301">
        <f>-735-AC130</f>
        <v>-437</v>
      </c>
      <c r="AE130" s="301">
        <f>-1138-AC130-AD130</f>
        <v>-403</v>
      </c>
      <c r="AF130" s="301">
        <f>+AG130-AC130-AD130-AE130</f>
        <v>-990</v>
      </c>
      <c r="AG130" s="366">
        <v>-2128</v>
      </c>
      <c r="AH130" s="301">
        <v>-274</v>
      </c>
      <c r="AI130" s="301">
        <f>-968-AH130</f>
        <v>-694</v>
      </c>
      <c r="AJ130" s="298">
        <f>-1670-AH130-AI130</f>
        <v>-702</v>
      </c>
      <c r="AK130" s="301">
        <f>+AL130-AH130-AI130-AJ130</f>
        <v>-1583</v>
      </c>
      <c r="AL130" s="366">
        <v>-3253</v>
      </c>
      <c r="AM130" s="301">
        <v>-433</v>
      </c>
      <c r="AN130" s="301">
        <f>-1231-AM130</f>
        <v>-798</v>
      </c>
      <c r="AO130" s="296">
        <f>-1962-AN130-AM130</f>
        <v>-731</v>
      </c>
      <c r="AP130" s="298">
        <f>+AQ130-AM130-AN130-AO130</f>
        <v>-1377</v>
      </c>
      <c r="AQ130" s="366">
        <v>-3339</v>
      </c>
      <c r="AR130" s="296">
        <v>-316</v>
      </c>
      <c r="AS130" s="301">
        <f>-901-AR130</f>
        <v>-585</v>
      </c>
      <c r="AT130" s="298">
        <f>-1409-AS130-AR130</f>
        <v>-508</v>
      </c>
      <c r="AU130" s="298">
        <f>AV130-SUM(AR130:AT130)</f>
        <v>-1305</v>
      </c>
      <c r="AV130" s="366">
        <v>-2714</v>
      </c>
      <c r="AW130" s="298">
        <v>-303</v>
      </c>
      <c r="AX130" s="298">
        <f>-911-AW130</f>
        <v>-608</v>
      </c>
      <c r="AY130" s="298">
        <f>-1497-AX130-AW130</f>
        <v>-586</v>
      </c>
      <c r="AZ130" s="298">
        <f>BA130-SUM(AW130:AY130)</f>
        <v>-1298</v>
      </c>
      <c r="BA130" s="366">
        <v>-2795</v>
      </c>
      <c r="BB130" s="298">
        <v>-355</v>
      </c>
      <c r="BC130" s="298">
        <f>+-921-BB130</f>
        <v>-566</v>
      </c>
      <c r="BD130" s="298">
        <f>-1540-BC130-BB130</f>
        <v>-619</v>
      </c>
      <c r="BE130" s="298">
        <f>BF130-SUM(BB130:BD130)</f>
        <v>-1319</v>
      </c>
      <c r="BF130" s="366">
        <v>-2859</v>
      </c>
      <c r="BG130" s="298">
        <v>-270</v>
      </c>
      <c r="BH130" s="298">
        <f>+-832-BG130</f>
        <v>-562</v>
      </c>
      <c r="BI130" s="298">
        <f>-1463-BH130-BG130</f>
        <v>-631</v>
      </c>
      <c r="BJ130" s="298">
        <f>BK130-SUM(BG130:BI130)</f>
        <v>-1295</v>
      </c>
      <c r="BK130" s="366">
        <v>-2758</v>
      </c>
      <c r="BL130" s="298">
        <v>-389</v>
      </c>
      <c r="BM130" s="298">
        <f>+-919-BL130</f>
        <v>-530</v>
      </c>
      <c r="BN130" s="298">
        <f>-1566-BM130-BL130</f>
        <v>-647</v>
      </c>
      <c r="BO130" s="298">
        <f>BP130-SUM(BL130:BN130)</f>
        <v>-1474</v>
      </c>
      <c r="BP130" s="366">
        <v>-3040</v>
      </c>
      <c r="BQ130" s="596">
        <v>-317</v>
      </c>
      <c r="BR130" s="298">
        <f>-878-BQ130</f>
        <v>-561</v>
      </c>
      <c r="BS130" s="298">
        <f>-1474-BR130-BQ130</f>
        <v>-596</v>
      </c>
      <c r="BT130" s="298">
        <f>BU130-SUM(BQ130:BS130)</f>
        <v>-1495</v>
      </c>
      <c r="BU130" s="366">
        <v>-2969</v>
      </c>
      <c r="BV130" s="298">
        <f>-BV170*BV5</f>
        <v>-441.35277613414155</v>
      </c>
      <c r="BW130" s="298">
        <f>-BW170*BW5</f>
        <v>-726.99495194808821</v>
      </c>
      <c r="BX130" s="298">
        <f>-BX170*BX5</f>
        <v>-768.68559427433115</v>
      </c>
      <c r="BY130" s="298">
        <f>-BY170*BY5</f>
        <v>-1673.6667497421088</v>
      </c>
      <c r="BZ130" s="366">
        <f>BV130+BW130+BX130+BY130</f>
        <v>-3610.7000720986698</v>
      </c>
      <c r="CA130" s="298">
        <f>-CA170*CA5</f>
        <v>-338.3904378973595</v>
      </c>
      <c r="CB130" s="298">
        <f>-CB170*CB5</f>
        <v>-598.63609337172238</v>
      </c>
      <c r="CC130" s="298">
        <f>-CC170*CC5</f>
        <v>-635.93050079098248</v>
      </c>
      <c r="CD130" s="298">
        <f>-CD170*CD5</f>
        <v>-1600.6413459236185</v>
      </c>
      <c r="CE130" s="366">
        <f>CA130+CB130+CC130+CD130</f>
        <v>-3173.5983779836829</v>
      </c>
      <c r="CF130" s="298">
        <f>-CF170*CF5</f>
        <v>-334.84796994852155</v>
      </c>
      <c r="CG130" s="298">
        <f>-CG170*CG5</f>
        <v>-599.4112634743185</v>
      </c>
      <c r="CH130" s="298">
        <f>-CH170*CH5</f>
        <v>-636.83846828893991</v>
      </c>
      <c r="CI130" s="298">
        <f>-CI170*CI5</f>
        <v>-1628.0418141594696</v>
      </c>
      <c r="CJ130" s="366">
        <f>CF130+CG130+CH130+CI130</f>
        <v>-3199.1395158712494</v>
      </c>
      <c r="CK130" s="298">
        <f>-CK170*CK5</f>
        <v>-330.8994425295291</v>
      </c>
      <c r="CL130" s="298">
        <f>-CL170*CL5</f>
        <v>-599.84025356410223</v>
      </c>
      <c r="CM130" s="298">
        <f>-CM170*CM5</f>
        <v>-637.42004082796882</v>
      </c>
      <c r="CN130" s="298">
        <f>-CN170*CN5</f>
        <v>-1656.030125803986</v>
      </c>
      <c r="CO130" s="366">
        <f>CK130+CL130+CM130+CN130</f>
        <v>-3224.189862725586</v>
      </c>
      <c r="CP130" s="298">
        <f>-CP170*CP5</f>
        <v>-326.51712899295381</v>
      </c>
      <c r="CQ130" s="298">
        <f>-CQ170*CQ5</f>
        <v>-599.89140300708289</v>
      </c>
      <c r="CR130" s="298">
        <f>-CR170*CR5</f>
        <v>-637.64358550368343</v>
      </c>
      <c r="CS130" s="298">
        <f>-CS170*CS5</f>
        <v>-1684.6094858286965</v>
      </c>
      <c r="CT130" s="366">
        <f>CP130+CQ130+CR130+CS130</f>
        <v>-3248.6616033324167</v>
      </c>
      <c r="CU130" s="313"/>
      <c r="CV130" s="313"/>
    </row>
    <row r="131" spans="1:100" x14ac:dyDescent="0.2">
      <c r="A131" s="313"/>
      <c r="B131" s="377" t="s">
        <v>126</v>
      </c>
      <c r="C131" s="377"/>
      <c r="D131" s="301"/>
      <c r="E131" s="301"/>
      <c r="F131" s="301"/>
      <c r="G131" s="301"/>
      <c r="H131" s="366">
        <v>38</v>
      </c>
      <c r="I131" s="301"/>
      <c r="J131" s="301"/>
      <c r="K131" s="301"/>
      <c r="L131" s="301"/>
      <c r="M131" s="366">
        <v>88</v>
      </c>
      <c r="N131" s="301">
        <v>6</v>
      </c>
      <c r="O131" s="301">
        <v>17</v>
      </c>
      <c r="P131" s="301">
        <v>14</v>
      </c>
      <c r="Q131" s="301">
        <f>+R131-N131-O131-P131</f>
        <v>-13</v>
      </c>
      <c r="R131" s="366">
        <f>49-25</f>
        <v>24</v>
      </c>
      <c r="S131" s="301">
        <v>4</v>
      </c>
      <c r="T131" s="301">
        <v>11</v>
      </c>
      <c r="U131" s="301">
        <v>11</v>
      </c>
      <c r="V131" s="301">
        <f>+W131-S131-T131-U131</f>
        <v>48</v>
      </c>
      <c r="W131" s="366">
        <f>47+27</f>
        <v>74</v>
      </c>
      <c r="X131" s="301">
        <v>53</v>
      </c>
      <c r="Y131" s="301">
        <f>65-X131</f>
        <v>12</v>
      </c>
      <c r="Z131" s="301">
        <f>85-X131-Y131</f>
        <v>20</v>
      </c>
      <c r="AA131" s="301">
        <f>+AB131-X131-Y131-Z131</f>
        <v>13</v>
      </c>
      <c r="AB131" s="366">
        <v>98</v>
      </c>
      <c r="AC131" s="301">
        <v>8</v>
      </c>
      <c r="AD131" s="301">
        <f>26-AC131</f>
        <v>18</v>
      </c>
      <c r="AE131" s="301">
        <f>33-AC131-AD131</f>
        <v>7</v>
      </c>
      <c r="AF131" s="301">
        <f>+AG131-AC131-AD131-AE131</f>
        <v>25</v>
      </c>
      <c r="AG131" s="366">
        <v>58</v>
      </c>
      <c r="AH131" s="301">
        <v>16</v>
      </c>
      <c r="AI131" s="301">
        <f>37-AH131</f>
        <v>21</v>
      </c>
      <c r="AJ131" s="298">
        <f>55-AH131-AI131</f>
        <v>18</v>
      </c>
      <c r="AK131" s="301">
        <f>+AL131-AH131-AI131-AJ131</f>
        <v>26</v>
      </c>
      <c r="AL131" s="366">
        <v>81</v>
      </c>
      <c r="AM131" s="301">
        <v>12</v>
      </c>
      <c r="AN131" s="301">
        <f>34-AM131</f>
        <v>22</v>
      </c>
      <c r="AO131" s="296">
        <f>46-AN131-AM131</f>
        <v>12</v>
      </c>
      <c r="AP131" s="298">
        <f>+AQ131-AM131-AN131-AO131</f>
        <v>38</v>
      </c>
      <c r="AQ131" s="366">
        <v>84</v>
      </c>
      <c r="AR131" s="296">
        <v>17</v>
      </c>
      <c r="AS131" s="301">
        <f>42-AR131</f>
        <v>25</v>
      </c>
      <c r="AT131" s="298">
        <f>58-AS131-AR131</f>
        <v>16</v>
      </c>
      <c r="AU131" s="298">
        <f>AV131-SUM(AR131:AT131)</f>
        <v>37</v>
      </c>
      <c r="AV131" s="366">
        <v>95</v>
      </c>
      <c r="AW131" s="298">
        <v>8</v>
      </c>
      <c r="AX131" s="298">
        <f>30-AW131</f>
        <v>22</v>
      </c>
      <c r="AY131" s="298">
        <f>51-AX131-AW131</f>
        <v>21</v>
      </c>
      <c r="AZ131" s="298">
        <f>BA131-SUM(AW131:AY131)</f>
        <v>58</v>
      </c>
      <c r="BA131" s="366">
        <v>109</v>
      </c>
      <c r="BB131" s="298">
        <v>7</v>
      </c>
      <c r="BC131" s="298">
        <f>42-BB131</f>
        <v>35</v>
      </c>
      <c r="BD131" s="298">
        <f>60-BC131-BB131</f>
        <v>18</v>
      </c>
      <c r="BE131" s="298">
        <f>BF131-SUM(BB131:BD131)</f>
        <v>55</v>
      </c>
      <c r="BF131" s="366">
        <v>115</v>
      </c>
      <c r="BG131" s="298">
        <v>11</v>
      </c>
      <c r="BH131" s="298">
        <f>26-BG131</f>
        <v>15</v>
      </c>
      <c r="BI131" s="298">
        <f>63-BH131-BG131</f>
        <v>37</v>
      </c>
      <c r="BJ131" s="298">
        <f>BK131-SUM(BG131:BI131)</f>
        <v>23</v>
      </c>
      <c r="BK131" s="366">
        <v>86</v>
      </c>
      <c r="BL131" s="298">
        <v>25</v>
      </c>
      <c r="BM131" s="298">
        <f>47-BL131</f>
        <v>22</v>
      </c>
      <c r="BN131" s="298">
        <f>59-BM131-BL131</f>
        <v>12</v>
      </c>
      <c r="BO131" s="298">
        <f>BP131-SUM(BL131:BN131)</f>
        <v>40</v>
      </c>
      <c r="BP131" s="366">
        <v>99</v>
      </c>
      <c r="BQ131" s="596">
        <v>12</v>
      </c>
      <c r="BR131" s="298">
        <f>30-BQ131</f>
        <v>18</v>
      </c>
      <c r="BS131" s="298">
        <f>82-BR131-BQ131</f>
        <v>52</v>
      </c>
      <c r="BT131" s="298">
        <f>BU131-SUM(BQ131:BS131)</f>
        <v>98</v>
      </c>
      <c r="BU131" s="366">
        <v>180</v>
      </c>
      <c r="BV131" s="298">
        <v>0</v>
      </c>
      <c r="BW131" s="298">
        <v>0</v>
      </c>
      <c r="BX131" s="298">
        <v>0</v>
      </c>
      <c r="BY131" s="298">
        <v>0</v>
      </c>
      <c r="BZ131" s="366">
        <f>+SUM(BV131:BY131)</f>
        <v>0</v>
      </c>
      <c r="CA131" s="298">
        <v>0</v>
      </c>
      <c r="CB131" s="298">
        <v>0</v>
      </c>
      <c r="CC131" s="298">
        <v>0</v>
      </c>
      <c r="CD131" s="298">
        <v>0</v>
      </c>
      <c r="CE131" s="366">
        <f>+SUM(CA131:CD131)</f>
        <v>0</v>
      </c>
      <c r="CF131" s="298">
        <v>0</v>
      </c>
      <c r="CG131" s="298">
        <v>0</v>
      </c>
      <c r="CH131" s="298">
        <v>0</v>
      </c>
      <c r="CI131" s="298">
        <v>0</v>
      </c>
      <c r="CJ131" s="366">
        <f>+SUM(CF131:CI131)</f>
        <v>0</v>
      </c>
      <c r="CK131" s="298">
        <v>0</v>
      </c>
      <c r="CL131" s="298">
        <v>0</v>
      </c>
      <c r="CM131" s="298">
        <v>0</v>
      </c>
      <c r="CN131" s="298">
        <v>0</v>
      </c>
      <c r="CO131" s="366">
        <f>+SUM(CK131:CN131)</f>
        <v>0</v>
      </c>
      <c r="CP131" s="298">
        <v>0</v>
      </c>
      <c r="CQ131" s="298">
        <v>0</v>
      </c>
      <c r="CR131" s="298">
        <v>0</v>
      </c>
      <c r="CS131" s="298">
        <v>0</v>
      </c>
      <c r="CT131" s="366">
        <f>+SUM(CP131:CS131)</f>
        <v>0</v>
      </c>
      <c r="CU131" s="313"/>
      <c r="CV131" s="313"/>
    </row>
    <row r="132" spans="1:100" x14ac:dyDescent="0.2">
      <c r="A132" s="313"/>
      <c r="B132" s="377" t="s">
        <v>127</v>
      </c>
      <c r="C132" s="377"/>
      <c r="D132" s="301"/>
      <c r="E132" s="301"/>
      <c r="F132" s="301"/>
      <c r="G132" s="301"/>
      <c r="H132" s="366">
        <v>-969</v>
      </c>
      <c r="I132" s="301"/>
      <c r="J132" s="301"/>
      <c r="K132" s="301"/>
      <c r="L132" s="301"/>
      <c r="M132" s="366">
        <v>-991</v>
      </c>
      <c r="N132" s="301">
        <v>800</v>
      </c>
      <c r="O132" s="301">
        <v>108</v>
      </c>
      <c r="P132" s="301">
        <v>191</v>
      </c>
      <c r="Q132" s="301">
        <f>+R132-N132-O132-P132</f>
        <v>918</v>
      </c>
      <c r="R132" s="366">
        <f>-29+25+2021</f>
        <v>2017</v>
      </c>
      <c r="S132" s="301">
        <v>402</v>
      </c>
      <c r="T132" s="301">
        <v>-76</v>
      </c>
      <c r="U132" s="301">
        <v>-349</v>
      </c>
      <c r="V132" s="301">
        <f>+W132-S132-T132-U132</f>
        <v>-360</v>
      </c>
      <c r="W132" s="366">
        <f>-83+113-413</f>
        <v>-383</v>
      </c>
      <c r="X132" s="301">
        <f>0+1+557</f>
        <v>558</v>
      </c>
      <c r="Y132" s="301">
        <f>-38+4+1289-X132</f>
        <v>697</v>
      </c>
      <c r="Z132" s="301">
        <f>-143+44+1299-X132-Y132</f>
        <v>-55</v>
      </c>
      <c r="AA132" s="301">
        <f>+AB132-X132-Y132-Z132</f>
        <v>82</v>
      </c>
      <c r="AB132" s="366">
        <f>-156+62+1376</f>
        <v>1282</v>
      </c>
      <c r="AC132" s="301">
        <f>-23+18+12</f>
        <v>7</v>
      </c>
      <c r="AD132" s="301">
        <f>-23+34+6-AC132</f>
        <v>10</v>
      </c>
      <c r="AE132" s="301">
        <f>-29+55+4-AC132-AD132</f>
        <v>13</v>
      </c>
      <c r="AF132" s="301">
        <f>+AG132-AC132-AD132-AE132</f>
        <v>25</v>
      </c>
      <c r="AG132" s="366">
        <f>-29+71+13</f>
        <v>55</v>
      </c>
      <c r="AH132" s="301">
        <f>-4+8-6</f>
        <v>-2</v>
      </c>
      <c r="AI132" s="301">
        <f>-6+15-46-AH132</f>
        <v>-35</v>
      </c>
      <c r="AJ132" s="298">
        <f>-40-AH132-AI132</f>
        <v>-3</v>
      </c>
      <c r="AK132" s="301">
        <f>+AL132-AH132-AI132-AJ132</f>
        <v>-172</v>
      </c>
      <c r="AL132" s="366">
        <v>-212</v>
      </c>
      <c r="AM132" s="301">
        <v>63</v>
      </c>
      <c r="AN132" s="301">
        <f>0-AM132</f>
        <v>-63</v>
      </c>
      <c r="AO132" s="296">
        <f>-34-AN132-AM132</f>
        <v>-34</v>
      </c>
      <c r="AP132" s="298">
        <f>+AQ132-AM132-AN132-AO132</f>
        <v>100</v>
      </c>
      <c r="AQ132" s="366">
        <v>66</v>
      </c>
      <c r="AR132" s="296">
        <v>52</v>
      </c>
      <c r="AS132" s="301">
        <f>41-AR132</f>
        <v>-11</v>
      </c>
      <c r="AT132" s="298">
        <f>-21-AS132-AR132</f>
        <v>-62</v>
      </c>
      <c r="AU132" s="298">
        <f>AV132-SUM(AR132:AT132)</f>
        <v>82</v>
      </c>
      <c r="AV132" s="366">
        <v>61</v>
      </c>
      <c r="AW132" s="298">
        <v>40</v>
      </c>
      <c r="AX132" s="298">
        <f>-4-AW132</f>
        <v>-44</v>
      </c>
      <c r="AY132" s="298">
        <f>-3-AX132-AW132</f>
        <v>1</v>
      </c>
      <c r="AZ132" s="298">
        <f>BA132-SUM(AW132:AY132)</f>
        <v>64</v>
      </c>
      <c r="BA132" s="366">
        <v>61</v>
      </c>
      <c r="BB132" s="298">
        <v>59</v>
      </c>
      <c r="BC132" s="298">
        <f>-3380-BB132</f>
        <v>-3439</v>
      </c>
      <c r="BD132" s="298">
        <f>+-5306-BC132-BB132</f>
        <v>-1926</v>
      </c>
      <c r="BE132" s="298">
        <f>BF132-SUM(BB132:BD132)</f>
        <v>3008</v>
      </c>
      <c r="BF132" s="366">
        <v>-2298</v>
      </c>
      <c r="BG132" s="298">
        <v>520</v>
      </c>
      <c r="BH132" s="298">
        <f>593-BG132</f>
        <v>73</v>
      </c>
      <c r="BI132" s="298">
        <f>614-BH132-BG132</f>
        <v>21</v>
      </c>
      <c r="BJ132" s="298">
        <f>BK132-SUM(BG132:BI132)</f>
        <v>-928</v>
      </c>
      <c r="BK132" s="366">
        <v>-314</v>
      </c>
      <c r="BL132" s="298">
        <v>-1103</v>
      </c>
      <c r="BM132" s="298">
        <f>-808-BL132</f>
        <v>295</v>
      </c>
      <c r="BN132" s="298">
        <f>-1593-BM132-BL132</f>
        <v>-785</v>
      </c>
      <c r="BO132" s="298">
        <f>BP132-SUM(BL132:BN132)</f>
        <v>-2487</v>
      </c>
      <c r="BP132" s="366">
        <f>-12504+8399+16+9</f>
        <v>-4080</v>
      </c>
      <c r="BQ132" s="596">
        <f>-3436+3866+138</f>
        <v>568</v>
      </c>
      <c r="BR132" s="298">
        <f>-6785+6709+242-BQ132</f>
        <v>-402</v>
      </c>
      <c r="BS132" s="298">
        <f>-11742+10400+345+4-BR132-BQ132</f>
        <v>-1159</v>
      </c>
      <c r="BT132" s="298">
        <f>BU132-SUM(BQ132:BS132)</f>
        <v>-856</v>
      </c>
      <c r="BU132" s="366">
        <f>-18385+15744+790+2</f>
        <v>-1849</v>
      </c>
      <c r="BV132" s="298">
        <f>+BU68-BV68</f>
        <v>0</v>
      </c>
      <c r="BW132" s="298">
        <f>+BV68-BW68</f>
        <v>0</v>
      </c>
      <c r="BX132" s="298">
        <f>+BW68-BX68</f>
        <v>0</v>
      </c>
      <c r="BY132" s="298">
        <f>+BX68-BY68</f>
        <v>0</v>
      </c>
      <c r="BZ132" s="366">
        <f>+SUM(BV132:BY132)</f>
        <v>0</v>
      </c>
      <c r="CA132" s="298">
        <f>+BZ68-CA68</f>
        <v>0</v>
      </c>
      <c r="CB132" s="298">
        <f>+CA68-CB68</f>
        <v>0</v>
      </c>
      <c r="CC132" s="298">
        <f>+CB68-CC68</f>
        <v>0</v>
      </c>
      <c r="CD132" s="298">
        <f>+CC68-CD68</f>
        <v>0</v>
      </c>
      <c r="CE132" s="366">
        <f>+SUM(CA132:CD132)</f>
        <v>0</v>
      </c>
      <c r="CF132" s="298">
        <f>+CE68-CF68</f>
        <v>0</v>
      </c>
      <c r="CG132" s="298">
        <f>+CF68-CG68</f>
        <v>0</v>
      </c>
      <c r="CH132" s="298">
        <f>+CG68-CH68</f>
        <v>0</v>
      </c>
      <c r="CI132" s="298">
        <f>+CH68-CI68</f>
        <v>0</v>
      </c>
      <c r="CJ132" s="366">
        <f>+SUM(CF132:CI132)</f>
        <v>0</v>
      </c>
      <c r="CK132" s="298">
        <f>+CJ68-CK68</f>
        <v>0</v>
      </c>
      <c r="CL132" s="298">
        <f>+CK68-CL68</f>
        <v>0</v>
      </c>
      <c r="CM132" s="298">
        <f>+CL68-CM68</f>
        <v>0</v>
      </c>
      <c r="CN132" s="298">
        <f>+CM68-CN68</f>
        <v>0</v>
      </c>
      <c r="CO132" s="366">
        <f>+SUM(CK132:CN132)</f>
        <v>0</v>
      </c>
      <c r="CP132" s="298">
        <f>+CO68-CP68</f>
        <v>0</v>
      </c>
      <c r="CQ132" s="298">
        <f>+CP68-CQ68</f>
        <v>0</v>
      </c>
      <c r="CR132" s="298">
        <f>+CQ68-CR68</f>
        <v>0</v>
      </c>
      <c r="CS132" s="298">
        <f>+CR68-CS68</f>
        <v>0</v>
      </c>
      <c r="CT132" s="366">
        <f>+SUM(CP132:CS132)</f>
        <v>0</v>
      </c>
      <c r="CU132" s="313"/>
      <c r="CV132" s="313"/>
    </row>
    <row r="133" spans="1:100" x14ac:dyDescent="0.2">
      <c r="A133" s="313"/>
      <c r="B133" s="377" t="s">
        <v>4</v>
      </c>
      <c r="C133" s="377"/>
      <c r="D133" s="301"/>
      <c r="E133" s="301"/>
      <c r="F133" s="301"/>
      <c r="G133" s="301"/>
      <c r="H133" s="366">
        <v>-12</v>
      </c>
      <c r="I133" s="301"/>
      <c r="J133" s="301"/>
      <c r="K133" s="301"/>
      <c r="L133" s="301"/>
      <c r="M133" s="366">
        <f>-342-750</f>
        <v>-1092</v>
      </c>
      <c r="N133" s="301">
        <v>-275</v>
      </c>
      <c r="O133" s="301">
        <v>-159</v>
      </c>
      <c r="P133" s="301">
        <v>27</v>
      </c>
      <c r="Q133" s="301">
        <f>+R133-N133-O133-P133</f>
        <v>-78</v>
      </c>
      <c r="R133" s="366">
        <f>-522+37</f>
        <v>-485</v>
      </c>
      <c r="S133" s="301">
        <v>-431</v>
      </c>
      <c r="T133" s="301">
        <v>-422</v>
      </c>
      <c r="U133" s="301">
        <v>-135</v>
      </c>
      <c r="V133" s="301">
        <f>+W133-S133-T133-U133</f>
        <v>-332</v>
      </c>
      <c r="W133" s="366">
        <v>-1320</v>
      </c>
      <c r="X133" s="301">
        <f>-146</f>
        <v>-146</v>
      </c>
      <c r="Y133" s="301">
        <f>-262-X133</f>
        <v>-116</v>
      </c>
      <c r="Z133" s="301">
        <f>-1707-297-X133-Y133</f>
        <v>-1742</v>
      </c>
      <c r="AA133" s="301">
        <f>+AB133-X133-Y133-Z133</f>
        <v>45</v>
      </c>
      <c r="AB133" s="366">
        <f>-1925+6-40</f>
        <v>-1959</v>
      </c>
      <c r="AC133" s="301">
        <v>-27</v>
      </c>
      <c r="AD133" s="301">
        <f>-120+16-AC133</f>
        <v>-77</v>
      </c>
      <c r="AE133" s="301">
        <f>-300+100+30-AC133-AD133</f>
        <v>-66</v>
      </c>
      <c r="AF133" s="301">
        <f>+AG133-AC133-AD133-AE133</f>
        <v>-216</v>
      </c>
      <c r="AG133" s="366">
        <f>-500+99+15</f>
        <v>-386</v>
      </c>
      <c r="AH133" s="301">
        <f>-2833-900-15</f>
        <v>-3748</v>
      </c>
      <c r="AI133" s="301">
        <f>-2833-900-34-AH133</f>
        <v>-19</v>
      </c>
      <c r="AJ133" s="298">
        <f>-2833-900-36-8-AH133-AI133</f>
        <v>-10</v>
      </c>
      <c r="AK133" s="301">
        <f>+AL133-AH133-AI133-AJ133</f>
        <v>-490</v>
      </c>
      <c r="AL133" s="366">
        <f>-2833-900-463-83+12</f>
        <v>-4267</v>
      </c>
      <c r="AM133" s="301">
        <f>-2428-164-28</f>
        <v>-2620</v>
      </c>
      <c r="AN133" s="301">
        <f>-2428-164-61-AM133</f>
        <v>-33</v>
      </c>
      <c r="AO133" s="296">
        <f>-2428-164-160+10-AN133-AM133</f>
        <v>-89</v>
      </c>
      <c r="AP133" s="298">
        <f>+AQ133-AM133-AN133-AO133</f>
        <v>329</v>
      </c>
      <c r="AQ133" s="366">
        <f>-2428-164+780-601</f>
        <v>-2413</v>
      </c>
      <c r="AR133" s="296">
        <f>-32+9</f>
        <v>-23</v>
      </c>
      <c r="AS133" s="301">
        <f>-298-49+14-AR133</f>
        <v>-310</v>
      </c>
      <c r="AT133" s="298">
        <f>-298-76+7-AS133-AR133</f>
        <v>-34</v>
      </c>
      <c r="AU133" s="298">
        <f>AV133-SUM(AR133:AT133)</f>
        <v>-92</v>
      </c>
      <c r="AV133" s="366">
        <f>-306-121-32</f>
        <v>-459</v>
      </c>
      <c r="AW133" s="298">
        <v>-30</v>
      </c>
      <c r="AX133" s="298">
        <f>-59+174-AW133</f>
        <v>145</v>
      </c>
      <c r="AY133" s="298">
        <f>-82+174-AX133-AW133</f>
        <v>-23</v>
      </c>
      <c r="AZ133" s="298">
        <f>BA133-SUM(AW133:AY133)</f>
        <v>-71</v>
      </c>
      <c r="BA133" s="366">
        <f>-3-109+133</f>
        <v>21</v>
      </c>
      <c r="BB133" s="298">
        <f>-24+85</f>
        <v>61</v>
      </c>
      <c r="BC133" s="298">
        <f>+-31+123-BB133</f>
        <v>31</v>
      </c>
      <c r="BD133" s="298">
        <f>186-81-BC133-BB133</f>
        <v>13</v>
      </c>
      <c r="BE133" s="298">
        <f>BF133-SUM(BB133:BD133)</f>
        <v>10</v>
      </c>
      <c r="BF133" s="366">
        <f>-88+203</f>
        <v>115</v>
      </c>
      <c r="BG133" s="298">
        <f>-9+68</f>
        <v>59</v>
      </c>
      <c r="BH133" s="298">
        <f>+-16+74-BG133</f>
        <v>-1</v>
      </c>
      <c r="BI133" s="298">
        <f>75-24-BH133-BG133</f>
        <v>-7</v>
      </c>
      <c r="BJ133" s="298">
        <f>BK133-SUM(BG133:BI133)</f>
        <v>-61</v>
      </c>
      <c r="BK133" s="366">
        <f>-86+76</f>
        <v>-10</v>
      </c>
      <c r="BL133" s="298">
        <v>55</v>
      </c>
      <c r="BM133" s="298">
        <f>+-4+75-BL133</f>
        <v>16</v>
      </c>
      <c r="BN133" s="298">
        <f>76-BM133-BL133</f>
        <v>5</v>
      </c>
      <c r="BO133" s="298">
        <f>BP133-SUM(BL133:BN133)</f>
        <v>9</v>
      </c>
      <c r="BP133" s="366">
        <v>85</v>
      </c>
      <c r="BQ133" s="596">
        <f>41-36</f>
        <v>5</v>
      </c>
      <c r="BR133" s="298">
        <f>-40+143-BQ133</f>
        <v>98</v>
      </c>
      <c r="BS133" s="298">
        <f>-45+143-BR133-BQ133</f>
        <v>-5</v>
      </c>
      <c r="BT133" s="298">
        <f>BU133-SUM(BQ133:BS133)</f>
        <v>108</v>
      </c>
      <c r="BU133" s="366">
        <f>267-61</f>
        <v>206</v>
      </c>
      <c r="BV133" s="298">
        <v>0</v>
      </c>
      <c r="BW133" s="298">
        <v>0</v>
      </c>
      <c r="BX133" s="298">
        <v>0</v>
      </c>
      <c r="BY133" s="298">
        <v>0</v>
      </c>
      <c r="BZ133" s="366">
        <f>SUM(BV133:BY133)</f>
        <v>0</v>
      </c>
      <c r="CA133" s="298">
        <v>0</v>
      </c>
      <c r="CB133" s="298">
        <v>0</v>
      </c>
      <c r="CC133" s="298">
        <v>0</v>
      </c>
      <c r="CD133" s="298">
        <v>0</v>
      </c>
      <c r="CE133" s="366">
        <f>SUM(CA133:CD133)</f>
        <v>0</v>
      </c>
      <c r="CF133" s="298">
        <v>0</v>
      </c>
      <c r="CG133" s="298">
        <v>0</v>
      </c>
      <c r="CH133" s="298">
        <v>0</v>
      </c>
      <c r="CI133" s="298">
        <v>0</v>
      </c>
      <c r="CJ133" s="366">
        <f>SUM(CF133:CI133)</f>
        <v>0</v>
      </c>
      <c r="CK133" s="298">
        <v>0</v>
      </c>
      <c r="CL133" s="298">
        <v>0</v>
      </c>
      <c r="CM133" s="298">
        <v>0</v>
      </c>
      <c r="CN133" s="298">
        <v>0</v>
      </c>
      <c r="CO133" s="366">
        <f>SUM(CK133:CN133)</f>
        <v>0</v>
      </c>
      <c r="CP133" s="298">
        <v>0</v>
      </c>
      <c r="CQ133" s="298">
        <v>0</v>
      </c>
      <c r="CR133" s="298">
        <v>0</v>
      </c>
      <c r="CS133" s="298">
        <v>0</v>
      </c>
      <c r="CT133" s="366">
        <f>SUM(CP133:CS133)</f>
        <v>0</v>
      </c>
      <c r="CU133" s="313"/>
      <c r="CV133" s="313"/>
    </row>
    <row r="134" spans="1:100" x14ac:dyDescent="0.2">
      <c r="A134" s="313"/>
      <c r="B134" s="377" t="s">
        <v>74</v>
      </c>
      <c r="C134" s="377"/>
      <c r="D134" s="429"/>
      <c r="E134" s="429"/>
      <c r="F134" s="429"/>
      <c r="G134" s="429"/>
      <c r="H134" s="434">
        <v>0</v>
      </c>
      <c r="I134" s="429"/>
      <c r="J134" s="429"/>
      <c r="K134" s="429"/>
      <c r="L134" s="429"/>
      <c r="M134" s="434">
        <v>214</v>
      </c>
      <c r="N134" s="429">
        <v>85</v>
      </c>
      <c r="O134" s="429">
        <f>180-N134</f>
        <v>95</v>
      </c>
      <c r="P134" s="429">
        <f>-11+285-O134-N134</f>
        <v>94</v>
      </c>
      <c r="Q134" s="429">
        <f>+R134-N134-O134-P134</f>
        <v>44</v>
      </c>
      <c r="R134" s="434">
        <v>318</v>
      </c>
      <c r="S134" s="429">
        <v>94</v>
      </c>
      <c r="T134" s="429">
        <f>192-S134</f>
        <v>98</v>
      </c>
      <c r="U134" s="429">
        <f>296-T134-S134</f>
        <v>104</v>
      </c>
      <c r="V134" s="429">
        <f>+W134-S134-T134-U134</f>
        <v>19</v>
      </c>
      <c r="W134" s="434">
        <v>315</v>
      </c>
      <c r="X134" s="429">
        <v>80</v>
      </c>
      <c r="Y134" s="429">
        <f>200-X134</f>
        <v>120</v>
      </c>
      <c r="Z134" s="429">
        <f>342-X134-Y134</f>
        <v>142</v>
      </c>
      <c r="AA134" s="429">
        <f>+AB134-X134-Y134-Z134</f>
        <v>16</v>
      </c>
      <c r="AB134" s="434">
        <v>358</v>
      </c>
      <c r="AC134" s="429">
        <v>0</v>
      </c>
      <c r="AD134" s="429">
        <f>0-AC134</f>
        <v>0</v>
      </c>
      <c r="AE134" s="429">
        <f>0-AC134-AD134</f>
        <v>0</v>
      </c>
      <c r="AF134" s="429">
        <f>+AG134-AC134-AD134-AE134</f>
        <v>0</v>
      </c>
      <c r="AG134" s="434">
        <v>0</v>
      </c>
      <c r="AH134" s="429">
        <v>-3</v>
      </c>
      <c r="AI134" s="429">
        <f>-10-AH134</f>
        <v>-7</v>
      </c>
      <c r="AJ134" s="299">
        <f>-12-AH134-AI134</f>
        <v>-2</v>
      </c>
      <c r="AK134" s="429">
        <f>+AL134-AH134-AI134-AJ134</f>
        <v>-5</v>
      </c>
      <c r="AL134" s="434">
        <v>-17</v>
      </c>
      <c r="AM134" s="429">
        <v>-1</v>
      </c>
      <c r="AN134" s="429">
        <f>-2-AM134</f>
        <v>-1</v>
      </c>
      <c r="AO134" s="297">
        <f>-3-AN134-AM134</f>
        <v>-1</v>
      </c>
      <c r="AP134" s="299">
        <f>+AQ134-AM134-AN134-AO134</f>
        <v>-13</v>
      </c>
      <c r="AQ134" s="434">
        <v>-16</v>
      </c>
      <c r="AR134" s="297">
        <v>13</v>
      </c>
      <c r="AS134" s="429">
        <f>13-AR134</f>
        <v>0</v>
      </c>
      <c r="AT134" s="299">
        <f>11-AS134-AR134</f>
        <v>-2</v>
      </c>
      <c r="AU134" s="299">
        <f>AV134-SUM(AR134:AT134)</f>
        <v>1</v>
      </c>
      <c r="AV134" s="434">
        <v>12</v>
      </c>
      <c r="AW134" s="299">
        <v>0</v>
      </c>
      <c r="AX134" s="299">
        <f>-13-3-AW134</f>
        <v>-16</v>
      </c>
      <c r="AY134" s="299">
        <f>-8-13-AX134-AW134</f>
        <v>-5</v>
      </c>
      <c r="AZ134" s="299">
        <f>BA134-SUM(AW134:AY134)</f>
        <v>0</v>
      </c>
      <c r="BA134" s="434">
        <v>-21</v>
      </c>
      <c r="BB134" s="299">
        <f>5</f>
        <v>5</v>
      </c>
      <c r="BC134" s="299">
        <f>5-BB134</f>
        <v>0</v>
      </c>
      <c r="BD134" s="299">
        <f>3-BC134-BB134</f>
        <v>-2</v>
      </c>
      <c r="BE134" s="299">
        <f>BF134-SUM(BB134:BD134)</f>
        <v>-13</v>
      </c>
      <c r="BF134" s="434">
        <v>-10</v>
      </c>
      <c r="BG134" s="299">
        <v>0</v>
      </c>
      <c r="BH134" s="299">
        <f>-3-BG134</f>
        <v>-3</v>
      </c>
      <c r="BI134" s="299">
        <f>-3-568-BH134-BG134</f>
        <v>-568</v>
      </c>
      <c r="BJ134" s="299">
        <f>BK134-SUM(BG134:BI134)</f>
        <v>-2</v>
      </c>
      <c r="BK134" s="434">
        <f>-5-568</f>
        <v>-573</v>
      </c>
      <c r="BL134" s="299">
        <v>0</v>
      </c>
      <c r="BM134" s="299">
        <f>1-BL134</f>
        <v>1</v>
      </c>
      <c r="BN134" s="299">
        <f>9-16-BM134-BL134</f>
        <v>-8</v>
      </c>
      <c r="BO134" s="299">
        <f>BP134-SUM(BL134:BN134)</f>
        <v>-205</v>
      </c>
      <c r="BP134" s="434">
        <f>BP135-BP130-BP131-BP132-BP133</f>
        <v>-212</v>
      </c>
      <c r="BQ134" s="603">
        <v>1</v>
      </c>
      <c r="BR134" s="299">
        <f>8-BQ134</f>
        <v>7</v>
      </c>
      <c r="BS134" s="299">
        <f>9-BR134-BQ134</f>
        <v>1</v>
      </c>
      <c r="BT134" s="299">
        <f>BU134-SUM(BQ134:BS134)</f>
        <v>20</v>
      </c>
      <c r="BU134" s="434">
        <v>29</v>
      </c>
      <c r="BV134" s="299">
        <f>+BU78-BV78</f>
        <v>10.210000000000036</v>
      </c>
      <c r="BW134" s="299">
        <f>+BV78-BW78</f>
        <v>10.158950000000004</v>
      </c>
      <c r="BX134" s="299">
        <f>+BW78-BX78</f>
        <v>10.108155249999982</v>
      </c>
      <c r="BY134" s="299">
        <f>+BX78-BY78</f>
        <v>10.057614473749936</v>
      </c>
      <c r="BZ134" s="434">
        <f>+SUM(BV134:BY134)</f>
        <v>40.534719723749959</v>
      </c>
      <c r="CA134" s="299">
        <f>+BZ78-CA78</f>
        <v>10.007326401381306</v>
      </c>
      <c r="CB134" s="299">
        <f>+CA78-CB78</f>
        <v>9.9572897693742561</v>
      </c>
      <c r="CC134" s="299">
        <f>+CB78-CC78</f>
        <v>9.9075033205274394</v>
      </c>
      <c r="CD134" s="299">
        <f>+CC78-CD78</f>
        <v>9.8579658039247988</v>
      </c>
      <c r="CE134" s="434">
        <f>+SUM(CA134:CD134)</f>
        <v>39.7300852952078</v>
      </c>
      <c r="CF134" s="299">
        <f>+CE78-CF78</f>
        <v>9.8086759749053272</v>
      </c>
      <c r="CG134" s="299">
        <f>+CF78-CG78</f>
        <v>9.7596325950307801</v>
      </c>
      <c r="CH134" s="299">
        <f>+CG78-CH78</f>
        <v>9.7108344320554352</v>
      </c>
      <c r="CI134" s="299">
        <f>+CH78-CI78</f>
        <v>9.6622802598951694</v>
      </c>
      <c r="CJ134" s="434">
        <f>+SUM(CF134:CI134)</f>
        <v>38.941423261886712</v>
      </c>
      <c r="CK134" s="299">
        <f>+CJ78-CK78</f>
        <v>9.6139688585958538</v>
      </c>
      <c r="CL134" s="299">
        <f>+CK78-CL78</f>
        <v>9.5658990143028859</v>
      </c>
      <c r="CM134" s="299">
        <f>+CL78-CM78</f>
        <v>9.5180695192314033</v>
      </c>
      <c r="CN134" s="299">
        <f>+CM78-CN78</f>
        <v>9.4704791716351338</v>
      </c>
      <c r="CO134" s="434">
        <f>+SUM(CK134:CN134)</f>
        <v>38.168416563765277</v>
      </c>
      <c r="CP134" s="299">
        <f>+CO78-CP78</f>
        <v>9.4231267757770638</v>
      </c>
      <c r="CQ134" s="299">
        <f>+CP78-CQ78</f>
        <v>9.3760111418980614</v>
      </c>
      <c r="CR134" s="299">
        <f>+CQ78-CR78</f>
        <v>9.3291310861886814</v>
      </c>
      <c r="CS134" s="299">
        <f>+CR78-CS78</f>
        <v>9.2824854307575606</v>
      </c>
      <c r="CT134" s="434">
        <f>+SUM(CP134:CS134)</f>
        <v>37.410754434621367</v>
      </c>
      <c r="CU134" s="313"/>
      <c r="CV134" s="313"/>
    </row>
    <row r="135" spans="1:100" x14ac:dyDescent="0.2">
      <c r="A135" s="59" t="s">
        <v>128</v>
      </c>
      <c r="B135" s="91"/>
      <c r="C135" s="91"/>
      <c r="D135" s="61"/>
      <c r="E135" s="61"/>
      <c r="F135" s="61"/>
      <c r="G135" s="61"/>
      <c r="H135" s="51">
        <f t="shared" ref="H135:AK135" si="232">SUM(H130:H134)</f>
        <v>-2330</v>
      </c>
      <c r="I135" s="61"/>
      <c r="J135" s="61"/>
      <c r="K135" s="61"/>
      <c r="L135" s="61"/>
      <c r="M135" s="51">
        <f t="shared" si="232"/>
        <v>-3517</v>
      </c>
      <c r="N135" s="60">
        <f t="shared" si="232"/>
        <v>327</v>
      </c>
      <c r="O135" s="61">
        <f t="shared" si="232"/>
        <v>-358</v>
      </c>
      <c r="P135" s="61">
        <f t="shared" si="232"/>
        <v>-96</v>
      </c>
      <c r="Q135" s="61">
        <f>SUM(Q130:Q134)</f>
        <v>-67</v>
      </c>
      <c r="R135" s="51">
        <f>SUM(R130:R134)</f>
        <v>-194</v>
      </c>
      <c r="S135" s="92">
        <f t="shared" si="232"/>
        <v>-198</v>
      </c>
      <c r="T135" s="61">
        <f t="shared" si="232"/>
        <v>-865</v>
      </c>
      <c r="U135" s="61">
        <f t="shared" si="232"/>
        <v>-886</v>
      </c>
      <c r="V135" s="61">
        <f>SUM(V130:V134)</f>
        <v>-1795</v>
      </c>
      <c r="W135" s="51">
        <f t="shared" si="232"/>
        <v>-3744</v>
      </c>
      <c r="X135" s="61">
        <f t="shared" si="232"/>
        <v>236</v>
      </c>
      <c r="Y135" s="61">
        <f t="shared" si="232"/>
        <v>126</v>
      </c>
      <c r="Z135" s="61">
        <f>SUM(Z130:Z134)</f>
        <v>-2138</v>
      </c>
      <c r="AA135" s="61">
        <f>SUM(AA130:AA134)</f>
        <v>-891</v>
      </c>
      <c r="AB135" s="51">
        <f t="shared" si="232"/>
        <v>-2667</v>
      </c>
      <c r="AC135" s="61">
        <f t="shared" si="232"/>
        <v>-310</v>
      </c>
      <c r="AD135" s="61">
        <f t="shared" si="232"/>
        <v>-486</v>
      </c>
      <c r="AE135" s="61">
        <f t="shared" si="232"/>
        <v>-449</v>
      </c>
      <c r="AF135" s="61">
        <f t="shared" si="232"/>
        <v>-1156</v>
      </c>
      <c r="AG135" s="51">
        <f t="shared" si="232"/>
        <v>-2401</v>
      </c>
      <c r="AH135" s="61">
        <f t="shared" si="232"/>
        <v>-4011</v>
      </c>
      <c r="AI135" s="61">
        <f t="shared" si="232"/>
        <v>-734</v>
      </c>
      <c r="AJ135" s="60">
        <f t="shared" ref="AJ135:BL135" si="233">SUM(AJ130:AJ134)</f>
        <v>-699</v>
      </c>
      <c r="AK135" s="61">
        <f t="shared" si="232"/>
        <v>-2224</v>
      </c>
      <c r="AL135" s="51">
        <f t="shared" si="233"/>
        <v>-7668</v>
      </c>
      <c r="AM135" s="61">
        <f t="shared" si="233"/>
        <v>-2979</v>
      </c>
      <c r="AN135" s="61">
        <f t="shared" si="233"/>
        <v>-873</v>
      </c>
      <c r="AO135" s="62">
        <f t="shared" si="233"/>
        <v>-843</v>
      </c>
      <c r="AP135" s="60">
        <f t="shared" si="233"/>
        <v>-923</v>
      </c>
      <c r="AQ135" s="51">
        <f t="shared" si="233"/>
        <v>-5618</v>
      </c>
      <c r="AR135" s="62">
        <f t="shared" si="233"/>
        <v>-257</v>
      </c>
      <c r="AS135" s="61">
        <f t="shared" si="233"/>
        <v>-881</v>
      </c>
      <c r="AT135" s="60">
        <f t="shared" si="233"/>
        <v>-590</v>
      </c>
      <c r="AU135" s="60">
        <f t="shared" si="233"/>
        <v>-1277</v>
      </c>
      <c r="AV135" s="51">
        <f t="shared" si="233"/>
        <v>-3005</v>
      </c>
      <c r="AW135" s="60">
        <f t="shared" si="233"/>
        <v>-285</v>
      </c>
      <c r="AX135" s="60">
        <f t="shared" si="233"/>
        <v>-501</v>
      </c>
      <c r="AY135" s="60">
        <f t="shared" si="233"/>
        <v>-592</v>
      </c>
      <c r="AZ135" s="60">
        <f t="shared" si="233"/>
        <v>-1247</v>
      </c>
      <c r="BA135" s="51">
        <f t="shared" si="233"/>
        <v>-2625</v>
      </c>
      <c r="BB135" s="60">
        <f>SUM(BB130:BB134)</f>
        <v>-223</v>
      </c>
      <c r="BC135" s="60">
        <f>SUM(BC130:BC134)</f>
        <v>-3939</v>
      </c>
      <c r="BD135" s="60">
        <f t="shared" si="233"/>
        <v>-2516</v>
      </c>
      <c r="BE135" s="60">
        <f>SUM(BE130:BE134)</f>
        <v>1741</v>
      </c>
      <c r="BF135" s="51">
        <f>SUM(BF130:BF134)</f>
        <v>-4937</v>
      </c>
      <c r="BG135" s="60">
        <f>SUM(BG130:BG134)</f>
        <v>320</v>
      </c>
      <c r="BH135" s="60">
        <f t="shared" si="233"/>
        <v>-478</v>
      </c>
      <c r="BI135" s="60">
        <f>SUM(BI130:BI134)</f>
        <v>-1148</v>
      </c>
      <c r="BJ135" s="60">
        <f>SUM(BJ130:BJ134)</f>
        <v>-2263</v>
      </c>
      <c r="BK135" s="51">
        <f>SUM(BK130:BK134)</f>
        <v>-3569</v>
      </c>
      <c r="BL135" s="60">
        <f t="shared" si="233"/>
        <v>-1412</v>
      </c>
      <c r="BM135" s="60">
        <f>SUM(BM130:BM134)</f>
        <v>-196</v>
      </c>
      <c r="BN135" s="60">
        <f>SUM(BN130:BN134)</f>
        <v>-1423</v>
      </c>
      <c r="BO135" s="60">
        <f>SUM(BO130:BO134)</f>
        <v>-4117</v>
      </c>
      <c r="BP135" s="51">
        <v>-7148</v>
      </c>
      <c r="BQ135" s="587">
        <f t="shared" ref="BQ135:BU135" si="234">SUM(BQ130:BQ134)</f>
        <v>269</v>
      </c>
      <c r="BR135" s="60">
        <f>SUM(BR130:BR134)</f>
        <v>-840</v>
      </c>
      <c r="BS135" s="60">
        <f t="shared" si="234"/>
        <v>-1707</v>
      </c>
      <c r="BT135" s="60">
        <f>SUM(BT130:BT134)</f>
        <v>-2125</v>
      </c>
      <c r="BU135" s="51">
        <f t="shared" si="234"/>
        <v>-4403</v>
      </c>
      <c r="BV135" s="60">
        <f t="shared" ref="BV135:CE135" si="235">SUM(BV130:BV134)</f>
        <v>-431.14277613414151</v>
      </c>
      <c r="BW135" s="60">
        <f t="shared" si="235"/>
        <v>-716.83600194808821</v>
      </c>
      <c r="BX135" s="60">
        <f t="shared" si="235"/>
        <v>-758.57743902433117</v>
      </c>
      <c r="BY135" s="60">
        <f t="shared" si="235"/>
        <v>-1663.6091352683588</v>
      </c>
      <c r="BZ135" s="51">
        <f t="shared" si="235"/>
        <v>-3570.1653523749201</v>
      </c>
      <c r="CA135" s="60">
        <f t="shared" si="235"/>
        <v>-328.3831114959782</v>
      </c>
      <c r="CB135" s="60">
        <f t="shared" si="235"/>
        <v>-588.67880360234813</v>
      </c>
      <c r="CC135" s="60">
        <f t="shared" si="235"/>
        <v>-626.02299747045504</v>
      </c>
      <c r="CD135" s="60">
        <f t="shared" si="235"/>
        <v>-1590.7833801196937</v>
      </c>
      <c r="CE135" s="51">
        <f t="shared" si="235"/>
        <v>-3133.8682926884749</v>
      </c>
      <c r="CF135" s="60">
        <f t="shared" ref="CF135:CO135" si="236">SUM(CF130:CF134)</f>
        <v>-325.03929397361622</v>
      </c>
      <c r="CG135" s="60">
        <f t="shared" si="236"/>
        <v>-589.65163087928772</v>
      </c>
      <c r="CH135" s="60">
        <f t="shared" si="236"/>
        <v>-627.12763385688447</v>
      </c>
      <c r="CI135" s="60">
        <f t="shared" si="236"/>
        <v>-1618.3795338995744</v>
      </c>
      <c r="CJ135" s="51">
        <f t="shared" si="236"/>
        <v>-3160.1980926093629</v>
      </c>
      <c r="CK135" s="60">
        <f t="shared" si="236"/>
        <v>-321.28547367093324</v>
      </c>
      <c r="CL135" s="60">
        <f t="shared" si="236"/>
        <v>-590.27435454979934</v>
      </c>
      <c r="CM135" s="60">
        <f t="shared" si="236"/>
        <v>-627.90197130873742</v>
      </c>
      <c r="CN135" s="60">
        <f t="shared" si="236"/>
        <v>-1646.5596466323509</v>
      </c>
      <c r="CO135" s="51">
        <f t="shared" si="236"/>
        <v>-3186.0214461618207</v>
      </c>
      <c r="CP135" s="60">
        <f>SUM(CP130:CP134)</f>
        <v>-317.09400221717675</v>
      </c>
      <c r="CQ135" s="60">
        <f>SUM(CQ130:CQ134)</f>
        <v>-590.51539186518482</v>
      </c>
      <c r="CR135" s="60">
        <f>SUM(CR130:CR134)</f>
        <v>-628.31445441749474</v>
      </c>
      <c r="CS135" s="60">
        <f>SUM(CS130:CS134)</f>
        <v>-1675.3270003979389</v>
      </c>
      <c r="CT135" s="51">
        <f>SUM(CT130:CT134)</f>
        <v>-3211.2508488977955</v>
      </c>
      <c r="CU135" s="59"/>
      <c r="CV135" s="59"/>
    </row>
    <row r="136" spans="1:100" ht="5.0999999999999996" customHeight="1" x14ac:dyDescent="0.2">
      <c r="A136" s="313"/>
      <c r="B136" s="377"/>
      <c r="C136" s="377"/>
      <c r="D136" s="330"/>
      <c r="E136" s="330"/>
      <c r="F136" s="330"/>
      <c r="G136" s="330"/>
      <c r="H136" s="331"/>
      <c r="I136" s="330"/>
      <c r="J136" s="330"/>
      <c r="K136" s="330"/>
      <c r="L136" s="330"/>
      <c r="M136" s="331"/>
      <c r="N136" s="330"/>
      <c r="O136" s="332"/>
      <c r="P136" s="332"/>
      <c r="Q136" s="332"/>
      <c r="R136" s="331"/>
      <c r="S136" s="301"/>
      <c r="T136" s="332"/>
      <c r="U136" s="332"/>
      <c r="V136" s="332"/>
      <c r="W136" s="331"/>
      <c r="X136" s="332"/>
      <c r="Y136" s="332"/>
      <c r="Z136" s="332"/>
      <c r="AA136" s="332"/>
      <c r="AB136" s="331"/>
      <c r="AC136" s="332"/>
      <c r="AD136" s="332"/>
      <c r="AE136" s="332"/>
      <c r="AF136" s="332"/>
      <c r="AG136" s="331"/>
      <c r="AH136" s="332"/>
      <c r="AI136" s="332"/>
      <c r="AJ136" s="330"/>
      <c r="AK136" s="330"/>
      <c r="AL136" s="331"/>
      <c r="AM136" s="330"/>
      <c r="AN136" s="330"/>
      <c r="AO136" s="333"/>
      <c r="AP136" s="330"/>
      <c r="AQ136" s="331"/>
      <c r="AR136" s="333"/>
      <c r="AS136" s="332"/>
      <c r="AT136" s="330"/>
      <c r="AU136" s="330"/>
      <c r="AV136" s="331"/>
      <c r="AW136" s="330"/>
      <c r="AX136" s="330"/>
      <c r="AY136" s="330"/>
      <c r="AZ136" s="330"/>
      <c r="BA136" s="331"/>
      <c r="BB136" s="330"/>
      <c r="BC136" s="330"/>
      <c r="BD136" s="330"/>
      <c r="BE136" s="330"/>
      <c r="BF136" s="331"/>
      <c r="BG136" s="330"/>
      <c r="BH136" s="330"/>
      <c r="BI136" s="330"/>
      <c r="BJ136" s="330"/>
      <c r="BK136" s="331"/>
      <c r="BL136" s="330"/>
      <c r="BM136" s="330"/>
      <c r="BN136" s="330"/>
      <c r="BO136" s="330"/>
      <c r="BP136" s="331"/>
      <c r="BQ136" s="578"/>
      <c r="BR136" s="330"/>
      <c r="BS136" s="330"/>
      <c r="BT136" s="330"/>
      <c r="BU136" s="331"/>
      <c r="BV136" s="330"/>
      <c r="BW136" s="330"/>
      <c r="BX136" s="330"/>
      <c r="BY136" s="330"/>
      <c r="BZ136" s="331"/>
      <c r="CA136" s="330"/>
      <c r="CB136" s="330"/>
      <c r="CC136" s="330"/>
      <c r="CD136" s="330"/>
      <c r="CE136" s="331"/>
      <c r="CF136" s="330"/>
      <c r="CG136" s="330"/>
      <c r="CH136" s="330"/>
      <c r="CI136" s="330"/>
      <c r="CJ136" s="331"/>
      <c r="CK136" s="330"/>
      <c r="CL136" s="330"/>
      <c r="CM136" s="330"/>
      <c r="CN136" s="330"/>
      <c r="CO136" s="331"/>
      <c r="CP136" s="330"/>
      <c r="CQ136" s="330"/>
      <c r="CR136" s="330"/>
      <c r="CS136" s="330"/>
      <c r="CT136" s="331"/>
      <c r="CU136" s="313"/>
      <c r="CV136" s="313"/>
    </row>
    <row r="137" spans="1:100" x14ac:dyDescent="0.2">
      <c r="A137" s="313" t="s">
        <v>129</v>
      </c>
      <c r="B137" s="377"/>
      <c r="C137" s="377"/>
      <c r="D137" s="330"/>
      <c r="E137" s="330"/>
      <c r="F137" s="330"/>
      <c r="G137" s="330"/>
      <c r="H137" s="331"/>
      <c r="I137" s="330"/>
      <c r="J137" s="330"/>
      <c r="K137" s="330"/>
      <c r="L137" s="330"/>
      <c r="M137" s="331"/>
      <c r="N137" s="330"/>
      <c r="O137" s="332"/>
      <c r="P137" s="332"/>
      <c r="Q137" s="332"/>
      <c r="R137" s="331"/>
      <c r="S137" s="301"/>
      <c r="T137" s="332"/>
      <c r="U137" s="332"/>
      <c r="V137" s="332"/>
      <c r="W137" s="331"/>
      <c r="X137" s="332"/>
      <c r="Y137" s="332"/>
      <c r="Z137" s="332"/>
      <c r="AA137" s="332"/>
      <c r="AB137" s="331"/>
      <c r="AC137" s="332"/>
      <c r="AD137" s="332"/>
      <c r="AE137" s="332"/>
      <c r="AF137" s="332"/>
      <c r="AG137" s="331"/>
      <c r="AH137" s="332"/>
      <c r="AI137" s="332"/>
      <c r="AJ137" s="330"/>
      <c r="AK137" s="330"/>
      <c r="AL137" s="331"/>
      <c r="AM137" s="330"/>
      <c r="AN137" s="330"/>
      <c r="AO137" s="333"/>
      <c r="AP137" s="330"/>
      <c r="AQ137" s="331"/>
      <c r="AR137" s="333"/>
      <c r="AS137" s="332"/>
      <c r="AT137" s="330"/>
      <c r="AU137" s="330"/>
      <c r="AV137" s="331"/>
      <c r="AW137" s="330"/>
      <c r="AX137" s="330"/>
      <c r="AY137" s="330"/>
      <c r="AZ137" s="330"/>
      <c r="BA137" s="331"/>
      <c r="BB137" s="330"/>
      <c r="BC137" s="330"/>
      <c r="BD137" s="330"/>
      <c r="BE137" s="330"/>
      <c r="BF137" s="331"/>
      <c r="BG137" s="330"/>
      <c r="BH137" s="330"/>
      <c r="BI137" s="330"/>
      <c r="BJ137" s="330"/>
      <c r="BK137" s="331"/>
      <c r="BL137" s="330"/>
      <c r="BM137" s="330"/>
      <c r="BN137" s="330"/>
      <c r="BO137" s="330"/>
      <c r="BP137" s="331"/>
      <c r="BQ137" s="578"/>
      <c r="BR137" s="330"/>
      <c r="BS137" s="330"/>
      <c r="BT137" s="330"/>
      <c r="BU137" s="331"/>
      <c r="BV137" s="330"/>
      <c r="BW137" s="330"/>
      <c r="BX137" s="330"/>
      <c r="BY137" s="330"/>
      <c r="BZ137" s="331"/>
      <c r="CA137" s="330"/>
      <c r="CB137" s="330"/>
      <c r="CC137" s="330"/>
      <c r="CD137" s="330"/>
      <c r="CE137" s="331"/>
      <c r="CF137" s="330"/>
      <c r="CG137" s="330"/>
      <c r="CH137" s="330"/>
      <c r="CI137" s="330"/>
      <c r="CJ137" s="331"/>
      <c r="CK137" s="330"/>
      <c r="CL137" s="330"/>
      <c r="CM137" s="330"/>
      <c r="CN137" s="330"/>
      <c r="CO137" s="331"/>
      <c r="CP137" s="330"/>
      <c r="CQ137" s="330"/>
      <c r="CR137" s="330"/>
      <c r="CS137" s="330"/>
      <c r="CT137" s="331"/>
      <c r="CU137" s="313"/>
      <c r="CV137" s="313"/>
    </row>
    <row r="138" spans="1:100" x14ac:dyDescent="0.2">
      <c r="A138" s="313"/>
      <c r="B138" s="377" t="s">
        <v>130</v>
      </c>
      <c r="C138" s="377"/>
      <c r="D138" s="298"/>
      <c r="E138" s="298"/>
      <c r="F138" s="298"/>
      <c r="G138" s="298"/>
      <c r="H138" s="331">
        <v>-8</v>
      </c>
      <c r="I138" s="298"/>
      <c r="J138" s="298"/>
      <c r="K138" s="298"/>
      <c r="L138" s="298"/>
      <c r="M138" s="331">
        <v>-152</v>
      </c>
      <c r="N138" s="298">
        <v>-22</v>
      </c>
      <c r="O138" s="301">
        <v>-4</v>
      </c>
      <c r="P138" s="301">
        <v>-85</v>
      </c>
      <c r="Q138" s="301">
        <f>+R138-N138-O138-P138</f>
        <v>5</v>
      </c>
      <c r="R138" s="331">
        <f>51-157</f>
        <v>-106</v>
      </c>
      <c r="S138" s="301">
        <v>-26</v>
      </c>
      <c r="T138" s="301">
        <v>497</v>
      </c>
      <c r="U138" s="301">
        <v>-8</v>
      </c>
      <c r="V138" s="301">
        <f>+W138-S138-T138-U138</f>
        <v>1126</v>
      </c>
      <c r="W138" s="331">
        <f>2168-579</f>
        <v>1589</v>
      </c>
      <c r="X138" s="301">
        <v>-254</v>
      </c>
      <c r="Y138" s="301">
        <f>1733-437-X138</f>
        <v>1550</v>
      </c>
      <c r="Z138" s="301">
        <f>1733-488-X138-Y138</f>
        <v>-51</v>
      </c>
      <c r="AA138" s="301">
        <f>+AB138-X138-Y138-Z138</f>
        <v>1825</v>
      </c>
      <c r="AB138" s="331">
        <f>3719-649</f>
        <v>3070</v>
      </c>
      <c r="AC138" s="301">
        <f>1044-39</f>
        <v>1005</v>
      </c>
      <c r="AD138" s="301">
        <f>1053-151-AC138</f>
        <v>-103</v>
      </c>
      <c r="AE138" s="301">
        <f>1057-188-AC138-AD138</f>
        <v>-33</v>
      </c>
      <c r="AF138" s="301">
        <f>+AG138-AC138-AD138-AE138</f>
        <v>-38</v>
      </c>
      <c r="AG138" s="331">
        <f>1057-226</f>
        <v>831</v>
      </c>
      <c r="AH138" s="301">
        <f>4216-7</f>
        <v>4209</v>
      </c>
      <c r="AI138" s="301">
        <f>4216-26-AH138</f>
        <v>-19</v>
      </c>
      <c r="AJ138" s="298">
        <f>4215-73-AH138-AI138</f>
        <v>-48</v>
      </c>
      <c r="AK138" s="301">
        <f>+AL138-AH138-AI138-AJ138</f>
        <v>1750</v>
      </c>
      <c r="AL138" s="331">
        <f>6451-59-500</f>
        <v>5892</v>
      </c>
      <c r="AM138" s="298">
        <f>9-10</f>
        <v>-1</v>
      </c>
      <c r="AN138" s="298">
        <f>1754-285-AM138</f>
        <v>1470</v>
      </c>
      <c r="AO138" s="296">
        <f>3000-1596-771-AN138-AM138</f>
        <v>-836</v>
      </c>
      <c r="AP138" s="298">
        <f>+AQ138-AM138-AN138-AO138</f>
        <v>0</v>
      </c>
      <c r="AQ138" s="331">
        <f>3000-1596-771</f>
        <v>633</v>
      </c>
      <c r="AR138" s="296">
        <f>2733-9</f>
        <v>2724</v>
      </c>
      <c r="AS138" s="301">
        <f>2733-1034-AR138</f>
        <v>-1025</v>
      </c>
      <c r="AT138" s="296">
        <f>5207-1357-AS138-AR138</f>
        <v>2151</v>
      </c>
      <c r="AU138" s="298">
        <f>AV138-SUM(AR138:AT138)</f>
        <v>-300</v>
      </c>
      <c r="AV138" s="331">
        <f>5999-2449</f>
        <v>3550</v>
      </c>
      <c r="AW138" s="298">
        <f>2491-1190</f>
        <v>1301</v>
      </c>
      <c r="AX138" s="298">
        <f>2491-1945-AW138</f>
        <v>-755</v>
      </c>
      <c r="AY138" s="298">
        <f>4185-2954-AX138-AW138</f>
        <v>685</v>
      </c>
      <c r="AZ138" s="298">
        <f>BA138-SUM(AW138:AY138)</f>
        <v>-930</v>
      </c>
      <c r="BA138" s="331">
        <f>4195-3894</f>
        <v>301</v>
      </c>
      <c r="BB138" s="298">
        <f>1990-1652</f>
        <v>338</v>
      </c>
      <c r="BC138" s="298">
        <f>3364-1655-BB138</f>
        <v>1371</v>
      </c>
      <c r="BD138" s="298">
        <f>3364-2186-BC138-BB138</f>
        <v>-531</v>
      </c>
      <c r="BE138" s="298">
        <f>BF138-SUM(BB138:BD138)</f>
        <v>488</v>
      </c>
      <c r="BF138" s="331">
        <f>3855-2189</f>
        <v>1666</v>
      </c>
      <c r="BG138" s="298">
        <v>-2052</v>
      </c>
      <c r="BH138" s="298">
        <f>2487-2054-BG138</f>
        <v>2485</v>
      </c>
      <c r="BI138" s="298">
        <f>5719-4066-BH138-BG138</f>
        <v>1220</v>
      </c>
      <c r="BJ138" s="298">
        <f>BK138-SUM(BG138:BI138)</f>
        <v>2954</v>
      </c>
      <c r="BK138" s="331">
        <f>8702-4095</f>
        <v>4607</v>
      </c>
      <c r="BL138" s="298">
        <f>2532-1251</f>
        <v>1281</v>
      </c>
      <c r="BM138" s="298">
        <f>2532-3083-BL138</f>
        <v>-1832</v>
      </c>
      <c r="BN138" s="298">
        <f>3355-3085-BM138-BL138</f>
        <v>821</v>
      </c>
      <c r="BO138" s="298">
        <f>BP138-SUM(BL138:BN138)</f>
        <v>1939</v>
      </c>
      <c r="BP138" s="331">
        <f>7818-3105-2504</f>
        <v>2209</v>
      </c>
      <c r="BQ138" s="596">
        <v>-752</v>
      </c>
      <c r="BR138" s="298">
        <f>3525-1003-BQ138</f>
        <v>3274</v>
      </c>
      <c r="BS138" s="298">
        <f>3525-3256-BR138-BQ138</f>
        <v>-2253</v>
      </c>
      <c r="BT138" s="298">
        <f>BU138-SUM(BQ138:BS138)</f>
        <v>2834</v>
      </c>
      <c r="BU138" s="331">
        <f>7509-4406</f>
        <v>3103</v>
      </c>
      <c r="BV138" s="298">
        <f>BV89-BU89</f>
        <v>0</v>
      </c>
      <c r="BW138" s="298">
        <f>BW89-BV89</f>
        <v>-2000</v>
      </c>
      <c r="BX138" s="298">
        <f>BX89-BW89</f>
        <v>0</v>
      </c>
      <c r="BY138" s="298">
        <f>BY89-BX89</f>
        <v>0</v>
      </c>
      <c r="BZ138" s="331">
        <f>+SUM(BV138:BY138)</f>
        <v>-2000</v>
      </c>
      <c r="CA138" s="298">
        <f>CA89-BZ89</f>
        <v>0</v>
      </c>
      <c r="CB138" s="298">
        <f>CB89-CA89</f>
        <v>-2000</v>
      </c>
      <c r="CC138" s="298">
        <f>CC89-CB89</f>
        <v>0</v>
      </c>
      <c r="CD138" s="298">
        <f>CD89-CC89</f>
        <v>0</v>
      </c>
      <c r="CE138" s="331">
        <f>+SUM(CA138:CD138)</f>
        <v>-2000</v>
      </c>
      <c r="CF138" s="298">
        <f>CF89-CE89</f>
        <v>0</v>
      </c>
      <c r="CG138" s="298">
        <f>CG89-CF89</f>
        <v>-2000</v>
      </c>
      <c r="CH138" s="298">
        <f>CH89-CG89</f>
        <v>0</v>
      </c>
      <c r="CI138" s="298">
        <f>CI89-CH89</f>
        <v>0</v>
      </c>
      <c r="CJ138" s="331">
        <f>+SUM(CF138:CI138)</f>
        <v>-2000</v>
      </c>
      <c r="CK138" s="298">
        <f>CK89-CJ89</f>
        <v>0</v>
      </c>
      <c r="CL138" s="298">
        <f>CL89-CK89</f>
        <v>-2000</v>
      </c>
      <c r="CM138" s="298">
        <f>CM89-CL89</f>
        <v>0</v>
      </c>
      <c r="CN138" s="298">
        <f>CN89-CM89</f>
        <v>0</v>
      </c>
      <c r="CO138" s="331">
        <f>+SUM(CK138:CN138)</f>
        <v>-2000</v>
      </c>
      <c r="CP138" s="298">
        <f>CP89-CO89</f>
        <v>0</v>
      </c>
      <c r="CQ138" s="298">
        <f>CQ89-CP89</f>
        <v>-2000</v>
      </c>
      <c r="CR138" s="298">
        <f>CR89-CQ89</f>
        <v>0</v>
      </c>
      <c r="CS138" s="298">
        <f>CS89-CR89</f>
        <v>0</v>
      </c>
      <c r="CT138" s="331">
        <f>+SUM(CP138:CS138)</f>
        <v>-2000</v>
      </c>
      <c r="CU138" s="313"/>
      <c r="CV138" s="313"/>
    </row>
    <row r="139" spans="1:100" x14ac:dyDescent="0.2">
      <c r="A139" s="313"/>
      <c r="B139" s="377" t="s">
        <v>131</v>
      </c>
      <c r="C139" s="377"/>
      <c r="D139" s="298"/>
      <c r="E139" s="298"/>
      <c r="F139" s="298"/>
      <c r="G139" s="298"/>
      <c r="H139" s="331">
        <v>1112</v>
      </c>
      <c r="I139" s="298"/>
      <c r="J139" s="298"/>
      <c r="K139" s="298"/>
      <c r="L139" s="298"/>
      <c r="M139" s="331">
        <v>1848</v>
      </c>
      <c r="N139" s="298">
        <v>-691</v>
      </c>
      <c r="O139" s="301">
        <v>-809</v>
      </c>
      <c r="P139" s="301">
        <v>-534</v>
      </c>
      <c r="Q139" s="301">
        <f>+R139-N139-O139-P139</f>
        <v>-307</v>
      </c>
      <c r="R139" s="331">
        <f>185-358-2168</f>
        <v>-2341</v>
      </c>
      <c r="S139" s="301">
        <v>14</v>
      </c>
      <c r="T139" s="301">
        <v>252</v>
      </c>
      <c r="U139" s="301">
        <v>-668</v>
      </c>
      <c r="V139" s="301">
        <f>+W139-S139-T139-U139</f>
        <v>7</v>
      </c>
      <c r="W139" s="331">
        <f>83-133-345</f>
        <v>-395</v>
      </c>
      <c r="X139" s="301">
        <f>48-49+1979</f>
        <v>1978</v>
      </c>
      <c r="Y139" s="301">
        <f>64-117+758-X139</f>
        <v>-1273</v>
      </c>
      <c r="Z139" s="301">
        <f>42-120+2080-X139-Y139</f>
        <v>1297</v>
      </c>
      <c r="AA139" s="301">
        <f>+AB139-X139-Y139-Z139</f>
        <v>-1557</v>
      </c>
      <c r="AB139" s="331">
        <f>89-269+625</f>
        <v>445</v>
      </c>
      <c r="AC139" s="301">
        <f>12-45+362</f>
        <v>329</v>
      </c>
      <c r="AD139" s="301">
        <f>33-64-196-AC139</f>
        <v>-556</v>
      </c>
      <c r="AE139" s="301">
        <f>32-64-965-AC139-AD139</f>
        <v>-770</v>
      </c>
      <c r="AF139" s="301">
        <f>+AG139-AC139-AD139-AE139</f>
        <v>-21</v>
      </c>
      <c r="AG139" s="331">
        <f>26-81-963</f>
        <v>-1018</v>
      </c>
      <c r="AH139" s="301">
        <f>21-3+1010</f>
        <v>1028</v>
      </c>
      <c r="AI139" s="301">
        <f>31-19+3329-AH139</f>
        <v>2313</v>
      </c>
      <c r="AJ139" s="298">
        <f>3379-AH139-AI139</f>
        <v>38</v>
      </c>
      <c r="AK139" s="301">
        <f>+AL139-AH139-AI139-AJ139</f>
        <v>-897</v>
      </c>
      <c r="AL139" s="331">
        <v>2482</v>
      </c>
      <c r="AM139" s="298">
        <v>1117</v>
      </c>
      <c r="AN139" s="298">
        <f>-262-AM139</f>
        <v>-1379</v>
      </c>
      <c r="AO139" s="296">
        <f>56-AN139-AM139</f>
        <v>318</v>
      </c>
      <c r="AP139" s="298">
        <f>+AQ139-AM139-AN139-AO139</f>
        <v>247</v>
      </c>
      <c r="AQ139" s="331">
        <v>303</v>
      </c>
      <c r="AR139" s="296">
        <v>-1790</v>
      </c>
      <c r="AS139" s="301">
        <f>326-AR139</f>
        <v>2116</v>
      </c>
      <c r="AT139" s="296">
        <f>-2194-AS139-AR139</f>
        <v>-2520</v>
      </c>
      <c r="AU139" s="298">
        <f>AV139-SUM(AR139:AT139)</f>
        <v>733</v>
      </c>
      <c r="AV139" s="331">
        <v>-1461</v>
      </c>
      <c r="AW139" s="298">
        <v>-153</v>
      </c>
      <c r="AX139" s="298">
        <f>753-AW139</f>
        <v>906</v>
      </c>
      <c r="AY139" s="298">
        <f>188-AX139-AW139</f>
        <v>-565</v>
      </c>
      <c r="AZ139" s="298">
        <f>BA139-SUM(AW139:AY139)</f>
        <v>977</v>
      </c>
      <c r="BA139" s="331">
        <f>1165</f>
        <v>1165</v>
      </c>
      <c r="BB139" s="298">
        <v>2125</v>
      </c>
      <c r="BC139" s="298">
        <f>1548-BB139</f>
        <v>-577</v>
      </c>
      <c r="BD139" s="298">
        <f>2139-BC139-BB139</f>
        <v>591</v>
      </c>
      <c r="BE139" s="298">
        <f>BF139-SUM(BB139:BD139)</f>
        <v>-4136</v>
      </c>
      <c r="BF139" s="331">
        <v>-1997</v>
      </c>
      <c r="BG139" s="298">
        <v>3737</v>
      </c>
      <c r="BH139" s="298">
        <f>2247-BG139</f>
        <v>-1490</v>
      </c>
      <c r="BI139" s="298">
        <f>1413-BH139-BG139</f>
        <v>-834</v>
      </c>
      <c r="BJ139" s="298">
        <f>BK139-SUM(BG139:BI139)</f>
        <v>-1388</v>
      </c>
      <c r="BK139" s="331">
        <v>25</v>
      </c>
      <c r="BL139" s="298">
        <v>471</v>
      </c>
      <c r="BM139" s="298">
        <f>2819-BL139</f>
        <v>2348</v>
      </c>
      <c r="BN139" s="298">
        <f>2069-BM139-BL139</f>
        <v>-750</v>
      </c>
      <c r="BO139" s="298">
        <f>BP139-SUM(BL139:BN139)</f>
        <v>-532</v>
      </c>
      <c r="BP139" s="331">
        <f>59-27+1505</f>
        <v>1537</v>
      </c>
      <c r="BQ139" s="596">
        <f>28+2396</f>
        <v>2424</v>
      </c>
      <c r="BR139" s="298">
        <f>51-57-172-BQ139</f>
        <v>-2602</v>
      </c>
      <c r="BS139" s="298">
        <f>77-91+1526-BR139-BQ139</f>
        <v>1690</v>
      </c>
      <c r="BT139" s="298">
        <f>BU139-SUM(BQ139:BS139)</f>
        <v>-2565</v>
      </c>
      <c r="BU139" s="331">
        <f>91-128-1016</f>
        <v>-1053</v>
      </c>
      <c r="BV139" s="298">
        <f ca="1">BV83+BV84-BU83-BU84</f>
        <v>2217.1419130012073</v>
      </c>
      <c r="BW139" s="298">
        <f ca="1">BW83+BW84-BV83-BV84</f>
        <v>2118.9645049469837</v>
      </c>
      <c r="BX139" s="298">
        <f ca="1">BX83+BX84-BW83-BW84</f>
        <v>-999.58762670330179</v>
      </c>
      <c r="BY139" s="298">
        <f ca="1">BY83+BY84-BX83-BX84</f>
        <v>-129.53150708012981</v>
      </c>
      <c r="BZ139" s="331">
        <f ca="1">+SUM(BV139:BY139)</f>
        <v>3206.9872841647593</v>
      </c>
      <c r="CA139" s="298">
        <f ca="1">CA83+CA84-BZ83-BZ84</f>
        <v>1836.5205666350521</v>
      </c>
      <c r="CB139" s="298">
        <f ca="1">CB83+CB84-CA83-CA84</f>
        <v>1585.0782263870351</v>
      </c>
      <c r="CC139" s="298">
        <f ca="1">CC83+CC84-CB83-CB84</f>
        <v>-1557.6785982168803</v>
      </c>
      <c r="CD139" s="298">
        <f ca="1">CD83+CD84-CC83-CC84</f>
        <v>-629.97390136837203</v>
      </c>
      <c r="CE139" s="331">
        <f ca="1">+SUM(CA139:CD139)</f>
        <v>1233.9462934368348</v>
      </c>
      <c r="CF139" s="298">
        <f ca="1">CF83+CF84-CE83-CE84</f>
        <v>1826.1251261995058</v>
      </c>
      <c r="CG139" s="298">
        <f ca="1">CG83+CG84-CF83-CF84</f>
        <v>1491.085594557313</v>
      </c>
      <c r="CH139" s="298">
        <f ca="1">CH83+CH84-CG83-CG84</f>
        <v>-1676.3679326592392</v>
      </c>
      <c r="CI139" s="298">
        <f ca="1">CI83+CI84-CH83-CH84</f>
        <v>-758.83450334060763</v>
      </c>
      <c r="CJ139" s="331">
        <f ca="1">+SUM(CF139:CI139)</f>
        <v>882.00828475697199</v>
      </c>
      <c r="CK139" s="298">
        <f ca="1">CK83+CK84-CJ83-CJ84</f>
        <v>1801.1772318117437</v>
      </c>
      <c r="CL139" s="298">
        <f ca="1">CL83+CL84-CK83-CK84</f>
        <v>1394.6373121418146</v>
      </c>
      <c r="CM139" s="298">
        <f ca="1">CM83+CM84-CL83-CL84</f>
        <v>-1799.3526919944561</v>
      </c>
      <c r="CN139" s="298">
        <f ca="1">CN83+CN84-CM83-CM84</f>
        <v>-890.99970618974476</v>
      </c>
      <c r="CO139" s="331">
        <f ca="1">+SUM(CK139:CN139)</f>
        <v>505.46214576935745</v>
      </c>
      <c r="CP139" s="298">
        <f ca="1">CP83+CP84-CO83-CO84</f>
        <v>1790.00606232672</v>
      </c>
      <c r="CQ139" s="298">
        <f ca="1">CQ83+CQ84-CP83-CP84</f>
        <v>1294.8827501596097</v>
      </c>
      <c r="CR139" s="298">
        <f ca="1">CR83+CR84-CQ83-CQ84</f>
        <v>-1926.6364314553211</v>
      </c>
      <c r="CS139" s="298">
        <f ca="1">CS83+CS84-CR83-CR84</f>
        <v>-1028.0656088403048</v>
      </c>
      <c r="CT139" s="331">
        <f ca="1">+SUM(CP139:CS139)</f>
        <v>130.18677219070378</v>
      </c>
      <c r="CU139" s="313"/>
      <c r="CV139" s="313"/>
    </row>
    <row r="140" spans="1:100" x14ac:dyDescent="0.2">
      <c r="A140" s="313"/>
      <c r="B140" s="377" t="s">
        <v>132</v>
      </c>
      <c r="C140" s="377"/>
      <c r="D140" s="298"/>
      <c r="E140" s="298"/>
      <c r="F140" s="298"/>
      <c r="G140" s="298"/>
      <c r="H140" s="366">
        <v>-3055</v>
      </c>
      <c r="I140" s="298"/>
      <c r="J140" s="298"/>
      <c r="K140" s="298"/>
      <c r="L140" s="298"/>
      <c r="M140" s="366">
        <v>-3031</v>
      </c>
      <c r="N140" s="298">
        <v>-662</v>
      </c>
      <c r="O140" s="301">
        <v>-812</v>
      </c>
      <c r="P140" s="301">
        <v>-690</v>
      </c>
      <c r="Q140" s="301">
        <f>+R140-N140-O140-P140</f>
        <v>-846</v>
      </c>
      <c r="R140" s="366">
        <f>-3000-10</f>
        <v>-3010</v>
      </c>
      <c r="S140" s="301">
        <v>-884</v>
      </c>
      <c r="T140" s="301">
        <v>-1084</v>
      </c>
      <c r="U140" s="301">
        <v>-1163</v>
      </c>
      <c r="V140" s="301">
        <f>+W140-S140-T140-U140</f>
        <v>-1181</v>
      </c>
      <c r="W140" s="366">
        <f>-4300-12</f>
        <v>-4312</v>
      </c>
      <c r="X140" s="301">
        <f>-1460-1</f>
        <v>-1461</v>
      </c>
      <c r="Y140" s="301">
        <f>-2904-3-X140</f>
        <v>-1446</v>
      </c>
      <c r="Z140" s="301">
        <f>-4-4197-X140-Y140</f>
        <v>-1294</v>
      </c>
      <c r="AA140" s="301">
        <f>+AB140-X140-Y140-Z140</f>
        <v>-525</v>
      </c>
      <c r="AB140" s="366">
        <f>-6-4720</f>
        <v>-4726</v>
      </c>
      <c r="AC140" s="301">
        <v>-1</v>
      </c>
      <c r="AD140" s="301">
        <f>0-3-AC140</f>
        <v>-2</v>
      </c>
      <c r="AE140" s="301">
        <f>-4-AC140-AD140</f>
        <v>-1</v>
      </c>
      <c r="AF140" s="301">
        <f>+AG140-AC140-AD140-AE140</f>
        <v>-3</v>
      </c>
      <c r="AG140" s="366">
        <v>-7</v>
      </c>
      <c r="AH140" s="301">
        <f>-735-1</f>
        <v>-736</v>
      </c>
      <c r="AI140" s="301">
        <f>-3308-2-AH140</f>
        <v>-2574</v>
      </c>
      <c r="AJ140" s="298">
        <f>-4418-3-AH140-AI140</f>
        <v>-1111</v>
      </c>
      <c r="AK140" s="301">
        <f>+AL140-AH140-AI140-AJ140</f>
        <v>-562</v>
      </c>
      <c r="AL140" s="366">
        <f>-4978-5</f>
        <v>-4983</v>
      </c>
      <c r="AM140" s="298">
        <f>-361-2</f>
        <v>-363</v>
      </c>
      <c r="AN140" s="298">
        <f>-746-4-AM140</f>
        <v>-387</v>
      </c>
      <c r="AO140" s="296">
        <f>-1929-5-AN140-AM140</f>
        <v>-1184</v>
      </c>
      <c r="AP140" s="298">
        <f>+AQ140-AM140-AN140-AO140</f>
        <v>-562</v>
      </c>
      <c r="AQ140" s="366">
        <f>-2489-7</f>
        <v>-2496</v>
      </c>
      <c r="AR140" s="296">
        <f>-142-1</f>
        <v>-143</v>
      </c>
      <c r="AS140" s="301">
        <f>-1206-3-AR140</f>
        <v>-1066</v>
      </c>
      <c r="AT140" s="296">
        <f>-2328-5-AS140-AR140</f>
        <v>-1124</v>
      </c>
      <c r="AU140" s="298">
        <f>AV140-SUM(AR140:AT140)</f>
        <v>-893</v>
      </c>
      <c r="AV140" s="366">
        <f>-3219-7</f>
        <v>-3226</v>
      </c>
      <c r="AW140" s="298">
        <f>-626-2</f>
        <v>-628</v>
      </c>
      <c r="AX140" s="298">
        <f>-1028-4-AW140</f>
        <v>-404</v>
      </c>
      <c r="AY140" s="298">
        <f>-2041-5-AX140-AW140</f>
        <v>-1014</v>
      </c>
      <c r="AZ140" s="298">
        <f>BA140-SUM(AW140:AY140)</f>
        <v>-962</v>
      </c>
      <c r="BA140" s="366">
        <f>-3001-7</f>
        <v>-3008</v>
      </c>
      <c r="BB140" s="298">
        <v>-1249</v>
      </c>
      <c r="BC140" s="298">
        <f>-2199-BB140</f>
        <v>-950</v>
      </c>
      <c r="BD140" s="298">
        <f>-3207-BC140-BB140</f>
        <v>-1008</v>
      </c>
      <c r="BE140" s="298">
        <f>BF140-SUM(BB140:BD140)</f>
        <v>-1805</v>
      </c>
      <c r="BF140" s="366">
        <v>-5012</v>
      </c>
      <c r="BG140" s="298">
        <v>-1124</v>
      </c>
      <c r="BH140" s="298">
        <f>-2130-BG140</f>
        <v>-1006</v>
      </c>
      <c r="BI140" s="298">
        <f>-3199-BH140-BG140</f>
        <v>-1069</v>
      </c>
      <c r="BJ140" s="298">
        <f>BK140-SUM(BG140:BI140)</f>
        <v>-1801</v>
      </c>
      <c r="BK140" s="366">
        <v>-5000</v>
      </c>
      <c r="BL140" s="298">
        <v>-619</v>
      </c>
      <c r="BM140" s="298">
        <f>-1329-2-BL140</f>
        <v>-712</v>
      </c>
      <c r="BN140" s="298">
        <f>-2079-BM140-BL140</f>
        <v>-748</v>
      </c>
      <c r="BO140" s="298">
        <f>BP140-SUM(BL140:BN140)</f>
        <v>-928</v>
      </c>
      <c r="BP140" s="366">
        <f>-3000-7</f>
        <v>-3007</v>
      </c>
      <c r="BQ140" s="596">
        <v>-444</v>
      </c>
      <c r="BR140" s="298">
        <f>-942-2-BQ140</f>
        <v>-500</v>
      </c>
      <c r="BS140" s="298">
        <f>-1464-4+396-BR140-BQ140</f>
        <v>-128</v>
      </c>
      <c r="BT140" s="298">
        <f>BU140-SUM(BQ140:BS140)</f>
        <v>-471</v>
      </c>
      <c r="BU140" s="366">
        <f>-2000-5+462</f>
        <v>-1543</v>
      </c>
      <c r="BV140" s="298">
        <f>BV181</f>
        <v>-500</v>
      </c>
      <c r="BW140" s="298">
        <f>BW181</f>
        <v>-500</v>
      </c>
      <c r="BX140" s="298">
        <f>BX181</f>
        <v>-500</v>
      </c>
      <c r="BY140" s="298">
        <f>BY181</f>
        <v>-500</v>
      </c>
      <c r="BZ140" s="366">
        <f>+SUM(BV140:BY140)</f>
        <v>-2000</v>
      </c>
      <c r="CA140" s="298">
        <f>CA181</f>
        <v>-500</v>
      </c>
      <c r="CB140" s="298">
        <f>CB181</f>
        <v>-500</v>
      </c>
      <c r="CC140" s="298">
        <f>CC181</f>
        <v>-500</v>
      </c>
      <c r="CD140" s="298">
        <f>CD181</f>
        <v>-500</v>
      </c>
      <c r="CE140" s="366">
        <f>+SUM(CA140:CD140)</f>
        <v>-2000</v>
      </c>
      <c r="CF140" s="298">
        <f>CF181</f>
        <v>-500</v>
      </c>
      <c r="CG140" s="298">
        <f>CG181</f>
        <v>-500</v>
      </c>
      <c r="CH140" s="298">
        <f>CH181</f>
        <v>-500</v>
      </c>
      <c r="CI140" s="298">
        <f>CI181</f>
        <v>-500</v>
      </c>
      <c r="CJ140" s="366">
        <f>+SUM(CF140:CI140)</f>
        <v>-2000</v>
      </c>
      <c r="CK140" s="298">
        <f>CK181</f>
        <v>-500</v>
      </c>
      <c r="CL140" s="298">
        <f>CL181</f>
        <v>-500</v>
      </c>
      <c r="CM140" s="298">
        <f>CM181</f>
        <v>-500</v>
      </c>
      <c r="CN140" s="298">
        <f>CN181</f>
        <v>-500</v>
      </c>
      <c r="CO140" s="366">
        <f>+SUM(CK140:CN140)</f>
        <v>-2000</v>
      </c>
      <c r="CP140" s="298">
        <f>CP181</f>
        <v>-500</v>
      </c>
      <c r="CQ140" s="298">
        <f>CQ181</f>
        <v>-500</v>
      </c>
      <c r="CR140" s="298">
        <f>CR181</f>
        <v>-500</v>
      </c>
      <c r="CS140" s="298">
        <f>CS181</f>
        <v>-500</v>
      </c>
      <c r="CT140" s="366">
        <f>+SUM(CP140:CS140)</f>
        <v>-2000</v>
      </c>
      <c r="CU140" s="313"/>
      <c r="CV140" s="313"/>
    </row>
    <row r="141" spans="1:100" x14ac:dyDescent="0.2">
      <c r="A141" s="313"/>
      <c r="B141" s="377" t="s">
        <v>74</v>
      </c>
      <c r="C141" s="377"/>
      <c r="D141" s="298"/>
      <c r="E141" s="298"/>
      <c r="F141" s="298"/>
      <c r="G141" s="298"/>
      <c r="H141" s="366">
        <v>965</v>
      </c>
      <c r="I141" s="298"/>
      <c r="J141" s="298"/>
      <c r="K141" s="298"/>
      <c r="L141" s="298"/>
      <c r="M141" s="366">
        <v>1099</v>
      </c>
      <c r="N141" s="298">
        <v>470</v>
      </c>
      <c r="O141" s="301">
        <v>291</v>
      </c>
      <c r="P141" s="301">
        <v>338</v>
      </c>
      <c r="Q141" s="301">
        <f>+R141-N141-O141-P141</f>
        <v>229</v>
      </c>
      <c r="R141" s="366">
        <f>1194+134</f>
        <v>1328</v>
      </c>
      <c r="S141" s="301">
        <v>283</v>
      </c>
      <c r="T141" s="301">
        <v>288</v>
      </c>
      <c r="U141" s="301">
        <v>213</v>
      </c>
      <c r="V141" s="301">
        <f>+W141-S141-T141-U141</f>
        <v>532</v>
      </c>
      <c r="W141" s="366">
        <f>1108+208</f>
        <v>1316</v>
      </c>
      <c r="X141" s="301">
        <f>223+53</f>
        <v>276</v>
      </c>
      <c r="Y141" s="301">
        <f>339+65-X141</f>
        <v>128</v>
      </c>
      <c r="Z141" s="301">
        <f>495+83-X141-Y141</f>
        <v>174</v>
      </c>
      <c r="AA141" s="301">
        <f>+AB141-X141-Y141-Z141</f>
        <v>149</v>
      </c>
      <c r="AB141" s="366">
        <f>620+107</f>
        <v>727</v>
      </c>
      <c r="AC141" s="301">
        <f>91+7</f>
        <v>98</v>
      </c>
      <c r="AD141" s="301">
        <f>117+8-AC141</f>
        <v>27</v>
      </c>
      <c r="AE141" s="301">
        <f>187-26+16-AC141-AD141</f>
        <v>52</v>
      </c>
      <c r="AF141" s="301">
        <f>+AG141-AC141-AD141-AE141</f>
        <v>252</v>
      </c>
      <c r="AG141" s="366">
        <f>413+42-26</f>
        <v>429</v>
      </c>
      <c r="AH141" s="301">
        <f>267+29-159-5</f>
        <v>132</v>
      </c>
      <c r="AI141" s="301">
        <f>464+47-AH141-159-6</f>
        <v>214</v>
      </c>
      <c r="AJ141" s="298">
        <f>700+73-159-6-AH141-AI141</f>
        <v>262</v>
      </c>
      <c r="AK141" s="301">
        <f>+AL141-AH141-AI141-AJ141</f>
        <v>365</v>
      </c>
      <c r="AL141" s="366">
        <f>1038+107-159-13</f>
        <v>973</v>
      </c>
      <c r="AM141" s="298">
        <f>218+24</f>
        <v>242</v>
      </c>
      <c r="AN141" s="298">
        <f>652+52-1327-3-AM141</f>
        <v>-868</v>
      </c>
      <c r="AO141" s="296">
        <f>724+56-1327-2-AN141-AM141</f>
        <v>77</v>
      </c>
      <c r="AP141" s="298">
        <f>+AQ141-AM141-AN141-AO141</f>
        <v>131</v>
      </c>
      <c r="AQ141" s="366">
        <f>945+70-27-1406</f>
        <v>-418</v>
      </c>
      <c r="AR141" s="296">
        <f>274+35-1</f>
        <v>308</v>
      </c>
      <c r="AS141" s="301">
        <f>496+53-12-19-AR141</f>
        <v>210</v>
      </c>
      <c r="AT141" s="296">
        <f>927+89-15-18-AS141-AR141</f>
        <v>465</v>
      </c>
      <c r="AU141" s="298">
        <f>AV141-SUM(AR141:AT141)</f>
        <v>153</v>
      </c>
      <c r="AV141" s="366">
        <f>1122+124-68-42</f>
        <v>1136</v>
      </c>
      <c r="AW141" s="298">
        <f>449+36-1</f>
        <v>484</v>
      </c>
      <c r="AX141" s="298">
        <f>823+83-20-3-AW141</f>
        <v>399</v>
      </c>
      <c r="AY141" s="298">
        <f>991+94-20-15-AX141-AW141</f>
        <v>167</v>
      </c>
      <c r="AZ141" s="298">
        <f>BA141-SUM(AW141:AY141)</f>
        <v>137</v>
      </c>
      <c r="BA141" s="366">
        <f>1123+117-20-33</f>
        <v>1187</v>
      </c>
      <c r="BB141" s="298">
        <f>171-2+47</f>
        <v>216</v>
      </c>
      <c r="BC141" s="298">
        <f>+-3-3+381+64-BB141</f>
        <v>223</v>
      </c>
      <c r="BD141" s="298">
        <f>-32+86+561-7-BC141-BB141</f>
        <v>169</v>
      </c>
      <c r="BE141" s="298">
        <f>BF141-SUM(BB141:BD141)</f>
        <v>201</v>
      </c>
      <c r="BF141" s="366">
        <f>-50+114+755-10</f>
        <v>809</v>
      </c>
      <c r="BG141" s="298">
        <f>-1+171+38-1</f>
        <v>207</v>
      </c>
      <c r="BH141" s="298">
        <f>+-2+250+78-2-BG141</f>
        <v>117</v>
      </c>
      <c r="BI141" s="298">
        <f>-26+85+327-3-BH141-BG141</f>
        <v>59</v>
      </c>
      <c r="BJ141" s="298">
        <f>BK141-SUM(BG141:BI141)</f>
        <v>197</v>
      </c>
      <c r="BK141" s="366">
        <f>-52+133+504-5</f>
        <v>580</v>
      </c>
      <c r="BL141" s="298">
        <f>-2+165+75-2</f>
        <v>236</v>
      </c>
      <c r="BM141" s="298">
        <f>293+84-4-BL141</f>
        <v>137</v>
      </c>
      <c r="BN141" s="298">
        <f>-29+115+415-3-BM141-BL141</f>
        <v>125</v>
      </c>
      <c r="BO141" s="298">
        <f>BP141-SUM(BL141:BN141)</f>
        <v>48</v>
      </c>
      <c r="BP141" s="366">
        <f>465+139-58</f>
        <v>546</v>
      </c>
      <c r="BQ141" s="596">
        <f>-1-116-1+245</f>
        <v>127</v>
      </c>
      <c r="BR141" s="298">
        <f>-1-122+316-BQ141</f>
        <v>66</v>
      </c>
      <c r="BS141" s="298">
        <f>-131-29-BR141-BQ141</f>
        <v>-353</v>
      </c>
      <c r="BT141" s="298">
        <f>BU141-SUM(BQ141:BS141)</f>
        <v>-61</v>
      </c>
      <c r="BU141" s="366">
        <f>-145-76</f>
        <v>-221</v>
      </c>
      <c r="BV141" s="298">
        <f>+BZ141/4</f>
        <v>-58.012500000000003</v>
      </c>
      <c r="BW141" s="298">
        <f>+BV141</f>
        <v>-58.012500000000003</v>
      </c>
      <c r="BX141" s="298">
        <f>+BW141</f>
        <v>-58.012500000000003</v>
      </c>
      <c r="BY141" s="298">
        <f>+BX141</f>
        <v>-58.012500000000003</v>
      </c>
      <c r="BZ141" s="366">
        <f>+BU141*1.05</f>
        <v>-232.05</v>
      </c>
      <c r="CA141" s="298">
        <f>+CE141/4</f>
        <v>-60.913125000000008</v>
      </c>
      <c r="CB141" s="298">
        <f>+CA141</f>
        <v>-60.913125000000008</v>
      </c>
      <c r="CC141" s="298">
        <f>+CB141</f>
        <v>-60.913125000000008</v>
      </c>
      <c r="CD141" s="298">
        <f>+CC141</f>
        <v>-60.913125000000008</v>
      </c>
      <c r="CE141" s="366">
        <f>+BZ141*1.05</f>
        <v>-243.65250000000003</v>
      </c>
      <c r="CF141" s="298">
        <f>+CJ141/4</f>
        <v>-63.958781250000008</v>
      </c>
      <c r="CG141" s="298">
        <f>+CF141</f>
        <v>-63.958781250000008</v>
      </c>
      <c r="CH141" s="298">
        <f>+CG141</f>
        <v>-63.958781250000008</v>
      </c>
      <c r="CI141" s="298">
        <f>+CH141</f>
        <v>-63.958781250000008</v>
      </c>
      <c r="CJ141" s="366">
        <f>+CE141*1.05</f>
        <v>-255.83512500000003</v>
      </c>
      <c r="CK141" s="298">
        <f>+CO141/4</f>
        <v>-67.156720312500013</v>
      </c>
      <c r="CL141" s="298">
        <f>+CK141</f>
        <v>-67.156720312500013</v>
      </c>
      <c r="CM141" s="298">
        <f>+CL141</f>
        <v>-67.156720312500013</v>
      </c>
      <c r="CN141" s="298">
        <f>+CM141</f>
        <v>-67.156720312500013</v>
      </c>
      <c r="CO141" s="366">
        <f>+CJ141*1.05</f>
        <v>-268.62688125000005</v>
      </c>
      <c r="CP141" s="298">
        <f>+CT141/4</f>
        <v>-70.514556328125011</v>
      </c>
      <c r="CQ141" s="298">
        <f>+CP141</f>
        <v>-70.514556328125011</v>
      </c>
      <c r="CR141" s="298">
        <f>+CQ141</f>
        <v>-70.514556328125011</v>
      </c>
      <c r="CS141" s="298">
        <f>+CR141</f>
        <v>-70.514556328125011</v>
      </c>
      <c r="CT141" s="366">
        <f>+CO141*1.05</f>
        <v>-282.05822531250004</v>
      </c>
      <c r="CU141" s="313"/>
      <c r="CV141" s="313"/>
    </row>
    <row r="142" spans="1:100" x14ac:dyDescent="0.2">
      <c r="A142" s="313"/>
      <c r="B142" s="377" t="s">
        <v>133</v>
      </c>
      <c r="C142" s="377"/>
      <c r="D142" s="299"/>
      <c r="E142" s="299"/>
      <c r="F142" s="299"/>
      <c r="G142" s="299"/>
      <c r="H142" s="428">
        <v>-1329</v>
      </c>
      <c r="I142" s="299"/>
      <c r="J142" s="299"/>
      <c r="K142" s="299"/>
      <c r="L142" s="299"/>
      <c r="M142" s="428">
        <v>-1642</v>
      </c>
      <c r="N142" s="299">
        <v>-432</v>
      </c>
      <c r="O142" s="299">
        <v>-431</v>
      </c>
      <c r="P142" s="429">
        <v>-496</v>
      </c>
      <c r="Q142" s="299">
        <f>+R142-N142-O142-P142</f>
        <v>-495</v>
      </c>
      <c r="R142" s="428">
        <v>-1854</v>
      </c>
      <c r="S142" s="429">
        <v>-498</v>
      </c>
      <c r="T142" s="429">
        <v>-491</v>
      </c>
      <c r="U142" s="429">
        <v>-609</v>
      </c>
      <c r="V142" s="429">
        <f>+W142-S142-T142-U142</f>
        <v>-606</v>
      </c>
      <c r="W142" s="428">
        <v>-2204</v>
      </c>
      <c r="X142" s="429">
        <v>-610</v>
      </c>
      <c r="Y142" s="429">
        <f>-1209-X142</f>
        <v>-599</v>
      </c>
      <c r="Z142" s="429">
        <f>-1879-X142-Y142</f>
        <v>-670</v>
      </c>
      <c r="AA142" s="429">
        <f>+AB142-X142-Y142-Z142</f>
        <v>-662</v>
      </c>
      <c r="AB142" s="428">
        <v>-2541</v>
      </c>
      <c r="AC142" s="429">
        <v>-669</v>
      </c>
      <c r="AD142" s="429">
        <f>-1331-AC142</f>
        <v>-662</v>
      </c>
      <c r="AE142" s="429">
        <f>-2032-AC142-AD142</f>
        <v>-701</v>
      </c>
      <c r="AF142" s="429">
        <f>+AG142-AC142-AD142-AE142</f>
        <v>-700</v>
      </c>
      <c r="AG142" s="428">
        <v>-2732</v>
      </c>
      <c r="AH142" s="429">
        <v>-712</v>
      </c>
      <c r="AI142" s="429">
        <f>-1451-AH142</f>
        <v>-739</v>
      </c>
      <c r="AJ142" s="299">
        <f>-2218-AH142-AI142</f>
        <v>-767</v>
      </c>
      <c r="AK142" s="429">
        <f>+AL142-AH142-AI142-AJ142</f>
        <v>-760</v>
      </c>
      <c r="AL142" s="434">
        <v>-2978</v>
      </c>
      <c r="AM142" s="299">
        <v>-769</v>
      </c>
      <c r="AN142" s="299">
        <f>-1530-AM142</f>
        <v>-761</v>
      </c>
      <c r="AO142" s="297">
        <f>-2349-AN142-AM142</f>
        <v>-819</v>
      </c>
      <c r="AP142" s="299">
        <f>+AQ142-AM142-AN142-AO142</f>
        <v>-808</v>
      </c>
      <c r="AQ142" s="434">
        <v>-3157</v>
      </c>
      <c r="AR142" s="297">
        <v>-816</v>
      </c>
      <c r="AS142" s="429">
        <f>-1626-AR142</f>
        <v>-810</v>
      </c>
      <c r="AT142" s="297">
        <f>-2470-AS142-AR142</f>
        <v>-844</v>
      </c>
      <c r="AU142" s="299">
        <f>AV142-SUM(AR142:AT142)</f>
        <v>-835</v>
      </c>
      <c r="AV142" s="434">
        <v>-3305</v>
      </c>
      <c r="AW142" s="299">
        <v>-831</v>
      </c>
      <c r="AX142" s="299">
        <f>-1677-AW142</f>
        <v>-846</v>
      </c>
      <c r="AY142" s="299">
        <f>-2558-AX142-AW142</f>
        <v>-881</v>
      </c>
      <c r="AZ142" s="299">
        <f>BA142-SUM(AW142:AY142)</f>
        <v>-876</v>
      </c>
      <c r="BA142" s="434">
        <v>-3434</v>
      </c>
      <c r="BB142" s="299">
        <v>-888</v>
      </c>
      <c r="BC142" s="299">
        <f>+-1752-BB142</f>
        <v>-864</v>
      </c>
      <c r="BD142" s="299">
        <f>-2745-BC142-BB142</f>
        <v>-993</v>
      </c>
      <c r="BE142" s="299">
        <f>BF142-SUM(BB142:BD142)</f>
        <v>-985</v>
      </c>
      <c r="BF142" s="434">
        <v>-3730</v>
      </c>
      <c r="BG142" s="299">
        <v>-978</v>
      </c>
      <c r="BH142" s="299">
        <f>+-1973-BG142</f>
        <v>-995</v>
      </c>
      <c r="BI142" s="299">
        <f>-3008-BH142-BG142</f>
        <v>-1035</v>
      </c>
      <c r="BJ142" s="299">
        <f>BK142-SUM(BG142:BI142)</f>
        <v>-1032</v>
      </c>
      <c r="BK142" s="434">
        <v>-4040</v>
      </c>
      <c r="BL142" s="299">
        <v>-1038</v>
      </c>
      <c r="BM142" s="299">
        <f>+-2060-BL142</f>
        <v>-1022</v>
      </c>
      <c r="BN142" s="299">
        <f>-3144-BM142-BL142</f>
        <v>-1084</v>
      </c>
      <c r="BO142" s="299">
        <f>BP142-SUM(BL142:BN142)</f>
        <v>-1083</v>
      </c>
      <c r="BP142" s="434">
        <v>-4227</v>
      </c>
      <c r="BQ142" s="603">
        <v>-1098</v>
      </c>
      <c r="BR142" s="299">
        <f>-2175-BQ142</f>
        <v>-1077</v>
      </c>
      <c r="BS142" s="299">
        <f>-3324-BR142-BQ142</f>
        <v>-1149</v>
      </c>
      <c r="BT142" s="299">
        <f>BU142-SUM(BQ142:BS142)</f>
        <v>-1148</v>
      </c>
      <c r="BU142" s="434">
        <v>-4472</v>
      </c>
      <c r="BV142" s="299">
        <f t="shared" ref="BV142:CI142" ca="1" si="237">-BV176*BV54</f>
        <v>-1152.6515005703541</v>
      </c>
      <c r="BW142" s="299">
        <f t="shared" ca="1" si="237"/>
        <v>-1326.2434148497705</v>
      </c>
      <c r="BX142" s="299">
        <f t="shared" ca="1" si="237"/>
        <v>-1324.1741387922475</v>
      </c>
      <c r="BY142" s="299">
        <f t="shared" ca="1" si="237"/>
        <v>-1322.3108093817766</v>
      </c>
      <c r="BZ142" s="434">
        <f ca="1">+BV142+BW142+BX142+BY142</f>
        <v>-5125.3798635941484</v>
      </c>
      <c r="CA142" s="299">
        <f t="shared" ca="1" si="237"/>
        <v>-1320.7460748937458</v>
      </c>
      <c r="CB142" s="299">
        <f t="shared" ca="1" si="237"/>
        <v>-1398.1570491562138</v>
      </c>
      <c r="CC142" s="299">
        <f t="shared" ca="1" si="237"/>
        <v>-1396.0496654933713</v>
      </c>
      <c r="CD142" s="299">
        <f t="shared" ca="1" si="237"/>
        <v>-1394.1601571721346</v>
      </c>
      <c r="CE142" s="434">
        <f ca="1">+CA142+CB142+CC142+CD142</f>
        <v>-5509.112946715466</v>
      </c>
      <c r="CF142" s="299">
        <f t="shared" ca="1" si="237"/>
        <v>-1392.5867334942875</v>
      </c>
      <c r="CG142" s="299">
        <f t="shared" ca="1" si="237"/>
        <v>-1474.2879771447228</v>
      </c>
      <c r="CH142" s="299">
        <f t="shared" ca="1" si="237"/>
        <v>-1472.1435606967411</v>
      </c>
      <c r="CI142" s="299">
        <f t="shared" ca="1" si="237"/>
        <v>-1470.2296472838236</v>
      </c>
      <c r="CJ142" s="434">
        <f ca="1">+CF142+CG142+CH142+CI142</f>
        <v>-5809.2479186195751</v>
      </c>
      <c r="CK142" s="299">
        <f ca="1">-CK176*CK54</f>
        <v>-1468.6503409789307</v>
      </c>
      <c r="CL142" s="299">
        <f ca="1">-CL176*CL54</f>
        <v>-1554.8975307815108</v>
      </c>
      <c r="CM142" s="299">
        <f ca="1">-CM176*CM54</f>
        <v>-1552.7173521572165</v>
      </c>
      <c r="CN142" s="299">
        <f ca="1">-CN176*CN54</f>
        <v>-1550.7810445470532</v>
      </c>
      <c r="CO142" s="434">
        <f ca="1">+CK142+CL142+CM142+CN142</f>
        <v>-6127.0462684647109</v>
      </c>
      <c r="CP142" s="299">
        <f ca="1">-CP176*CP54</f>
        <v>-1549.1989605678755</v>
      </c>
      <c r="CQ142" s="299">
        <f ca="1">-CQ176*CQ54</f>
        <v>-1640.2637721803032</v>
      </c>
      <c r="CR142" s="299">
        <f ca="1">-CR176*CR54</f>
        <v>-1638.0493146533572</v>
      </c>
      <c r="CS142" s="299">
        <f ca="1">-CS176*CS54</f>
        <v>-1636.092880143605</v>
      </c>
      <c r="CT142" s="434">
        <f ca="1">+CP142+CQ142+CR142+CS142</f>
        <v>-6463.6049275451405</v>
      </c>
      <c r="CU142" s="313"/>
      <c r="CV142" s="313"/>
    </row>
    <row r="143" spans="1:100" x14ac:dyDescent="0.2">
      <c r="A143" s="59" t="s">
        <v>134</v>
      </c>
      <c r="B143" s="91"/>
      <c r="C143" s="91"/>
      <c r="D143" s="60"/>
      <c r="E143" s="60"/>
      <c r="F143" s="60"/>
      <c r="G143" s="60"/>
      <c r="H143" s="51">
        <f t="shared" ref="H143:AH143" si="238">+SUM(H138:H142)</f>
        <v>-2315</v>
      </c>
      <c r="I143" s="60"/>
      <c r="J143" s="60"/>
      <c r="K143" s="60"/>
      <c r="L143" s="60"/>
      <c r="M143" s="51">
        <f t="shared" si="238"/>
        <v>-1878</v>
      </c>
      <c r="N143" s="60">
        <f t="shared" si="238"/>
        <v>-1337</v>
      </c>
      <c r="O143" s="60">
        <f t="shared" si="238"/>
        <v>-1765</v>
      </c>
      <c r="P143" s="61">
        <f t="shared" si="238"/>
        <v>-1467</v>
      </c>
      <c r="Q143" s="60">
        <f>+SUM(Q138:Q142)</f>
        <v>-1414</v>
      </c>
      <c r="R143" s="51">
        <f>+SUM(R138:R142)</f>
        <v>-5983</v>
      </c>
      <c r="S143" s="61">
        <f t="shared" si="238"/>
        <v>-1111</v>
      </c>
      <c r="T143" s="61">
        <f t="shared" si="238"/>
        <v>-538</v>
      </c>
      <c r="U143" s="61">
        <f t="shared" si="238"/>
        <v>-2235</v>
      </c>
      <c r="V143" s="61">
        <f>+SUM(V138:V142)</f>
        <v>-122</v>
      </c>
      <c r="W143" s="51">
        <f t="shared" si="238"/>
        <v>-4006</v>
      </c>
      <c r="X143" s="61">
        <f t="shared" si="238"/>
        <v>-71</v>
      </c>
      <c r="Y143" s="61">
        <f t="shared" si="238"/>
        <v>-1640</v>
      </c>
      <c r="Z143" s="61">
        <f>+SUM(Z138:Z142)</f>
        <v>-544</v>
      </c>
      <c r="AA143" s="61">
        <f>+SUM(AA138:AA142)</f>
        <v>-770</v>
      </c>
      <c r="AB143" s="51">
        <f t="shared" si="238"/>
        <v>-3025</v>
      </c>
      <c r="AC143" s="61">
        <f t="shared" si="238"/>
        <v>762</v>
      </c>
      <c r="AD143" s="61">
        <f t="shared" si="238"/>
        <v>-1296</v>
      </c>
      <c r="AE143" s="61">
        <f t="shared" si="238"/>
        <v>-1453</v>
      </c>
      <c r="AF143" s="61">
        <f t="shared" si="238"/>
        <v>-510</v>
      </c>
      <c r="AG143" s="51">
        <f t="shared" si="238"/>
        <v>-2497</v>
      </c>
      <c r="AH143" s="61">
        <f t="shared" si="238"/>
        <v>3921</v>
      </c>
      <c r="AI143" s="61">
        <f t="shared" ref="AI143:BL143" si="239">+SUM(AI138:AI142)</f>
        <v>-805</v>
      </c>
      <c r="AJ143" s="60">
        <f t="shared" si="239"/>
        <v>-1626</v>
      </c>
      <c r="AK143" s="61">
        <f t="shared" si="239"/>
        <v>-104</v>
      </c>
      <c r="AL143" s="51">
        <f t="shared" si="239"/>
        <v>1386</v>
      </c>
      <c r="AM143" s="60">
        <f t="shared" si="239"/>
        <v>226</v>
      </c>
      <c r="AN143" s="60">
        <f t="shared" si="239"/>
        <v>-1925</v>
      </c>
      <c r="AO143" s="62">
        <f t="shared" si="239"/>
        <v>-2444</v>
      </c>
      <c r="AP143" s="60">
        <f t="shared" si="239"/>
        <v>-992</v>
      </c>
      <c r="AQ143" s="51">
        <f t="shared" si="239"/>
        <v>-5135</v>
      </c>
      <c r="AR143" s="62">
        <f t="shared" si="239"/>
        <v>283</v>
      </c>
      <c r="AS143" s="61">
        <f t="shared" si="239"/>
        <v>-575</v>
      </c>
      <c r="AT143" s="60">
        <f t="shared" si="239"/>
        <v>-1872</v>
      </c>
      <c r="AU143" s="60">
        <f t="shared" si="239"/>
        <v>-1142</v>
      </c>
      <c r="AV143" s="51">
        <f t="shared" si="239"/>
        <v>-3306</v>
      </c>
      <c r="AW143" s="60">
        <f t="shared" si="239"/>
        <v>173</v>
      </c>
      <c r="AX143" s="60">
        <f t="shared" si="239"/>
        <v>-700</v>
      </c>
      <c r="AY143" s="60">
        <f t="shared" si="239"/>
        <v>-1608</v>
      </c>
      <c r="AZ143" s="60">
        <f t="shared" si="239"/>
        <v>-1654</v>
      </c>
      <c r="BA143" s="51">
        <f t="shared" si="239"/>
        <v>-3789</v>
      </c>
      <c r="BB143" s="60">
        <f t="shared" si="239"/>
        <v>542</v>
      </c>
      <c r="BC143" s="60">
        <f t="shared" si="239"/>
        <v>-797</v>
      </c>
      <c r="BD143" s="60">
        <f>+SUM(BD138:BD142)</f>
        <v>-1772</v>
      </c>
      <c r="BE143" s="60">
        <f t="shared" si="239"/>
        <v>-6237</v>
      </c>
      <c r="BF143" s="51">
        <f t="shared" si="239"/>
        <v>-8264</v>
      </c>
      <c r="BG143" s="60">
        <f t="shared" si="239"/>
        <v>-210</v>
      </c>
      <c r="BH143" s="60">
        <f t="shared" si="239"/>
        <v>-889</v>
      </c>
      <c r="BI143" s="60">
        <f>+SUM(BI138:BI142)</f>
        <v>-1659</v>
      </c>
      <c r="BJ143" s="60">
        <f t="shared" ref="BJ143:BK143" si="240">+SUM(BJ138:BJ142)</f>
        <v>-1070</v>
      </c>
      <c r="BK143" s="51">
        <f t="shared" si="240"/>
        <v>-3828</v>
      </c>
      <c r="BL143" s="60">
        <f t="shared" si="239"/>
        <v>331</v>
      </c>
      <c r="BM143" s="60">
        <f t="shared" ref="BM143" si="241">+SUM(BM138:BM142)</f>
        <v>-1081</v>
      </c>
      <c r="BN143" s="60">
        <f>+SUM(BN138:BN142)</f>
        <v>-1636</v>
      </c>
      <c r="BO143" s="60">
        <f t="shared" ref="BO143" si="242">+SUM(BO138:BO142)</f>
        <v>-556</v>
      </c>
      <c r="BP143" s="51">
        <f t="shared" ref="BP143:CO143" si="243">+SUM(BP138:BP142)</f>
        <v>-2942</v>
      </c>
      <c r="BQ143" s="587">
        <f t="shared" si="243"/>
        <v>257</v>
      </c>
      <c r="BR143" s="60">
        <f t="shared" si="243"/>
        <v>-839</v>
      </c>
      <c r="BS143" s="60">
        <f t="shared" si="243"/>
        <v>-2193</v>
      </c>
      <c r="BT143" s="60">
        <f t="shared" si="243"/>
        <v>-1411</v>
      </c>
      <c r="BU143" s="51">
        <f t="shared" si="243"/>
        <v>-4186</v>
      </c>
      <c r="BV143" s="60">
        <f t="shared" ca="1" si="243"/>
        <v>506.47791243085317</v>
      </c>
      <c r="BW143" s="60">
        <f t="shared" ca="1" si="243"/>
        <v>-1765.2914099027869</v>
      </c>
      <c r="BX143" s="60">
        <f t="shared" ca="1" si="243"/>
        <v>-2881.7742654955491</v>
      </c>
      <c r="BY143" s="60">
        <f t="shared" ca="1" si="243"/>
        <v>-2009.8548164619065</v>
      </c>
      <c r="BZ143" s="51">
        <f t="shared" ca="1" si="243"/>
        <v>-6150.4425794293893</v>
      </c>
      <c r="CA143" s="60">
        <f t="shared" ca="1" si="243"/>
        <v>-45.138633258693744</v>
      </c>
      <c r="CB143" s="60">
        <f t="shared" ca="1" si="243"/>
        <v>-2373.9919477691788</v>
      </c>
      <c r="CC143" s="60">
        <f t="shared" ca="1" si="243"/>
        <v>-3514.6413887102517</v>
      </c>
      <c r="CD143" s="60">
        <f t="shared" ca="1" si="243"/>
        <v>-2585.0471835405069</v>
      </c>
      <c r="CE143" s="51">
        <f t="shared" ca="1" si="243"/>
        <v>-8518.8191532786313</v>
      </c>
      <c r="CF143" s="60">
        <f t="shared" ca="1" si="243"/>
        <v>-130.42038854478164</v>
      </c>
      <c r="CG143" s="60">
        <f t="shared" ca="1" si="243"/>
        <v>-2547.1611638374097</v>
      </c>
      <c r="CH143" s="60">
        <f t="shared" ca="1" si="243"/>
        <v>-3712.4702746059802</v>
      </c>
      <c r="CI143" s="60">
        <f t="shared" ca="1" si="243"/>
        <v>-2793.0229318744314</v>
      </c>
      <c r="CJ143" s="51">
        <f t="shared" ca="1" si="243"/>
        <v>-9183.0747588626036</v>
      </c>
      <c r="CK143" s="60">
        <f t="shared" ca="1" si="243"/>
        <v>-234.62982947968703</v>
      </c>
      <c r="CL143" s="60">
        <f t="shared" ca="1" si="243"/>
        <v>-2727.4169389521962</v>
      </c>
      <c r="CM143" s="60">
        <f t="shared" ca="1" si="243"/>
        <v>-3919.2267644641724</v>
      </c>
      <c r="CN143" s="60">
        <f t="shared" ca="1" si="243"/>
        <v>-3008.937471049298</v>
      </c>
      <c r="CO143" s="51">
        <f t="shared" ca="1" si="243"/>
        <v>-9890.2110039453546</v>
      </c>
      <c r="CP143" s="60">
        <f ca="1">+SUM(CP138:CP142)</f>
        <v>-329.70745456928057</v>
      </c>
      <c r="CQ143" s="60">
        <f ca="1">+SUM(CQ138:CQ142)</f>
        <v>-2915.8955783488186</v>
      </c>
      <c r="CR143" s="60">
        <f ca="1">+SUM(CR138:CR142)</f>
        <v>-4135.2003024368032</v>
      </c>
      <c r="CS143" s="60">
        <f ca="1">+SUM(CS138:CS142)</f>
        <v>-3234.6730453120349</v>
      </c>
      <c r="CT143" s="51">
        <f ca="1">+SUM(CT138:CT142)</f>
        <v>-10615.476380666936</v>
      </c>
      <c r="CU143" s="59"/>
      <c r="CV143" s="59"/>
    </row>
    <row r="144" spans="1:100" ht="5.0999999999999996" customHeight="1" x14ac:dyDescent="0.2">
      <c r="A144" s="313"/>
      <c r="B144" s="377"/>
      <c r="C144" s="377"/>
      <c r="D144" s="330"/>
      <c r="E144" s="330"/>
      <c r="F144" s="330"/>
      <c r="G144" s="330"/>
      <c r="H144" s="331"/>
      <c r="I144" s="330"/>
      <c r="J144" s="330"/>
      <c r="K144" s="330"/>
      <c r="L144" s="330"/>
      <c r="M144" s="331"/>
      <c r="N144" s="330"/>
      <c r="O144" s="330"/>
      <c r="P144" s="332"/>
      <c r="Q144" s="330"/>
      <c r="R144" s="331"/>
      <c r="S144" s="332"/>
      <c r="T144" s="332"/>
      <c r="U144" s="332"/>
      <c r="V144" s="332"/>
      <c r="W144" s="331"/>
      <c r="X144" s="332"/>
      <c r="Y144" s="332"/>
      <c r="Z144" s="332"/>
      <c r="AA144" s="332"/>
      <c r="AB144" s="331"/>
      <c r="AC144" s="332"/>
      <c r="AD144" s="332"/>
      <c r="AE144" s="332"/>
      <c r="AF144" s="332"/>
      <c r="AG144" s="331"/>
      <c r="AH144" s="332"/>
      <c r="AI144" s="332"/>
      <c r="AJ144" s="330"/>
      <c r="AK144" s="330"/>
      <c r="AL144" s="331"/>
      <c r="AM144" s="330"/>
      <c r="AN144" s="330"/>
      <c r="AO144" s="333"/>
      <c r="AP144" s="330"/>
      <c r="AQ144" s="331"/>
      <c r="AR144" s="333"/>
      <c r="AS144" s="332"/>
      <c r="AT144" s="330"/>
      <c r="AU144" s="330"/>
      <c r="AV144" s="331"/>
      <c r="AW144" s="330"/>
      <c r="AX144" s="330"/>
      <c r="AY144" s="330"/>
      <c r="AZ144" s="330"/>
      <c r="BA144" s="331"/>
      <c r="BB144" s="330"/>
      <c r="BC144" s="330"/>
      <c r="BD144" s="330"/>
      <c r="BE144" s="330"/>
      <c r="BF144" s="331"/>
      <c r="BG144" s="330"/>
      <c r="BH144" s="330"/>
      <c r="BI144" s="330"/>
      <c r="BJ144" s="330"/>
      <c r="BK144" s="331"/>
      <c r="BL144" s="330"/>
      <c r="BM144" s="330"/>
      <c r="BN144" s="330"/>
      <c r="BO144" s="330"/>
      <c r="BP144" s="331"/>
      <c r="BQ144" s="578"/>
      <c r="BR144" s="330"/>
      <c r="BS144" s="330"/>
      <c r="BT144" s="330"/>
      <c r="BU144" s="331"/>
      <c r="BV144" s="330"/>
      <c r="BW144" s="330"/>
      <c r="BX144" s="330"/>
      <c r="BY144" s="330"/>
      <c r="BZ144" s="331"/>
      <c r="CA144" s="330"/>
      <c r="CB144" s="330"/>
      <c r="CC144" s="330"/>
      <c r="CD144" s="330"/>
      <c r="CE144" s="331"/>
      <c r="CF144" s="330"/>
      <c r="CG144" s="330"/>
      <c r="CH144" s="330"/>
      <c r="CI144" s="330"/>
      <c r="CJ144" s="331"/>
      <c r="CK144" s="330"/>
      <c r="CL144" s="330"/>
      <c r="CM144" s="330"/>
      <c r="CN144" s="330"/>
      <c r="CO144" s="331"/>
      <c r="CP144" s="330"/>
      <c r="CQ144" s="330"/>
      <c r="CR144" s="330"/>
      <c r="CS144" s="330"/>
      <c r="CT144" s="331"/>
      <c r="CU144" s="444"/>
      <c r="CV144" s="444"/>
    </row>
    <row r="145" spans="1:100" x14ac:dyDescent="0.2">
      <c r="A145" s="313" t="s">
        <v>135</v>
      </c>
      <c r="B145" s="377"/>
      <c r="C145" s="377"/>
      <c r="D145" s="298"/>
      <c r="E145" s="298"/>
      <c r="F145" s="298"/>
      <c r="G145" s="298"/>
      <c r="H145" s="366">
        <v>0</v>
      </c>
      <c r="I145" s="298"/>
      <c r="J145" s="298"/>
      <c r="K145" s="298"/>
      <c r="L145" s="298"/>
      <c r="M145" s="366">
        <v>0</v>
      </c>
      <c r="N145" s="298">
        <v>0</v>
      </c>
      <c r="O145" s="298">
        <v>0</v>
      </c>
      <c r="P145" s="301">
        <f>0-N145-O145</f>
        <v>0</v>
      </c>
      <c r="Q145" s="298">
        <v>0</v>
      </c>
      <c r="R145" s="366">
        <v>0</v>
      </c>
      <c r="S145" s="301">
        <v>0</v>
      </c>
      <c r="T145" s="301">
        <v>0</v>
      </c>
      <c r="U145" s="301">
        <v>0</v>
      </c>
      <c r="V145" s="301">
        <v>0</v>
      </c>
      <c r="W145" s="366">
        <v>0</v>
      </c>
      <c r="X145" s="301">
        <v>0</v>
      </c>
      <c r="Y145" s="301">
        <v>0</v>
      </c>
      <c r="Z145" s="301">
        <v>0</v>
      </c>
      <c r="AA145" s="301">
        <v>0</v>
      </c>
      <c r="AB145" s="366">
        <v>0</v>
      </c>
      <c r="AC145" s="301">
        <v>0</v>
      </c>
      <c r="AD145" s="301">
        <v>0</v>
      </c>
      <c r="AE145" s="301">
        <v>0</v>
      </c>
      <c r="AF145" s="301">
        <v>0</v>
      </c>
      <c r="AG145" s="366">
        <v>0</v>
      </c>
      <c r="AH145" s="301">
        <v>0</v>
      </c>
      <c r="AI145" s="301">
        <v>0</v>
      </c>
      <c r="AJ145" s="298">
        <v>0</v>
      </c>
      <c r="AK145" s="298">
        <v>0</v>
      </c>
      <c r="AL145" s="366">
        <v>0</v>
      </c>
      <c r="AM145" s="298">
        <v>0</v>
      </c>
      <c r="AN145" s="298">
        <v>0</v>
      </c>
      <c r="AO145" s="296">
        <v>0</v>
      </c>
      <c r="AP145" s="298">
        <v>0</v>
      </c>
      <c r="AQ145" s="366">
        <f>SUM(AM145:AP145)</f>
        <v>0</v>
      </c>
      <c r="AR145" s="296">
        <v>0</v>
      </c>
      <c r="AS145" s="301">
        <v>0</v>
      </c>
      <c r="AT145" s="298">
        <v>0</v>
      </c>
      <c r="AU145" s="298">
        <v>0</v>
      </c>
      <c r="AV145" s="366">
        <f>SUM(AR145:AU145)</f>
        <v>0</v>
      </c>
      <c r="AW145" s="298">
        <v>0</v>
      </c>
      <c r="AX145" s="298">
        <v>0</v>
      </c>
      <c r="AY145" s="298">
        <v>0</v>
      </c>
      <c r="AZ145" s="298">
        <v>0</v>
      </c>
      <c r="BA145" s="366">
        <v>0</v>
      </c>
      <c r="BB145" s="298">
        <v>0</v>
      </c>
      <c r="BC145" s="298">
        <v>0</v>
      </c>
      <c r="BD145" s="298">
        <v>0</v>
      </c>
      <c r="BE145" s="298">
        <v>0</v>
      </c>
      <c r="BF145" s="366">
        <f>SUM(BB145:BE145)</f>
        <v>0</v>
      </c>
      <c r="BG145" s="298">
        <v>0</v>
      </c>
      <c r="BH145" s="298">
        <v>0</v>
      </c>
      <c r="BI145" s="298">
        <v>0</v>
      </c>
      <c r="BJ145" s="298">
        <v>0</v>
      </c>
      <c r="BK145" s="366">
        <f>SUM(BG145:BJ145)</f>
        <v>0</v>
      </c>
      <c r="BL145" s="298">
        <v>0</v>
      </c>
      <c r="BM145" s="298">
        <v>0</v>
      </c>
      <c r="BN145" s="298">
        <v>0</v>
      </c>
      <c r="BO145" s="298">
        <v>0</v>
      </c>
      <c r="BP145" s="366">
        <v>0</v>
      </c>
      <c r="BQ145" s="596">
        <v>0</v>
      </c>
      <c r="BR145" s="298">
        <v>0</v>
      </c>
      <c r="BS145" s="298">
        <v>0</v>
      </c>
      <c r="BT145" s="298">
        <v>0</v>
      </c>
      <c r="BU145" s="366">
        <f>SUM(BQ145:BT145)</f>
        <v>0</v>
      </c>
      <c r="BV145" s="298">
        <v>0</v>
      </c>
      <c r="BW145" s="298">
        <v>0</v>
      </c>
      <c r="BX145" s="298">
        <v>0</v>
      </c>
      <c r="BY145" s="298">
        <v>0</v>
      </c>
      <c r="BZ145" s="366">
        <f>SUM(BV145:BY145)</f>
        <v>0</v>
      </c>
      <c r="CA145" s="298">
        <v>0</v>
      </c>
      <c r="CB145" s="298">
        <v>0</v>
      </c>
      <c r="CC145" s="298">
        <v>0</v>
      </c>
      <c r="CD145" s="298">
        <v>0</v>
      </c>
      <c r="CE145" s="366">
        <f>SUM(CA145:CD145)</f>
        <v>0</v>
      </c>
      <c r="CF145" s="298">
        <v>0</v>
      </c>
      <c r="CG145" s="298">
        <v>0</v>
      </c>
      <c r="CH145" s="298">
        <v>0</v>
      </c>
      <c r="CI145" s="298">
        <v>0</v>
      </c>
      <c r="CJ145" s="366">
        <f>SUM(CF145:CI145)</f>
        <v>0</v>
      </c>
      <c r="CK145" s="298">
        <v>0</v>
      </c>
      <c r="CL145" s="298">
        <v>0</v>
      </c>
      <c r="CM145" s="298">
        <v>0</v>
      </c>
      <c r="CN145" s="298">
        <v>0</v>
      </c>
      <c r="CO145" s="366">
        <f>SUM(CK145:CN145)</f>
        <v>0</v>
      </c>
      <c r="CP145" s="298">
        <v>0</v>
      </c>
      <c r="CQ145" s="298">
        <v>0</v>
      </c>
      <c r="CR145" s="298">
        <v>0</v>
      </c>
      <c r="CS145" s="298">
        <v>0</v>
      </c>
      <c r="CT145" s="366">
        <f>SUM(CP145:CS145)</f>
        <v>0</v>
      </c>
      <c r="CU145" s="313"/>
      <c r="CV145" s="313"/>
    </row>
    <row r="146" spans="1:100" x14ac:dyDescent="0.2">
      <c r="A146" s="313" t="s">
        <v>136</v>
      </c>
      <c r="B146" s="377"/>
      <c r="C146" s="377"/>
      <c r="D146" s="298"/>
      <c r="E146" s="298"/>
      <c r="F146" s="298"/>
      <c r="G146" s="298"/>
      <c r="H146" s="366">
        <v>51</v>
      </c>
      <c r="I146" s="298"/>
      <c r="J146" s="298"/>
      <c r="K146" s="298"/>
      <c r="L146" s="298"/>
      <c r="M146" s="366">
        <v>-21</v>
      </c>
      <c r="N146" s="298">
        <v>4</v>
      </c>
      <c r="O146" s="298">
        <v>2</v>
      </c>
      <c r="P146" s="301">
        <v>7</v>
      </c>
      <c r="Q146" s="298">
        <f>+R146-N146-O146-P146</f>
        <v>15</v>
      </c>
      <c r="R146" s="366">
        <v>28</v>
      </c>
      <c r="S146" s="301">
        <v>-1</v>
      </c>
      <c r="T146" s="301">
        <v>42</v>
      </c>
      <c r="U146" s="301">
        <v>6</v>
      </c>
      <c r="V146" s="301">
        <f>+W146-S146-T146-U146</f>
        <v>28</v>
      </c>
      <c r="W146" s="366">
        <v>75</v>
      </c>
      <c r="X146" s="301">
        <v>9</v>
      </c>
      <c r="Y146" s="301">
        <f>14-X146</f>
        <v>5</v>
      </c>
      <c r="Z146" s="301">
        <f>-20-X146-Y146</f>
        <v>-34</v>
      </c>
      <c r="AA146" s="301">
        <f>+AB146-X146-Y146-Z146</f>
        <v>-133</v>
      </c>
      <c r="AB146" s="366">
        <v>-153</v>
      </c>
      <c r="AC146" s="301">
        <v>-62</v>
      </c>
      <c r="AD146" s="301">
        <f>-12-AC146</f>
        <v>50</v>
      </c>
      <c r="AE146" s="301">
        <f>19-AC146-AD146</f>
        <v>31</v>
      </c>
      <c r="AF146" s="301">
        <f>+AG146-AC146-AD146-AE146</f>
        <v>-38</v>
      </c>
      <c r="AG146" s="366">
        <v>-19</v>
      </c>
      <c r="AH146" s="301">
        <v>-145</v>
      </c>
      <c r="AI146" s="301">
        <f>-227-AH146</f>
        <v>-82</v>
      </c>
      <c r="AJ146" s="298">
        <f>-200-AH146-AI146</f>
        <v>27</v>
      </c>
      <c r="AK146" s="301">
        <f>+AL146-AH146-AI146-AJ146</f>
        <v>34</v>
      </c>
      <c r="AL146" s="366">
        <v>-166</v>
      </c>
      <c r="AM146" s="298">
        <v>92</v>
      </c>
      <c r="AN146" s="298">
        <f>168-AM146</f>
        <v>76</v>
      </c>
      <c r="AO146" s="296">
        <f>144-AN146-AM146</f>
        <v>-24</v>
      </c>
      <c r="AP146" s="298">
        <f>+AQ146-AM146-AN146-AO146</f>
        <v>-211</v>
      </c>
      <c r="AQ146" s="366">
        <v>-67</v>
      </c>
      <c r="AR146" s="296">
        <v>82</v>
      </c>
      <c r="AS146" s="298">
        <f>-21-AR146</f>
        <v>-103</v>
      </c>
      <c r="AT146" s="298">
        <f>16-AS146-AR146</f>
        <v>37</v>
      </c>
      <c r="AU146" s="298">
        <f>AV146-SUM(AR146:AT146)</f>
        <v>46</v>
      </c>
      <c r="AV146" s="366">
        <v>62</v>
      </c>
      <c r="AW146" s="298">
        <v>-172</v>
      </c>
      <c r="AX146" s="298">
        <f>-206-AW146</f>
        <v>-34</v>
      </c>
      <c r="AY146" s="298">
        <f>-242-AX146-AW146</f>
        <v>-36</v>
      </c>
      <c r="AZ146" s="298">
        <f>BA146-SUM(AW146:AY146)</f>
        <v>46</v>
      </c>
      <c r="BA146" s="366">
        <v>-196</v>
      </c>
      <c r="BB146" s="298">
        <v>-36</v>
      </c>
      <c r="BC146" s="298">
        <f>+-23-BB146</f>
        <v>13</v>
      </c>
      <c r="BD146" s="298">
        <f>-81-BC146-BB146</f>
        <v>-58</v>
      </c>
      <c r="BE146" s="298">
        <f>BF146-SUM(BB146:BD146)</f>
        <v>-465</v>
      </c>
      <c r="BF146" s="366">
        <v>-546</v>
      </c>
      <c r="BG146" s="298">
        <v>-104</v>
      </c>
      <c r="BH146" s="298">
        <f>+-76-BG146</f>
        <v>28</v>
      </c>
      <c r="BI146" s="298">
        <f>-147-BH146-BG146</f>
        <v>-71</v>
      </c>
      <c r="BJ146" s="298">
        <f>BK146-SUM(BG146:BI146)</f>
        <v>-74</v>
      </c>
      <c r="BK146" s="366">
        <v>-221</v>
      </c>
      <c r="BL146" s="298">
        <v>-22</v>
      </c>
      <c r="BM146" s="298">
        <f>+-13-BL146</f>
        <v>9</v>
      </c>
      <c r="BN146" s="298">
        <f>-18-BM146-BL146</f>
        <v>-5</v>
      </c>
      <c r="BO146" s="298">
        <f>BP146-SUM(BL146:BN146)</f>
        <v>-234</v>
      </c>
      <c r="BP146" s="366">
        <v>-252</v>
      </c>
      <c r="BQ146" s="596">
        <v>43</v>
      </c>
      <c r="BR146" s="298">
        <f>36-BQ146</f>
        <v>-7</v>
      </c>
      <c r="BS146" s="298">
        <f>76-BR146-BQ146</f>
        <v>40</v>
      </c>
      <c r="BT146" s="298">
        <f>BU146-SUM(BQ146:BS146)</f>
        <v>-29</v>
      </c>
      <c r="BU146" s="366">
        <v>47</v>
      </c>
      <c r="BV146" s="298">
        <v>0</v>
      </c>
      <c r="BW146" s="298">
        <v>0</v>
      </c>
      <c r="BX146" s="298">
        <v>0</v>
      </c>
      <c r="BY146" s="298">
        <v>0</v>
      </c>
      <c r="BZ146" s="366">
        <f>SUM(BV146:BY146)</f>
        <v>0</v>
      </c>
      <c r="CA146" s="298">
        <v>0</v>
      </c>
      <c r="CB146" s="298">
        <v>0</v>
      </c>
      <c r="CC146" s="298">
        <v>0</v>
      </c>
      <c r="CD146" s="298">
        <v>0</v>
      </c>
      <c r="CE146" s="366">
        <f>SUM(CA146:CD146)</f>
        <v>0</v>
      </c>
      <c r="CF146" s="298">
        <v>0</v>
      </c>
      <c r="CG146" s="298">
        <v>0</v>
      </c>
      <c r="CH146" s="298">
        <v>0</v>
      </c>
      <c r="CI146" s="298">
        <v>0</v>
      </c>
      <c r="CJ146" s="366">
        <f>SUM(CF146:CI146)</f>
        <v>0</v>
      </c>
      <c r="CK146" s="298">
        <v>0</v>
      </c>
      <c r="CL146" s="298">
        <v>0</v>
      </c>
      <c r="CM146" s="298">
        <v>0</v>
      </c>
      <c r="CN146" s="298">
        <v>0</v>
      </c>
      <c r="CO146" s="366">
        <f>SUM(CK146:CN146)</f>
        <v>0</v>
      </c>
      <c r="CP146" s="298">
        <v>0</v>
      </c>
      <c r="CQ146" s="298">
        <v>0</v>
      </c>
      <c r="CR146" s="298">
        <v>0</v>
      </c>
      <c r="CS146" s="298">
        <v>0</v>
      </c>
      <c r="CT146" s="366">
        <f>SUM(CP146:CS146)</f>
        <v>0</v>
      </c>
      <c r="CU146" s="313"/>
      <c r="CV146" s="313"/>
    </row>
    <row r="147" spans="1:100" x14ac:dyDescent="0.2">
      <c r="A147" s="313" t="s">
        <v>137</v>
      </c>
      <c r="B147" s="377"/>
      <c r="C147" s="377"/>
      <c r="D147" s="330"/>
      <c r="E147" s="330"/>
      <c r="F147" s="330"/>
      <c r="G147" s="330"/>
      <c r="H147" s="331">
        <f t="shared" ref="H147:AH147" si="244">H127+H135+H143+H146+H145</f>
        <v>460</v>
      </c>
      <c r="I147" s="330"/>
      <c r="J147" s="330"/>
      <c r="K147" s="330"/>
      <c r="L147" s="330"/>
      <c r="M147" s="331">
        <f t="shared" si="244"/>
        <v>436</v>
      </c>
      <c r="N147" s="330">
        <f t="shared" si="244"/>
        <v>-760</v>
      </c>
      <c r="O147" s="330">
        <f t="shared" si="244"/>
        <v>-537</v>
      </c>
      <c r="P147" s="332">
        <f t="shared" si="244"/>
        <v>906</v>
      </c>
      <c r="Q147" s="330">
        <f>Q127+Q135+Q143+Q146+Q145</f>
        <v>326</v>
      </c>
      <c r="R147" s="331">
        <f>R127+R135+R143+R146+R145</f>
        <v>-65</v>
      </c>
      <c r="S147" s="332">
        <f>S127+S135+S143+S146+S145</f>
        <v>-684</v>
      </c>
      <c r="T147" s="332">
        <f t="shared" si="244"/>
        <v>31</v>
      </c>
      <c r="U147" s="332">
        <f t="shared" si="244"/>
        <v>37</v>
      </c>
      <c r="V147" s="332">
        <f t="shared" si="244"/>
        <v>-125</v>
      </c>
      <c r="W147" s="331">
        <f t="shared" si="244"/>
        <v>-741</v>
      </c>
      <c r="X147" s="332">
        <f t="shared" si="244"/>
        <v>694</v>
      </c>
      <c r="Y147" s="332">
        <f t="shared" si="244"/>
        <v>164</v>
      </c>
      <c r="Z147" s="332">
        <f t="shared" si="244"/>
        <v>-251</v>
      </c>
      <c r="AA147" s="332">
        <f t="shared" si="244"/>
        <v>547</v>
      </c>
      <c r="AB147" s="331">
        <f t="shared" si="244"/>
        <v>1154</v>
      </c>
      <c r="AC147" s="332">
        <f t="shared" si="244"/>
        <v>124</v>
      </c>
      <c r="AD147" s="332">
        <f t="shared" si="244"/>
        <v>26</v>
      </c>
      <c r="AE147" s="332">
        <f t="shared" si="244"/>
        <v>1040</v>
      </c>
      <c r="AF147" s="332">
        <f t="shared" si="244"/>
        <v>689</v>
      </c>
      <c r="AG147" s="331">
        <f t="shared" si="244"/>
        <v>1879</v>
      </c>
      <c r="AH147" s="332">
        <f t="shared" si="244"/>
        <v>6</v>
      </c>
      <c r="AI147" s="332">
        <f t="shared" ref="AI147:BN147" si="245">AI127+AI135+AI143+AI146+AI145</f>
        <v>580</v>
      </c>
      <c r="AJ147" s="330">
        <f t="shared" si="245"/>
        <v>1048</v>
      </c>
      <c r="AK147" s="330">
        <f t="shared" si="245"/>
        <v>366</v>
      </c>
      <c r="AL147" s="331">
        <f t="shared" si="245"/>
        <v>2000</v>
      </c>
      <c r="AM147" s="330">
        <f t="shared" si="245"/>
        <v>-2281</v>
      </c>
      <c r="AN147" s="330">
        <f t="shared" si="245"/>
        <v>-749</v>
      </c>
      <c r="AO147" s="333">
        <f t="shared" si="245"/>
        <v>170</v>
      </c>
      <c r="AP147" s="330">
        <f t="shared" si="245"/>
        <v>984</v>
      </c>
      <c r="AQ147" s="331">
        <f t="shared" si="245"/>
        <v>-1876</v>
      </c>
      <c r="AR147" s="333">
        <f t="shared" si="245"/>
        <v>-582</v>
      </c>
      <c r="AS147" s="330">
        <f t="shared" si="245"/>
        <v>378</v>
      </c>
      <c r="AT147" s="330">
        <f t="shared" si="245"/>
        <v>1446</v>
      </c>
      <c r="AU147" s="330">
        <f t="shared" si="245"/>
        <v>988</v>
      </c>
      <c r="AV147" s="331">
        <f t="shared" si="245"/>
        <v>2230</v>
      </c>
      <c r="AW147" s="330">
        <f t="shared" si="245"/>
        <v>418</v>
      </c>
      <c r="AX147" s="330">
        <f t="shared" si="245"/>
        <v>1078</v>
      </c>
      <c r="AY147" s="330">
        <f t="shared" si="245"/>
        <v>1411</v>
      </c>
      <c r="AZ147" s="330">
        <f t="shared" si="245"/>
        <v>171</v>
      </c>
      <c r="BA147" s="331">
        <f t="shared" si="245"/>
        <v>3078</v>
      </c>
      <c r="BB147" s="330">
        <f t="shared" si="245"/>
        <v>464</v>
      </c>
      <c r="BC147" s="330">
        <f t="shared" si="245"/>
        <v>-2232</v>
      </c>
      <c r="BD147" s="330">
        <f t="shared" si="245"/>
        <v>-325</v>
      </c>
      <c r="BE147" s="330">
        <f t="shared" si="245"/>
        <v>-1148</v>
      </c>
      <c r="BF147" s="331">
        <f t="shared" si="245"/>
        <v>-3241</v>
      </c>
      <c r="BG147" s="330">
        <f t="shared" si="245"/>
        <v>276</v>
      </c>
      <c r="BH147" s="330">
        <f t="shared" si="245"/>
        <v>1152</v>
      </c>
      <c r="BI147" s="330">
        <f>BI127+BI135+BI143+BI146+BI145</f>
        <v>1136</v>
      </c>
      <c r="BJ147" s="330">
        <f t="shared" si="245"/>
        <v>398</v>
      </c>
      <c r="BK147" s="331">
        <f>BK127+BK135+BK143+BK146+BK145</f>
        <v>2962</v>
      </c>
      <c r="BL147" s="330">
        <f t="shared" si="245"/>
        <v>-972</v>
      </c>
      <c r="BM147" s="330">
        <f t="shared" si="245"/>
        <v>1522</v>
      </c>
      <c r="BN147" s="330">
        <f t="shared" si="245"/>
        <v>610</v>
      </c>
      <c r="BO147" s="330">
        <f t="shared" ref="BO147" si="246">BO127+BO135+BO143+BO146+BO145</f>
        <v>-1098</v>
      </c>
      <c r="BP147" s="331">
        <f t="shared" ref="BP147:CO147" si="247">BP127+BP135+BP143+BP146+BP145</f>
        <v>62</v>
      </c>
      <c r="BQ147" s="330">
        <f t="shared" si="247"/>
        <v>370</v>
      </c>
      <c r="BR147" s="330">
        <f t="shared" si="247"/>
        <v>754</v>
      </c>
      <c r="BS147" s="330">
        <f t="shared" si="247"/>
        <v>-39</v>
      </c>
      <c r="BT147" s="330">
        <f t="shared" si="247"/>
        <v>367</v>
      </c>
      <c r="BU147" s="331">
        <f t="shared" si="247"/>
        <v>1452</v>
      </c>
      <c r="BV147" s="330">
        <f t="shared" ca="1" si="247"/>
        <v>6.8212102632969618E-12</v>
      </c>
      <c r="BW147" s="330">
        <f t="shared" ca="1" si="247"/>
        <v>-3.2514435588382185E-11</v>
      </c>
      <c r="BX147" s="330">
        <f t="shared" ca="1" si="247"/>
        <v>1.9099388737231493E-11</v>
      </c>
      <c r="BY147" s="330">
        <f t="shared" ca="1" si="247"/>
        <v>-1.0004441719502211E-11</v>
      </c>
      <c r="BZ147" s="331">
        <f t="shared" ca="1" si="247"/>
        <v>-1.7280399333685637E-11</v>
      </c>
      <c r="CA147" s="330">
        <f t="shared" ca="1" si="247"/>
        <v>-2.4442670110147446E-12</v>
      </c>
      <c r="CB147" s="330">
        <f t="shared" ca="1" si="247"/>
        <v>-9.0949470177292824E-13</v>
      </c>
      <c r="CC147" s="330">
        <f t="shared" ca="1" si="247"/>
        <v>1.7280399333685637E-11</v>
      </c>
      <c r="CD147" s="330">
        <f t="shared" ca="1" si="247"/>
        <v>6.3664629124104977E-12</v>
      </c>
      <c r="CE147" s="331">
        <f t="shared" ca="1" si="247"/>
        <v>2.0008883439004421E-11</v>
      </c>
      <c r="CF147" s="330">
        <f t="shared" ca="1" si="247"/>
        <v>-3.4674485505092889E-12</v>
      </c>
      <c r="CG147" s="330">
        <f t="shared" ca="1" si="247"/>
        <v>6.3664629124104977E-12</v>
      </c>
      <c r="CH147" s="330">
        <f t="shared" ca="1" si="247"/>
        <v>5.9117155615240335E-12</v>
      </c>
      <c r="CI147" s="330">
        <f t="shared" ca="1" si="247"/>
        <v>-1.9099388737231493E-11</v>
      </c>
      <c r="CJ147" s="331">
        <f t="shared" ca="1" si="247"/>
        <v>-7.2759576141834259E-12</v>
      </c>
      <c r="CK147" s="330">
        <f t="shared" ca="1" si="247"/>
        <v>-3.1832314562052488E-12</v>
      </c>
      <c r="CL147" s="330">
        <f t="shared" ca="1" si="247"/>
        <v>1.1823431123048067E-11</v>
      </c>
      <c r="CM147" s="330">
        <f t="shared" ca="1" si="247"/>
        <v>1.546140993013978E-11</v>
      </c>
      <c r="CN147" s="330">
        <f t="shared" ca="1" si="247"/>
        <v>1.6370904631912708E-11</v>
      </c>
      <c r="CO147" s="331">
        <f t="shared" ca="1" si="247"/>
        <v>4.0017766878008842E-11</v>
      </c>
      <c r="CP147" s="330">
        <f ca="1">CP127+CP135+CP143+CP146+CP145</f>
        <v>-1.2562395568238571E-11</v>
      </c>
      <c r="CQ147" s="330">
        <f ca="1">CQ127+CQ135+CQ143+CQ146+CQ145</f>
        <v>-3.1832314562052488E-12</v>
      </c>
      <c r="CR147" s="330">
        <f ca="1">CR127+CR135+CR143+CR146+CR145</f>
        <v>-4.5474735088646412E-12</v>
      </c>
      <c r="CS147" s="330">
        <f ca="1">CS127+CS135+CS143+CS146+CS145</f>
        <v>2.0463630789890885E-11</v>
      </c>
      <c r="CT147" s="331">
        <f ca="1">CT127+CT135+CT143+CT146+CT145</f>
        <v>-3.637978807091713E-12</v>
      </c>
      <c r="CU147" s="445"/>
      <c r="CV147" s="108"/>
    </row>
    <row r="148" spans="1:100" x14ac:dyDescent="0.2">
      <c r="A148" s="313" t="s">
        <v>138</v>
      </c>
      <c r="B148" s="377"/>
      <c r="C148" s="377"/>
      <c r="D148" s="427"/>
      <c r="E148" s="427"/>
      <c r="F148" s="427"/>
      <c r="G148" s="427"/>
      <c r="H148" s="428">
        <v>820</v>
      </c>
      <c r="I148" s="427"/>
      <c r="J148" s="427"/>
      <c r="K148" s="427"/>
      <c r="L148" s="427"/>
      <c r="M148" s="428">
        <f>+H67</f>
        <v>1280</v>
      </c>
      <c r="N148" s="427">
        <v>1716</v>
      </c>
      <c r="O148" s="427">
        <f>+N149</f>
        <v>956</v>
      </c>
      <c r="P148" s="430">
        <f>+O149</f>
        <v>419</v>
      </c>
      <c r="Q148" s="427">
        <f>+P149</f>
        <v>1325</v>
      </c>
      <c r="R148" s="428">
        <v>1716</v>
      </c>
      <c r="S148" s="430">
        <v>1651</v>
      </c>
      <c r="T148" s="430">
        <f>+S149</f>
        <v>967</v>
      </c>
      <c r="U148" s="430">
        <f>+T149</f>
        <v>998</v>
      </c>
      <c r="V148" s="430">
        <f>+U149</f>
        <v>1035</v>
      </c>
      <c r="W148" s="428">
        <v>1651</v>
      </c>
      <c r="X148" s="430">
        <f>+W149</f>
        <v>910</v>
      </c>
      <c r="Y148" s="430">
        <f>+X149</f>
        <v>1604</v>
      </c>
      <c r="Z148" s="430">
        <f>+Y149</f>
        <v>1768</v>
      </c>
      <c r="AA148" s="430">
        <f>+Z149</f>
        <v>1517</v>
      </c>
      <c r="AB148" s="428">
        <v>910</v>
      </c>
      <c r="AC148" s="430">
        <v>2064</v>
      </c>
      <c r="AD148" s="430">
        <f>+AC149</f>
        <v>2188</v>
      </c>
      <c r="AE148" s="430">
        <f>+AD149</f>
        <v>2214</v>
      </c>
      <c r="AF148" s="430">
        <f>+AE149</f>
        <v>3254</v>
      </c>
      <c r="AG148" s="428">
        <v>2064</v>
      </c>
      <c r="AH148" s="430">
        <v>3943</v>
      </c>
      <c r="AI148" s="430">
        <f>+AH149</f>
        <v>3949</v>
      </c>
      <c r="AJ148" s="427">
        <f>+AI149</f>
        <v>4529</v>
      </c>
      <c r="AK148" s="427">
        <f>+AJ149</f>
        <v>5577</v>
      </c>
      <c r="AL148" s="428">
        <v>3943</v>
      </c>
      <c r="AM148" s="427">
        <f>+AL149</f>
        <v>5943</v>
      </c>
      <c r="AN148" s="427">
        <f>+AM149</f>
        <v>3662</v>
      </c>
      <c r="AO148" s="431">
        <f>+AN149</f>
        <v>2913</v>
      </c>
      <c r="AP148" s="427">
        <f>+AO149</f>
        <v>3083</v>
      </c>
      <c r="AQ148" s="428">
        <f>+AL149</f>
        <v>5943</v>
      </c>
      <c r="AR148" s="431">
        <f>+AQ149</f>
        <v>4067</v>
      </c>
      <c r="AS148" s="427">
        <f>+AR149</f>
        <v>3485</v>
      </c>
      <c r="AT148" s="427">
        <f>+AS149</f>
        <v>3863</v>
      </c>
      <c r="AU148" s="427">
        <f>+AT149</f>
        <v>5309</v>
      </c>
      <c r="AV148" s="428">
        <f>+AQ149</f>
        <v>4067</v>
      </c>
      <c r="AW148" s="427">
        <f>+AV149</f>
        <v>6297</v>
      </c>
      <c r="AX148" s="427">
        <f>+AW149</f>
        <v>6715</v>
      </c>
      <c r="AY148" s="427">
        <f>+AX149</f>
        <v>7793</v>
      </c>
      <c r="AZ148" s="427">
        <f>+AY149</f>
        <v>9204</v>
      </c>
      <c r="BA148" s="428">
        <f>+AV149</f>
        <v>6297</v>
      </c>
      <c r="BB148" s="427">
        <f>+BA149</f>
        <v>9375</v>
      </c>
      <c r="BC148" s="427">
        <f>+BB149</f>
        <v>9839</v>
      </c>
      <c r="BD148" s="427">
        <f>+BC149</f>
        <v>7607</v>
      </c>
      <c r="BE148" s="427">
        <f>+BD149</f>
        <v>7282</v>
      </c>
      <c r="BF148" s="428">
        <f>+BA149</f>
        <v>9375</v>
      </c>
      <c r="BG148" s="427">
        <f>+BF149</f>
        <v>6134</v>
      </c>
      <c r="BH148" s="427">
        <f>+BG149</f>
        <v>6410</v>
      </c>
      <c r="BI148" s="427">
        <f>+BH149</f>
        <v>7562</v>
      </c>
      <c r="BJ148" s="427">
        <f>+BI149</f>
        <v>8698</v>
      </c>
      <c r="BK148" s="428">
        <f>+BF149</f>
        <v>6134</v>
      </c>
      <c r="BL148" s="427">
        <f>+BK149</f>
        <v>9096</v>
      </c>
      <c r="BM148" s="427">
        <f>+BL149</f>
        <v>8124</v>
      </c>
      <c r="BN148" s="427">
        <f>+BM149</f>
        <v>9646</v>
      </c>
      <c r="BO148" s="427">
        <f>+BN149</f>
        <v>10256</v>
      </c>
      <c r="BP148" s="428">
        <f>+BK149</f>
        <v>9096</v>
      </c>
      <c r="BQ148" s="608">
        <f>+BP149</f>
        <v>9158</v>
      </c>
      <c r="BR148" s="427">
        <f>+BQ149</f>
        <v>9528</v>
      </c>
      <c r="BS148" s="427">
        <f>+BR149</f>
        <v>10282</v>
      </c>
      <c r="BT148" s="427">
        <f>+BS149</f>
        <v>10243</v>
      </c>
      <c r="BU148" s="428">
        <f>+BP149</f>
        <v>9158</v>
      </c>
      <c r="BV148" s="427">
        <f>+BU149</f>
        <v>10610</v>
      </c>
      <c r="BW148" s="427">
        <f ca="1">+BV149</f>
        <v>10610.000000000007</v>
      </c>
      <c r="BX148" s="427">
        <f ca="1">+BW149</f>
        <v>10609.999999999975</v>
      </c>
      <c r="BY148" s="427">
        <f ca="1">+BX149</f>
        <v>10609.999999999993</v>
      </c>
      <c r="BZ148" s="428">
        <f>+BU149</f>
        <v>10610</v>
      </c>
      <c r="CA148" s="427">
        <f ca="1">+BZ149</f>
        <v>10609.999999999982</v>
      </c>
      <c r="CB148" s="427">
        <f ca="1">+CA149</f>
        <v>10609.99999999998</v>
      </c>
      <c r="CC148" s="427">
        <f ca="1">+CB149</f>
        <v>10609.999999999978</v>
      </c>
      <c r="CD148" s="427">
        <f ca="1">+CC149</f>
        <v>10609.999999999996</v>
      </c>
      <c r="CE148" s="428">
        <f ca="1">+BZ149</f>
        <v>10609.999999999982</v>
      </c>
      <c r="CF148" s="427">
        <f ca="1">+CE149</f>
        <v>10610.000000000002</v>
      </c>
      <c r="CG148" s="427">
        <f ca="1">+CF149</f>
        <v>10609.999999999998</v>
      </c>
      <c r="CH148" s="427">
        <f ca="1">+CG149</f>
        <v>10610.000000000004</v>
      </c>
      <c r="CI148" s="427">
        <f ca="1">+CH149</f>
        <v>10610.000000000009</v>
      </c>
      <c r="CJ148" s="428">
        <f ca="1">+CE149</f>
        <v>10610.000000000002</v>
      </c>
      <c r="CK148" s="427">
        <f ca="1">+CJ149</f>
        <v>10609.999999999995</v>
      </c>
      <c r="CL148" s="427">
        <f ca="1">+CK149</f>
        <v>10609.999999999991</v>
      </c>
      <c r="CM148" s="427">
        <f ca="1">+CL149</f>
        <v>10610.000000000004</v>
      </c>
      <c r="CN148" s="427">
        <f ca="1">+CM149</f>
        <v>10610.000000000018</v>
      </c>
      <c r="CO148" s="428">
        <f ca="1">+CJ149</f>
        <v>10609.999999999995</v>
      </c>
      <c r="CP148" s="427">
        <f ca="1">+CO149</f>
        <v>10610.000000000035</v>
      </c>
      <c r="CQ148" s="427">
        <f ca="1">+CP149</f>
        <v>10610.000000000022</v>
      </c>
      <c r="CR148" s="427">
        <f ca="1">+CQ149</f>
        <v>10610.000000000018</v>
      </c>
      <c r="CS148" s="427">
        <f ca="1">+CR149</f>
        <v>10610.000000000015</v>
      </c>
      <c r="CT148" s="428">
        <f ca="1">+CO149</f>
        <v>10610.000000000035</v>
      </c>
      <c r="CU148" s="446"/>
      <c r="CV148" s="445"/>
    </row>
    <row r="149" spans="1:100" x14ac:dyDescent="0.2">
      <c r="A149" s="59" t="s">
        <v>139</v>
      </c>
      <c r="B149" s="91"/>
      <c r="C149" s="91"/>
      <c r="D149" s="60"/>
      <c r="E149" s="60"/>
      <c r="F149" s="60"/>
      <c r="G149" s="60"/>
      <c r="H149" s="51">
        <f>+H148+H147</f>
        <v>1280</v>
      </c>
      <c r="I149" s="60"/>
      <c r="J149" s="60"/>
      <c r="K149" s="60"/>
      <c r="L149" s="61"/>
      <c r="M149" s="51">
        <f t="shared" ref="M149:V149" si="248">+M148+M147</f>
        <v>1716</v>
      </c>
      <c r="N149" s="60">
        <f t="shared" si="248"/>
        <v>956</v>
      </c>
      <c r="O149" s="60">
        <f t="shared" si="248"/>
        <v>419</v>
      </c>
      <c r="P149" s="61">
        <f t="shared" si="248"/>
        <v>1325</v>
      </c>
      <c r="Q149" s="60">
        <f t="shared" si="248"/>
        <v>1651</v>
      </c>
      <c r="R149" s="51">
        <f t="shared" si="248"/>
        <v>1651</v>
      </c>
      <c r="S149" s="61">
        <f t="shared" si="248"/>
        <v>967</v>
      </c>
      <c r="T149" s="61">
        <f t="shared" si="248"/>
        <v>998</v>
      </c>
      <c r="U149" s="61">
        <f t="shared" si="248"/>
        <v>1035</v>
      </c>
      <c r="V149" s="61">
        <f t="shared" si="248"/>
        <v>910</v>
      </c>
      <c r="W149" s="51">
        <f t="shared" ref="W149:AQ149" si="249">+W148+W147</f>
        <v>910</v>
      </c>
      <c r="X149" s="61">
        <f t="shared" si="249"/>
        <v>1604</v>
      </c>
      <c r="Y149" s="61">
        <f t="shared" si="249"/>
        <v>1768</v>
      </c>
      <c r="Z149" s="61">
        <f t="shared" si="249"/>
        <v>1517</v>
      </c>
      <c r="AA149" s="61">
        <f t="shared" si="249"/>
        <v>2064</v>
      </c>
      <c r="AB149" s="51">
        <f t="shared" si="249"/>
        <v>2064</v>
      </c>
      <c r="AC149" s="61">
        <f t="shared" si="249"/>
        <v>2188</v>
      </c>
      <c r="AD149" s="61">
        <f t="shared" si="249"/>
        <v>2214</v>
      </c>
      <c r="AE149" s="61">
        <f t="shared" si="249"/>
        <v>3254</v>
      </c>
      <c r="AF149" s="61">
        <f t="shared" si="249"/>
        <v>3943</v>
      </c>
      <c r="AG149" s="51">
        <f t="shared" si="249"/>
        <v>3943</v>
      </c>
      <c r="AH149" s="61">
        <f t="shared" si="249"/>
        <v>3949</v>
      </c>
      <c r="AI149" s="61">
        <f t="shared" si="249"/>
        <v>4529</v>
      </c>
      <c r="AJ149" s="60">
        <f t="shared" si="249"/>
        <v>5577</v>
      </c>
      <c r="AK149" s="60">
        <f t="shared" si="249"/>
        <v>5943</v>
      </c>
      <c r="AL149" s="51">
        <f t="shared" si="249"/>
        <v>5943</v>
      </c>
      <c r="AM149" s="60">
        <f t="shared" si="249"/>
        <v>3662</v>
      </c>
      <c r="AN149" s="60">
        <f t="shared" si="249"/>
        <v>2913</v>
      </c>
      <c r="AO149" s="62">
        <f t="shared" si="249"/>
        <v>3083</v>
      </c>
      <c r="AP149" s="60">
        <f t="shared" si="249"/>
        <v>4067</v>
      </c>
      <c r="AQ149" s="51">
        <f t="shared" si="249"/>
        <v>4067</v>
      </c>
      <c r="AR149" s="62">
        <f t="shared" ref="AR149:BW149" si="250">+AR148+AR147</f>
        <v>3485</v>
      </c>
      <c r="AS149" s="60">
        <f t="shared" si="250"/>
        <v>3863</v>
      </c>
      <c r="AT149" s="60">
        <f t="shared" si="250"/>
        <v>5309</v>
      </c>
      <c r="AU149" s="60">
        <f t="shared" si="250"/>
        <v>6297</v>
      </c>
      <c r="AV149" s="51">
        <f t="shared" si="250"/>
        <v>6297</v>
      </c>
      <c r="AW149" s="60">
        <f t="shared" si="250"/>
        <v>6715</v>
      </c>
      <c r="AX149" s="60">
        <f t="shared" si="250"/>
        <v>7793</v>
      </c>
      <c r="AY149" s="60">
        <f t="shared" si="250"/>
        <v>9204</v>
      </c>
      <c r="AZ149" s="60">
        <f t="shared" si="250"/>
        <v>9375</v>
      </c>
      <c r="BA149" s="51">
        <f t="shared" si="250"/>
        <v>9375</v>
      </c>
      <c r="BB149" s="60">
        <f t="shared" si="250"/>
        <v>9839</v>
      </c>
      <c r="BC149" s="60">
        <f t="shared" si="250"/>
        <v>7607</v>
      </c>
      <c r="BD149" s="60">
        <f t="shared" si="250"/>
        <v>7282</v>
      </c>
      <c r="BE149" s="60">
        <f t="shared" si="250"/>
        <v>6134</v>
      </c>
      <c r="BF149" s="51">
        <f t="shared" si="250"/>
        <v>6134</v>
      </c>
      <c r="BG149" s="60">
        <f t="shared" si="250"/>
        <v>6410</v>
      </c>
      <c r="BH149" s="60">
        <f t="shared" si="250"/>
        <v>7562</v>
      </c>
      <c r="BI149" s="60">
        <f>+BI148+BI147</f>
        <v>8698</v>
      </c>
      <c r="BJ149" s="60">
        <f t="shared" si="250"/>
        <v>9096</v>
      </c>
      <c r="BK149" s="51">
        <f t="shared" si="250"/>
        <v>9096</v>
      </c>
      <c r="BL149" s="60">
        <f t="shared" si="250"/>
        <v>8124</v>
      </c>
      <c r="BM149" s="60">
        <f t="shared" si="250"/>
        <v>9646</v>
      </c>
      <c r="BN149" s="60">
        <f t="shared" si="250"/>
        <v>10256</v>
      </c>
      <c r="BO149" s="60">
        <f t="shared" ref="BO149" si="251">+BO148+BO147</f>
        <v>9158</v>
      </c>
      <c r="BP149" s="51">
        <f t="shared" si="250"/>
        <v>9158</v>
      </c>
      <c r="BQ149" s="587">
        <f t="shared" si="250"/>
        <v>9528</v>
      </c>
      <c r="BR149" s="60">
        <f t="shared" si="250"/>
        <v>10282</v>
      </c>
      <c r="BS149" s="60">
        <f t="shared" si="250"/>
        <v>10243</v>
      </c>
      <c r="BT149" s="60">
        <f t="shared" si="250"/>
        <v>10610</v>
      </c>
      <c r="BU149" s="51">
        <f t="shared" si="250"/>
        <v>10610</v>
      </c>
      <c r="BV149" s="60">
        <f t="shared" ca="1" si="250"/>
        <v>10610.000000000007</v>
      </c>
      <c r="BW149" s="60">
        <f t="shared" ca="1" si="250"/>
        <v>10609.999999999975</v>
      </c>
      <c r="BX149" s="60">
        <f t="shared" ref="BX149:CO149" ca="1" si="252">+BX148+BX147</f>
        <v>10609.999999999993</v>
      </c>
      <c r="BY149" s="60">
        <f t="shared" ca="1" si="252"/>
        <v>10609.999999999982</v>
      </c>
      <c r="BZ149" s="51">
        <f t="shared" ca="1" si="252"/>
        <v>10609.999999999982</v>
      </c>
      <c r="CA149" s="60">
        <f t="shared" ca="1" si="252"/>
        <v>10609.99999999998</v>
      </c>
      <c r="CB149" s="60">
        <f t="shared" ca="1" si="252"/>
        <v>10609.999999999978</v>
      </c>
      <c r="CC149" s="60">
        <f t="shared" ca="1" si="252"/>
        <v>10609.999999999996</v>
      </c>
      <c r="CD149" s="60">
        <f t="shared" ca="1" si="252"/>
        <v>10610.000000000004</v>
      </c>
      <c r="CE149" s="51">
        <f t="shared" ca="1" si="252"/>
        <v>10610.000000000002</v>
      </c>
      <c r="CF149" s="60">
        <f t="shared" ca="1" si="252"/>
        <v>10609.999999999998</v>
      </c>
      <c r="CG149" s="60">
        <f t="shared" ca="1" si="252"/>
        <v>10610.000000000004</v>
      </c>
      <c r="CH149" s="60">
        <f t="shared" ca="1" si="252"/>
        <v>10610.000000000009</v>
      </c>
      <c r="CI149" s="60">
        <f t="shared" ca="1" si="252"/>
        <v>10609.999999999989</v>
      </c>
      <c r="CJ149" s="51">
        <f t="shared" ca="1" si="252"/>
        <v>10609.999999999995</v>
      </c>
      <c r="CK149" s="60">
        <f t="shared" ca="1" si="252"/>
        <v>10609.999999999991</v>
      </c>
      <c r="CL149" s="60">
        <f t="shared" ca="1" si="252"/>
        <v>10610.000000000004</v>
      </c>
      <c r="CM149" s="60">
        <f t="shared" ca="1" si="252"/>
        <v>10610.000000000018</v>
      </c>
      <c r="CN149" s="60">
        <f t="shared" ca="1" si="252"/>
        <v>10610.000000000035</v>
      </c>
      <c r="CO149" s="51">
        <f t="shared" ca="1" si="252"/>
        <v>10610.000000000035</v>
      </c>
      <c r="CP149" s="60">
        <f ca="1">+CP148+CP147</f>
        <v>10610.000000000022</v>
      </c>
      <c r="CQ149" s="60">
        <f ca="1">+CQ148+CQ147</f>
        <v>10610.000000000018</v>
      </c>
      <c r="CR149" s="60">
        <f ca="1">+CR148+CR147</f>
        <v>10610.000000000015</v>
      </c>
      <c r="CS149" s="60">
        <f ca="1">+CS148+CS147</f>
        <v>10610.000000000035</v>
      </c>
      <c r="CT149" s="51">
        <f ca="1">+CT148+CT147</f>
        <v>10610.000000000031</v>
      </c>
      <c r="CU149" s="447"/>
      <c r="CV149" s="445"/>
    </row>
    <row r="150" spans="1:100" x14ac:dyDescent="0.2">
      <c r="A150" s="313"/>
      <c r="B150" s="377"/>
      <c r="C150" s="377"/>
      <c r="D150" s="279"/>
      <c r="E150" s="279"/>
      <c r="F150" s="279"/>
      <c r="G150" s="279"/>
      <c r="H150" s="280" t="str">
        <f>IF(ROUND(H149-H66-H67,0)=0,"OK","Not OK")</f>
        <v>OK</v>
      </c>
      <c r="I150" s="279"/>
      <c r="J150" s="279"/>
      <c r="K150" s="279"/>
      <c r="L150" s="279"/>
      <c r="M150" s="280" t="str">
        <f t="shared" ref="M150:AQ150" si="253">IF(ROUND(M149-M66-M67,0)=0,"OK","Not OK")</f>
        <v>OK</v>
      </c>
      <c r="N150" s="279" t="str">
        <f t="shared" si="253"/>
        <v>OK</v>
      </c>
      <c r="O150" s="279" t="str">
        <f t="shared" si="253"/>
        <v>OK</v>
      </c>
      <c r="P150" s="281" t="str">
        <f t="shared" si="253"/>
        <v>OK</v>
      </c>
      <c r="Q150" s="279" t="str">
        <f t="shared" si="253"/>
        <v>OK</v>
      </c>
      <c r="R150" s="280" t="str">
        <f t="shared" si="253"/>
        <v>OK</v>
      </c>
      <c r="S150" s="281" t="str">
        <f t="shared" si="253"/>
        <v>OK</v>
      </c>
      <c r="T150" s="281" t="str">
        <f t="shared" si="253"/>
        <v>OK</v>
      </c>
      <c r="U150" s="281" t="str">
        <f t="shared" si="253"/>
        <v>OK</v>
      </c>
      <c r="V150" s="281" t="str">
        <f t="shared" si="253"/>
        <v>OK</v>
      </c>
      <c r="W150" s="280" t="str">
        <f t="shared" si="253"/>
        <v>OK</v>
      </c>
      <c r="X150" s="281" t="str">
        <f t="shared" si="253"/>
        <v>OK</v>
      </c>
      <c r="Y150" s="281" t="str">
        <f t="shared" si="253"/>
        <v>OK</v>
      </c>
      <c r="Z150" s="281" t="str">
        <f t="shared" si="253"/>
        <v>OK</v>
      </c>
      <c r="AA150" s="281" t="str">
        <f t="shared" si="253"/>
        <v>OK</v>
      </c>
      <c r="AB150" s="280" t="str">
        <f t="shared" si="253"/>
        <v>OK</v>
      </c>
      <c r="AC150" s="281" t="str">
        <f t="shared" si="253"/>
        <v>OK</v>
      </c>
      <c r="AD150" s="281" t="str">
        <f t="shared" si="253"/>
        <v>OK</v>
      </c>
      <c r="AE150" s="281" t="str">
        <f t="shared" si="253"/>
        <v>OK</v>
      </c>
      <c r="AF150" s="281" t="str">
        <f t="shared" si="253"/>
        <v>OK</v>
      </c>
      <c r="AG150" s="280" t="str">
        <f t="shared" si="253"/>
        <v>OK</v>
      </c>
      <c r="AH150" s="281" t="str">
        <f t="shared" si="253"/>
        <v>OK</v>
      </c>
      <c r="AI150" s="281" t="str">
        <f t="shared" si="253"/>
        <v>OK</v>
      </c>
      <c r="AJ150" s="279" t="str">
        <f t="shared" si="253"/>
        <v>OK</v>
      </c>
      <c r="AK150" s="279" t="str">
        <f t="shared" si="253"/>
        <v>OK</v>
      </c>
      <c r="AL150" s="280" t="str">
        <f t="shared" si="253"/>
        <v>OK</v>
      </c>
      <c r="AM150" s="279" t="str">
        <f t="shared" si="253"/>
        <v>OK</v>
      </c>
      <c r="AN150" s="279" t="str">
        <f t="shared" si="253"/>
        <v>OK</v>
      </c>
      <c r="AO150" s="282" t="str">
        <f t="shared" si="253"/>
        <v>OK</v>
      </c>
      <c r="AP150" s="279" t="str">
        <f t="shared" si="253"/>
        <v>OK</v>
      </c>
      <c r="AQ150" s="280" t="str">
        <f t="shared" si="253"/>
        <v>OK</v>
      </c>
      <c r="AR150" s="282" t="str">
        <f t="shared" ref="AR150:BW150" si="254">IF(ROUND(AR149-AR66-AR67,0)=0,"OK","Not OK")</f>
        <v>OK</v>
      </c>
      <c r="AS150" s="279" t="str">
        <f t="shared" si="254"/>
        <v>OK</v>
      </c>
      <c r="AT150" s="279" t="str">
        <f t="shared" si="254"/>
        <v>OK</v>
      </c>
      <c r="AU150" s="279" t="str">
        <f t="shared" si="254"/>
        <v>OK</v>
      </c>
      <c r="AV150" s="280" t="str">
        <f t="shared" si="254"/>
        <v>OK</v>
      </c>
      <c r="AW150" s="279" t="str">
        <f t="shared" si="254"/>
        <v>OK</v>
      </c>
      <c r="AX150" s="279" t="str">
        <f t="shared" si="254"/>
        <v>OK</v>
      </c>
      <c r="AY150" s="279" t="str">
        <f t="shared" si="254"/>
        <v>OK</v>
      </c>
      <c r="AZ150" s="279" t="str">
        <f t="shared" si="254"/>
        <v>OK</v>
      </c>
      <c r="BA150" s="280" t="str">
        <f t="shared" si="254"/>
        <v>OK</v>
      </c>
      <c r="BB150" s="279" t="str">
        <f t="shared" si="254"/>
        <v>OK</v>
      </c>
      <c r="BC150" s="279" t="str">
        <f t="shared" si="254"/>
        <v>OK</v>
      </c>
      <c r="BD150" s="279" t="str">
        <f t="shared" si="254"/>
        <v>OK</v>
      </c>
      <c r="BE150" s="279" t="str">
        <f t="shared" si="254"/>
        <v>OK</v>
      </c>
      <c r="BF150" s="280" t="str">
        <f>IF(ROUND(BF149-BF66-BF67,0)=0,"OK","Not OK")</f>
        <v>OK</v>
      </c>
      <c r="BG150" s="279" t="str">
        <f t="shared" si="254"/>
        <v>OK</v>
      </c>
      <c r="BH150" s="279" t="str">
        <f t="shared" si="254"/>
        <v>OK</v>
      </c>
      <c r="BI150" s="279" t="str">
        <f t="shared" si="254"/>
        <v>OK</v>
      </c>
      <c r="BJ150" s="279" t="str">
        <f t="shared" si="254"/>
        <v>OK</v>
      </c>
      <c r="BK150" s="280" t="str">
        <f>IF(ROUND(BK149-BK66-BK67,0)=0,"OK","Not OK")</f>
        <v>OK</v>
      </c>
      <c r="BL150" s="279" t="str">
        <f t="shared" si="254"/>
        <v>OK</v>
      </c>
      <c r="BM150" s="279" t="str">
        <f t="shared" si="254"/>
        <v>OK</v>
      </c>
      <c r="BN150" s="279" t="str">
        <f t="shared" si="254"/>
        <v>OK</v>
      </c>
      <c r="BO150" s="279" t="str">
        <f t="shared" si="254"/>
        <v>OK</v>
      </c>
      <c r="BP150" s="280" t="str">
        <f t="shared" si="254"/>
        <v>OK</v>
      </c>
      <c r="BQ150" s="611" t="str">
        <f t="shared" si="254"/>
        <v>OK</v>
      </c>
      <c r="BR150" s="279" t="str">
        <f t="shared" si="254"/>
        <v>OK</v>
      </c>
      <c r="BS150" s="279" t="str">
        <f t="shared" si="254"/>
        <v>OK</v>
      </c>
      <c r="BT150" s="279" t="str">
        <f t="shared" si="254"/>
        <v>OK</v>
      </c>
      <c r="BU150" s="280" t="str">
        <f t="shared" si="254"/>
        <v>OK</v>
      </c>
      <c r="BV150" s="279" t="str">
        <f t="shared" ca="1" si="254"/>
        <v>OK</v>
      </c>
      <c r="BW150" s="279" t="str">
        <f t="shared" ca="1" si="254"/>
        <v>OK</v>
      </c>
      <c r="BX150" s="279" t="str">
        <f t="shared" ref="BX150:CO150" ca="1" si="255">IF(ROUND(BX149-BX66-BX67,0)=0,"OK","Not OK")</f>
        <v>OK</v>
      </c>
      <c r="BY150" s="279" t="str">
        <f t="shared" ca="1" si="255"/>
        <v>OK</v>
      </c>
      <c r="BZ150" s="280" t="str">
        <f t="shared" ca="1" si="255"/>
        <v>OK</v>
      </c>
      <c r="CA150" s="279" t="str">
        <f t="shared" ca="1" si="255"/>
        <v>OK</v>
      </c>
      <c r="CB150" s="279" t="str">
        <f t="shared" ca="1" si="255"/>
        <v>OK</v>
      </c>
      <c r="CC150" s="279" t="str">
        <f t="shared" ca="1" si="255"/>
        <v>OK</v>
      </c>
      <c r="CD150" s="279" t="str">
        <f t="shared" ca="1" si="255"/>
        <v>OK</v>
      </c>
      <c r="CE150" s="280" t="str">
        <f t="shared" ca="1" si="255"/>
        <v>OK</v>
      </c>
      <c r="CF150" s="279" t="str">
        <f t="shared" ca="1" si="255"/>
        <v>OK</v>
      </c>
      <c r="CG150" s="279" t="str">
        <f t="shared" ca="1" si="255"/>
        <v>OK</v>
      </c>
      <c r="CH150" s="279" t="str">
        <f t="shared" ca="1" si="255"/>
        <v>OK</v>
      </c>
      <c r="CI150" s="279" t="str">
        <f t="shared" ca="1" si="255"/>
        <v>OK</v>
      </c>
      <c r="CJ150" s="280" t="str">
        <f t="shared" ca="1" si="255"/>
        <v>OK</v>
      </c>
      <c r="CK150" s="279" t="str">
        <f t="shared" ca="1" si="255"/>
        <v>OK</v>
      </c>
      <c r="CL150" s="279" t="str">
        <f t="shared" ca="1" si="255"/>
        <v>OK</v>
      </c>
      <c r="CM150" s="279" t="str">
        <f t="shared" ca="1" si="255"/>
        <v>OK</v>
      </c>
      <c r="CN150" s="279" t="str">
        <f t="shared" ca="1" si="255"/>
        <v>OK</v>
      </c>
      <c r="CO150" s="280" t="str">
        <f t="shared" ca="1" si="255"/>
        <v>OK</v>
      </c>
      <c r="CP150" s="279" t="str">
        <f ca="1">IF(ROUND(CP149-CP66-CP67,0)=0,"OK","Not OK")</f>
        <v>OK</v>
      </c>
      <c r="CQ150" s="279" t="str">
        <f ca="1">IF(ROUND(CQ149-CQ66-CQ67,0)=0,"OK","Not OK")</f>
        <v>OK</v>
      </c>
      <c r="CR150" s="279" t="str">
        <f ca="1">IF(ROUND(CR149-CR66-CR67,0)=0,"OK","Not OK")</f>
        <v>OK</v>
      </c>
      <c r="CS150" s="279" t="str">
        <f ca="1">IF(ROUND(CS149-CS66-CS67,0)=0,"OK","Not OK")</f>
        <v>OK</v>
      </c>
      <c r="CT150" s="280" t="str">
        <f ca="1">IF(ROUND(CT149-CT66-CT67,0)=0,"OK","Not OK")</f>
        <v>OK</v>
      </c>
      <c r="CU150" s="448"/>
      <c r="CV150" s="445"/>
    </row>
    <row r="151" spans="1:100" x14ac:dyDescent="0.2">
      <c r="A151" s="109" t="s">
        <v>140</v>
      </c>
      <c r="B151" s="283"/>
      <c r="C151" s="377"/>
      <c r="D151" s="330"/>
      <c r="E151" s="330"/>
      <c r="F151" s="330"/>
      <c r="G151" s="330"/>
      <c r="H151" s="331"/>
      <c r="I151" s="330"/>
      <c r="J151" s="330"/>
      <c r="K151" s="330"/>
      <c r="L151" s="330"/>
      <c r="M151" s="331"/>
      <c r="N151" s="237"/>
      <c r="O151" s="237"/>
      <c r="P151" s="273"/>
      <c r="Q151" s="237"/>
      <c r="R151" s="331"/>
      <c r="S151" s="332"/>
      <c r="T151" s="332"/>
      <c r="U151" s="332"/>
      <c r="V151" s="332"/>
      <c r="W151" s="331"/>
      <c r="X151" s="332"/>
      <c r="Y151" s="332"/>
      <c r="Z151" s="332"/>
      <c r="AA151" s="332"/>
      <c r="AB151" s="331"/>
      <c r="AC151" s="332"/>
      <c r="AD151" s="332"/>
      <c r="AE151" s="332"/>
      <c r="AF151" s="332"/>
      <c r="AG151" s="331"/>
      <c r="AH151" s="332"/>
      <c r="AI151" s="332"/>
      <c r="AJ151" s="330"/>
      <c r="AK151" s="330"/>
      <c r="AL151" s="331"/>
      <c r="AM151" s="330"/>
      <c r="AN151" s="330"/>
      <c r="AO151" s="333"/>
      <c r="AP151" s="330"/>
      <c r="AQ151" s="331"/>
      <c r="AR151" s="330">
        <v>4902</v>
      </c>
      <c r="AS151" s="330">
        <v>5482</v>
      </c>
      <c r="AT151" s="330">
        <f>4902-1393</f>
        <v>3509</v>
      </c>
      <c r="AU151" s="330">
        <f>5482-2349</f>
        <v>3133</v>
      </c>
      <c r="AV151" s="449">
        <f>AS151/AR151-1</f>
        <v>0.11831905344757243</v>
      </c>
      <c r="AW151" s="330"/>
      <c r="AX151" s="319">
        <f>SUM(AW153:AY153)/SUM(AR153:AT153)-1</f>
        <v>0.39255864114316519</v>
      </c>
      <c r="AY151" s="319">
        <f>AY153/AT153-1</f>
        <v>-8.980077311923873E-2</v>
      </c>
      <c r="AZ151" s="330">
        <f>5482-2349</f>
        <v>3133</v>
      </c>
      <c r="BA151" s="331"/>
      <c r="BB151" s="330"/>
      <c r="BC151" s="330"/>
      <c r="BD151" s="330"/>
      <c r="BE151" s="330"/>
      <c r="BF151" s="331"/>
      <c r="BG151" s="330"/>
      <c r="BH151" s="330"/>
      <c r="BI151" s="330"/>
      <c r="BJ151" s="330"/>
      <c r="BK151" s="331"/>
      <c r="BL151" s="330"/>
      <c r="BM151" s="330"/>
      <c r="BN151" s="330"/>
      <c r="BO151" s="330"/>
      <c r="BP151" s="331"/>
      <c r="BQ151" s="578"/>
      <c r="BR151" s="330"/>
      <c r="BS151" s="330"/>
      <c r="BT151" s="330"/>
      <c r="BU151" s="331"/>
      <c r="BV151" s="330"/>
      <c r="BW151" s="330"/>
      <c r="BX151" s="330"/>
      <c r="BY151" s="330"/>
      <c r="BZ151" s="331"/>
      <c r="CA151" s="330"/>
      <c r="CB151" s="330"/>
      <c r="CC151" s="330"/>
      <c r="CD151" s="330"/>
      <c r="CE151" s="331"/>
      <c r="CF151" s="330"/>
      <c r="CG151" s="330"/>
      <c r="CH151" s="330"/>
      <c r="CI151" s="330"/>
      <c r="CJ151" s="331"/>
      <c r="CK151" s="330"/>
      <c r="CL151" s="330"/>
      <c r="CM151" s="330"/>
      <c r="CN151" s="330"/>
      <c r="CO151" s="331"/>
      <c r="CP151" s="330"/>
      <c r="CQ151" s="330"/>
      <c r="CR151" s="330"/>
      <c r="CS151" s="330"/>
      <c r="CT151" s="331"/>
      <c r="CU151" s="450"/>
      <c r="CV151" s="445"/>
    </row>
    <row r="152" spans="1:100" x14ac:dyDescent="0.2">
      <c r="A152" s="313" t="s">
        <v>141</v>
      </c>
      <c r="B152" s="377"/>
      <c r="C152" s="377"/>
      <c r="D152" s="330"/>
      <c r="E152" s="330"/>
      <c r="F152" s="330"/>
      <c r="G152" s="330"/>
      <c r="H152" s="331">
        <f t="shared" ref="H152:S152" si="256">H127</f>
        <v>5054</v>
      </c>
      <c r="I152" s="330"/>
      <c r="J152" s="330"/>
      <c r="K152" s="330"/>
      <c r="L152" s="330"/>
      <c r="M152" s="331">
        <f t="shared" si="256"/>
        <v>5852</v>
      </c>
      <c r="N152" s="330">
        <f t="shared" si="256"/>
        <v>246</v>
      </c>
      <c r="O152" s="330">
        <f t="shared" si="256"/>
        <v>1584</v>
      </c>
      <c r="P152" s="332">
        <f t="shared" si="256"/>
        <v>2462</v>
      </c>
      <c r="Q152" s="330">
        <f t="shared" si="256"/>
        <v>1792</v>
      </c>
      <c r="R152" s="331">
        <f t="shared" si="256"/>
        <v>6084</v>
      </c>
      <c r="S152" s="332">
        <f t="shared" si="256"/>
        <v>626</v>
      </c>
      <c r="T152" s="332">
        <f t="shared" ref="T152:AQ152" si="257">T127</f>
        <v>1392</v>
      </c>
      <c r="U152" s="332">
        <f t="shared" si="257"/>
        <v>3152</v>
      </c>
      <c r="V152" s="332">
        <f t="shared" si="257"/>
        <v>1764</v>
      </c>
      <c r="W152" s="331">
        <f>W127</f>
        <v>6934</v>
      </c>
      <c r="X152" s="332">
        <f t="shared" si="257"/>
        <v>520</v>
      </c>
      <c r="Y152" s="332">
        <f t="shared" si="257"/>
        <v>1673</v>
      </c>
      <c r="Z152" s="332">
        <f t="shared" si="257"/>
        <v>2465</v>
      </c>
      <c r="AA152" s="332">
        <f t="shared" si="257"/>
        <v>2341</v>
      </c>
      <c r="AB152" s="331">
        <f t="shared" si="257"/>
        <v>6999</v>
      </c>
      <c r="AC152" s="332">
        <f t="shared" si="257"/>
        <v>-266</v>
      </c>
      <c r="AD152" s="332">
        <f t="shared" si="257"/>
        <v>1758</v>
      </c>
      <c r="AE152" s="332">
        <f t="shared" si="257"/>
        <v>2911</v>
      </c>
      <c r="AF152" s="332">
        <f t="shared" si="257"/>
        <v>2393</v>
      </c>
      <c r="AG152" s="331">
        <f t="shared" si="257"/>
        <v>6796</v>
      </c>
      <c r="AH152" s="332">
        <f t="shared" si="257"/>
        <v>241</v>
      </c>
      <c r="AI152" s="332">
        <f t="shared" si="257"/>
        <v>2201</v>
      </c>
      <c r="AJ152" s="330">
        <f t="shared" si="257"/>
        <v>3346</v>
      </c>
      <c r="AK152" s="330">
        <f t="shared" si="257"/>
        <v>2660</v>
      </c>
      <c r="AL152" s="331">
        <f t="shared" si="257"/>
        <v>8448</v>
      </c>
      <c r="AM152" s="330">
        <f t="shared" si="257"/>
        <v>380</v>
      </c>
      <c r="AN152" s="330">
        <f t="shared" si="257"/>
        <v>1973</v>
      </c>
      <c r="AO152" s="333">
        <f t="shared" si="257"/>
        <v>3481</v>
      </c>
      <c r="AP152" s="330">
        <f t="shared" si="257"/>
        <v>3110</v>
      </c>
      <c r="AQ152" s="331">
        <f t="shared" si="257"/>
        <v>8944</v>
      </c>
      <c r="AR152" s="330">
        <f t="shared" ref="AR152:BW152" si="258">AR127</f>
        <v>-690</v>
      </c>
      <c r="AS152" s="330">
        <f t="shared" si="258"/>
        <v>1937</v>
      </c>
      <c r="AT152" s="330">
        <f t="shared" si="258"/>
        <v>3871</v>
      </c>
      <c r="AU152" s="330">
        <f t="shared" si="258"/>
        <v>3361</v>
      </c>
      <c r="AV152" s="331">
        <f t="shared" si="258"/>
        <v>8479</v>
      </c>
      <c r="AW152" s="330">
        <f t="shared" si="258"/>
        <v>702</v>
      </c>
      <c r="AX152" s="330">
        <f t="shared" si="258"/>
        <v>2313</v>
      </c>
      <c r="AY152" s="330">
        <f t="shared" si="258"/>
        <v>3647</v>
      </c>
      <c r="AZ152" s="330">
        <f>AZ127</f>
        <v>3026</v>
      </c>
      <c r="BA152" s="331">
        <f t="shared" si="258"/>
        <v>9688</v>
      </c>
      <c r="BB152" s="330">
        <f t="shared" si="258"/>
        <v>181</v>
      </c>
      <c r="BC152" s="330">
        <f t="shared" si="258"/>
        <v>2491</v>
      </c>
      <c r="BD152" s="330">
        <f t="shared" si="258"/>
        <v>4021</v>
      </c>
      <c r="BE152" s="330">
        <f t="shared" si="258"/>
        <v>3813</v>
      </c>
      <c r="BF152" s="331">
        <f t="shared" si="258"/>
        <v>10506</v>
      </c>
      <c r="BG152" s="330">
        <f t="shared" si="258"/>
        <v>270</v>
      </c>
      <c r="BH152" s="330">
        <f t="shared" si="258"/>
        <v>2491</v>
      </c>
      <c r="BI152" s="330">
        <f t="shared" si="258"/>
        <v>4014</v>
      </c>
      <c r="BJ152" s="330">
        <f t="shared" si="258"/>
        <v>3805</v>
      </c>
      <c r="BK152" s="331">
        <f t="shared" si="258"/>
        <v>10580</v>
      </c>
      <c r="BL152" s="330">
        <f t="shared" si="258"/>
        <v>131</v>
      </c>
      <c r="BM152" s="330">
        <f t="shared" si="258"/>
        <v>2790</v>
      </c>
      <c r="BN152" s="330">
        <f t="shared" si="258"/>
        <v>3674</v>
      </c>
      <c r="BO152" s="330">
        <f t="shared" si="258"/>
        <v>3809</v>
      </c>
      <c r="BP152" s="331">
        <f t="shared" si="258"/>
        <v>10404</v>
      </c>
      <c r="BQ152" s="578">
        <f t="shared" si="258"/>
        <v>-199</v>
      </c>
      <c r="BR152" s="330">
        <f t="shared" si="258"/>
        <v>2440</v>
      </c>
      <c r="BS152" s="330">
        <f t="shared" si="258"/>
        <v>3821</v>
      </c>
      <c r="BT152" s="330">
        <f t="shared" si="258"/>
        <v>3932</v>
      </c>
      <c r="BU152" s="331">
        <f t="shared" si="258"/>
        <v>9994</v>
      </c>
      <c r="BV152" s="330">
        <f t="shared" ca="1" si="258"/>
        <v>-75.335136296704832</v>
      </c>
      <c r="BW152" s="330">
        <f t="shared" ca="1" si="258"/>
        <v>2482.1274118508427</v>
      </c>
      <c r="BX152" s="330">
        <f t="shared" ref="BX152:CO152" ca="1" si="259">BX127</f>
        <v>3640.3517045198996</v>
      </c>
      <c r="BY152" s="330">
        <f t="shared" ca="1" si="259"/>
        <v>3673.4639517302553</v>
      </c>
      <c r="BZ152" s="331">
        <f t="shared" ca="1" si="259"/>
        <v>9720.6079318042921</v>
      </c>
      <c r="CA152" s="330">
        <f t="shared" ca="1" si="259"/>
        <v>373.5217447546695</v>
      </c>
      <c r="CB152" s="330">
        <f t="shared" ca="1" si="259"/>
        <v>2962.670751371526</v>
      </c>
      <c r="CC152" s="330">
        <f t="shared" ca="1" si="259"/>
        <v>4140.6643861807243</v>
      </c>
      <c r="CD152" s="330">
        <f t="shared" ca="1" si="259"/>
        <v>4175.8305636602072</v>
      </c>
      <c r="CE152" s="331">
        <f t="shared" ca="1" si="259"/>
        <v>11652.687445967125</v>
      </c>
      <c r="CF152" s="330">
        <f t="shared" ca="1" si="259"/>
        <v>455.4596825183944</v>
      </c>
      <c r="CG152" s="330">
        <f t="shared" ca="1" si="259"/>
        <v>3136.812794716704</v>
      </c>
      <c r="CH152" s="330">
        <f t="shared" ca="1" si="259"/>
        <v>4339.5979084628707</v>
      </c>
      <c r="CI152" s="330">
        <f t="shared" ca="1" si="259"/>
        <v>4411.4024657739865</v>
      </c>
      <c r="CJ152" s="331">
        <f t="shared" ca="1" si="259"/>
        <v>12343.272851471958</v>
      </c>
      <c r="CK152" s="330">
        <f t="shared" ca="1" si="259"/>
        <v>555.91530315061709</v>
      </c>
      <c r="CL152" s="330">
        <f t="shared" ca="1" si="259"/>
        <v>3317.6912935020073</v>
      </c>
      <c r="CM152" s="330">
        <f t="shared" ca="1" si="259"/>
        <v>4547.1287357729252</v>
      </c>
      <c r="CN152" s="330">
        <f t="shared" ca="1" si="259"/>
        <v>4655.4971176816653</v>
      </c>
      <c r="CO152" s="331">
        <f t="shared" ca="1" si="259"/>
        <v>13076.232450107214</v>
      </c>
      <c r="CP152" s="330">
        <f ca="1">CP127</f>
        <v>646.80145678644476</v>
      </c>
      <c r="CQ152" s="330">
        <f ca="1">CQ127</f>
        <v>3506.4109702140004</v>
      </c>
      <c r="CR152" s="330">
        <f ca="1">CR127</f>
        <v>4763.5147568542934</v>
      </c>
      <c r="CS152" s="330">
        <f ca="1">CS127</f>
        <v>4910.0000457099941</v>
      </c>
      <c r="CT152" s="331">
        <f ca="1">CT127</f>
        <v>13826.727229564729</v>
      </c>
      <c r="CU152" s="451"/>
      <c r="CV152" s="445"/>
    </row>
    <row r="153" spans="1:100" x14ac:dyDescent="0.2">
      <c r="A153" s="313" t="s">
        <v>142</v>
      </c>
      <c r="B153" s="377"/>
      <c r="C153" s="377"/>
      <c r="D153" s="330"/>
      <c r="E153" s="330"/>
      <c r="F153" s="330"/>
      <c r="G153" s="330"/>
      <c r="H153" s="331">
        <f t="shared" ref="H153:AH153" si="260">H152+H130</f>
        <v>3667</v>
      </c>
      <c r="I153" s="330"/>
      <c r="J153" s="330"/>
      <c r="K153" s="330"/>
      <c r="L153" s="330"/>
      <c r="M153" s="331">
        <f t="shared" si="260"/>
        <v>4116</v>
      </c>
      <c r="N153" s="330">
        <f t="shared" si="260"/>
        <v>-43</v>
      </c>
      <c r="O153" s="330">
        <f t="shared" si="260"/>
        <v>1165</v>
      </c>
      <c r="P153" s="332">
        <f t="shared" si="260"/>
        <v>2040</v>
      </c>
      <c r="Q153" s="330">
        <f t="shared" si="260"/>
        <v>854</v>
      </c>
      <c r="R153" s="331">
        <f t="shared" si="260"/>
        <v>4016</v>
      </c>
      <c r="S153" s="332">
        <f t="shared" si="260"/>
        <v>359</v>
      </c>
      <c r="T153" s="332">
        <f t="shared" si="260"/>
        <v>916</v>
      </c>
      <c r="U153" s="332">
        <f t="shared" si="260"/>
        <v>2635</v>
      </c>
      <c r="V153" s="332">
        <f t="shared" si="260"/>
        <v>594</v>
      </c>
      <c r="W153" s="331">
        <f t="shared" si="260"/>
        <v>4504</v>
      </c>
      <c r="X153" s="332">
        <f t="shared" si="260"/>
        <v>211</v>
      </c>
      <c r="Y153" s="332">
        <f t="shared" si="260"/>
        <v>1086</v>
      </c>
      <c r="Z153" s="332">
        <f t="shared" si="260"/>
        <v>1962</v>
      </c>
      <c r="AA153" s="332">
        <f t="shared" si="260"/>
        <v>1294</v>
      </c>
      <c r="AB153" s="331">
        <f t="shared" si="260"/>
        <v>4553</v>
      </c>
      <c r="AC153" s="332">
        <f t="shared" si="260"/>
        <v>-564</v>
      </c>
      <c r="AD153" s="332">
        <f t="shared" si="260"/>
        <v>1321</v>
      </c>
      <c r="AE153" s="332">
        <f t="shared" si="260"/>
        <v>2508</v>
      </c>
      <c r="AF153" s="332">
        <f t="shared" si="260"/>
        <v>1403</v>
      </c>
      <c r="AG153" s="331">
        <f t="shared" si="260"/>
        <v>4668</v>
      </c>
      <c r="AH153" s="332">
        <f t="shared" si="260"/>
        <v>-33</v>
      </c>
      <c r="AI153" s="332">
        <f t="shared" ref="AI153:BN153" si="261">AI152+AI130</f>
        <v>1507</v>
      </c>
      <c r="AJ153" s="330">
        <f t="shared" si="261"/>
        <v>2644</v>
      </c>
      <c r="AK153" s="330">
        <f t="shared" si="261"/>
        <v>1077</v>
      </c>
      <c r="AL153" s="331">
        <f t="shared" si="261"/>
        <v>5195</v>
      </c>
      <c r="AM153" s="330">
        <f t="shared" si="261"/>
        <v>-53</v>
      </c>
      <c r="AN153" s="330">
        <f t="shared" si="261"/>
        <v>1175</v>
      </c>
      <c r="AO153" s="333">
        <f t="shared" si="261"/>
        <v>2750</v>
      </c>
      <c r="AP153" s="330">
        <f t="shared" si="261"/>
        <v>1733</v>
      </c>
      <c r="AQ153" s="331">
        <f t="shared" si="261"/>
        <v>5605</v>
      </c>
      <c r="AR153" s="330">
        <f t="shared" si="261"/>
        <v>-1006</v>
      </c>
      <c r="AS153" s="330">
        <f t="shared" si="261"/>
        <v>1352</v>
      </c>
      <c r="AT153" s="330">
        <f t="shared" si="261"/>
        <v>3363</v>
      </c>
      <c r="AU153" s="330">
        <f t="shared" si="261"/>
        <v>2056</v>
      </c>
      <c r="AV153" s="331">
        <f t="shared" si="261"/>
        <v>5765</v>
      </c>
      <c r="AW153" s="330">
        <f t="shared" si="261"/>
        <v>399</v>
      </c>
      <c r="AX153" s="330">
        <f t="shared" si="261"/>
        <v>1705</v>
      </c>
      <c r="AY153" s="330">
        <f t="shared" si="261"/>
        <v>3061</v>
      </c>
      <c r="AZ153" s="330">
        <f t="shared" si="261"/>
        <v>1728</v>
      </c>
      <c r="BA153" s="331">
        <f t="shared" si="261"/>
        <v>6893</v>
      </c>
      <c r="BB153" s="330">
        <f t="shared" si="261"/>
        <v>-174</v>
      </c>
      <c r="BC153" s="330">
        <f t="shared" si="261"/>
        <v>1925</v>
      </c>
      <c r="BD153" s="330">
        <f t="shared" si="261"/>
        <v>3402</v>
      </c>
      <c r="BE153" s="330">
        <f t="shared" si="261"/>
        <v>2494</v>
      </c>
      <c r="BF153" s="331">
        <f t="shared" si="261"/>
        <v>7647</v>
      </c>
      <c r="BG153" s="330">
        <f t="shared" si="261"/>
        <v>0</v>
      </c>
      <c r="BH153" s="330">
        <f t="shared" si="261"/>
        <v>1929</v>
      </c>
      <c r="BI153" s="330">
        <f t="shared" si="261"/>
        <v>3383</v>
      </c>
      <c r="BJ153" s="330">
        <f t="shared" si="261"/>
        <v>2510</v>
      </c>
      <c r="BK153" s="331">
        <f t="shared" si="261"/>
        <v>7822</v>
      </c>
      <c r="BL153" s="330">
        <f t="shared" si="261"/>
        <v>-258</v>
      </c>
      <c r="BM153" s="330">
        <f t="shared" si="261"/>
        <v>2260</v>
      </c>
      <c r="BN153" s="330">
        <f t="shared" si="261"/>
        <v>3027</v>
      </c>
      <c r="BO153" s="330">
        <f t="shared" ref="BO153:CO153" si="262">BO152+BO130</f>
        <v>2335</v>
      </c>
      <c r="BP153" s="331">
        <f t="shared" si="262"/>
        <v>7364</v>
      </c>
      <c r="BQ153" s="578">
        <f t="shared" si="262"/>
        <v>-516</v>
      </c>
      <c r="BR153" s="330">
        <f t="shared" si="262"/>
        <v>1879</v>
      </c>
      <c r="BS153" s="330">
        <f t="shared" si="262"/>
        <v>3225</v>
      </c>
      <c r="BT153" s="330">
        <f t="shared" si="262"/>
        <v>2437</v>
      </c>
      <c r="BU153" s="331">
        <f t="shared" si="262"/>
        <v>7025</v>
      </c>
      <c r="BV153" s="330">
        <f t="shared" ca="1" si="262"/>
        <v>-516.68791243084638</v>
      </c>
      <c r="BW153" s="330">
        <f t="shared" ca="1" si="262"/>
        <v>1755.1324599027544</v>
      </c>
      <c r="BX153" s="330">
        <f t="shared" ca="1" si="262"/>
        <v>2871.6661102455682</v>
      </c>
      <c r="BY153" s="330">
        <f t="shared" ca="1" si="262"/>
        <v>1999.7972019881465</v>
      </c>
      <c r="BZ153" s="331">
        <f t="shared" ca="1" si="262"/>
        <v>6109.9078597056223</v>
      </c>
      <c r="CA153" s="330">
        <f t="shared" ca="1" si="262"/>
        <v>35.131306857309994</v>
      </c>
      <c r="CB153" s="330">
        <f t="shared" ca="1" si="262"/>
        <v>2364.0346579998036</v>
      </c>
      <c r="CC153" s="330">
        <f t="shared" ca="1" si="262"/>
        <v>3504.7338853897418</v>
      </c>
      <c r="CD153" s="330">
        <f t="shared" ca="1" si="262"/>
        <v>2575.1892177365889</v>
      </c>
      <c r="CE153" s="331">
        <f t="shared" ca="1" si="262"/>
        <v>8479.0890679834429</v>
      </c>
      <c r="CF153" s="330">
        <f t="shared" ca="1" si="262"/>
        <v>120.61171256987285</v>
      </c>
      <c r="CG153" s="330">
        <f t="shared" ca="1" si="262"/>
        <v>2537.4015312423853</v>
      </c>
      <c r="CH153" s="330">
        <f t="shared" ca="1" si="262"/>
        <v>3702.7594401739307</v>
      </c>
      <c r="CI153" s="330">
        <f t="shared" ca="1" si="262"/>
        <v>2783.3606516145169</v>
      </c>
      <c r="CJ153" s="331">
        <f t="shared" ca="1" si="262"/>
        <v>9144.133335600709</v>
      </c>
      <c r="CK153" s="330">
        <f t="shared" ca="1" si="262"/>
        <v>225.015860621088</v>
      </c>
      <c r="CL153" s="330">
        <f t="shared" ca="1" si="262"/>
        <v>2717.8510399379052</v>
      </c>
      <c r="CM153" s="330">
        <f t="shared" ca="1" si="262"/>
        <v>3909.7086949449563</v>
      </c>
      <c r="CN153" s="330">
        <f t="shared" ca="1" si="262"/>
        <v>2999.466991877679</v>
      </c>
      <c r="CO153" s="331">
        <f t="shared" ca="1" si="262"/>
        <v>9852.0425873816275</v>
      </c>
      <c r="CP153" s="330">
        <f ca="1">CP152+CP130</f>
        <v>320.28432779349095</v>
      </c>
      <c r="CQ153" s="330">
        <f ca="1">CQ152+CQ130</f>
        <v>2906.5195672069176</v>
      </c>
      <c r="CR153" s="330">
        <f ca="1">CR152+CR130</f>
        <v>4125.87117135061</v>
      </c>
      <c r="CS153" s="330">
        <f ca="1">CS152+CS130</f>
        <v>3225.3905598812976</v>
      </c>
      <c r="CT153" s="331">
        <f ca="1">CT152+CT130</f>
        <v>10578.065626232312</v>
      </c>
      <c r="CU153" s="451"/>
      <c r="CV153" s="110"/>
    </row>
    <row r="154" spans="1:100" x14ac:dyDescent="0.2">
      <c r="A154" s="313" t="s">
        <v>143</v>
      </c>
      <c r="B154" s="313"/>
      <c r="C154" s="313"/>
      <c r="D154" s="452"/>
      <c r="E154" s="452"/>
      <c r="F154" s="452"/>
      <c r="G154" s="452"/>
      <c r="H154" s="453">
        <f>H153/H54</f>
        <v>2.1208791208791209</v>
      </c>
      <c r="I154" s="452"/>
      <c r="J154" s="452"/>
      <c r="K154" s="452"/>
      <c r="L154" s="452"/>
      <c r="M154" s="453">
        <f t="shared" ref="M154:AQ154" si="263">M153/M54</f>
        <v>2.4126611957796014</v>
      </c>
      <c r="N154" s="452">
        <f t="shared" si="263"/>
        <v>-2.5368731563421829E-2</v>
      </c>
      <c r="O154" s="452">
        <f t="shared" si="263"/>
        <v>0.68975725281231492</v>
      </c>
      <c r="P154" s="454">
        <f t="shared" si="263"/>
        <v>1.2085308056872037</v>
      </c>
      <c r="Q154" s="452">
        <f t="shared" si="263"/>
        <v>0.50803093396787624</v>
      </c>
      <c r="R154" s="453">
        <f t="shared" si="263"/>
        <v>2.3805572021339656</v>
      </c>
      <c r="S154" s="454">
        <f t="shared" si="263"/>
        <v>0.214584578601315</v>
      </c>
      <c r="T154" s="454">
        <f t="shared" si="263"/>
        <v>0.55015015015015012</v>
      </c>
      <c r="U154" s="454">
        <f t="shared" si="263"/>
        <v>1.5960024227740763</v>
      </c>
      <c r="V154" s="454">
        <f t="shared" si="263"/>
        <v>0.36109422492401216</v>
      </c>
      <c r="W154" s="453">
        <f t="shared" si="263"/>
        <v>2.7165259348612785</v>
      </c>
      <c r="X154" s="454">
        <f t="shared" si="263"/>
        <v>0.12928921568627452</v>
      </c>
      <c r="Y154" s="454">
        <f t="shared" si="263"/>
        <v>0.67369727047146399</v>
      </c>
      <c r="Z154" s="454">
        <f t="shared" si="263"/>
        <v>1.231638418079096</v>
      </c>
      <c r="AA154" s="454">
        <f t="shared" si="263"/>
        <v>0.82002534854245879</v>
      </c>
      <c r="AB154" s="453">
        <f t="shared" si="263"/>
        <v>2.8427822177822177</v>
      </c>
      <c r="AC154" s="454">
        <f t="shared" si="263"/>
        <v>-0.35923566878980889</v>
      </c>
      <c r="AD154" s="454">
        <f t="shared" si="263"/>
        <v>0.84033078880407119</v>
      </c>
      <c r="AE154" s="454">
        <f t="shared" si="263"/>
        <v>1.5903614457831325</v>
      </c>
      <c r="AF154" s="454">
        <f t="shared" si="263"/>
        <v>0.8857323232323232</v>
      </c>
      <c r="AG154" s="453">
        <f t="shared" si="263"/>
        <v>2.9600507292327203</v>
      </c>
      <c r="AH154" s="454">
        <f t="shared" si="263"/>
        <v>-2.0547945205479451E-2</v>
      </c>
      <c r="AI154" s="454">
        <f t="shared" si="263"/>
        <v>0.92227662178702574</v>
      </c>
      <c r="AJ154" s="452">
        <f t="shared" si="263"/>
        <v>1.6401985111662531</v>
      </c>
      <c r="AK154" s="452">
        <f t="shared" si="263"/>
        <v>0.67019290603609205</v>
      </c>
      <c r="AL154" s="453">
        <f t="shared" si="263"/>
        <v>3.2172162873509831</v>
      </c>
      <c r="AM154" s="452">
        <f t="shared" si="263"/>
        <v>-3.3021806853582553E-2</v>
      </c>
      <c r="AN154" s="452">
        <f t="shared" si="263"/>
        <v>0.73208722741433019</v>
      </c>
      <c r="AO154" s="455">
        <f t="shared" si="263"/>
        <v>1.7198248905565978</v>
      </c>
      <c r="AP154" s="452">
        <f t="shared" si="263"/>
        <v>1.0940656565656566</v>
      </c>
      <c r="AQ154" s="453">
        <f t="shared" si="263"/>
        <v>3.5069607383075239</v>
      </c>
      <c r="AR154" s="452">
        <f t="shared" ref="AR154:BW154" si="264">AR153/AR54</f>
        <v>-0.63510101010101006</v>
      </c>
      <c r="AS154" s="452">
        <f t="shared" si="264"/>
        <v>0.85515496521189116</v>
      </c>
      <c r="AT154" s="452">
        <f t="shared" si="264"/>
        <v>2.1352380952380954</v>
      </c>
      <c r="AU154" s="452">
        <f t="shared" si="264"/>
        <v>1.3145780051150895</v>
      </c>
      <c r="AV154" s="453">
        <f t="shared" si="264"/>
        <v>3.657994923857868</v>
      </c>
      <c r="AW154" s="452">
        <f t="shared" si="264"/>
        <v>0.25527831094049902</v>
      </c>
      <c r="AX154" s="452">
        <f t="shared" si="264"/>
        <v>1.0880663688576899</v>
      </c>
      <c r="AY154" s="452">
        <f t="shared" si="264"/>
        <v>1.9609224855861627</v>
      </c>
      <c r="AZ154" s="452">
        <f t="shared" si="264"/>
        <v>1.1134020618556701</v>
      </c>
      <c r="BA154" s="453">
        <f t="shared" si="264"/>
        <v>4.4164664424155058</v>
      </c>
      <c r="BB154" s="452">
        <f t="shared" si="264"/>
        <v>-0.11298701298701298</v>
      </c>
      <c r="BC154" s="452">
        <f t="shared" si="264"/>
        <v>1.2565274151436032</v>
      </c>
      <c r="BD154" s="452">
        <f t="shared" si="264"/>
        <v>2.2308196721311475</v>
      </c>
      <c r="BE154" s="452">
        <f t="shared" si="264"/>
        <v>1.6472919418758256</v>
      </c>
      <c r="BF154" s="453">
        <f t="shared" si="264"/>
        <v>5.0054000981836033</v>
      </c>
      <c r="BG154" s="452">
        <f t="shared" si="264"/>
        <v>0</v>
      </c>
      <c r="BH154" s="452">
        <f t="shared" si="264"/>
        <v>1.2937625754527162</v>
      </c>
      <c r="BI154" s="452">
        <f t="shared" si="264"/>
        <v>2.2811867835468647</v>
      </c>
      <c r="BJ154" s="452">
        <f t="shared" si="264"/>
        <v>1.7074829931972788</v>
      </c>
      <c r="BK154" s="453">
        <f t="shared" si="264"/>
        <v>5.2611400706238438</v>
      </c>
      <c r="BL154" s="452">
        <f t="shared" si="264"/>
        <v>-0.17683344756682659</v>
      </c>
      <c r="BM154" s="452">
        <f t="shared" si="264"/>
        <v>1.5521978021978022</v>
      </c>
      <c r="BN154" s="452">
        <f t="shared" si="264"/>
        <v>2.084710743801653</v>
      </c>
      <c r="BO154" s="452">
        <f t="shared" si="264"/>
        <v>1.6170360110803323</v>
      </c>
      <c r="BP154" s="453">
        <f t="shared" si="264"/>
        <v>5.0716253443526167</v>
      </c>
      <c r="BQ154" s="612">
        <f t="shared" si="264"/>
        <v>-0.35833333333333334</v>
      </c>
      <c r="BR154" s="452">
        <f t="shared" si="264"/>
        <v>1.3039555863983345</v>
      </c>
      <c r="BS154" s="452">
        <f t="shared" si="264"/>
        <v>2.2426981919332407</v>
      </c>
      <c r="BT154" s="452">
        <f t="shared" si="264"/>
        <v>1.699442119944212</v>
      </c>
      <c r="BU154" s="453">
        <f t="shared" si="264"/>
        <v>4.8852573018080667</v>
      </c>
      <c r="BV154" s="452">
        <f t="shared" ca="1" si="264"/>
        <v>-0.36084954498477589</v>
      </c>
      <c r="BW154" s="452">
        <f t="shared" ca="1" si="264"/>
        <v>1.2274408591459076</v>
      </c>
      <c r="BX154" s="452">
        <f t="shared" ref="BX154:CO154" ca="1" si="265">BX153/BX54</f>
        <v>2.0114199781020208</v>
      </c>
      <c r="BY154" s="452">
        <f t="shared" ca="1" si="265"/>
        <v>1.4027049402335225</v>
      </c>
      <c r="BZ154" s="453">
        <f t="shared" ca="1" si="265"/>
        <v>4.2763034538066078</v>
      </c>
      <c r="CA154" s="452">
        <f t="shared" ca="1" si="265"/>
        <v>2.4671121670966488E-2</v>
      </c>
      <c r="CB154" s="452">
        <f t="shared" ca="1" si="265"/>
        <v>1.6623316210544157</v>
      </c>
      <c r="CC154" s="452">
        <f t="shared" ca="1" si="265"/>
        <v>2.4681637083471553</v>
      </c>
      <c r="CD154" s="452">
        <f t="shared" ca="1" si="265"/>
        <v>1.8160017458490108</v>
      </c>
      <c r="CE154" s="453">
        <f t="shared" ca="1" si="265"/>
        <v>5.9668452507735479</v>
      </c>
      <c r="CF154" s="452">
        <f t="shared" ca="1" si="265"/>
        <v>8.5150463063460538E-2</v>
      </c>
      <c r="CG154" s="452">
        <f t="shared" ca="1" si="265"/>
        <v>1.7936286094448897</v>
      </c>
      <c r="CH154" s="452">
        <f t="shared" ca="1" si="265"/>
        <v>2.621204971611002</v>
      </c>
      <c r="CI154" s="452">
        <f t="shared" ca="1" si="265"/>
        <v>1.9729221836001649</v>
      </c>
      <c r="CJ154" s="453">
        <f t="shared" ca="1" si="265"/>
        <v>6.468539859161468</v>
      </c>
      <c r="CK154" s="452">
        <f t="shared" ca="1" si="265"/>
        <v>0.1596689133068224</v>
      </c>
      <c r="CL154" s="452">
        <f t="shared" ca="1" si="265"/>
        <v>1.9308804724227944</v>
      </c>
      <c r="CM154" s="452">
        <f t="shared" ca="1" si="265"/>
        <v>2.7815284592648868</v>
      </c>
      <c r="CN154" s="452">
        <f t="shared" ca="1" si="265"/>
        <v>2.1366093137300943</v>
      </c>
      <c r="CO154" s="453">
        <f t="shared" ca="1" si="265"/>
        <v>7.0043058696865064</v>
      </c>
      <c r="CP154" s="452">
        <f ca="1">CP153/CP54</f>
        <v>0.2283810184701078</v>
      </c>
      <c r="CQ154" s="452">
        <f ca="1">CQ153/CQ54</f>
        <v>2.074898885792237</v>
      </c>
      <c r="CR154" s="452">
        <f ca="1">CR153/CR54</f>
        <v>2.9493483479056604</v>
      </c>
      <c r="CS154" s="452">
        <f ca="1">CS153/CS54</f>
        <v>2.3084035586832927</v>
      </c>
      <c r="CT154" s="453">
        <f ca="1">CT153/CT54</f>
        <v>7.5566236910216755</v>
      </c>
      <c r="CU154" s="451"/>
      <c r="CV154" s="445"/>
    </row>
    <row r="155" spans="1:100" x14ac:dyDescent="0.2">
      <c r="A155" s="313"/>
      <c r="B155" s="313" t="s">
        <v>48</v>
      </c>
      <c r="C155" s="313"/>
      <c r="D155" s="381"/>
      <c r="E155" s="381"/>
      <c r="F155" s="381"/>
      <c r="G155" s="381"/>
      <c r="H155" s="456" t="e">
        <f>H154/#REF!-1</f>
        <v>#REF!</v>
      </c>
      <c r="I155" s="381"/>
      <c r="J155" s="381"/>
      <c r="K155" s="381"/>
      <c r="L155" s="381"/>
      <c r="M155" s="456">
        <f t="shared" ref="M155:X155" si="266">M154/H154-1</f>
        <v>0.13757600422768768</v>
      </c>
      <c r="N155" s="381" t="e">
        <f t="shared" si="266"/>
        <v>#DIV/0!</v>
      </c>
      <c r="O155" s="381" t="e">
        <f t="shared" si="266"/>
        <v>#DIV/0!</v>
      </c>
      <c r="P155" s="457" t="e">
        <f t="shared" si="266"/>
        <v>#DIV/0!</v>
      </c>
      <c r="Q155" s="381" t="e">
        <f t="shared" si="266"/>
        <v>#DIV/0!</v>
      </c>
      <c r="R155" s="456">
        <f t="shared" si="266"/>
        <v>-1.3306465782180421E-2</v>
      </c>
      <c r="S155" s="457">
        <f t="shared" si="266"/>
        <v>-9.4586246681216029</v>
      </c>
      <c r="T155" s="457">
        <f t="shared" si="266"/>
        <v>-0.20240034025441744</v>
      </c>
      <c r="U155" s="457">
        <f t="shared" si="266"/>
        <v>0.32061376943266717</v>
      </c>
      <c r="V155" s="457">
        <f t="shared" si="266"/>
        <v>-0.28922787810624773</v>
      </c>
      <c r="W155" s="456">
        <f t="shared" ref="W155:AQ155" si="267">W154/R154-1</f>
        <v>0.14113029186030301</v>
      </c>
      <c r="X155" s="457">
        <f t="shared" si="266"/>
        <v>-0.39749064667649781</v>
      </c>
      <c r="Y155" s="457">
        <f t="shared" si="267"/>
        <v>0.22456982023470262</v>
      </c>
      <c r="Z155" s="457">
        <f t="shared" si="267"/>
        <v>-0.22829790199294597</v>
      </c>
      <c r="AA155" s="457">
        <f t="shared" si="267"/>
        <v>1.2709456201217924</v>
      </c>
      <c r="AB155" s="456">
        <f t="shared" si="267"/>
        <v>4.6477113029066874E-2</v>
      </c>
      <c r="AC155" s="457">
        <f t="shared" si="267"/>
        <v>-3.778543182298427</v>
      </c>
      <c r="AD155" s="457">
        <f t="shared" si="267"/>
        <v>0.24734183384177055</v>
      </c>
      <c r="AE155" s="457">
        <f t="shared" si="267"/>
        <v>0.29125677020006635</v>
      </c>
      <c r="AF155" s="457">
        <f t="shared" si="267"/>
        <v>8.0127979954100592E-2</v>
      </c>
      <c r="AG155" s="456">
        <f t="shared" si="267"/>
        <v>4.1251317359790152E-2</v>
      </c>
      <c r="AH155" s="457">
        <f t="shared" si="267"/>
        <v>-0.94280093267269016</v>
      </c>
      <c r="AI155" s="457">
        <f t="shared" si="267"/>
        <v>9.7516161581532534E-2</v>
      </c>
      <c r="AJ155" s="381">
        <f t="shared" si="267"/>
        <v>3.1336942627265163E-2</v>
      </c>
      <c r="AK155" s="381">
        <f t="shared" si="267"/>
        <v>-0.24334599917236643</v>
      </c>
      <c r="AL155" s="456">
        <f t="shared" si="267"/>
        <v>8.6878767170629922E-2</v>
      </c>
      <c r="AM155" s="381">
        <f t="shared" si="267"/>
        <v>0.60706126687435091</v>
      </c>
      <c r="AN155" s="381">
        <f t="shared" si="267"/>
        <v>-0.20621729953880852</v>
      </c>
      <c r="AO155" s="458">
        <f t="shared" si="267"/>
        <v>4.8546794091238965E-2</v>
      </c>
      <c r="AP155" s="381">
        <f t="shared" si="267"/>
        <v>0.6324637976796752</v>
      </c>
      <c r="AQ155" s="456">
        <f t="shared" si="267"/>
        <v>9.0060606772295326E-2</v>
      </c>
      <c r="AR155" s="381">
        <f t="shared" ref="AR155:BK155" si="268">AR154/AM154-1</f>
        <v>18.232775871926815</v>
      </c>
      <c r="AS155" s="381">
        <f t="shared" si="268"/>
        <v>0.16810529290645571</v>
      </c>
      <c r="AT155" s="381">
        <f t="shared" si="268"/>
        <v>0.24154389610389626</v>
      </c>
      <c r="AU155" s="381">
        <f t="shared" si="268"/>
        <v>0.20155312181321516</v>
      </c>
      <c r="AV155" s="456">
        <f t="shared" si="268"/>
        <v>4.3066973604966474E-2</v>
      </c>
      <c r="AW155" s="381">
        <f t="shared" si="268"/>
        <v>-1.4019491496319587</v>
      </c>
      <c r="AX155" s="381">
        <f t="shared" si="268"/>
        <v>0.27236163399704716</v>
      </c>
      <c r="AY155" s="381">
        <f t="shared" si="268"/>
        <v>-8.1637551353492155E-2</v>
      </c>
      <c r="AZ155" s="381">
        <f t="shared" si="268"/>
        <v>-0.15303461831601739</v>
      </c>
      <c r="BA155" s="456">
        <f t="shared" si="268"/>
        <v>0.20734624687716163</v>
      </c>
      <c r="BB155" s="381">
        <f t="shared" si="268"/>
        <v>-1.442603261400254</v>
      </c>
      <c r="BC155" s="381">
        <f t="shared" si="268"/>
        <v>0.15482607597068987</v>
      </c>
      <c r="BD155" s="381">
        <f t="shared" si="268"/>
        <v>0.13763786612111129</v>
      </c>
      <c r="BE155" s="381">
        <f t="shared" si="268"/>
        <v>0.47951220705513964</v>
      </c>
      <c r="BF155" s="456">
        <f t="shared" si="268"/>
        <v>0.13334951446976029</v>
      </c>
      <c r="BG155" s="381">
        <f t="shared" si="268"/>
        <v>-1</v>
      </c>
      <c r="BH155" s="381">
        <f t="shared" si="268"/>
        <v>2.9633384723927847E-2</v>
      </c>
      <c r="BI155" s="381">
        <f t="shared" si="268"/>
        <v>2.2577849767480451E-2</v>
      </c>
      <c r="BJ155" s="381">
        <f t="shared" si="268"/>
        <v>3.6539395228821325E-2</v>
      </c>
      <c r="BK155" s="456">
        <f t="shared" si="268"/>
        <v>5.1092813246446545E-2</v>
      </c>
      <c r="BL155" s="381" t="str">
        <f>IFERROR(BL154/BG154-1,"-")</f>
        <v>-</v>
      </c>
      <c r="BM155" s="381">
        <f t="shared" ref="BM155:CT155" si="269">IFERROR(BM154/BH154-1,"-")</f>
        <v>0.19975475535351128</v>
      </c>
      <c r="BN155" s="381">
        <f t="shared" si="269"/>
        <v>-8.6128869920824358E-2</v>
      </c>
      <c r="BO155" s="381">
        <f t="shared" si="269"/>
        <v>-5.2970941717892961E-2</v>
      </c>
      <c r="BP155" s="456">
        <f t="shared" si="269"/>
        <v>-3.6021608192757237E-2</v>
      </c>
      <c r="BQ155" s="613">
        <f t="shared" si="269"/>
        <v>1.026388888888889</v>
      </c>
      <c r="BR155" s="381">
        <f t="shared" si="269"/>
        <v>-0.15992949832036507</v>
      </c>
      <c r="BS155" s="381">
        <f t="shared" si="269"/>
        <v>7.5783870065102565E-2</v>
      </c>
      <c r="BT155" s="381">
        <f t="shared" si="269"/>
        <v>5.0961208222459309E-2</v>
      </c>
      <c r="BU155" s="456">
        <f t="shared" si="269"/>
        <v>-3.6747202305090543E-2</v>
      </c>
      <c r="BV155" s="381">
        <f t="shared" ca="1" si="269"/>
        <v>7.0219860040257043E-3</v>
      </c>
      <c r="BW155" s="381">
        <f t="shared" ca="1" si="269"/>
        <v>-5.8678936652872382E-2</v>
      </c>
      <c r="BX155" s="381">
        <f t="shared" ca="1" si="269"/>
        <v>-0.10312498340753307</v>
      </c>
      <c r="BY155" s="381">
        <f t="shared" ca="1" si="269"/>
        <v>-0.17460858256262979</v>
      </c>
      <c r="BZ155" s="456">
        <f t="shared" ca="1" si="269"/>
        <v>-0.12465133571901754</v>
      </c>
      <c r="CA155" s="381">
        <f t="shared" ca="1" si="269"/>
        <v>-1.0683695518363681</v>
      </c>
      <c r="CB155" s="381">
        <f t="shared" ca="1" si="269"/>
        <v>0.35430689688065198</v>
      </c>
      <c r="CC155" s="381">
        <f t="shared" ca="1" si="269"/>
        <v>0.2270752678295056</v>
      </c>
      <c r="CD155" s="381">
        <f t="shared" ca="1" si="269"/>
        <v>0.29464272475342002</v>
      </c>
      <c r="CE155" s="456">
        <f t="shared" ca="1" si="269"/>
        <v>0.3953278375186593</v>
      </c>
      <c r="CF155" s="381">
        <f t="shared" ca="1" si="269"/>
        <v>2.4514224443904169</v>
      </c>
      <c r="CG155" s="381">
        <f t="shared" ca="1" si="269"/>
        <v>7.8983631621705186E-2</v>
      </c>
      <c r="CH155" s="381">
        <f t="shared" ca="1" si="269"/>
        <v>6.2006123315998751E-2</v>
      </c>
      <c r="CI155" s="381">
        <f t="shared" ca="1" si="269"/>
        <v>8.6409849610464606E-2</v>
      </c>
      <c r="CJ155" s="456">
        <f t="shared" ca="1" si="269"/>
        <v>8.4080378709818104E-2</v>
      </c>
      <c r="CK155" s="381">
        <f t="shared" ca="1" si="269"/>
        <v>0.87513852024298555</v>
      </c>
      <c r="CL155" s="381">
        <f t="shared" ca="1" si="269"/>
        <v>7.6521896592842031E-2</v>
      </c>
      <c r="CM155" s="381">
        <f t="shared" ca="1" si="269"/>
        <v>6.1164040733277414E-2</v>
      </c>
      <c r="CN155" s="381">
        <f t="shared" ca="1" si="269"/>
        <v>8.2966845570784375E-2</v>
      </c>
      <c r="CO155" s="456">
        <f t="shared" ca="1" si="269"/>
        <v>8.2826421756716284E-2</v>
      </c>
      <c r="CP155" s="381">
        <f t="shared" ca="1" si="269"/>
        <v>0.4303411587153918</v>
      </c>
      <c r="CQ155" s="381">
        <f t="shared" ca="1" si="269"/>
        <v>7.4586912771837044E-2</v>
      </c>
      <c r="CR155" s="381">
        <f t="shared" ca="1" si="269"/>
        <v>6.0333694620951617E-2</v>
      </c>
      <c r="CS155" s="381">
        <f t="shared" ca="1" si="269"/>
        <v>8.0405081008132484E-2</v>
      </c>
      <c r="CT155" s="456">
        <f t="shared" ca="1" si="269"/>
        <v>7.8854040872987863E-2</v>
      </c>
      <c r="CU155" s="459"/>
      <c r="CV155" s="460"/>
    </row>
    <row r="156" spans="1:100" x14ac:dyDescent="0.2">
      <c r="A156" s="313" t="s">
        <v>144</v>
      </c>
      <c r="B156" s="377"/>
      <c r="C156" s="377"/>
      <c r="D156" s="330"/>
      <c r="E156" s="330"/>
      <c r="F156" s="330"/>
      <c r="G156" s="330"/>
      <c r="H156" s="331">
        <f t="shared" ref="H156:AH156" si="270">-H142-H140</f>
        <v>4384</v>
      </c>
      <c r="I156" s="330"/>
      <c r="J156" s="330"/>
      <c r="K156" s="330"/>
      <c r="L156" s="330"/>
      <c r="M156" s="331">
        <f t="shared" si="270"/>
        <v>4673</v>
      </c>
      <c r="N156" s="330">
        <f t="shared" si="270"/>
        <v>1094</v>
      </c>
      <c r="O156" s="330">
        <f t="shared" si="270"/>
        <v>1243</v>
      </c>
      <c r="P156" s="332">
        <f t="shared" si="270"/>
        <v>1186</v>
      </c>
      <c r="Q156" s="330">
        <f t="shared" si="270"/>
        <v>1341</v>
      </c>
      <c r="R156" s="331">
        <f t="shared" si="270"/>
        <v>4864</v>
      </c>
      <c r="S156" s="332">
        <f t="shared" si="270"/>
        <v>1382</v>
      </c>
      <c r="T156" s="332">
        <f t="shared" si="270"/>
        <v>1575</v>
      </c>
      <c r="U156" s="332">
        <f t="shared" si="270"/>
        <v>1772</v>
      </c>
      <c r="V156" s="332">
        <f t="shared" si="270"/>
        <v>1787</v>
      </c>
      <c r="W156" s="331">
        <f>-W142-W140</f>
        <v>6516</v>
      </c>
      <c r="X156" s="332">
        <f t="shared" si="270"/>
        <v>2071</v>
      </c>
      <c r="Y156" s="332">
        <f t="shared" si="270"/>
        <v>2045</v>
      </c>
      <c r="Z156" s="332">
        <f t="shared" si="270"/>
        <v>1964</v>
      </c>
      <c r="AA156" s="332">
        <f t="shared" si="270"/>
        <v>1187</v>
      </c>
      <c r="AB156" s="331">
        <f t="shared" si="270"/>
        <v>7267</v>
      </c>
      <c r="AC156" s="332">
        <f t="shared" si="270"/>
        <v>670</v>
      </c>
      <c r="AD156" s="332">
        <f t="shared" si="270"/>
        <v>664</v>
      </c>
      <c r="AE156" s="332">
        <f t="shared" si="270"/>
        <v>702</v>
      </c>
      <c r="AF156" s="332">
        <f t="shared" si="270"/>
        <v>703</v>
      </c>
      <c r="AG156" s="331">
        <f t="shared" si="270"/>
        <v>2739</v>
      </c>
      <c r="AH156" s="332">
        <f t="shared" si="270"/>
        <v>1448</v>
      </c>
      <c r="AI156" s="332">
        <f t="shared" ref="AI156:BN156" si="271">-AI142-AI140</f>
        <v>3313</v>
      </c>
      <c r="AJ156" s="330">
        <f t="shared" si="271"/>
        <v>1878</v>
      </c>
      <c r="AK156" s="330">
        <f t="shared" si="271"/>
        <v>1322</v>
      </c>
      <c r="AL156" s="331">
        <f t="shared" si="271"/>
        <v>7961</v>
      </c>
      <c r="AM156" s="330">
        <f t="shared" si="271"/>
        <v>1132</v>
      </c>
      <c r="AN156" s="330">
        <f t="shared" si="271"/>
        <v>1148</v>
      </c>
      <c r="AO156" s="333">
        <f t="shared" si="271"/>
        <v>2003</v>
      </c>
      <c r="AP156" s="330">
        <f t="shared" si="271"/>
        <v>1370</v>
      </c>
      <c r="AQ156" s="331">
        <f t="shared" si="271"/>
        <v>5653</v>
      </c>
      <c r="AR156" s="330">
        <f t="shared" si="271"/>
        <v>959</v>
      </c>
      <c r="AS156" s="330">
        <f t="shared" si="271"/>
        <v>1876</v>
      </c>
      <c r="AT156" s="330">
        <f t="shared" si="271"/>
        <v>1968</v>
      </c>
      <c r="AU156" s="330">
        <f t="shared" si="271"/>
        <v>1728</v>
      </c>
      <c r="AV156" s="331">
        <f t="shared" si="271"/>
        <v>6531</v>
      </c>
      <c r="AW156" s="330">
        <f t="shared" si="271"/>
        <v>1459</v>
      </c>
      <c r="AX156" s="330">
        <f t="shared" si="271"/>
        <v>1250</v>
      </c>
      <c r="AY156" s="330">
        <f t="shared" si="271"/>
        <v>1895</v>
      </c>
      <c r="AZ156" s="330">
        <f>-AZ142-AZ140</f>
        <v>1838</v>
      </c>
      <c r="BA156" s="331">
        <f t="shared" si="271"/>
        <v>6442</v>
      </c>
      <c r="BB156" s="330">
        <f t="shared" si="271"/>
        <v>2137</v>
      </c>
      <c r="BC156" s="330">
        <f t="shared" si="271"/>
        <v>1814</v>
      </c>
      <c r="BD156" s="330">
        <f t="shared" si="271"/>
        <v>2001</v>
      </c>
      <c r="BE156" s="330">
        <f t="shared" si="271"/>
        <v>2790</v>
      </c>
      <c r="BF156" s="331">
        <f>-BF142-BF140</f>
        <v>8742</v>
      </c>
      <c r="BG156" s="330">
        <f t="shared" si="271"/>
        <v>2102</v>
      </c>
      <c r="BH156" s="330">
        <f t="shared" si="271"/>
        <v>2001</v>
      </c>
      <c r="BI156" s="330">
        <f t="shared" si="271"/>
        <v>2104</v>
      </c>
      <c r="BJ156" s="330">
        <f t="shared" si="271"/>
        <v>2833</v>
      </c>
      <c r="BK156" s="331">
        <f t="shared" si="271"/>
        <v>9040</v>
      </c>
      <c r="BL156" s="330">
        <f t="shared" si="271"/>
        <v>1657</v>
      </c>
      <c r="BM156" s="330">
        <f t="shared" si="271"/>
        <v>1734</v>
      </c>
      <c r="BN156" s="330">
        <f t="shared" si="271"/>
        <v>1832</v>
      </c>
      <c r="BO156" s="330">
        <f t="shared" ref="BO156:CE156" si="272">-BO142-BO140</f>
        <v>2011</v>
      </c>
      <c r="BP156" s="331">
        <f t="shared" si="272"/>
        <v>7234</v>
      </c>
      <c r="BQ156" s="578">
        <f t="shared" si="272"/>
        <v>1542</v>
      </c>
      <c r="BR156" s="330">
        <f t="shared" si="272"/>
        <v>1577</v>
      </c>
      <c r="BS156" s="330">
        <f t="shared" si="272"/>
        <v>1277</v>
      </c>
      <c r="BT156" s="330">
        <f t="shared" si="272"/>
        <v>1619</v>
      </c>
      <c r="BU156" s="331">
        <f t="shared" si="272"/>
        <v>6015</v>
      </c>
      <c r="BV156" s="330">
        <f t="shared" ca="1" si="272"/>
        <v>1652.6515005703541</v>
      </c>
      <c r="BW156" s="330">
        <f t="shared" ca="1" si="272"/>
        <v>1826.2434148497705</v>
      </c>
      <c r="BX156" s="330">
        <f t="shared" ca="1" si="272"/>
        <v>1824.1741387922475</v>
      </c>
      <c r="BY156" s="330">
        <f t="shared" ca="1" si="272"/>
        <v>1822.3108093817766</v>
      </c>
      <c r="BZ156" s="331">
        <f t="shared" ca="1" si="272"/>
        <v>7125.3798635941484</v>
      </c>
      <c r="CA156" s="330">
        <f t="shared" ca="1" si="272"/>
        <v>1820.7460748937458</v>
      </c>
      <c r="CB156" s="330">
        <f t="shared" ca="1" si="272"/>
        <v>1898.1570491562138</v>
      </c>
      <c r="CC156" s="330">
        <f t="shared" ca="1" si="272"/>
        <v>1896.0496654933713</v>
      </c>
      <c r="CD156" s="330">
        <f t="shared" ca="1" si="272"/>
        <v>1894.1601571721346</v>
      </c>
      <c r="CE156" s="331">
        <f t="shared" ca="1" si="272"/>
        <v>7509.112946715466</v>
      </c>
      <c r="CF156" s="330">
        <f t="shared" ref="CF156:CO156" ca="1" si="273">-CF142-CF140</f>
        <v>1892.5867334942875</v>
      </c>
      <c r="CG156" s="330">
        <f t="shared" ca="1" si="273"/>
        <v>1974.2879771447228</v>
      </c>
      <c r="CH156" s="330">
        <f t="shared" ca="1" si="273"/>
        <v>1972.1435606967411</v>
      </c>
      <c r="CI156" s="330">
        <f t="shared" ca="1" si="273"/>
        <v>1970.2296472838236</v>
      </c>
      <c r="CJ156" s="331">
        <f t="shared" ca="1" si="273"/>
        <v>7809.2479186195751</v>
      </c>
      <c r="CK156" s="330">
        <f t="shared" ca="1" si="273"/>
        <v>1968.6503409789307</v>
      </c>
      <c r="CL156" s="330">
        <f t="shared" ca="1" si="273"/>
        <v>2054.8975307815108</v>
      </c>
      <c r="CM156" s="330">
        <f t="shared" ca="1" si="273"/>
        <v>2052.7173521572167</v>
      </c>
      <c r="CN156" s="330">
        <f t="shared" ca="1" si="273"/>
        <v>2050.7810445470532</v>
      </c>
      <c r="CO156" s="331">
        <f t="shared" ca="1" si="273"/>
        <v>8127.0462684647109</v>
      </c>
      <c r="CP156" s="330">
        <f ca="1">-CP142-CP140</f>
        <v>2049.1989605678755</v>
      </c>
      <c r="CQ156" s="330">
        <f ca="1">-CQ142-CQ140</f>
        <v>2140.263772180303</v>
      </c>
      <c r="CR156" s="330">
        <f ca="1">-CR142-CR140</f>
        <v>2138.0493146533572</v>
      </c>
      <c r="CS156" s="330">
        <f ca="1">-CS142-CS140</f>
        <v>2136.0928801436048</v>
      </c>
      <c r="CT156" s="331">
        <f ca="1">-CT142-CT140</f>
        <v>8463.6049275451405</v>
      </c>
      <c r="CU156" s="459"/>
      <c r="CV156" s="460"/>
    </row>
    <row r="157" spans="1:100" x14ac:dyDescent="0.2">
      <c r="A157" s="313" t="s">
        <v>145</v>
      </c>
      <c r="B157" s="313"/>
      <c r="C157" s="313"/>
      <c r="D157" s="381"/>
      <c r="E157" s="381"/>
      <c r="F157" s="381"/>
      <c r="G157" s="381"/>
      <c r="H157" s="456">
        <f t="shared" ref="H157:S157" si="274">H156/H153</f>
        <v>1.1955276793018816</v>
      </c>
      <c r="I157" s="381"/>
      <c r="J157" s="381"/>
      <c r="K157" s="381"/>
      <c r="L157" s="381"/>
      <c r="M157" s="456">
        <f t="shared" si="274"/>
        <v>1.1353255587949465</v>
      </c>
      <c r="N157" s="381">
        <f t="shared" si="274"/>
        <v>-25.441860465116278</v>
      </c>
      <c r="O157" s="381">
        <f t="shared" si="274"/>
        <v>1.0669527896995707</v>
      </c>
      <c r="P157" s="381">
        <f t="shared" si="274"/>
        <v>0.58137254901960789</v>
      </c>
      <c r="Q157" s="381">
        <f t="shared" si="274"/>
        <v>1.5702576112412179</v>
      </c>
      <c r="R157" s="456">
        <f t="shared" si="274"/>
        <v>1.2111553784860558</v>
      </c>
      <c r="S157" s="457">
        <f t="shared" si="274"/>
        <v>3.8495821727019499</v>
      </c>
      <c r="T157" s="457">
        <f t="shared" ref="T157:AQ157" si="275">T156/T153</f>
        <v>1.7194323144104804</v>
      </c>
      <c r="U157" s="457">
        <f t="shared" si="275"/>
        <v>0.67248576850094877</v>
      </c>
      <c r="V157" s="457">
        <f t="shared" si="275"/>
        <v>3.0084175084175082</v>
      </c>
      <c r="W157" s="456">
        <f t="shared" si="275"/>
        <v>1.4467140319715808</v>
      </c>
      <c r="X157" s="457">
        <f t="shared" si="275"/>
        <v>9.8151658767772521</v>
      </c>
      <c r="Y157" s="457">
        <f t="shared" si="275"/>
        <v>1.8830570902394106</v>
      </c>
      <c r="Z157" s="457">
        <f t="shared" si="275"/>
        <v>1.0010193679918451</v>
      </c>
      <c r="AA157" s="457">
        <f t="shared" si="275"/>
        <v>0.91731066460587329</v>
      </c>
      <c r="AB157" s="456">
        <f t="shared" si="275"/>
        <v>1.5960904897869537</v>
      </c>
      <c r="AC157" s="457">
        <f t="shared" si="275"/>
        <v>-1.1879432624113475</v>
      </c>
      <c r="AD157" s="457">
        <f t="shared" si="275"/>
        <v>0.50264950794852381</v>
      </c>
      <c r="AE157" s="457">
        <f t="shared" si="275"/>
        <v>0.27990430622009571</v>
      </c>
      <c r="AF157" s="457">
        <f t="shared" si="275"/>
        <v>0.50106913756236637</v>
      </c>
      <c r="AG157" s="456">
        <f t="shared" si="275"/>
        <v>0.58676092544987146</v>
      </c>
      <c r="AH157" s="457">
        <f t="shared" si="275"/>
        <v>-43.878787878787875</v>
      </c>
      <c r="AI157" s="457">
        <f t="shared" si="275"/>
        <v>2.1984074319840743</v>
      </c>
      <c r="AJ157" s="381">
        <f t="shared" si="275"/>
        <v>0.71028744326777604</v>
      </c>
      <c r="AK157" s="381">
        <f t="shared" si="275"/>
        <v>1.2274837511606314</v>
      </c>
      <c r="AL157" s="456">
        <f t="shared" si="275"/>
        <v>1.5324350336862367</v>
      </c>
      <c r="AM157" s="381">
        <f t="shared" si="275"/>
        <v>-21.358490566037737</v>
      </c>
      <c r="AN157" s="381">
        <f t="shared" si="275"/>
        <v>0.97702127659574467</v>
      </c>
      <c r="AO157" s="458">
        <f t="shared" si="275"/>
        <v>0.72836363636363632</v>
      </c>
      <c r="AP157" s="381">
        <f t="shared" si="275"/>
        <v>0.790536641661858</v>
      </c>
      <c r="AQ157" s="456">
        <f t="shared" si="275"/>
        <v>1.0085637823371989</v>
      </c>
      <c r="AR157" s="381">
        <f t="shared" ref="AR157:BW157" si="276">AR156/AR153</f>
        <v>-0.95328031809145131</v>
      </c>
      <c r="AS157" s="381">
        <f t="shared" si="276"/>
        <v>1.3875739644970415</v>
      </c>
      <c r="AT157" s="381">
        <f t="shared" si="276"/>
        <v>0.58519179304192681</v>
      </c>
      <c r="AU157" s="381">
        <f t="shared" si="276"/>
        <v>0.84046692607003892</v>
      </c>
      <c r="AV157" s="456">
        <f t="shared" si="276"/>
        <v>1.1328707718993929</v>
      </c>
      <c r="AW157" s="381">
        <f t="shared" si="276"/>
        <v>3.6566416040100251</v>
      </c>
      <c r="AX157" s="381">
        <f t="shared" si="276"/>
        <v>0.73313782991202348</v>
      </c>
      <c r="AY157" s="381">
        <f t="shared" si="276"/>
        <v>0.61907873244037892</v>
      </c>
      <c r="AZ157" s="381">
        <f t="shared" si="276"/>
        <v>1.0636574074074074</v>
      </c>
      <c r="BA157" s="456">
        <f t="shared" si="276"/>
        <v>0.93457130422167412</v>
      </c>
      <c r="BB157" s="381">
        <f t="shared" si="276"/>
        <v>-12.281609195402298</v>
      </c>
      <c r="BC157" s="381">
        <f t="shared" si="276"/>
        <v>0.94233766233766236</v>
      </c>
      <c r="BD157" s="381">
        <f t="shared" si="276"/>
        <v>0.58818342151675485</v>
      </c>
      <c r="BE157" s="381">
        <f t="shared" si="276"/>
        <v>1.1186848436246992</v>
      </c>
      <c r="BF157" s="456">
        <f t="shared" si="276"/>
        <v>1.1431934091800706</v>
      </c>
      <c r="BG157" s="381" t="e">
        <f t="shared" si="276"/>
        <v>#DIV/0!</v>
      </c>
      <c r="BH157" s="381">
        <f t="shared" si="276"/>
        <v>1.0373250388802489</v>
      </c>
      <c r="BI157" s="381">
        <f t="shared" si="276"/>
        <v>0.62193319538870828</v>
      </c>
      <c r="BJ157" s="381">
        <f t="shared" si="276"/>
        <v>1.1286852589641434</v>
      </c>
      <c r="BK157" s="456">
        <f t="shared" si="276"/>
        <v>1.155714650984403</v>
      </c>
      <c r="BL157" s="381">
        <f t="shared" si="276"/>
        <v>-6.4224806201550386</v>
      </c>
      <c r="BM157" s="381">
        <f t="shared" si="276"/>
        <v>0.76725663716814163</v>
      </c>
      <c r="BN157" s="381">
        <f t="shared" si="276"/>
        <v>0.60521968946151306</v>
      </c>
      <c r="BO157" s="381">
        <f t="shared" si="276"/>
        <v>0.86124197002141323</v>
      </c>
      <c r="BP157" s="456">
        <f t="shared" si="276"/>
        <v>0.98234655078761546</v>
      </c>
      <c r="BQ157" s="613">
        <f t="shared" si="276"/>
        <v>-2.9883720930232558</v>
      </c>
      <c r="BR157" s="381">
        <f t="shared" si="276"/>
        <v>0.83927621075039915</v>
      </c>
      <c r="BS157" s="381">
        <f t="shared" si="276"/>
        <v>0.39596899224806203</v>
      </c>
      <c r="BT157" s="381">
        <f t="shared" si="276"/>
        <v>0.66434140336479275</v>
      </c>
      <c r="BU157" s="456">
        <f t="shared" si="276"/>
        <v>0.85622775800711748</v>
      </c>
      <c r="BV157" s="381">
        <f t="shared" ca="1" si="276"/>
        <v>-3.1985487966907784</v>
      </c>
      <c r="BW157" s="381">
        <f t="shared" ca="1" si="276"/>
        <v>1.0405160046729214</v>
      </c>
      <c r="BX157" s="381">
        <f t="shared" ref="BX157:CO157" ca="1" si="277">BX156/BX153</f>
        <v>0.6352319764069837</v>
      </c>
      <c r="BY157" s="381">
        <f t="shared" ca="1" si="277"/>
        <v>0.91124780431239849</v>
      </c>
      <c r="BZ157" s="456">
        <f t="shared" ca="1" si="277"/>
        <v>1.1662008703249827</v>
      </c>
      <c r="CA157" s="381">
        <f t="shared" ca="1" si="277"/>
        <v>51.826881427694218</v>
      </c>
      <c r="CB157" s="381">
        <f t="shared" ca="1" si="277"/>
        <v>0.80293114262640874</v>
      </c>
      <c r="CC157" s="381">
        <f t="shared" ca="1" si="277"/>
        <v>0.54099675681439718</v>
      </c>
      <c r="CD157" s="381">
        <f t="shared" ca="1" si="277"/>
        <v>0.73554212798272312</v>
      </c>
      <c r="CE157" s="456">
        <f t="shared" ca="1" si="277"/>
        <v>0.88560373484805677</v>
      </c>
      <c r="CF157" s="381">
        <f t="shared" ca="1" si="277"/>
        <v>15.691566707486</v>
      </c>
      <c r="CG157" s="381">
        <f t="shared" ca="1" si="277"/>
        <v>0.77807471653020333</v>
      </c>
      <c r="CH157" s="381">
        <f t="shared" ca="1" si="277"/>
        <v>0.53261455208229869</v>
      </c>
      <c r="CI157" s="381">
        <f t="shared" ca="1" si="277"/>
        <v>0.70785999153252799</v>
      </c>
      <c r="CJ157" s="456">
        <f t="shared" ca="1" si="277"/>
        <v>0.85401728430795665</v>
      </c>
      <c r="CK157" s="381">
        <f t="shared" ca="1" si="277"/>
        <v>8.7489403437831843</v>
      </c>
      <c r="CL157" s="381">
        <f t="shared" ca="1" si="277"/>
        <v>0.75607437662531318</v>
      </c>
      <c r="CM157" s="381">
        <f t="shared" ca="1" si="277"/>
        <v>0.52503076631035717</v>
      </c>
      <c r="CN157" s="381">
        <f t="shared" ca="1" si="277"/>
        <v>0.68371515675965333</v>
      </c>
      <c r="CO157" s="456">
        <f t="shared" ca="1" si="277"/>
        <v>0.82490977849341918</v>
      </c>
      <c r="CP157" s="381">
        <f ca="1">CP156/CP153</f>
        <v>6.3980619179379055</v>
      </c>
      <c r="CQ157" s="381">
        <f ca="1">CQ156/CQ153</f>
        <v>0.73636654517245703</v>
      </c>
      <c r="CR157" s="381">
        <f ca="1">CR156/CR153</f>
        <v>0.5182055439587232</v>
      </c>
      <c r="CS157" s="381">
        <f ca="1">CS156/CS153</f>
        <v>0.66227417749440498</v>
      </c>
      <c r="CT157" s="456">
        <f ca="1">CT156/CT153</f>
        <v>0.80010894492433793</v>
      </c>
      <c r="CU157" s="319"/>
      <c r="CV157" s="445"/>
    </row>
    <row r="158" spans="1:100" x14ac:dyDescent="0.2">
      <c r="A158" s="313"/>
      <c r="B158" s="313"/>
      <c r="C158" s="313"/>
      <c r="D158" s="294"/>
      <c r="E158" s="294"/>
      <c r="F158" s="294"/>
      <c r="G158" s="294"/>
      <c r="H158" s="373"/>
      <c r="I158" s="294"/>
      <c r="J158" s="294"/>
      <c r="K158" s="294"/>
      <c r="L158" s="294"/>
      <c r="M158" s="373"/>
      <c r="N158" s="294"/>
      <c r="O158" s="294"/>
      <c r="P158" s="294"/>
      <c r="Q158" s="294"/>
      <c r="R158" s="373"/>
      <c r="S158" s="374"/>
      <c r="T158" s="374"/>
      <c r="U158" s="374"/>
      <c r="V158" s="374"/>
      <c r="W158" s="373"/>
      <c r="X158" s="374"/>
      <c r="Y158" s="374"/>
      <c r="Z158" s="374"/>
      <c r="AA158" s="374"/>
      <c r="AB158" s="373"/>
      <c r="AC158" s="374"/>
      <c r="AD158" s="374"/>
      <c r="AE158" s="374"/>
      <c r="AF158" s="374"/>
      <c r="AG158" s="373"/>
      <c r="AH158" s="374"/>
      <c r="AI158" s="374"/>
      <c r="AJ158" s="294"/>
      <c r="AK158" s="294"/>
      <c r="AL158" s="437"/>
      <c r="AM158" s="294"/>
      <c r="AN158" s="294"/>
      <c r="AO158" s="294"/>
      <c r="AP158" s="294"/>
      <c r="AQ158" s="437"/>
      <c r="AR158" s="294"/>
      <c r="AS158" s="294"/>
      <c r="AT158" s="294"/>
      <c r="AU158" s="294"/>
      <c r="AV158" s="437"/>
      <c r="AW158" s="294"/>
      <c r="AX158" s="294"/>
      <c r="AY158" s="294"/>
      <c r="AZ158" s="294"/>
      <c r="BA158" s="373"/>
      <c r="BB158" s="294"/>
      <c r="BC158" s="294"/>
      <c r="BD158" s="294"/>
      <c r="BE158" s="294"/>
      <c r="BF158" s="373"/>
      <c r="BG158" s="294"/>
      <c r="BH158" s="294"/>
      <c r="BI158" s="294"/>
      <c r="BJ158" s="294"/>
      <c r="BK158" s="373"/>
      <c r="BL158" s="294"/>
      <c r="BM158" s="294"/>
      <c r="BN158" s="294"/>
      <c r="BO158" s="294"/>
      <c r="BP158" s="373"/>
      <c r="BQ158" s="593"/>
      <c r="BR158" s="294"/>
      <c r="BS158" s="294"/>
      <c r="BT158" s="294"/>
      <c r="BU158" s="373"/>
      <c r="BV158" s="645"/>
      <c r="BW158" s="294"/>
      <c r="BX158" s="294"/>
      <c r="BY158" s="294"/>
      <c r="BZ158" s="373"/>
      <c r="CA158" s="294"/>
      <c r="CB158" s="294"/>
      <c r="CC158" s="294"/>
      <c r="CD158" s="294"/>
      <c r="CE158" s="373"/>
      <c r="CF158" s="294"/>
      <c r="CG158" s="294"/>
      <c r="CH158" s="294"/>
      <c r="CI158" s="294"/>
      <c r="CJ158" s="373"/>
      <c r="CK158" s="294"/>
      <c r="CL158" s="294"/>
      <c r="CM158" s="294"/>
      <c r="CN158" s="294"/>
      <c r="CO158" s="373"/>
      <c r="CP158" s="294"/>
      <c r="CQ158" s="294"/>
      <c r="CR158" s="294"/>
      <c r="CS158" s="294"/>
      <c r="CT158" s="373"/>
      <c r="CU158" s="460"/>
      <c r="CV158" s="460"/>
    </row>
    <row r="159" spans="1:100" x14ac:dyDescent="0.2">
      <c r="A159" s="111" t="s">
        <v>146</v>
      </c>
      <c r="B159" s="111"/>
      <c r="C159" s="461"/>
      <c r="D159" s="112"/>
      <c r="E159" s="112"/>
      <c r="F159" s="112"/>
      <c r="G159" s="112"/>
      <c r="H159" s="113">
        <f t="shared" ref="H159:R159" si="278">H4</f>
        <v>2004</v>
      </c>
      <c r="I159" s="112"/>
      <c r="J159" s="112"/>
      <c r="K159" s="112"/>
      <c r="L159" s="112"/>
      <c r="M159" s="113">
        <f t="shared" si="278"/>
        <v>2005</v>
      </c>
      <c r="N159" s="112">
        <f t="shared" si="278"/>
        <v>38802</v>
      </c>
      <c r="O159" s="112">
        <f t="shared" si="278"/>
        <v>38892</v>
      </c>
      <c r="P159" s="112">
        <f t="shared" si="278"/>
        <v>38987</v>
      </c>
      <c r="Q159" s="112">
        <f t="shared" si="278"/>
        <v>39077</v>
      </c>
      <c r="R159" s="113">
        <f t="shared" si="278"/>
        <v>2006</v>
      </c>
      <c r="S159" s="114">
        <f t="shared" ref="S159:AG159" si="279">S4</f>
        <v>39157</v>
      </c>
      <c r="T159" s="114">
        <f t="shared" si="279"/>
        <v>39242</v>
      </c>
      <c r="U159" s="114">
        <f t="shared" si="279"/>
        <v>39332</v>
      </c>
      <c r="V159" s="114">
        <f t="shared" si="279"/>
        <v>39422</v>
      </c>
      <c r="W159" s="113">
        <f t="shared" si="279"/>
        <v>2007</v>
      </c>
      <c r="X159" s="114">
        <f t="shared" si="279"/>
        <v>39517</v>
      </c>
      <c r="Y159" s="114">
        <f t="shared" si="279"/>
        <v>39607</v>
      </c>
      <c r="Z159" s="114">
        <f t="shared" si="279"/>
        <v>39707</v>
      </c>
      <c r="AA159" s="114">
        <f t="shared" si="279"/>
        <v>39797</v>
      </c>
      <c r="AB159" s="113">
        <f t="shared" si="279"/>
        <v>2008</v>
      </c>
      <c r="AC159" s="114">
        <f t="shared" si="279"/>
        <v>39887</v>
      </c>
      <c r="AD159" s="114">
        <f t="shared" si="279"/>
        <v>39977</v>
      </c>
      <c r="AE159" s="114">
        <f t="shared" si="279"/>
        <v>40077</v>
      </c>
      <c r="AF159" s="114">
        <f t="shared" si="279"/>
        <v>40167</v>
      </c>
      <c r="AG159" s="113">
        <f t="shared" si="279"/>
        <v>2009</v>
      </c>
      <c r="AH159" s="114">
        <f t="shared" ref="AH159:AY159" si="280">AH4</f>
        <v>40247</v>
      </c>
      <c r="AI159" s="114">
        <f t="shared" si="280"/>
        <v>40339</v>
      </c>
      <c r="AJ159" s="112">
        <f t="shared" si="280"/>
        <v>40429</v>
      </c>
      <c r="AK159" s="112">
        <f t="shared" si="280"/>
        <v>40543</v>
      </c>
      <c r="AL159" s="113">
        <f t="shared" si="280"/>
        <v>2010</v>
      </c>
      <c r="AM159" s="112">
        <f t="shared" si="280"/>
        <v>40613</v>
      </c>
      <c r="AN159" s="112">
        <f t="shared" si="280"/>
        <v>40705</v>
      </c>
      <c r="AO159" s="112">
        <f t="shared" si="280"/>
        <v>40797</v>
      </c>
      <c r="AP159" s="112">
        <f t="shared" si="280"/>
        <v>40887</v>
      </c>
      <c r="AQ159" s="113">
        <f t="shared" si="280"/>
        <v>2011</v>
      </c>
      <c r="AR159" s="112">
        <f t="shared" si="280"/>
        <v>40980</v>
      </c>
      <c r="AS159" s="112">
        <f t="shared" si="280"/>
        <v>41072</v>
      </c>
      <c r="AT159" s="112">
        <f t="shared" si="280"/>
        <v>41164</v>
      </c>
      <c r="AU159" s="112">
        <f t="shared" si="280"/>
        <v>41274</v>
      </c>
      <c r="AV159" s="113">
        <f t="shared" si="280"/>
        <v>2012</v>
      </c>
      <c r="AW159" s="112">
        <f t="shared" si="280"/>
        <v>41346</v>
      </c>
      <c r="AX159" s="112">
        <f t="shared" si="280"/>
        <v>41438</v>
      </c>
      <c r="AY159" s="112">
        <f t="shared" si="280"/>
        <v>41530</v>
      </c>
      <c r="AZ159" s="112">
        <f t="shared" ref="AZ159:BU159" si="281">AZ4</f>
        <v>41621</v>
      </c>
      <c r="BA159" s="113">
        <f t="shared" si="281"/>
        <v>2013</v>
      </c>
      <c r="BB159" s="112">
        <f t="shared" si="281"/>
        <v>41712</v>
      </c>
      <c r="BC159" s="112">
        <f t="shared" si="281"/>
        <v>41804</v>
      </c>
      <c r="BD159" s="112">
        <f t="shared" si="281"/>
        <v>41896</v>
      </c>
      <c r="BE159" s="112">
        <f t="shared" si="281"/>
        <v>41987</v>
      </c>
      <c r="BF159" s="113">
        <f t="shared" si="281"/>
        <v>2014</v>
      </c>
      <c r="BG159" s="112">
        <f t="shared" si="281"/>
        <v>42078</v>
      </c>
      <c r="BH159" s="112">
        <f t="shared" si="281"/>
        <v>42170</v>
      </c>
      <c r="BI159" s="112">
        <f t="shared" si="281"/>
        <v>42262</v>
      </c>
      <c r="BJ159" s="112">
        <f t="shared" si="281"/>
        <v>42353</v>
      </c>
      <c r="BK159" s="113">
        <f t="shared" si="281"/>
        <v>2015</v>
      </c>
      <c r="BL159" s="112">
        <f t="shared" si="281"/>
        <v>42445</v>
      </c>
      <c r="BM159" s="112">
        <f t="shared" si="281"/>
        <v>42537</v>
      </c>
      <c r="BN159" s="112">
        <f t="shared" si="281"/>
        <v>42629</v>
      </c>
      <c r="BO159" s="112">
        <f t="shared" si="281"/>
        <v>42720</v>
      </c>
      <c r="BP159" s="113">
        <f t="shared" si="281"/>
        <v>2016</v>
      </c>
      <c r="BQ159" s="614">
        <f t="shared" si="281"/>
        <v>42811</v>
      </c>
      <c r="BR159" s="112">
        <f t="shared" si="281"/>
        <v>42903</v>
      </c>
      <c r="BS159" s="112">
        <f t="shared" si="281"/>
        <v>42995</v>
      </c>
      <c r="BT159" s="112">
        <f t="shared" si="281"/>
        <v>43086</v>
      </c>
      <c r="BU159" s="113">
        <f t="shared" si="281"/>
        <v>2017</v>
      </c>
      <c r="BV159" s="112" t="str">
        <f t="shared" ref="BV159:CE159" si="282">BV4</f>
        <v>Mar-18 E</v>
      </c>
      <c r="BW159" s="112" t="str">
        <f t="shared" si="282"/>
        <v>Jun-18 E</v>
      </c>
      <c r="BX159" s="112" t="str">
        <f t="shared" si="282"/>
        <v>Sep-18 E</v>
      </c>
      <c r="BY159" s="112" t="str">
        <f t="shared" si="282"/>
        <v>Dec-18 E</v>
      </c>
      <c r="BZ159" s="113" t="str">
        <f t="shared" si="282"/>
        <v>2018E</v>
      </c>
      <c r="CA159" s="112" t="str">
        <f t="shared" si="282"/>
        <v>Mar-19 E</v>
      </c>
      <c r="CB159" s="112" t="str">
        <f t="shared" si="282"/>
        <v>Jun-19 E</v>
      </c>
      <c r="CC159" s="112" t="str">
        <f t="shared" si="282"/>
        <v>Sep-19 E</v>
      </c>
      <c r="CD159" s="112" t="str">
        <f t="shared" si="282"/>
        <v>Dec-19 E</v>
      </c>
      <c r="CE159" s="113" t="str">
        <f t="shared" si="282"/>
        <v>2019E</v>
      </c>
      <c r="CF159" s="112" t="str">
        <f t="shared" ref="CF159:CO159" si="283">CF4</f>
        <v>Mar-20 E</v>
      </c>
      <c r="CG159" s="112" t="str">
        <f t="shared" si="283"/>
        <v>Jun-20 E</v>
      </c>
      <c r="CH159" s="112" t="str">
        <f t="shared" si="283"/>
        <v>Sep-20 E</v>
      </c>
      <c r="CI159" s="112" t="str">
        <f t="shared" si="283"/>
        <v>Dec-20 E</v>
      </c>
      <c r="CJ159" s="113" t="str">
        <f t="shared" si="283"/>
        <v>2020E</v>
      </c>
      <c r="CK159" s="112" t="str">
        <f t="shared" si="283"/>
        <v>Mar-21 E</v>
      </c>
      <c r="CL159" s="112" t="str">
        <f t="shared" si="283"/>
        <v>Jun-21 E</v>
      </c>
      <c r="CM159" s="112" t="str">
        <f t="shared" si="283"/>
        <v>Sep-21 E</v>
      </c>
      <c r="CN159" s="112" t="str">
        <f t="shared" si="283"/>
        <v>Dec-21 E</v>
      </c>
      <c r="CO159" s="113" t="str">
        <f t="shared" si="283"/>
        <v>2021E</v>
      </c>
      <c r="CP159" s="112" t="str">
        <f>CP4</f>
        <v>Mar-22 E</v>
      </c>
      <c r="CQ159" s="112" t="str">
        <f>CQ4</f>
        <v>Jun-22 E</v>
      </c>
      <c r="CR159" s="112" t="str">
        <f>CR4</f>
        <v>Sep-22 E</v>
      </c>
      <c r="CS159" s="112" t="str">
        <f>CS4</f>
        <v>Dec-22 E</v>
      </c>
      <c r="CT159" s="113" t="str">
        <f>CT4</f>
        <v>2022E</v>
      </c>
      <c r="CU159" s="460"/>
      <c r="CV159" s="460"/>
    </row>
    <row r="160" spans="1:100" x14ac:dyDescent="0.2">
      <c r="A160" s="313" t="s">
        <v>147</v>
      </c>
      <c r="B160" s="313"/>
      <c r="C160" s="313"/>
      <c r="D160" s="318"/>
      <c r="E160" s="318"/>
      <c r="F160" s="318"/>
      <c r="G160" s="318"/>
      <c r="H160" s="362">
        <f>-H8/H5</f>
        <v>0.43313625645056558</v>
      </c>
      <c r="I160" s="318"/>
      <c r="J160" s="318"/>
      <c r="K160" s="318"/>
      <c r="L160" s="318"/>
      <c r="M160" s="362">
        <f>-M8/M5</f>
        <v>0.43550895968143355</v>
      </c>
      <c r="N160" s="318">
        <f t="shared" ref="N160:AG160" si="284">-N8/N5</f>
        <v>0.44083941062658133</v>
      </c>
      <c r="O160" s="318">
        <f t="shared" si="284"/>
        <v>0.44319485884783105</v>
      </c>
      <c r="P160" s="318">
        <f t="shared" si="284"/>
        <v>0.44974819356251367</v>
      </c>
      <c r="Q160" s="318">
        <f t="shared" si="284"/>
        <v>0.45695364238410596</v>
      </c>
      <c r="R160" s="362">
        <f t="shared" si="284"/>
        <v>0.44858695961522044</v>
      </c>
      <c r="S160" s="335">
        <f t="shared" si="284"/>
        <v>0.44693877551020406</v>
      </c>
      <c r="T160" s="335">
        <f t="shared" si="284"/>
        <v>0.45196211096075778</v>
      </c>
      <c r="U160" s="335">
        <f t="shared" si="284"/>
        <v>0.45492085340674465</v>
      </c>
      <c r="V160" s="335">
        <f t="shared" si="284"/>
        <v>0.46849181921270044</v>
      </c>
      <c r="W160" s="362">
        <f t="shared" si="284"/>
        <v>0.4569590109945787</v>
      </c>
      <c r="X160" s="335">
        <f t="shared" si="284"/>
        <v>0.46009840393615747</v>
      </c>
      <c r="Y160" s="335">
        <f t="shared" si="284"/>
        <v>0.46395614435815441</v>
      </c>
      <c r="Z160" s="335">
        <f t="shared" si="284"/>
        <v>0.46851654215581645</v>
      </c>
      <c r="AA160" s="335">
        <f t="shared" si="284"/>
        <v>0.47796370492576007</v>
      </c>
      <c r="AB160" s="362">
        <f t="shared" si="284"/>
        <v>0.46852095905296987</v>
      </c>
      <c r="AC160" s="335">
        <f t="shared" si="284"/>
        <v>0.45310419944330149</v>
      </c>
      <c r="AD160" s="335">
        <f t="shared" si="284"/>
        <v>0.46081948640483383</v>
      </c>
      <c r="AE160" s="335">
        <f t="shared" si="284"/>
        <v>0.46759927797833933</v>
      </c>
      <c r="AF160" s="335">
        <f t="shared" si="284"/>
        <v>0.47326464616078817</v>
      </c>
      <c r="AG160" s="362">
        <f t="shared" si="284"/>
        <v>0.46491025166543304</v>
      </c>
      <c r="AH160" s="335">
        <f t="shared" ref="AH160:AY160" si="285">-AH8/AH5</f>
        <v>0.4464133219470538</v>
      </c>
      <c r="AI160" s="335">
        <f t="shared" si="285"/>
        <v>0.45078035267887306</v>
      </c>
      <c r="AJ160" s="318">
        <f t="shared" si="285"/>
        <v>0.45062524171715868</v>
      </c>
      <c r="AK160" s="318">
        <f t="shared" si="285"/>
        <v>0.459102175709171</v>
      </c>
      <c r="AL160" s="362">
        <f t="shared" si="285"/>
        <v>0.45264359071890453</v>
      </c>
      <c r="AM160" s="318">
        <f t="shared" si="285"/>
        <v>0.45346401943536901</v>
      </c>
      <c r="AN160" s="318">
        <f t="shared" si="285"/>
        <v>0.47298983776074166</v>
      </c>
      <c r="AO160" s="318">
        <f t="shared" si="285"/>
        <v>0.48054828802184052</v>
      </c>
      <c r="AP160" s="318">
        <f t="shared" si="285"/>
        <v>0.48431021243921168</v>
      </c>
      <c r="AQ160" s="362">
        <f t="shared" si="285"/>
        <v>0.47482582231599396</v>
      </c>
      <c r="AR160" s="318">
        <f t="shared" si="285"/>
        <v>0.48020598648213714</v>
      </c>
      <c r="AS160" s="318">
        <f t="shared" si="285"/>
        <v>0.48468829748450604</v>
      </c>
      <c r="AT160" s="318">
        <f t="shared" si="285"/>
        <v>0.48072303627191931</v>
      </c>
      <c r="AU160" s="318">
        <f t="shared" si="285"/>
        <v>0.4871203768667936</v>
      </c>
      <c r="AV160" s="362">
        <f t="shared" si="285"/>
        <v>0.48357051242899896</v>
      </c>
      <c r="AW160" s="318">
        <f t="shared" si="285"/>
        <v>0.46753040298863363</v>
      </c>
      <c r="AX160" s="318">
        <f>-AX8/AX5</f>
        <v>0.47266020110668172</v>
      </c>
      <c r="AY160" s="318">
        <f t="shared" si="285"/>
        <v>0.47371222425927023</v>
      </c>
      <c r="AZ160" s="318">
        <f>-AZ8/AZ5</f>
        <v>0.48111144248931303</v>
      </c>
      <c r="BA160" s="362">
        <f t="shared" ref="BA160:BU160" si="286">-BA8/BA5</f>
        <v>0.47451629902883385</v>
      </c>
      <c r="BB160" s="318">
        <f t="shared" si="286"/>
        <v>0.46383585518497977</v>
      </c>
      <c r="BC160" s="318">
        <f t="shared" si="286"/>
        <v>0.46673375162779684</v>
      </c>
      <c r="BD160" s="318">
        <f>-BD8/BD5</f>
        <v>0.46904402369613196</v>
      </c>
      <c r="BE160" s="318">
        <f t="shared" si="286"/>
        <v>0.47398235412071388</v>
      </c>
      <c r="BF160" s="362">
        <f t="shared" si="286"/>
        <v>0.46895010722373021</v>
      </c>
      <c r="BG160" s="318">
        <f t="shared" si="286"/>
        <v>0.44896455758369486</v>
      </c>
      <c r="BH160" s="318">
        <f>-BH8/BH5</f>
        <v>0.45550461596432834</v>
      </c>
      <c r="BI160" s="318">
        <f t="shared" si="286"/>
        <v>0.45747351662482394</v>
      </c>
      <c r="BJ160" s="318">
        <f t="shared" si="286"/>
        <v>0.45757331181059996</v>
      </c>
      <c r="BK160" s="362">
        <f t="shared" ref="BK160" si="287">-BK8/BK5</f>
        <v>0.45535714285714285</v>
      </c>
      <c r="BL160" s="318">
        <f t="shared" si="286"/>
        <v>0.4357612544258978</v>
      </c>
      <c r="BM160" s="318">
        <f>-BM8/BM5</f>
        <v>0.44774277362780124</v>
      </c>
      <c r="BN160" s="318">
        <f t="shared" si="286"/>
        <v>0.45242403444187934</v>
      </c>
      <c r="BO160" s="318">
        <f t="shared" ref="BO160" si="288">-BO8/BO5</f>
        <v>0.45985139636177297</v>
      </c>
      <c r="BP160" s="362">
        <f t="shared" si="286"/>
        <v>0.4504371088711604</v>
      </c>
      <c r="BQ160" s="318">
        <f t="shared" ref="BQ160:BS160" si="289">-BQ8/BQ5</f>
        <v>0.44028550087144164</v>
      </c>
      <c r="BR160" s="318">
        <f t="shared" si="289"/>
        <v>0.44831317632081474</v>
      </c>
      <c r="BS160" s="318">
        <f t="shared" si="289"/>
        <v>0.45363300492610836</v>
      </c>
      <c r="BT160" s="318">
        <f t="shared" si="286"/>
        <v>0.464918570111646</v>
      </c>
      <c r="BU160" s="362">
        <f t="shared" si="286"/>
        <v>0.45325462416371509</v>
      </c>
      <c r="BV160" s="318">
        <f t="shared" ref="BV160:CE160" si="290">-BV8/BV5</f>
        <v>0.44578550087144164</v>
      </c>
      <c r="BW160" s="318">
        <f t="shared" si="290"/>
        <v>0.45131317632081475</v>
      </c>
      <c r="BX160" s="318">
        <f t="shared" si="290"/>
        <v>0.45113300492610836</v>
      </c>
      <c r="BY160" s="318">
        <f t="shared" si="290"/>
        <v>0.46117808516025754</v>
      </c>
      <c r="BZ160" s="362">
        <f t="shared" si="290"/>
        <v>0.45325462416371509</v>
      </c>
      <c r="CA160" s="318">
        <f t="shared" si="290"/>
        <v>0.44378550087144164</v>
      </c>
      <c r="CB160" s="318">
        <f t="shared" si="290"/>
        <v>0.44931317632081474</v>
      </c>
      <c r="CC160" s="318">
        <f t="shared" si="290"/>
        <v>0.44913300492610836</v>
      </c>
      <c r="CD160" s="318">
        <f t="shared" si="290"/>
        <v>0.4591652631105424</v>
      </c>
      <c r="CE160" s="362">
        <f t="shared" si="290"/>
        <v>0.45125462416371509</v>
      </c>
      <c r="CF160" s="318">
        <f t="shared" ref="CF160:CO160" si="291">-CF8/CF5</f>
        <v>0.44178550087144164</v>
      </c>
      <c r="CG160" s="318">
        <f t="shared" si="291"/>
        <v>0.44731317632081474</v>
      </c>
      <c r="CH160" s="318">
        <f t="shared" si="291"/>
        <v>0.44713300492610836</v>
      </c>
      <c r="CI160" s="318">
        <f t="shared" si="291"/>
        <v>0.45715403517290348</v>
      </c>
      <c r="CJ160" s="362">
        <f t="shared" si="291"/>
        <v>0.44925462416371509</v>
      </c>
      <c r="CK160" s="318">
        <f t="shared" si="291"/>
        <v>0.44028550087144169</v>
      </c>
      <c r="CL160" s="318">
        <f t="shared" si="291"/>
        <v>0.44581317632081474</v>
      </c>
      <c r="CM160" s="318">
        <f t="shared" si="291"/>
        <v>0.44563300492610836</v>
      </c>
      <c r="CN160" s="318">
        <f t="shared" si="291"/>
        <v>0.4556427713249771</v>
      </c>
      <c r="CO160" s="362">
        <f t="shared" si="291"/>
        <v>0.44775462416371509</v>
      </c>
      <c r="CP160" s="318">
        <f>-CP8/CP5</f>
        <v>0.43878550087144164</v>
      </c>
      <c r="CQ160" s="318">
        <f>-CQ8/CQ5</f>
        <v>0.44431317632081474</v>
      </c>
      <c r="CR160" s="318">
        <f>-CR8/CR5</f>
        <v>0.44413300492610835</v>
      </c>
      <c r="CS160" s="318">
        <f>-CS8/CS5</f>
        <v>0.45413147759459549</v>
      </c>
      <c r="CT160" s="362">
        <f>-CT8/CT5</f>
        <v>0.44625462416371514</v>
      </c>
      <c r="CU160" s="460"/>
      <c r="CV160" s="460"/>
    </row>
    <row r="161" spans="1:100" x14ac:dyDescent="0.2">
      <c r="A161" s="313" t="s">
        <v>148</v>
      </c>
      <c r="B161" s="313"/>
      <c r="C161" s="313"/>
      <c r="D161" s="318"/>
      <c r="E161" s="318"/>
      <c r="F161" s="318"/>
      <c r="G161" s="318"/>
      <c r="H161" s="362">
        <f>+H17</f>
        <v>0.37698643245275282</v>
      </c>
      <c r="I161" s="318"/>
      <c r="J161" s="318"/>
      <c r="K161" s="318"/>
      <c r="L161" s="318"/>
      <c r="M161" s="362">
        <f>+M17</f>
        <v>0.3753422100547536</v>
      </c>
      <c r="N161" s="318">
        <f t="shared" ref="N161:AG161" si="292">+N17</f>
        <v>0.36746539663640421</v>
      </c>
      <c r="O161" s="318">
        <f t="shared" si="292"/>
        <v>0.34610970851503325</v>
      </c>
      <c r="P161" s="318">
        <f t="shared" si="292"/>
        <v>0.34256623604116487</v>
      </c>
      <c r="Q161" s="318">
        <f t="shared" si="292"/>
        <v>0.38126773888363291</v>
      </c>
      <c r="R161" s="362">
        <f t="shared" si="292"/>
        <v>0.35984859265162078</v>
      </c>
      <c r="S161" s="335">
        <f t="shared" si="292"/>
        <v>0.36081632653061224</v>
      </c>
      <c r="T161" s="335">
        <f t="shared" si="292"/>
        <v>0.34433225772873949</v>
      </c>
      <c r="U161" s="335">
        <f t="shared" si="292"/>
        <v>0.33801986038737586</v>
      </c>
      <c r="V161" s="335">
        <f t="shared" si="292"/>
        <v>0.38287704519682486</v>
      </c>
      <c r="W161" s="362">
        <f t="shared" si="292"/>
        <v>0.3578304706895678</v>
      </c>
      <c r="X161" s="335">
        <f t="shared" si="292"/>
        <v>0.35113404536181447</v>
      </c>
      <c r="Y161" s="335">
        <f t="shared" si="292"/>
        <v>0.33978985838282322</v>
      </c>
      <c r="Z161" s="335">
        <f t="shared" si="292"/>
        <v>0.33760227676983279</v>
      </c>
      <c r="AA161" s="335">
        <f t="shared" si="292"/>
        <v>0.36405059313378901</v>
      </c>
      <c r="AB161" s="362">
        <f t="shared" si="292"/>
        <v>0.34854685440799055</v>
      </c>
      <c r="AC161" s="335">
        <f t="shared" si="292"/>
        <v>0.35798136270119812</v>
      </c>
      <c r="AD161" s="335">
        <f t="shared" si="292"/>
        <v>0.33950151057401812</v>
      </c>
      <c r="AE161" s="335">
        <f t="shared" si="292"/>
        <v>0.33185920577617328</v>
      </c>
      <c r="AF161" s="335">
        <f t="shared" si="292"/>
        <v>0.37474618334962773</v>
      </c>
      <c r="AG161" s="362">
        <f t="shared" si="292"/>
        <v>0.35191524796447077</v>
      </c>
      <c r="AH161" s="335">
        <f t="shared" ref="AH161:AY161" si="293">+AH17</f>
        <v>0.36806148590947907</v>
      </c>
      <c r="AI161" s="335">
        <f t="shared" si="293"/>
        <v>0.36490777650158773</v>
      </c>
      <c r="AJ161" s="318">
        <f t="shared" si="293"/>
        <v>0.36244682222508701</v>
      </c>
      <c r="AK161" s="318">
        <f t="shared" si="293"/>
        <v>0.40187276232442853</v>
      </c>
      <c r="AL161" s="362">
        <f t="shared" si="293"/>
        <v>0.3763615616030983</v>
      </c>
      <c r="AM161" s="318">
        <f t="shared" si="293"/>
        <v>0.39499036608863197</v>
      </c>
      <c r="AN161" s="318">
        <f t="shared" si="293"/>
        <v>0.35674808343733283</v>
      </c>
      <c r="AO161" s="318">
        <f t="shared" si="293"/>
        <v>0.3462632237515641</v>
      </c>
      <c r="AP161" s="318">
        <f t="shared" si="293"/>
        <v>0.37332992065523418</v>
      </c>
      <c r="AQ161" s="362">
        <f t="shared" si="293"/>
        <v>0.36579590473732942</v>
      </c>
      <c r="AR161" s="318">
        <f t="shared" si="293"/>
        <v>0.38316704216285807</v>
      </c>
      <c r="AS161" s="318">
        <f t="shared" si="293"/>
        <v>0.35107546481954066</v>
      </c>
      <c r="AT161" s="318">
        <f t="shared" si="293"/>
        <v>0.35166946913283692</v>
      </c>
      <c r="AU161" s="318">
        <f t="shared" si="293"/>
        <v>0.38212889646186227</v>
      </c>
      <c r="AV161" s="362">
        <f t="shared" si="293"/>
        <v>0.36677762169425271</v>
      </c>
      <c r="AW161" s="318">
        <f t="shared" si="293"/>
        <v>0.38780701057149669</v>
      </c>
      <c r="AX161" s="318">
        <f>+AX17</f>
        <v>0.35163919795323378</v>
      </c>
      <c r="AY161" s="318">
        <f t="shared" si="293"/>
        <v>0.3583298834939973</v>
      </c>
      <c r="AZ161" s="318">
        <f>+AZ17</f>
        <v>0.39173874142558901</v>
      </c>
      <c r="BA161" s="362">
        <f t="shared" ref="BA161:BU161" si="294">+BA17</f>
        <v>0.37234058571105927</v>
      </c>
      <c r="BB161" s="318">
        <f t="shared" si="294"/>
        <v>0.38627901449734614</v>
      </c>
      <c r="BC161" s="318">
        <f t="shared" si="294"/>
        <v>0.35693145495442169</v>
      </c>
      <c r="BD161" s="318">
        <f>+BD17</f>
        <v>0.35846207457312113</v>
      </c>
      <c r="BE161" s="318">
        <f t="shared" si="294"/>
        <v>0.39748345698816923</v>
      </c>
      <c r="BF161" s="362">
        <f t="shared" si="294"/>
        <v>0.37501312178516266</v>
      </c>
      <c r="BG161" s="318">
        <f t="shared" si="294"/>
        <v>0.39960710485389211</v>
      </c>
      <c r="BH161" s="318">
        <f>+BH17</f>
        <v>0.36205488915405387</v>
      </c>
      <c r="BI161" s="318">
        <f t="shared" si="294"/>
        <v>0.36439899577490664</v>
      </c>
      <c r="BJ161" s="318">
        <f t="shared" si="294"/>
        <v>0.41608824320688725</v>
      </c>
      <c r="BK161" s="362">
        <f t="shared" ref="BK161" si="295">+BK17</f>
        <v>0.38586335955341283</v>
      </c>
      <c r="BL161" s="318">
        <f t="shared" si="294"/>
        <v>0.40128140279885349</v>
      </c>
      <c r="BM161" s="318">
        <f>+BM17</f>
        <v>0.36563819421890226</v>
      </c>
      <c r="BN161" s="318">
        <f t="shared" si="294"/>
        <v>0.36987583452923189</v>
      </c>
      <c r="BO161" s="318">
        <f t="shared" ref="BO161" si="296">+BO17</f>
        <v>0.40789136561619266</v>
      </c>
      <c r="BP161" s="362">
        <f t="shared" si="294"/>
        <v>0.38658258889472763</v>
      </c>
      <c r="BQ161" s="318">
        <f t="shared" ref="BQ161:BS161" si="297">+BQ17</f>
        <v>0.40069715329072952</v>
      </c>
      <c r="BR161" s="318">
        <f t="shared" si="297"/>
        <v>0.36110757479312539</v>
      </c>
      <c r="BS161" s="318">
        <f t="shared" si="297"/>
        <v>0.3666256157635468</v>
      </c>
      <c r="BT161" s="318">
        <f t="shared" si="294"/>
        <v>0.3953190617638021</v>
      </c>
      <c r="BU161" s="362">
        <f t="shared" si="294"/>
        <v>0.38054309327036601</v>
      </c>
      <c r="BV161" s="318">
        <f t="shared" ref="BV161:CE161" si="298">+BV17</f>
        <v>0.40835921807924908</v>
      </c>
      <c r="BW161" s="318">
        <f t="shared" si="298"/>
        <v>0.36161756459731254</v>
      </c>
      <c r="BX161" s="318">
        <f t="shared" si="298"/>
        <v>0.35723958083511442</v>
      </c>
      <c r="BY161" s="318">
        <f t="shared" si="298"/>
        <v>0.39279773212576208</v>
      </c>
      <c r="BZ161" s="362">
        <f t="shared" si="298"/>
        <v>0.37896977641871216</v>
      </c>
      <c r="CA161" s="318">
        <f t="shared" si="298"/>
        <v>0.40300033616453845</v>
      </c>
      <c r="CB161" s="318">
        <f t="shared" si="298"/>
        <v>0.35729277591423791</v>
      </c>
      <c r="CC161" s="318">
        <f t="shared" si="298"/>
        <v>0.35322498127156909</v>
      </c>
      <c r="CD161" s="318">
        <f t="shared" si="298"/>
        <v>0.39134711605296479</v>
      </c>
      <c r="CE161" s="362">
        <f t="shared" si="298"/>
        <v>0.37540862381938916</v>
      </c>
      <c r="CF161" s="318">
        <f t="shared" ref="CF161:CO161" si="299">+CF17</f>
        <v>0.3991095039361785</v>
      </c>
      <c r="CG161" s="318">
        <f t="shared" si="299"/>
        <v>0.35395245379322959</v>
      </c>
      <c r="CH161" s="318">
        <f t="shared" si="299"/>
        <v>0.35011123510351322</v>
      </c>
      <c r="CI161" s="318">
        <f t="shared" si="299"/>
        <v>0.38777952239163738</v>
      </c>
      <c r="CJ161" s="362">
        <f t="shared" si="299"/>
        <v>0.37194989046573951</v>
      </c>
      <c r="CK161" s="318">
        <f t="shared" si="299"/>
        <v>0.3948315504605</v>
      </c>
      <c r="CL161" s="318">
        <f t="shared" si="299"/>
        <v>0.35020784699827245</v>
      </c>
      <c r="CM161" s="318">
        <f t="shared" si="299"/>
        <v>0.34658045402538412</v>
      </c>
      <c r="CN161" s="318">
        <f t="shared" si="299"/>
        <v>0.38384645153917624</v>
      </c>
      <c r="CO161" s="362">
        <f t="shared" si="299"/>
        <v>0.36809867655693984</v>
      </c>
      <c r="CP161" s="318">
        <f>+CP17</f>
        <v>0.39057975689080482</v>
      </c>
      <c r="CQ161" s="318">
        <f>+CQ17</f>
        <v>0.34648586881426419</v>
      </c>
      <c r="CR161" s="318">
        <f>+CR17</f>
        <v>0.34306808776633868</v>
      </c>
      <c r="CS161" s="318">
        <f>+CS17</f>
        <v>0.37994907094421826</v>
      </c>
      <c r="CT161" s="362">
        <f>+CT17</f>
        <v>0.36427358755900813</v>
      </c>
      <c r="CU161" s="313"/>
      <c r="CV161" s="313"/>
    </row>
    <row r="162" spans="1:100" x14ac:dyDescent="0.2">
      <c r="A162" s="313" t="s">
        <v>149</v>
      </c>
      <c r="B162" s="313"/>
      <c r="C162" s="313"/>
      <c r="D162" s="318"/>
      <c r="E162" s="318"/>
      <c r="F162" s="318"/>
      <c r="G162" s="318"/>
      <c r="H162" s="362">
        <f>H40</f>
        <v>0.29643346207865168</v>
      </c>
      <c r="I162" s="318"/>
      <c r="J162" s="318"/>
      <c r="K162" s="318"/>
      <c r="L162" s="318"/>
      <c r="M162" s="362">
        <f>M40</f>
        <v>0.29025853964274523</v>
      </c>
      <c r="N162" s="318">
        <f t="shared" ref="N162:AG162" si="300">N40</f>
        <v>0.38008415147265079</v>
      </c>
      <c r="O162" s="318">
        <f t="shared" si="300"/>
        <v>0.32259549010584443</v>
      </c>
      <c r="P162" s="318">
        <f t="shared" si="300"/>
        <v>0.3308724832214765</v>
      </c>
      <c r="Q162" s="318">
        <f t="shared" si="300"/>
        <v>0.35765325310267021</v>
      </c>
      <c r="R162" s="362">
        <f t="shared" si="300"/>
        <v>0.28002842928216065</v>
      </c>
      <c r="S162" s="335">
        <f t="shared" si="300"/>
        <v>0.25547438186813182</v>
      </c>
      <c r="T162" s="335">
        <f t="shared" si="300"/>
        <v>0.26452527161076994</v>
      </c>
      <c r="U162" s="335">
        <f t="shared" si="300"/>
        <v>0.27410000000000001</v>
      </c>
      <c r="V162" s="335">
        <f t="shared" si="300"/>
        <v>0.3056884635832004</v>
      </c>
      <c r="W162" s="362">
        <f t="shared" si="300"/>
        <v>0.27573243453461238</v>
      </c>
      <c r="X162" s="335">
        <f t="shared" si="300"/>
        <v>0.26620076238881829</v>
      </c>
      <c r="Y162" s="335">
        <f t="shared" si="300"/>
        <v>0.26348364279398762</v>
      </c>
      <c r="Z162" s="335">
        <f t="shared" si="300"/>
        <v>0.26591598094413166</v>
      </c>
      <c r="AA162" s="335">
        <f t="shared" si="300"/>
        <v>0.2760768033212247</v>
      </c>
      <c r="AB162" s="362">
        <f t="shared" si="300"/>
        <v>0.26771555996035679</v>
      </c>
      <c r="AC162" s="335">
        <f t="shared" si="300"/>
        <v>0.2422192151556157</v>
      </c>
      <c r="AD162" s="335">
        <f t="shared" si="300"/>
        <v>0.24871914299021891</v>
      </c>
      <c r="AE162" s="335">
        <f t="shared" si="300"/>
        <v>0.24781468531468531</v>
      </c>
      <c r="AF162" s="335">
        <f t="shared" si="300"/>
        <v>0.28355957767722473</v>
      </c>
      <c r="AG162" s="362">
        <f t="shared" si="300"/>
        <v>0.25601113642115919</v>
      </c>
      <c r="AH162" s="335">
        <f t="shared" ref="AH162:AY162" si="301">AH40</f>
        <v>0.22873345935727787</v>
      </c>
      <c r="AI162" s="335">
        <f t="shared" si="301"/>
        <v>0.28875739644970416</v>
      </c>
      <c r="AJ162" s="318">
        <f t="shared" si="301"/>
        <v>0.27372663979479661</v>
      </c>
      <c r="AK162" s="318">
        <f t="shared" si="301"/>
        <v>0.26909722222222221</v>
      </c>
      <c r="AL162" s="362">
        <f t="shared" si="301"/>
        <v>0.26892408519934463</v>
      </c>
      <c r="AM162" s="318">
        <f t="shared" si="301"/>
        <v>0.25971622455274523</v>
      </c>
      <c r="AN162" s="318">
        <f t="shared" si="301"/>
        <v>0.26001511715797432</v>
      </c>
      <c r="AO162" s="318">
        <f t="shared" si="301"/>
        <v>0.2537313432835821</v>
      </c>
      <c r="AP162" s="318">
        <f t="shared" si="301"/>
        <v>0.28463676061929338</v>
      </c>
      <c r="AQ162" s="362">
        <f t="shared" si="301"/>
        <v>0.26458333333333334</v>
      </c>
      <c r="AR162" s="318">
        <f t="shared" si="301"/>
        <v>0.26702269692923897</v>
      </c>
      <c r="AS162" s="318">
        <f t="shared" si="301"/>
        <v>0.27870182555780931</v>
      </c>
      <c r="AT162" s="318">
        <f t="shared" si="301"/>
        <v>0.26287262872628725</v>
      </c>
      <c r="AU162" s="318">
        <f>AU40</f>
        <v>0.26703814830690098</v>
      </c>
      <c r="AV162" s="362">
        <f>AV40</f>
        <v>0.26906183128730715</v>
      </c>
      <c r="AW162" s="318">
        <f t="shared" si="301"/>
        <v>0.24472049689440994</v>
      </c>
      <c r="AX162" s="318">
        <f>AX40</f>
        <v>0.24524853801169591</v>
      </c>
      <c r="AY162" s="318">
        <f t="shared" si="301"/>
        <v>0.25497702909647779</v>
      </c>
      <c r="AZ162" s="318">
        <f>AZ40</f>
        <v>0.28221930974224552</v>
      </c>
      <c r="BA162" s="362">
        <f>BA40</f>
        <v>0.25705634259759924</v>
      </c>
      <c r="BB162" s="318">
        <f t="shared" ref="BB162:BT162" si="302">BB40</f>
        <v>0.2369047619047619</v>
      </c>
      <c r="BC162" s="318">
        <f t="shared" si="302"/>
        <v>0.26283441793203183</v>
      </c>
      <c r="BD162" s="318">
        <f>BD40</f>
        <v>0.24201741654571843</v>
      </c>
      <c r="BE162" s="318">
        <f t="shared" si="302"/>
        <v>0.254919108001749</v>
      </c>
      <c r="BF162" s="362">
        <f>BF40</f>
        <v>0.25028980925281907</v>
      </c>
      <c r="BG162" s="318">
        <f t="shared" si="302"/>
        <v>0.23015873015873015</v>
      </c>
      <c r="BH162" s="318">
        <f>BH40</f>
        <v>0.25978382407752515</v>
      </c>
      <c r="BI162" s="318">
        <f t="shared" si="302"/>
        <v>0.24625187406296853</v>
      </c>
      <c r="BJ162" s="318">
        <f t="shared" si="302"/>
        <v>0.22484045164457536</v>
      </c>
      <c r="BK162" s="362">
        <f>BK40</f>
        <v>0.24252160425437624</v>
      </c>
      <c r="BL162" s="318">
        <f t="shared" si="302"/>
        <v>0.24655963302752293</v>
      </c>
      <c r="BM162" s="318">
        <f>BM40</f>
        <v>0.26044776119402985</v>
      </c>
      <c r="BN162" s="318">
        <f t="shared" si="302"/>
        <v>0.23295880149812734</v>
      </c>
      <c r="BO162" s="318">
        <f t="shared" ref="BO162" si="303">BO40</f>
        <v>0.23956521739130435</v>
      </c>
      <c r="BP162" s="362">
        <f>BP40</f>
        <v>0.24494358100915478</v>
      </c>
      <c r="BQ162" s="318">
        <f t="shared" ref="BQ162:BS162" si="304">BQ40</f>
        <v>0.22531214528944382</v>
      </c>
      <c r="BR162" s="318">
        <f t="shared" si="304"/>
        <v>0.23525256093253266</v>
      </c>
      <c r="BS162" s="318">
        <f t="shared" si="304"/>
        <v>0.2216177003989844</v>
      </c>
      <c r="BT162" s="318">
        <f t="shared" si="302"/>
        <v>0.25029655990510086</v>
      </c>
      <c r="BU162" s="362">
        <f>BU40</f>
        <v>0.23352566049195261</v>
      </c>
      <c r="BV162" s="318">
        <f t="shared" ref="BV162:CD162" si="305">BV40</f>
        <v>0.21</v>
      </c>
      <c r="BW162" s="318">
        <f t="shared" si="305"/>
        <v>0.21</v>
      </c>
      <c r="BX162" s="318">
        <f t="shared" si="305"/>
        <v>0.21</v>
      </c>
      <c r="BY162" s="318">
        <f t="shared" si="305"/>
        <v>0.21</v>
      </c>
      <c r="BZ162" s="362">
        <f ca="1">BZ40</f>
        <v>0.21</v>
      </c>
      <c r="CA162" s="318">
        <f t="shared" si="305"/>
        <v>0.21</v>
      </c>
      <c r="CB162" s="318">
        <f t="shared" si="305"/>
        <v>0.21</v>
      </c>
      <c r="CC162" s="318">
        <f t="shared" si="305"/>
        <v>0.21</v>
      </c>
      <c r="CD162" s="318">
        <f t="shared" si="305"/>
        <v>0.21</v>
      </c>
      <c r="CE162" s="362">
        <f ca="1">CE40</f>
        <v>0.21000000000000002</v>
      </c>
      <c r="CF162" s="318">
        <f t="shared" ref="CF162:CN162" si="306">CF40</f>
        <v>0.21</v>
      </c>
      <c r="CG162" s="318">
        <f t="shared" si="306"/>
        <v>0.21</v>
      </c>
      <c r="CH162" s="318">
        <f t="shared" si="306"/>
        <v>0.21</v>
      </c>
      <c r="CI162" s="318">
        <f t="shared" si="306"/>
        <v>0.21</v>
      </c>
      <c r="CJ162" s="362">
        <f ca="1">CJ40</f>
        <v>0.20999999999999991</v>
      </c>
      <c r="CK162" s="318">
        <f t="shared" si="306"/>
        <v>0.21</v>
      </c>
      <c r="CL162" s="318">
        <f t="shared" si="306"/>
        <v>0.21</v>
      </c>
      <c r="CM162" s="318">
        <f t="shared" si="306"/>
        <v>0.21</v>
      </c>
      <c r="CN162" s="318">
        <f t="shared" si="306"/>
        <v>0.21</v>
      </c>
      <c r="CO162" s="362">
        <f t="shared" ref="CO162:CT162" ca="1" si="307">CO40</f>
        <v>0.21</v>
      </c>
      <c r="CP162" s="318">
        <f t="shared" si="307"/>
        <v>0.21</v>
      </c>
      <c r="CQ162" s="318">
        <f t="shared" si="307"/>
        <v>0.21</v>
      </c>
      <c r="CR162" s="318">
        <f t="shared" si="307"/>
        <v>0.21</v>
      </c>
      <c r="CS162" s="318">
        <f t="shared" si="307"/>
        <v>0.21</v>
      </c>
      <c r="CT162" s="362">
        <f t="shared" ca="1" si="307"/>
        <v>0.21000000000000002</v>
      </c>
      <c r="CU162" s="313"/>
      <c r="CV162" s="313"/>
    </row>
    <row r="163" spans="1:100" x14ac:dyDescent="0.2">
      <c r="A163" s="462" t="s">
        <v>150</v>
      </c>
      <c r="B163" s="462"/>
      <c r="C163" s="462"/>
      <c r="D163" s="324"/>
      <c r="E163" s="324"/>
      <c r="F163" s="324"/>
      <c r="G163" s="324"/>
      <c r="H163" s="362">
        <f>+H67/H5</f>
        <v>4.3744232938040396E-2</v>
      </c>
      <c r="I163" s="324"/>
      <c r="J163" s="324"/>
      <c r="K163" s="324"/>
      <c r="L163" s="324"/>
      <c r="M163" s="362">
        <f>+M67/M5</f>
        <v>5.3384768541562967E-2</v>
      </c>
      <c r="N163" s="324">
        <f>+N67/N5/4</f>
        <v>3.5570769459741032E-2</v>
      </c>
      <c r="O163" s="324">
        <f>+O67/O5/4</f>
        <v>1.2020885930686252E-2</v>
      </c>
      <c r="P163" s="324">
        <f>+P67/P5/4</f>
        <v>3.6265601051018177E-2</v>
      </c>
      <c r="Q163" s="324">
        <f>+Q67/Q5/4</f>
        <v>3.9049195837275306E-2</v>
      </c>
      <c r="R163" s="362">
        <f>+R67/R5</f>
        <v>4.6987506047755929E-2</v>
      </c>
      <c r="S163" s="363">
        <f>+S67/S5/4</f>
        <v>3.2891156462585031E-2</v>
      </c>
      <c r="T163" s="363">
        <f>+T67/T5/4</f>
        <v>2.5970646403663995E-2</v>
      </c>
      <c r="U163" s="363">
        <f>+U67/U5/4</f>
        <v>2.5439976403500146E-2</v>
      </c>
      <c r="V163" s="363">
        <f>+V67/V5/4</f>
        <v>1.8427020897456667E-2</v>
      </c>
      <c r="W163" s="362">
        <f>+W67/W5</f>
        <v>2.3053148908142067E-2</v>
      </c>
      <c r="X163" s="363">
        <f>+X67/X5/4</f>
        <v>4.8121924876995077E-2</v>
      </c>
      <c r="Y163" s="363">
        <f>+Y67/Y5/4</f>
        <v>4.0383736866148927E-2</v>
      </c>
      <c r="Z163" s="363">
        <f>+Z67/Z5/4</f>
        <v>3.3729099964425469E-2</v>
      </c>
      <c r="AA163" s="363">
        <f>+AA67/AA5/4</f>
        <v>4.0537355644591093E-2</v>
      </c>
      <c r="AB163" s="362">
        <f>+AB67/AB5</f>
        <v>4.772143996670597E-2</v>
      </c>
      <c r="AC163" s="363">
        <f>+AC67/AC5/4</f>
        <v>6.6198717172939611E-2</v>
      </c>
      <c r="AD163" s="363">
        <f>+AD67/AD5/4</f>
        <v>5.225641993957704E-2</v>
      </c>
      <c r="AE163" s="363">
        <f>+AE67/AE5/4</f>
        <v>7.3420577617328522E-2</v>
      </c>
      <c r="AF163" s="363">
        <f>+AF67/AF5/4</f>
        <v>7.4133263142062117E-2</v>
      </c>
      <c r="AG163" s="362">
        <f>+AG67/AG5</f>
        <v>9.1205588452997782E-2</v>
      </c>
      <c r="AH163" s="363">
        <f>+AH67/AH5/4</f>
        <v>0.10538535439795046</v>
      </c>
      <c r="AI163" s="363">
        <f>+AI67/AI5/4</f>
        <v>7.6498209580433754E-2</v>
      </c>
      <c r="AJ163" s="324">
        <f>+AJ67/AJ5/4</f>
        <v>8.9870439602939278E-2</v>
      </c>
      <c r="AK163" s="324">
        <f>+AK67/AK5/4</f>
        <v>8.1836959515285052E-2</v>
      </c>
      <c r="AL163" s="362">
        <f>+AL67/AL5</f>
        <v>0.10275251564715239</v>
      </c>
      <c r="AM163" s="324">
        <f>+AM67/AM5/4</f>
        <v>7.6694311803635756E-2</v>
      </c>
      <c r="AN163" s="324">
        <f>+AN67/AN5/4</f>
        <v>4.3278659297557497E-2</v>
      </c>
      <c r="AO163" s="324">
        <f>+AO67/AO5/4</f>
        <v>4.3837447389375499E-2</v>
      </c>
      <c r="AP163" s="324">
        <f>+AP67/AP5/4</f>
        <v>5.2047606859482981E-2</v>
      </c>
      <c r="AQ163" s="362">
        <f>+AQ67/AQ5</f>
        <v>6.173251772134606E-2</v>
      </c>
      <c r="AR163" s="324">
        <f>+AR67/AR5/4</f>
        <v>7.0103797875764401E-2</v>
      </c>
      <c r="AS163" s="324">
        <f>+AS67/AS5/4</f>
        <v>5.8679669461659985E-2</v>
      </c>
      <c r="AT163" s="324">
        <f>+AT67/AT5/4</f>
        <v>7.9705140523660817E-2</v>
      </c>
      <c r="AU163" s="324">
        <f>+AU67/AU5/4</f>
        <v>7.8893956099027759E-2</v>
      </c>
      <c r="AV163" s="362">
        <f>+AV67/AV5</f>
        <v>9.6149147987540456E-2</v>
      </c>
      <c r="AW163" s="324">
        <f>+AW67/AW5/4</f>
        <v>0.13343533900325888</v>
      </c>
      <c r="AX163" s="324">
        <f>+AX67/AX5/4</f>
        <v>0.11591896233712144</v>
      </c>
      <c r="AY163" s="324">
        <f>+AY67/AY5/4</f>
        <v>0.1360813767815956</v>
      </c>
      <c r="AZ163" s="324">
        <f>+AZ67/AZ5/4</f>
        <v>0.11650014912019087</v>
      </c>
      <c r="BA163" s="362">
        <f>+BA67/BA5</f>
        <v>0.1411578709628849</v>
      </c>
      <c r="BB163" s="324">
        <f>+BB67/BB5/4</f>
        <v>0.19486255248356174</v>
      </c>
      <c r="BC163" s="324">
        <f>+BC67/BC5/4</f>
        <v>0.11256955131999527</v>
      </c>
      <c r="BD163" s="324">
        <f>+BD67/BD5/4</f>
        <v>0.10573237309792079</v>
      </c>
      <c r="BE163" s="324">
        <f>+BE67/BE5/4</f>
        <v>7.6874874674152799E-2</v>
      </c>
      <c r="BF163" s="362">
        <f>+BF67/BF5</f>
        <v>9.1987463071547468E-2</v>
      </c>
      <c r="BG163" s="324">
        <f>+BG67/BG5/4</f>
        <v>0.13116968159122533</v>
      </c>
      <c r="BH163" s="324">
        <f>+BH67/BH5/4</f>
        <v>0.11872762670351064</v>
      </c>
      <c r="BI163" s="324">
        <f>+BI67/BI5/4</f>
        <v>0.13315167472904293</v>
      </c>
      <c r="BJ163" s="324">
        <f>+BJ67/BJ5/4</f>
        <v>0.12235673930589185</v>
      </c>
      <c r="BK163" s="362">
        <f>+BK67/BK5</f>
        <v>0.14425272773407766</v>
      </c>
      <c r="BL163" s="324">
        <f>+BL67/BL5/4</f>
        <v>0.1712190187152251</v>
      </c>
      <c r="BM163" s="324">
        <f>+BM67/BM5/4</f>
        <v>0.15664176680740499</v>
      </c>
      <c r="BN163" s="324">
        <f>+BN67/BN5/4</f>
        <v>0.15998003369314281</v>
      </c>
      <c r="BO163" s="324">
        <f>+BO67/BO5/4</f>
        <v>0.11732001024852677</v>
      </c>
      <c r="BP163" s="362">
        <f>+BP67/BP5</f>
        <v>0.14583034761700028</v>
      </c>
      <c r="BQ163" s="324">
        <f>+BQ67/BQ5/4</f>
        <v>0.19769275458544278</v>
      </c>
      <c r="BR163" s="324">
        <f>+BR67/BR5/4</f>
        <v>0.16362189688096754</v>
      </c>
      <c r="BS163" s="324">
        <f>+BS67/BS5/4</f>
        <v>0.15768165024630543</v>
      </c>
      <c r="BT163" s="324">
        <f>+BT67/BT5/4</f>
        <v>0.13584451500563352</v>
      </c>
      <c r="BU163" s="362">
        <f>+BU67/BU5</f>
        <v>0.16702085792994883</v>
      </c>
      <c r="BV163" s="324">
        <f>+BV67/BV5/4</f>
        <v>0.21220610122469885</v>
      </c>
      <c r="BW163" s="324">
        <f>+BW67/BW5/4</f>
        <v>0.16312710622275284</v>
      </c>
      <c r="BX163" s="324">
        <f>+BX67/BX5/4</f>
        <v>0.15769508919207484</v>
      </c>
      <c r="BY163" s="324">
        <f>+BY67/BY5/4</f>
        <v>0.13085194526757951</v>
      </c>
      <c r="BZ163" s="362">
        <f>+BZ67/BZ5</f>
        <v>0.16112033150813773</v>
      </c>
      <c r="CA163" s="324">
        <f>+CA67/CA5/4</f>
        <v>0.20622702083943262</v>
      </c>
      <c r="CB163" s="324">
        <f>+CB67/CB5/4</f>
        <v>0.15822648149453386</v>
      </c>
      <c r="CC163" s="324">
        <f>+CC67/CC5/4</f>
        <v>0.15307560060206829</v>
      </c>
      <c r="CD163" s="324">
        <f>+CD67/CD5/4</f>
        <v>0.12687886043343111</v>
      </c>
      <c r="CE163" s="362">
        <f>+CE67/CE5</f>
        <v>0.15635179340896793</v>
      </c>
      <c r="CF163" s="324">
        <f>+CF67/CF5/4</f>
        <v>0.200487259631421</v>
      </c>
      <c r="CG163" s="324">
        <f>+CG67/CG5/4</f>
        <v>0.15359668454709552</v>
      </c>
      <c r="CH163" s="324">
        <f>+CH67/CH5/4</f>
        <v>0.14869224782255236</v>
      </c>
      <c r="CI163" s="324">
        <f>+CI67/CI5/4</f>
        <v>0.12311419042815146</v>
      </c>
      <c r="CJ163" s="362">
        <f>+CJ67/CJ5</f>
        <v>0.15182428645446153</v>
      </c>
      <c r="CK163" s="324">
        <f>+CK67/CK5/4</f>
        <v>0.19486358573230095</v>
      </c>
      <c r="CL163" s="324">
        <f>+CL67/CL5/4</f>
        <v>0.14906482554073119</v>
      </c>
      <c r="CM163" s="324">
        <f>+CM67/CM5/4</f>
        <v>0.14439527698281798</v>
      </c>
      <c r="CN163" s="324">
        <f>+CN67/CN5/4</f>
        <v>0.11943173427319184</v>
      </c>
      <c r="CO163" s="362">
        <f>+CO67/CO5</f>
        <v>0.147390972729874</v>
      </c>
      <c r="CP163" s="324">
        <f>+CP67/CP5/4</f>
        <v>0.18935530910373072</v>
      </c>
      <c r="CQ163" s="324">
        <f>+CQ67/CQ5/4</f>
        <v>0.14463048197544592</v>
      </c>
      <c r="CR163" s="324">
        <f>+CR67/CR5/4</f>
        <v>0.14018480759771923</v>
      </c>
      <c r="CS163" s="324">
        <f>+CS67/CS5/4</f>
        <v>0.11583102883778036</v>
      </c>
      <c r="CT163" s="362">
        <f>+CT67/CT5</f>
        <v>0.14305151477423431</v>
      </c>
      <c r="CU163" s="462"/>
      <c r="CV163" s="462"/>
    </row>
    <row r="164" spans="1:100" x14ac:dyDescent="0.2">
      <c r="A164" s="462" t="s">
        <v>151</v>
      </c>
      <c r="B164" s="462"/>
      <c r="C164" s="462"/>
      <c r="D164" s="324"/>
      <c r="E164" s="324"/>
      <c r="F164" s="324"/>
      <c r="G164" s="324"/>
      <c r="H164" s="321"/>
      <c r="I164" s="324"/>
      <c r="J164" s="324"/>
      <c r="K164" s="324"/>
      <c r="L164" s="324"/>
      <c r="M164" s="321">
        <f>+AVERAGE(M69,H69)/M5</f>
        <v>9.73743155798905E-2</v>
      </c>
      <c r="N164" s="324">
        <f>+N69/N5/4</f>
        <v>0.13521357344842982</v>
      </c>
      <c r="O164" s="324">
        <f>+O69/O5/4</f>
        <v>0.11774156529722286</v>
      </c>
      <c r="P164" s="324">
        <f>+P69/P5/4</f>
        <v>0.11369608057805999</v>
      </c>
      <c r="Q164" s="324">
        <f>+Q69/Q5/4</f>
        <v>8.8103122043519388E-2</v>
      </c>
      <c r="R164" s="321">
        <f>+AVERAGE(R69,M69)/R5</f>
        <v>9.9410877422659874E-2</v>
      </c>
      <c r="S164" s="363">
        <f>+S69/S5/4</f>
        <v>0.14023809523809525</v>
      </c>
      <c r="T164" s="363">
        <f>+T69/T5/4</f>
        <v>0.12149994795461642</v>
      </c>
      <c r="U164" s="363">
        <f>+U69/U5/4</f>
        <v>0.1170976305181398</v>
      </c>
      <c r="V164" s="363">
        <f>+V69/V5/4</f>
        <v>8.8874939251579466E-2</v>
      </c>
      <c r="W164" s="321">
        <f>+AVERAGE(W69,R69)/W5</f>
        <v>0.10277651112124436</v>
      </c>
      <c r="X164" s="363">
        <f>+X69/X5/4</f>
        <v>0.14439577583103325</v>
      </c>
      <c r="Y164" s="363">
        <f>+Y69/Y5/4</f>
        <v>0.12830059387848333</v>
      </c>
      <c r="Z164" s="363">
        <f>+Z69/Z5/4</f>
        <v>0.12789043045179652</v>
      </c>
      <c r="AA164" s="363">
        <f>+AA69/AA5/4</f>
        <v>9.1975017676172513E-2</v>
      </c>
      <c r="AB164" s="321">
        <f>+AVERAGE(AB69,W69)/AB5</f>
        <v>0.10487618783380731</v>
      </c>
      <c r="AC164" s="363">
        <f>+AC69/AC5/4</f>
        <v>0.13920488926539998</v>
      </c>
      <c r="AD164" s="363">
        <f>+AD69/AD5/4</f>
        <v>0.12327700151057402</v>
      </c>
      <c r="AE164" s="363">
        <f>+AE69/AE5/4</f>
        <v>0.11768953068592057</v>
      </c>
      <c r="AF164" s="363">
        <f>+AF69/AF5/4</f>
        <v>8.6936903060840787E-2</v>
      </c>
      <c r="AG164" s="321">
        <f>+AVERAGE(AG69,AB69)/AG5</f>
        <v>0.10764017394522576</v>
      </c>
      <c r="AH164" s="363">
        <f>+AH69/AH5/4</f>
        <v>0.16556362083689155</v>
      </c>
      <c r="AI164" s="363">
        <f>+AI69/AI5/4</f>
        <v>0.11620836429970947</v>
      </c>
      <c r="AJ164" s="363">
        <f>+AJ69/AJ5/4</f>
        <v>0.11674938764986464</v>
      </c>
      <c r="AK164" s="363">
        <f>+AK69/AK5/4</f>
        <v>8.7069677774717705E-2</v>
      </c>
      <c r="AL164" s="321">
        <f>+AVERAGE(AL69,AG69)/AL5</f>
        <v>9.4635015042013895E-2</v>
      </c>
      <c r="AM164" s="363">
        <f>+AM69/AM5/4</f>
        <v>0.14528357208678896</v>
      </c>
      <c r="AN164" s="363">
        <f>+AN69/AN5/4</f>
        <v>0.12306115172044928</v>
      </c>
      <c r="AO164" s="363">
        <f>+AO69/AO5/4</f>
        <v>0.1184450005687635</v>
      </c>
      <c r="AP164" s="363">
        <f>+AP69/AP5/4</f>
        <v>8.84566163296647E-2</v>
      </c>
      <c r="AQ164" s="321">
        <f>+AVERAGE(AQ69,AL69)/AQ5</f>
        <v>0.10044625916425069</v>
      </c>
      <c r="AR164" s="363">
        <f>+AR69/AR5/4</f>
        <v>0.14398937882201482</v>
      </c>
      <c r="AS164" s="363">
        <f>+AS69/AS5/4</f>
        <v>0.11728338801798517</v>
      </c>
      <c r="AT164" s="363">
        <f>+AT69/AT5/4</f>
        <v>0.1200756665865962</v>
      </c>
      <c r="AU164" s="363">
        <f>+AU69/AU5/4</f>
        <v>8.8215395409441719E-2</v>
      </c>
      <c r="AV164" s="321">
        <f>+AVERAGE(AV69,AQ69)/AV5</f>
        <v>0.10652446100287058</v>
      </c>
      <c r="AW164" s="363">
        <f>+AW69/AW5/4</f>
        <v>0.14374850965741992</v>
      </c>
      <c r="AX164" s="363">
        <f>+AX69/AX5/4</f>
        <v>0.11871541619563278</v>
      </c>
      <c r="AY164" s="363">
        <f>+AY69/AY5/4</f>
        <v>0.11958128807144125</v>
      </c>
      <c r="AZ164" s="363">
        <f>+AZ69/AZ5/4</f>
        <v>8.641515061139278E-2</v>
      </c>
      <c r="BA164" s="321">
        <f>+AVERAGE(BA69,AV69)/BA5</f>
        <v>0.10536023488669728</v>
      </c>
      <c r="BB164" s="363">
        <f>+BB69/BB5/4</f>
        <v>0.14382476431910005</v>
      </c>
      <c r="BC164" s="363">
        <f>+BC69/BC5/4</f>
        <v>0.12534035752338107</v>
      </c>
      <c r="BD164" s="363">
        <f>+BD69/BD5/4</f>
        <v>0.12161691253339528</v>
      </c>
      <c r="BE164" s="363">
        <f>+BE69/BE5/4</f>
        <v>8.3354220974533794E-2</v>
      </c>
      <c r="BF164" s="321">
        <f>+AVERAGE(BF69,BA69)/BF5</f>
        <v>0.10201250693580073</v>
      </c>
      <c r="BG164" s="363">
        <f>+BG69/BG5/4</f>
        <v>0.14248588033068674</v>
      </c>
      <c r="BH164" s="363">
        <f>+BH69/BH5/4</f>
        <v>0.12287257426364379</v>
      </c>
      <c r="BI164" s="363">
        <f>+BI69/BI5/4</f>
        <v>0.11735349947951748</v>
      </c>
      <c r="BJ164" s="363">
        <f>+BJ69/BJ5/4</f>
        <v>8.658864675813828E-2</v>
      </c>
      <c r="BK164" s="321">
        <f>+AVERAGE(BK69,BF69)/BK5</f>
        <v>0.10378076630296879</v>
      </c>
      <c r="BL164" s="363">
        <f>+BL69/BL5/4</f>
        <v>0.1413547462485247</v>
      </c>
      <c r="BM164" s="363">
        <f>+BM69/BM5/4</f>
        <v>0.12171159467359532</v>
      </c>
      <c r="BN164" s="363">
        <f>+BN69/BN5/4</f>
        <v>0.12081175516316216</v>
      </c>
      <c r="BO164" s="363">
        <f>+BO69/BO5/4</f>
        <v>8.5754547783756088E-2</v>
      </c>
      <c r="BP164" s="321">
        <f>+AVERAGE(BP69,BK69)/BP5</f>
        <v>0.104547843118521</v>
      </c>
      <c r="BQ164" s="363">
        <f>+BQ69/BQ5/4</f>
        <v>0.1420864802058262</v>
      </c>
      <c r="BR164" s="363">
        <f>+BR69/BR5/4</f>
        <v>0.12003500954805855</v>
      </c>
      <c r="BS164" s="363">
        <f>+BS69/BS5/4</f>
        <v>0.1219673645320197</v>
      </c>
      <c r="BT164" s="363">
        <f>+BT69/BT5/4</f>
        <v>8.9931373553211097E-2</v>
      </c>
      <c r="BU164" s="321">
        <f>+AVERAGE(BU69,BP69)/BU5</f>
        <v>0.10797323888232979</v>
      </c>
      <c r="BV164" s="35">
        <f>BQ164</f>
        <v>0.1420864802058262</v>
      </c>
      <c r="BW164" s="35">
        <f>BR164</f>
        <v>0.12003500954805855</v>
      </c>
      <c r="BX164" s="35">
        <f>BS164</f>
        <v>0.1219673645320197</v>
      </c>
      <c r="BY164" s="35">
        <f>BT164-0.002</f>
        <v>8.7931373553211095E-2</v>
      </c>
      <c r="BZ164" s="321">
        <f>+AVERAGE(BZ69,BU69)/BZ5</f>
        <v>0.10746792987744762</v>
      </c>
      <c r="CA164" s="35">
        <f>BV164</f>
        <v>0.1420864802058262</v>
      </c>
      <c r="CB164" s="35">
        <f>BW164</f>
        <v>0.12003500954805855</v>
      </c>
      <c r="CC164" s="35">
        <f>BX164</f>
        <v>0.1219673645320197</v>
      </c>
      <c r="CD164" s="35">
        <f>BY164</f>
        <v>8.7931373553211095E-2</v>
      </c>
      <c r="CE164" s="321">
        <f>+AVERAGE(CE69,BZ69)/CE5</f>
        <v>0.10671208547343093</v>
      </c>
      <c r="CF164" s="35">
        <f>CA164</f>
        <v>0.1420864802058262</v>
      </c>
      <c r="CG164" s="35">
        <f>CB164</f>
        <v>0.12003500954805855</v>
      </c>
      <c r="CH164" s="35">
        <f>CC164</f>
        <v>0.1219673645320197</v>
      </c>
      <c r="CI164" s="35">
        <f>CD164</f>
        <v>8.7931373553211095E-2</v>
      </c>
      <c r="CJ164" s="321">
        <f>+AVERAGE(CJ69,CE69)/CJ5</f>
        <v>0.10682813926040957</v>
      </c>
      <c r="CK164" s="35">
        <f>CF164</f>
        <v>0.1420864802058262</v>
      </c>
      <c r="CL164" s="35">
        <f>CG164</f>
        <v>0.12003500954805855</v>
      </c>
      <c r="CM164" s="35">
        <f>CH164</f>
        <v>0.1219673645320197</v>
      </c>
      <c r="CN164" s="35">
        <f>CI164</f>
        <v>8.7931373553211095E-2</v>
      </c>
      <c r="CO164" s="321">
        <f>+AVERAGE(CO69,CJ69)/CO5</f>
        <v>0.10689339633470374</v>
      </c>
      <c r="CP164" s="35">
        <f>CK164</f>
        <v>0.1420864802058262</v>
      </c>
      <c r="CQ164" s="35">
        <f>CL164</f>
        <v>0.12003500954805855</v>
      </c>
      <c r="CR164" s="35">
        <f>CM164</f>
        <v>0.1219673645320197</v>
      </c>
      <c r="CS164" s="35">
        <f>CN164</f>
        <v>8.7931373553211095E-2</v>
      </c>
      <c r="CT164" s="321">
        <f>+AVERAGE(CT69,CO69)/CT5</f>
        <v>0.10695839152750308</v>
      </c>
      <c r="CU164" s="462"/>
      <c r="CV164" s="462"/>
    </row>
    <row r="165" spans="1:100" x14ac:dyDescent="0.2">
      <c r="A165" s="463"/>
      <c r="B165" s="462" t="s">
        <v>152</v>
      </c>
      <c r="C165" s="463"/>
      <c r="D165" s="464"/>
      <c r="E165" s="464"/>
      <c r="F165" s="464"/>
      <c r="G165" s="464"/>
      <c r="H165" s="465"/>
      <c r="I165" s="464"/>
      <c r="J165" s="464"/>
      <c r="K165" s="464"/>
      <c r="L165" s="464"/>
      <c r="M165" s="465">
        <f>AVERAGE(M69,H69)/M5*365</f>
        <v>35.541625186660035</v>
      </c>
      <c r="N165" s="464">
        <f>N69/N5*365/4</f>
        <v>49.352954308676885</v>
      </c>
      <c r="O165" s="464">
        <f>O69/O5*365/4</f>
        <v>42.975671333486346</v>
      </c>
      <c r="P165" s="464">
        <f>P69/P5*365/4</f>
        <v>41.4990694109919</v>
      </c>
      <c r="Q165" s="464">
        <f>Q69/Q5*365/4</f>
        <v>32.157639545884578</v>
      </c>
      <c r="R165" s="465">
        <f>AVERAGE(R69,M69)/R5*365</f>
        <v>36.284970259270857</v>
      </c>
      <c r="S165" s="466">
        <f>S69/S5*365/4</f>
        <v>51.186904761904763</v>
      </c>
      <c r="T165" s="466">
        <f>T69/T5*365/4</f>
        <v>44.347481003434993</v>
      </c>
      <c r="U165" s="466">
        <f>U69/U5*365/4</f>
        <v>42.740635139121025</v>
      </c>
      <c r="V165" s="466">
        <f>V69/V5*365/4</f>
        <v>32.439352826826507</v>
      </c>
      <c r="W165" s="465">
        <f>AVERAGE(W69,R69)/W5*365</f>
        <v>37.513426559254192</v>
      </c>
      <c r="X165" s="466">
        <f>X69/X5*365/4</f>
        <v>52.704458178327137</v>
      </c>
      <c r="Y165" s="466">
        <f>Y69/Y5*365/4</f>
        <v>46.829716765646417</v>
      </c>
      <c r="Z165" s="466">
        <f>Z69/Z5*365/4</f>
        <v>46.680007114905727</v>
      </c>
      <c r="AA165" s="466">
        <f>AA69/AA5*365/4</f>
        <v>33.570881451802968</v>
      </c>
      <c r="AB165" s="465">
        <f>AVERAGE(AB69,W69)/AB5*365</f>
        <v>38.279808559339671</v>
      </c>
      <c r="AC165" s="466">
        <f>AC69/AC5*365/4</f>
        <v>50.809784581870993</v>
      </c>
      <c r="AD165" s="466">
        <f>AD69/AD5*365/4</f>
        <v>44.99610555135952</v>
      </c>
      <c r="AE165" s="466">
        <f>AE69/AE5*365/4</f>
        <v>42.95667870036101</v>
      </c>
      <c r="AF165" s="466">
        <f>AF69/AF5*365/4</f>
        <v>31.731969617206886</v>
      </c>
      <c r="AG165" s="465">
        <f>AVERAGE(AG69,AB69)/AG5*365</f>
        <v>39.288663490007401</v>
      </c>
      <c r="AH165" s="466">
        <f>AH69/AH5*365/4</f>
        <v>60.430721605465415</v>
      </c>
      <c r="AI165" s="466">
        <f>AI69/AI5*365/4</f>
        <v>42.416052969393959</v>
      </c>
      <c r="AJ165" s="466">
        <f>AJ69/AJ5*365/4</f>
        <v>42.613526492200592</v>
      </c>
      <c r="AK165" s="466">
        <f>AK69/AK5*365/4</f>
        <v>31.780432387771963</v>
      </c>
      <c r="AL165" s="465">
        <f>AVERAGE(AL69,AG69)/AL5*365</f>
        <v>34.541780490335071</v>
      </c>
      <c r="AM165" s="466">
        <f>AM69/AM5*365/4</f>
        <v>53.028503811677972</v>
      </c>
      <c r="AN165" s="464">
        <f>AN69/AN5*365/4</f>
        <v>44.917320377963989</v>
      </c>
      <c r="AO165" s="464">
        <f>AO69/AO5*365/4</f>
        <v>43.232425207598681</v>
      </c>
      <c r="AP165" s="464">
        <f>AP69/AP5*365/4</f>
        <v>32.286664960327613</v>
      </c>
      <c r="AQ165" s="465">
        <f>AVERAGE(AQ69,AL69)/AQ5*365</f>
        <v>36.6628845949515</v>
      </c>
      <c r="AR165" s="464">
        <f>AR69/AR5*365/4</f>
        <v>52.556123270035407</v>
      </c>
      <c r="AS165" s="464">
        <f>AS69/AS5*365/4</f>
        <v>42.808436626564585</v>
      </c>
      <c r="AT165" s="464">
        <f>AT69/AT5*365/4</f>
        <v>43.82761830410761</v>
      </c>
      <c r="AU165" s="464">
        <f>AU69/AU5*365/4</f>
        <v>32.198619324446227</v>
      </c>
      <c r="AV165" s="465">
        <f>AVERAGE(AV69,AQ69)/AV5*365</f>
        <v>38.881428266047763</v>
      </c>
      <c r="AW165" s="464">
        <f>AW69/AW5*365/4</f>
        <v>52.46820602495827</v>
      </c>
      <c r="AX165" s="464">
        <f>AX69/AX5*365/4</f>
        <v>43.331126911405967</v>
      </c>
      <c r="AY165" s="464">
        <f>AY69/AY5*365/4</f>
        <v>43.647170146076057</v>
      </c>
      <c r="AZ165" s="464">
        <f>AZ69/AZ5*365/4</f>
        <v>31.541529973158365</v>
      </c>
      <c r="BA165" s="465">
        <f>AVERAGE(BA69,AV69)/BA5*365</f>
        <v>38.456485733644506</v>
      </c>
      <c r="BB165" s="464">
        <f>BB69/BB5*365/4</f>
        <v>52.496038976471517</v>
      </c>
      <c r="BC165" s="464">
        <f>BC69/BC5*365/4</f>
        <v>45.749230496034095</v>
      </c>
      <c r="BD165" s="464">
        <f>BD69/BD5*365/4</f>
        <v>44.39017307468928</v>
      </c>
      <c r="BE165" s="464">
        <f>BE69/BE5*365/4</f>
        <v>30.424290655704834</v>
      </c>
      <c r="BF165" s="465">
        <f>AVERAGE(BF69,BA69)/BF5*365</f>
        <v>37.234565031567264</v>
      </c>
      <c r="BG165" s="464">
        <f>BG69/BG5*365/4</f>
        <v>52.007346320700663</v>
      </c>
      <c r="BH165" s="464">
        <f>BH69/BH5*365/4</f>
        <v>44.848489606229982</v>
      </c>
      <c r="BI165" s="464">
        <f>BI69/BI5*365/4</f>
        <v>42.834027310023878</v>
      </c>
      <c r="BJ165" s="464">
        <f>BJ69/BJ5*365/4</f>
        <v>31.604856066720473</v>
      </c>
      <c r="BK165" s="465">
        <f>AVERAGE(BK69,BF69)/BK5*365</f>
        <v>37.879979700583604</v>
      </c>
      <c r="BL165" s="464">
        <f>BL69/BL5*365/4</f>
        <v>51.594482380711518</v>
      </c>
      <c r="BM165" s="464">
        <f>BM69/BM5*365/4</f>
        <v>44.424732055862293</v>
      </c>
      <c r="BN165" s="464">
        <f>BN69/BN5*365/4</f>
        <v>44.096290634554187</v>
      </c>
      <c r="BO165" s="464">
        <f>BO69/BO5*365/4</f>
        <v>31.300409941070971</v>
      </c>
      <c r="BP165" s="465">
        <f>AVERAGE(BP69,BK69)/BP5*365</f>
        <v>38.159962738260162</v>
      </c>
      <c r="BQ165" s="464">
        <f>BQ69/BQ5*365/4</f>
        <v>51.861565275126566</v>
      </c>
      <c r="BR165" s="464">
        <f>BR69/BR5*365/4</f>
        <v>43.81277848504137</v>
      </c>
      <c r="BS165" s="464">
        <f>BS69/BS5*365/4</f>
        <v>44.518088054187189</v>
      </c>
      <c r="BT165" s="464">
        <f>BT69/BT5*365/4</f>
        <v>32.824951346922049</v>
      </c>
      <c r="BU165" s="465">
        <f>AVERAGE(BU69,BP69)/BU5*365</f>
        <v>39.410232192050373</v>
      </c>
      <c r="BV165" s="464">
        <f>BV69/BV5*365/4</f>
        <v>51.861565275126566</v>
      </c>
      <c r="BW165" s="464">
        <f>BW69/BW5*365/4</f>
        <v>43.81277848504137</v>
      </c>
      <c r="BX165" s="464">
        <f>BX69/BX5*365/4</f>
        <v>44.518088054187189</v>
      </c>
      <c r="BY165" s="464">
        <f>BY69/BY5*365/4</f>
        <v>32.094951346922052</v>
      </c>
      <c r="BZ165" s="465">
        <f>AVERAGE(BZ69,BU69)/BZ5*365</f>
        <v>39.225794405268381</v>
      </c>
      <c r="CA165" s="464">
        <f>CA69/CA5*365/4</f>
        <v>51.861565275126566</v>
      </c>
      <c r="CB165" s="464">
        <f>CB69/CB5*365/4</f>
        <v>43.81277848504137</v>
      </c>
      <c r="CC165" s="464">
        <f>CC69/CC5*365/4</f>
        <v>44.518088054187189</v>
      </c>
      <c r="CD165" s="464">
        <f>CD69/CD5*365/4</f>
        <v>32.094951346922052</v>
      </c>
      <c r="CE165" s="465">
        <f>AVERAGE(CE69,BZ69)/CE5*365</f>
        <v>38.949911197802287</v>
      </c>
      <c r="CF165" s="464">
        <f>CF69/CF5*365/4</f>
        <v>51.861565275126566</v>
      </c>
      <c r="CG165" s="464">
        <f>CG69/CG5*365/4</f>
        <v>43.81277848504137</v>
      </c>
      <c r="CH165" s="464">
        <f>CH69/CH5*365/4</f>
        <v>44.518088054187189</v>
      </c>
      <c r="CI165" s="464">
        <f>CI69/CI5*365/4</f>
        <v>32.094951346922052</v>
      </c>
      <c r="CJ165" s="465">
        <f>AVERAGE(CJ69,CE69)/CJ5*365</f>
        <v>38.992270830049492</v>
      </c>
      <c r="CK165" s="464">
        <f>CK69/CK5*365/4</f>
        <v>51.861565275126566</v>
      </c>
      <c r="CL165" s="464">
        <f>CL69/CL5*365/4</f>
        <v>43.81277848504137</v>
      </c>
      <c r="CM165" s="464">
        <f>CM69/CM5*365/4</f>
        <v>44.518088054187189</v>
      </c>
      <c r="CN165" s="464">
        <f>CN69/CN5*365/4</f>
        <v>32.094951346922052</v>
      </c>
      <c r="CO165" s="465">
        <f>AVERAGE(CO69,CJ69)/CO5*365</f>
        <v>39.016089662166863</v>
      </c>
      <c r="CP165" s="464">
        <f>CP69/CP5*365/4</f>
        <v>51.861565275126566</v>
      </c>
      <c r="CQ165" s="464">
        <f>CQ69/CQ5*365/4</f>
        <v>43.812778485041378</v>
      </c>
      <c r="CR165" s="464">
        <f>CR69/CR5*365/4</f>
        <v>44.518088054187189</v>
      </c>
      <c r="CS165" s="464">
        <f>CS69/CS5*365/4</f>
        <v>32.094951346922052</v>
      </c>
      <c r="CT165" s="465">
        <f>AVERAGE(CT69,CO69)/CT5*365</f>
        <v>39.039812907538625</v>
      </c>
      <c r="CU165" s="467"/>
      <c r="CV165" s="467"/>
    </row>
    <row r="166" spans="1:100" x14ac:dyDescent="0.2">
      <c r="A166" s="462" t="s">
        <v>153</v>
      </c>
      <c r="B166" s="462"/>
      <c r="C166" s="462"/>
      <c r="D166" s="324"/>
      <c r="E166" s="324"/>
      <c r="F166" s="324"/>
      <c r="G166" s="324"/>
      <c r="H166" s="321"/>
      <c r="I166" s="324"/>
      <c r="J166" s="324"/>
      <c r="K166" s="324"/>
      <c r="L166" s="324"/>
      <c r="M166" s="321">
        <f>-AVERAGE(M70,H70)/M8</f>
        <v>0.11550825058932782</v>
      </c>
      <c r="N166" s="324">
        <f>-N70/N8/4</f>
        <v>0.1587609723160027</v>
      </c>
      <c r="O166" s="324">
        <f>-O70/O8/4</f>
        <v>0.13593992749870534</v>
      </c>
      <c r="P166" s="324">
        <f>-P70/P8/4</f>
        <v>0.11940116845180136</v>
      </c>
      <c r="Q166" s="324">
        <f>-Q70/Q8/4</f>
        <v>9.9689440993788819E-2</v>
      </c>
      <c r="R166" s="321">
        <f>-AVERAGE(R70,M70)/R8</f>
        <v>0.11480142113944931</v>
      </c>
      <c r="S166" s="363">
        <f>-S70/S8/4</f>
        <v>0.15783866057838661</v>
      </c>
      <c r="T166" s="363">
        <f>-T70/T8/4</f>
        <v>0.14451865499769692</v>
      </c>
      <c r="U166" s="363">
        <f>-U70/U8/4</f>
        <v>0.12335206397233629</v>
      </c>
      <c r="V166" s="363">
        <f>-V70/V8/4</f>
        <v>9.8979944674965417E-2</v>
      </c>
      <c r="W166" s="321">
        <f>-AVERAGE(W70,R70)/W8</f>
        <v>0.11686439738330191</v>
      </c>
      <c r="X166" s="363">
        <f>-X70/X8/4</f>
        <v>0.16249347939488784</v>
      </c>
      <c r="Y166" s="363">
        <f>-Y70/Y8/4</f>
        <v>0.14449586451358803</v>
      </c>
      <c r="Z166" s="363">
        <f>-Z70/Z8/4</f>
        <v>0.13306757782839787</v>
      </c>
      <c r="AA166" s="363">
        <f>-AA70/AA8/4</f>
        <v>0.10363247863247864</v>
      </c>
      <c r="AB166" s="321">
        <f>-AVERAGE(AB70,W70)/AB8</f>
        <v>0.11873272799052507</v>
      </c>
      <c r="AC166" s="363">
        <f>-AC70/AC8/4</f>
        <v>0.17227564102564102</v>
      </c>
      <c r="AD166" s="363">
        <f>-AD70/AD8/4</f>
        <v>0.15119852489244007</v>
      </c>
      <c r="AE166" s="363">
        <f>-AE70/AE8/4</f>
        <v>0.13105578073730939</v>
      </c>
      <c r="AF166" s="363">
        <f>-AF70/AF8/4</f>
        <v>0.10400444938820912</v>
      </c>
      <c r="AG166" s="321">
        <f>-AVERAGE(AG70,AB70)/AG8</f>
        <v>0.12786705806259019</v>
      </c>
      <c r="AH166" s="363">
        <f>-AH70/AH8/4</f>
        <v>0.19625777140124342</v>
      </c>
      <c r="AI166" s="363">
        <f>-AI70/AI8/4</f>
        <v>0.13226918465227819</v>
      </c>
      <c r="AJ166" s="363">
        <f>-AJ70/AJ8/4</f>
        <v>0.12011872407380918</v>
      </c>
      <c r="AK166" s="363">
        <f>-AK70/AK8/4</f>
        <v>0.10113977204559088</v>
      </c>
      <c r="AL166" s="321">
        <f>-AVERAGE(AL70,AG70)/AL8</f>
        <v>0.11440030557677616</v>
      </c>
      <c r="AM166" s="363">
        <f>-AM70/AM8/4</f>
        <v>0.17693515610567154</v>
      </c>
      <c r="AN166" s="363">
        <f>-AN70/AN8/4</f>
        <v>0.14257444402563135</v>
      </c>
      <c r="AO166" s="363">
        <f>-AO70/AO8/4</f>
        <v>0.12442300864007574</v>
      </c>
      <c r="AP166" s="363">
        <f>-AP70/AP8/4</f>
        <v>0.10112567381883522</v>
      </c>
      <c r="AQ166" s="321">
        <f>-AVERAGE(AQ70,AL70)/AQ8</f>
        <v>0.11506617223962662</v>
      </c>
      <c r="AR166" s="363">
        <f>-AR70/AR8/4</f>
        <v>0.17652479892761394</v>
      </c>
      <c r="AS166" s="363">
        <f>-AS70/AS8/4</f>
        <v>0.13394759934812586</v>
      </c>
      <c r="AT166" s="363">
        <f>-AT70/AT8/4</f>
        <v>0.12195502810743286</v>
      </c>
      <c r="AU166" s="363">
        <f>-AU70/AU8/4</f>
        <v>9.2103909465020575E-2</v>
      </c>
      <c r="AV166" s="321">
        <f>-AVERAGE(AV70,AQ70)/AV8</f>
        <v>0.11695610988317019</v>
      </c>
      <c r="AW166" s="363">
        <f>-AW70/AW8/4</f>
        <v>0.166609996599796</v>
      </c>
      <c r="AX166" s="363">
        <f>-AX70/AX8/4</f>
        <v>0.13000377643504532</v>
      </c>
      <c r="AY166" s="363">
        <f>-AY70/AY8/4</f>
        <v>0.11666666666666667</v>
      </c>
      <c r="AZ166" s="363">
        <f>-AZ70/AZ8/4</f>
        <v>8.8051451596239283E-2</v>
      </c>
      <c r="BA166" s="321">
        <f>-AVERAGE(BA70,AV70)/BA8</f>
        <v>0.11089957163255593</v>
      </c>
      <c r="BB166" s="363">
        <f>-BB70/BB8/4</f>
        <v>0.16003415883859948</v>
      </c>
      <c r="BC166" s="363">
        <f>-BC70/BC8/4</f>
        <v>0.13297400126823081</v>
      </c>
      <c r="BD166" s="363">
        <f>-BD70/BD8/4</f>
        <v>0.11713719663199604</v>
      </c>
      <c r="BE166" s="363">
        <f>-BE70/BE8/4</f>
        <v>8.3104177683765199E-2</v>
      </c>
      <c r="BF166" s="321">
        <f>-AVERAGE(BF70,BA70)/BF8</f>
        <v>0.10476160020466246</v>
      </c>
      <c r="BG166" s="363">
        <f>-BG70/BG8/4</f>
        <v>0.15779398359161348</v>
      </c>
      <c r="BH166" s="363">
        <f>-BH70/BH8/4</f>
        <v>0.13549565696952984</v>
      </c>
      <c r="BI166" s="363">
        <f>-BI70/BI8/4</f>
        <v>0.10453754517467541</v>
      </c>
      <c r="BJ166" s="363">
        <f>-BJ70/BJ8/4</f>
        <v>7.9962370649106301E-2</v>
      </c>
      <c r="BK166" s="321">
        <f>-AVERAGE(BK70,BF70)/BK8</f>
        <v>0.10209661129105284</v>
      </c>
      <c r="BL166" s="363">
        <f>-BL70/BL8/4</f>
        <v>0.1556877539175856</v>
      </c>
      <c r="BM166" s="363">
        <f>-BM70/BM8/4</f>
        <v>0.1264688814739591</v>
      </c>
      <c r="BN166" s="363">
        <f>-BN70/BN8/4</f>
        <v>0.10757136946628051</v>
      </c>
      <c r="BO166" s="363">
        <f>-BO70/BO8/4</f>
        <v>7.585803432137285E-2</v>
      </c>
      <c r="BP166" s="321">
        <f>-AVERAGE(BP70,BK70)/BP8</f>
        <v>9.6210273270406904E-2</v>
      </c>
      <c r="BQ166" s="363">
        <f>-BQ70/BQ8/4</f>
        <v>0.15466540999057493</v>
      </c>
      <c r="BR166" s="363">
        <f>-BR70/BR8/4</f>
        <v>0.12821240948459464</v>
      </c>
      <c r="BS166" s="363">
        <f>-BS70/BS8/4</f>
        <v>0.11032306230487308</v>
      </c>
      <c r="BT166" s="363">
        <f>-BT70/BT8/4</f>
        <v>8.115774399647499E-2</v>
      </c>
      <c r="BU166" s="321">
        <f>-AVERAGE(BU70,BP70)/BU8</f>
        <v>9.8461431597957838E-2</v>
      </c>
      <c r="BV166" s="35">
        <f>BQ166+0.005</f>
        <v>0.15966540999057494</v>
      </c>
      <c r="BW166" s="35">
        <f>BR166+0.005</f>
        <v>0.13321240948459465</v>
      </c>
      <c r="BX166" s="35">
        <f>BS166+0.005</f>
        <v>0.11532306230487309</v>
      </c>
      <c r="BY166" s="35">
        <f>BT166+0.005</f>
        <v>8.6157743996474995E-2</v>
      </c>
      <c r="BZ166" s="321">
        <f>-AVERAGE(BZ70,BU70)/BZ8</f>
        <v>0.10333875069629274</v>
      </c>
      <c r="CA166" s="35">
        <f>BV166</f>
        <v>0.15966540999057494</v>
      </c>
      <c r="CB166" s="35">
        <f>BW166</f>
        <v>0.13321240948459465</v>
      </c>
      <c r="CC166" s="35">
        <f>BX166</f>
        <v>0.11532306230487309</v>
      </c>
      <c r="CD166" s="35">
        <f>BY166</f>
        <v>8.6157743996474995E-2</v>
      </c>
      <c r="CE166" s="321">
        <f>-AVERAGE(CE70,BZ70)/CE8</f>
        <v>0.10662220099490763</v>
      </c>
      <c r="CF166" s="35">
        <f>CA166</f>
        <v>0.15966540999057494</v>
      </c>
      <c r="CG166" s="35">
        <f>CB166</f>
        <v>0.13321240948459465</v>
      </c>
      <c r="CH166" s="35">
        <f>CC166</f>
        <v>0.11532306230487309</v>
      </c>
      <c r="CI166" s="35">
        <f>CD166</f>
        <v>8.6157743996474995E-2</v>
      </c>
      <c r="CJ166" s="321">
        <f>-AVERAGE(CJ70,CE70)/CJ8</f>
        <v>0.10674463382968297</v>
      </c>
      <c r="CK166" s="35">
        <f>CF166</f>
        <v>0.15966540999057494</v>
      </c>
      <c r="CL166" s="35">
        <f>CG166</f>
        <v>0.13321240948459465</v>
      </c>
      <c r="CM166" s="35">
        <f>CH166</f>
        <v>0.11532306230487309</v>
      </c>
      <c r="CN166" s="35">
        <f>CI166</f>
        <v>8.6157743996474995E-2</v>
      </c>
      <c r="CO166" s="321">
        <f>-AVERAGE(CO70,CJ70)/CO8</f>
        <v>0.10675653201933254</v>
      </c>
      <c r="CP166" s="35">
        <f>CK166</f>
        <v>0.15966540999057494</v>
      </c>
      <c r="CQ166" s="35">
        <f>CL166</f>
        <v>0.13321240948459465</v>
      </c>
      <c r="CR166" s="35">
        <f>CM166</f>
        <v>0.11532306230487309</v>
      </c>
      <c r="CS166" s="35">
        <f>CN166</f>
        <v>8.6157743996474995E-2</v>
      </c>
      <c r="CT166" s="321">
        <f>-AVERAGE(CT70,CO70)/CT8</f>
        <v>0.10682556484230302</v>
      </c>
      <c r="CU166" s="462"/>
      <c r="CV166" s="462"/>
    </row>
    <row r="167" spans="1:100" x14ac:dyDescent="0.2">
      <c r="A167" s="468"/>
      <c r="B167" s="468" t="s">
        <v>154</v>
      </c>
      <c r="C167" s="468"/>
      <c r="D167" s="464"/>
      <c r="E167" s="464"/>
      <c r="F167" s="464"/>
      <c r="G167" s="464"/>
      <c r="H167" s="465"/>
      <c r="I167" s="464"/>
      <c r="J167" s="464"/>
      <c r="K167" s="464"/>
      <c r="L167" s="464"/>
      <c r="M167" s="465">
        <f>-AVERAGE(M70,H70)/M8*365</f>
        <v>42.160511465104655</v>
      </c>
      <c r="N167" s="464">
        <f>-N70/N8*365/4</f>
        <v>57.947754895340985</v>
      </c>
      <c r="O167" s="464">
        <f>-O70/O8*365/4</f>
        <v>49.618073537027449</v>
      </c>
      <c r="P167" s="464">
        <f>-P70/P8*365/4</f>
        <v>43.581426484907496</v>
      </c>
      <c r="Q167" s="464">
        <f>-Q70/Q8*365/4</f>
        <v>36.386645962732921</v>
      </c>
      <c r="R167" s="465">
        <f>-AVERAGE(R70,M70)/R8*365</f>
        <v>41.902518715898999</v>
      </c>
      <c r="S167" s="466">
        <f>-S70/S8*365/4</f>
        <v>57.611111111111114</v>
      </c>
      <c r="T167" s="466">
        <f>-T70/T8*365/4</f>
        <v>52.749309074159378</v>
      </c>
      <c r="U167" s="466">
        <f>-U70/U8*365/4</f>
        <v>45.023503349902747</v>
      </c>
      <c r="V167" s="466">
        <f>-V70/V8*365/4</f>
        <v>36.12767980636238</v>
      </c>
      <c r="W167" s="465">
        <f>-AVERAGE(W70,R70)/W8*365</f>
        <v>42.655505044905198</v>
      </c>
      <c r="X167" s="466">
        <f>-X70/X8*365/4</f>
        <v>59.310119979134065</v>
      </c>
      <c r="Y167" s="466">
        <f>-Y70/Y8*365/4</f>
        <v>52.740990547459631</v>
      </c>
      <c r="Z167" s="466">
        <f>-Z70/Z8*365/4</f>
        <v>48.56966590736522</v>
      </c>
      <c r="AA167" s="466">
        <f>-AA70/AA8*365/4</f>
        <v>37.825854700854705</v>
      </c>
      <c r="AB167" s="465">
        <f>-AVERAGE(AB70,W70)/AB8*365</f>
        <v>43.337445716541652</v>
      </c>
      <c r="AC167" s="466">
        <f>-AC70/AC8*365/4</f>
        <v>62.880608974358971</v>
      </c>
      <c r="AD167" s="466">
        <f>-AD70/AD8*365/4</f>
        <v>55.187461585740621</v>
      </c>
      <c r="AE167" s="466">
        <f>-AE70/AE8*365/4</f>
        <v>47.835359969117931</v>
      </c>
      <c r="AF167" s="466">
        <f>-AF70/AF8*365/4</f>
        <v>37.961624026696327</v>
      </c>
      <c r="AG167" s="465">
        <f>-AVERAGE(AG70,AB70)/AG8*365</f>
        <v>46.671476192845418</v>
      </c>
      <c r="AH167" s="466">
        <f>-AH70/AH8*365/4</f>
        <v>71.634086561453856</v>
      </c>
      <c r="AI167" s="466">
        <f>-AI70/AI8*365/4</f>
        <v>48.278252398081541</v>
      </c>
      <c r="AJ167" s="466">
        <f>-AJ70/AJ8*365/4</f>
        <v>43.843334286940348</v>
      </c>
      <c r="AK167" s="466">
        <f>-AK70/AK8*365/4</f>
        <v>36.916016796640669</v>
      </c>
      <c r="AL167" s="465">
        <f>-AVERAGE(AL70,AG70)/AL8*365</f>
        <v>41.756111535523303</v>
      </c>
      <c r="AM167" s="466">
        <f>-AM70/AM8*365/4</f>
        <v>64.581331978570105</v>
      </c>
      <c r="AN167" s="464">
        <f>-AN70/AN8*365/4</f>
        <v>52.039672069355447</v>
      </c>
      <c r="AO167" s="464">
        <f>-AO70/AO8*365/4</f>
        <v>45.414398153627644</v>
      </c>
      <c r="AP167" s="464">
        <f>-AP70/AP8*365/4</f>
        <v>36.910870943874855</v>
      </c>
      <c r="AQ167" s="465">
        <f>-AVERAGE(AQ70,AL70)/AQ8*365</f>
        <v>41.999152867463714</v>
      </c>
      <c r="AR167" s="464">
        <f>-AR70/AR8*365/4</f>
        <v>64.431551608579085</v>
      </c>
      <c r="AS167" s="464">
        <f>-AS70/AS8*365/4</f>
        <v>48.890873762065937</v>
      </c>
      <c r="AT167" s="464">
        <f>-AT70/AT8*365/4</f>
        <v>44.513585259212995</v>
      </c>
      <c r="AU167" s="464">
        <f>-AU70/AU8*365/4</f>
        <v>33.617926954732511</v>
      </c>
      <c r="AV167" s="465">
        <f>-AVERAGE(AV70,AQ70)/AV8*365</f>
        <v>42.688980107357118</v>
      </c>
      <c r="AW167" s="464">
        <f>-AW70/AW8*365/4</f>
        <v>60.81264875892554</v>
      </c>
      <c r="AX167" s="464">
        <f>-AX70/AX8*365/4</f>
        <v>47.45137839879154</v>
      </c>
      <c r="AY167" s="464">
        <f>-AY70/AY8*365/4</f>
        <v>42.583333333333336</v>
      </c>
      <c r="AZ167" s="464">
        <f>-AZ70/AZ8*365/4</f>
        <v>32.138779832627336</v>
      </c>
      <c r="BA167" s="465">
        <f>-AVERAGE(BA70,AV70)/BA8*365</f>
        <v>40.478343645882916</v>
      </c>
      <c r="BB167" s="464">
        <f>-BB70/BB8*365/4</f>
        <v>58.412467976088806</v>
      </c>
      <c r="BC167" s="464">
        <f>-BC70/BC8*365/4</f>
        <v>48.535510462904242</v>
      </c>
      <c r="BD167" s="464">
        <f>-BD70/BD8*365/4</f>
        <v>42.755076770678556</v>
      </c>
      <c r="BE167" s="464">
        <f>-BE70/BE8*365/4</f>
        <v>30.333024854574298</v>
      </c>
      <c r="BF167" s="465">
        <f>-AVERAGE(BF70,BA70)/BF8*365</f>
        <v>38.237984074701799</v>
      </c>
      <c r="BG167" s="464">
        <f>-BG70/BG8*365/4</f>
        <v>57.594804010938923</v>
      </c>
      <c r="BH167" s="464">
        <f>-BH70/BH8*365/4</f>
        <v>49.455914793878392</v>
      </c>
      <c r="BI167" s="464">
        <f>-BI70/BI8*365/4</f>
        <v>38.156203988756523</v>
      </c>
      <c r="BJ167" s="464">
        <f>-BJ70/BJ8*365/4</f>
        <v>29.186265286923799</v>
      </c>
      <c r="BK167" s="465">
        <f>-AVERAGE(BK70,BF70)/BK8*365</f>
        <v>37.265263121234284</v>
      </c>
      <c r="BL167" s="464">
        <f>-BL70/BL8*365/4</f>
        <v>56.826030179918746</v>
      </c>
      <c r="BM167" s="464">
        <f>-BM70/BM8*365/4</f>
        <v>46.161141737995074</v>
      </c>
      <c r="BN167" s="464">
        <f>-BN70/BN8*365/4</f>
        <v>39.263549855192387</v>
      </c>
      <c r="BO167" s="464">
        <f>-BO70/BO8*365/4</f>
        <v>27.688182527301091</v>
      </c>
      <c r="BP167" s="465">
        <f>-AVERAGE(BP70,BK70)/BP8*365</f>
        <v>35.11674974369852</v>
      </c>
      <c r="BQ167" s="464">
        <f>-BQ70/BQ8*365/4</f>
        <v>56.452874646559849</v>
      </c>
      <c r="BR167" s="464">
        <f>-BR70/BR8*365/4</f>
        <v>46.797529461877048</v>
      </c>
      <c r="BS167" s="464">
        <f>-BS70/BS8*365/4</f>
        <v>40.267917741278673</v>
      </c>
      <c r="BT167" s="464">
        <f>-BT70/BT8*365/4</f>
        <v>29.622576558713373</v>
      </c>
      <c r="BU167" s="465">
        <f>-AVERAGE(BU70,BP70)/BU8*365</f>
        <v>35.938422533254609</v>
      </c>
      <c r="BV167" s="464">
        <f>-BV70/BV8*365/4</f>
        <v>58.277874646559852</v>
      </c>
      <c r="BW167" s="464">
        <f>-BW70/BW8*365/4</f>
        <v>48.622529461877043</v>
      </c>
      <c r="BX167" s="464">
        <f>-BX70/BX8*365/4</f>
        <v>42.092917741278676</v>
      </c>
      <c r="BY167" s="464">
        <f>-BY70/BY8*365/4</f>
        <v>31.447576558713372</v>
      </c>
      <c r="BZ167" s="465">
        <f>-AVERAGE(BZ70,BU70)/BZ8*365</f>
        <v>37.718644004146853</v>
      </c>
      <c r="CA167" s="464">
        <f>-CA70/CA8*365/4</f>
        <v>58.277874646559852</v>
      </c>
      <c r="CB167" s="464">
        <f>-CB70/CB8*365/4</f>
        <v>48.622529461877043</v>
      </c>
      <c r="CC167" s="464">
        <f>-CC70/CC8*365/4</f>
        <v>42.092917741278683</v>
      </c>
      <c r="CD167" s="464">
        <f>-CD70/CD8*365/4</f>
        <v>31.447576558713372</v>
      </c>
      <c r="CE167" s="465">
        <f>-AVERAGE(CE70,BZ70)/CE8*365</f>
        <v>38.917103363141287</v>
      </c>
      <c r="CF167" s="464">
        <f>-CF70/CF8*365/4</f>
        <v>58.277874646559852</v>
      </c>
      <c r="CG167" s="464">
        <f>-CG70/CG8*365/4</f>
        <v>48.622529461877043</v>
      </c>
      <c r="CH167" s="464">
        <f>-CH70/CH8*365/4</f>
        <v>42.092917741278676</v>
      </c>
      <c r="CI167" s="464">
        <f>-CI70/CI8*365/4</f>
        <v>31.447576558713372</v>
      </c>
      <c r="CJ167" s="465">
        <f>-AVERAGE(CJ70,CE70)/CJ8*365</f>
        <v>38.961791347834286</v>
      </c>
      <c r="CK167" s="464">
        <f>-CK70/CK8*365/4</f>
        <v>58.277874646559852</v>
      </c>
      <c r="CL167" s="464">
        <f>-CL70/CL8*365/4</f>
        <v>48.622529461877043</v>
      </c>
      <c r="CM167" s="464">
        <f>-CM70/CM8*365/4</f>
        <v>42.092917741278676</v>
      </c>
      <c r="CN167" s="464">
        <f>-CN70/CN8*365/4</f>
        <v>31.447576558713372</v>
      </c>
      <c r="CO167" s="465">
        <f>-AVERAGE(CO70,CJ70)/CO8*365</f>
        <v>38.966134187056376</v>
      </c>
      <c r="CP167" s="464">
        <f>-CP70/CP8*365/4</f>
        <v>58.277874646559852</v>
      </c>
      <c r="CQ167" s="464">
        <f>-CQ70/CQ8*365/4</f>
        <v>48.622529461877043</v>
      </c>
      <c r="CR167" s="464">
        <f>-CR70/CR8*365/4</f>
        <v>42.092917741278676</v>
      </c>
      <c r="CS167" s="464">
        <f>-CS70/CS8*365/4</f>
        <v>31.447576558713372</v>
      </c>
      <c r="CT167" s="465">
        <f>-AVERAGE(CT70,CO70)/CT8*365</f>
        <v>38.991331167440599</v>
      </c>
      <c r="CU167" s="468"/>
      <c r="CV167" s="468"/>
    </row>
    <row r="168" spans="1:100" x14ac:dyDescent="0.2">
      <c r="A168" s="462" t="s">
        <v>155</v>
      </c>
      <c r="B168" s="462"/>
      <c r="C168" s="462"/>
      <c r="D168" s="324"/>
      <c r="E168" s="324"/>
      <c r="F168" s="324"/>
      <c r="G168" s="324"/>
      <c r="H168" s="321"/>
      <c r="I168" s="324"/>
      <c r="J168" s="324"/>
      <c r="K168" s="324"/>
      <c r="L168" s="324"/>
      <c r="M168" s="321">
        <f>+AVERAGE(M71,H71)/M5</f>
        <v>1.9785963165754105E-2</v>
      </c>
      <c r="N168" s="324">
        <f>+N71/N$5/4</f>
        <v>2.4482809941955647E-2</v>
      </c>
      <c r="O168" s="324">
        <f>+O71/O$5/4</f>
        <v>1.8590773467982557E-2</v>
      </c>
      <c r="P168" s="324">
        <f>+P71/P$5/4</f>
        <v>1.7051675060214582E-2</v>
      </c>
      <c r="Q168" s="324">
        <f>+Q71/Q$5/4</f>
        <v>1.553926206244087E-2</v>
      </c>
      <c r="R168" s="321">
        <f>+AVERAGE(R71,M71)/R5</f>
        <v>1.8143267780402424E-2</v>
      </c>
      <c r="S168" s="363">
        <f>+S71/S$5/4</f>
        <v>2.5748299319727892E-2</v>
      </c>
      <c r="T168" s="363">
        <f>+T71/T$5/4</f>
        <v>1.9438950765067138E-2</v>
      </c>
      <c r="U168" s="363">
        <f>+U71/U$5/4</f>
        <v>1.6271753023301545E-2</v>
      </c>
      <c r="V168" s="363">
        <f>+V71/V$5/4</f>
        <v>2.0067228252065448E-2</v>
      </c>
      <c r="W168" s="321">
        <f>+AVERAGE(W71,R71)/W5</f>
        <v>2.0874499670669303E-2</v>
      </c>
      <c r="X168" s="363">
        <f>+X71/X$5/4</f>
        <v>3.4891395655826232E-2</v>
      </c>
      <c r="Y168" s="363">
        <f>+Y71/Y$5/4</f>
        <v>2.3435358611238008E-2</v>
      </c>
      <c r="Z168" s="363">
        <f>+Z71/Z$5/4</f>
        <v>2.0877801494130203E-2</v>
      </c>
      <c r="AA168" s="363">
        <f>+AA71/AA$5/4</f>
        <v>2.6003613795270643E-2</v>
      </c>
      <c r="AB168" s="321">
        <f>+AVERAGE(AB71,W71)/AB5</f>
        <v>2.6762386996832442E-2</v>
      </c>
      <c r="AC168" s="363">
        <f>+AC71/AC$5/4</f>
        <v>3.9059663560450202E-2</v>
      </c>
      <c r="AD168" s="363">
        <f>+AD71/AD$5/4</f>
        <v>2.4334403323262841E-2</v>
      </c>
      <c r="AE168" s="363">
        <f>+AE71/AE$5/4</f>
        <v>2.3104693140794223E-2</v>
      </c>
      <c r="AF168" s="363">
        <f>+AF71/AF$5/4</f>
        <v>2.2448672632924719E-2</v>
      </c>
      <c r="AG168" s="321">
        <f>+AVERAGE(AG71,AB71)/AG5</f>
        <v>2.9121946706143598E-2</v>
      </c>
      <c r="AH168" s="363">
        <f>+AH71/AH$5/4</f>
        <v>4.3525832621690866E-2</v>
      </c>
      <c r="AI168" s="363">
        <f>+AI71/AI$5/4</f>
        <v>2.6670495236808325E-2</v>
      </c>
      <c r="AJ168" s="363">
        <f>+AJ71/AJ$5/4</f>
        <v>2.3978342142580895E-2</v>
      </c>
      <c r="AK168" s="363">
        <f>+AK71/AK$5/4</f>
        <v>2.0724318369595152E-2</v>
      </c>
      <c r="AL168" s="321">
        <f>+AVERAGE(AL71,AG71)/AL5</f>
        <v>2.3332411217538641E-2</v>
      </c>
      <c r="AM168" s="363">
        <f>+AM71/AM$5/4</f>
        <v>3.591773477423138E-2</v>
      </c>
      <c r="AN168" s="363">
        <f>+AN71/AN$5/4</f>
        <v>2.6014738218339575E-2</v>
      </c>
      <c r="AO168" s="363">
        <f>+AO71/AO$5/4</f>
        <v>2.508247070867933E-2</v>
      </c>
      <c r="AP168" s="363">
        <f>+AP71/AP$5/4</f>
        <v>2.914000511901715E-2</v>
      </c>
      <c r="AQ168" s="321">
        <f>+AVERAGE(AQ71,AL71)/AQ5</f>
        <v>2.8703268013539562E-2</v>
      </c>
      <c r="AR168" s="363">
        <f>+AR71/AR$5/4</f>
        <v>4.8137270679111686E-2</v>
      </c>
      <c r="AS168" s="363">
        <f>+AS71/AS$5/4</f>
        <v>2.8025884068538096E-2</v>
      </c>
      <c r="AT168" s="363">
        <f>+AT71/AT$5/4</f>
        <v>2.4861878453038673E-2</v>
      </c>
      <c r="AU168" s="363">
        <f>+AU71/AU$5/4</f>
        <v>1.8530119274330962E-2</v>
      </c>
      <c r="AV168" s="321">
        <f>+AVERAGE(AV71,AQ71)/AV5</f>
        <v>2.8675258046784339E-2</v>
      </c>
      <c r="AW168" s="363">
        <f>+AW71/AW$5/4</f>
        <v>3.4675304029886334E-2</v>
      </c>
      <c r="AX168" s="363">
        <f>+AX71/AX$5/4</f>
        <v>2.5465579817933005E-2</v>
      </c>
      <c r="AY168" s="363">
        <f>+AY71/AY$5/4</f>
        <v>2.2857649772310605E-2</v>
      </c>
      <c r="AZ168" s="363">
        <f>+AZ71/AZ$5/4</f>
        <v>2.6866487722437618E-2</v>
      </c>
      <c r="BA168" s="321">
        <f>+AVERAGE(BA71,AV71)/BA5</f>
        <v>2.7410976436046074E-2</v>
      </c>
      <c r="BB168" s="363">
        <f>+BB71/BB$5/4</f>
        <v>4.3353402519210965E-2</v>
      </c>
      <c r="BC168" s="363">
        <f>+BC71/BC$5/4</f>
        <v>2.7110216644962708E-2</v>
      </c>
      <c r="BD168" s="363">
        <f>+BD71/BD$5/4</f>
        <v>2.212800557556046E-2</v>
      </c>
      <c r="BE168" s="363">
        <f>+BE71/BE$5/4</f>
        <v>2.6857329055544416E-2</v>
      </c>
      <c r="BF168" s="321">
        <f>+AVERAGE(BF71,BA71)/BF5</f>
        <v>3.2279591500082479E-2</v>
      </c>
      <c r="BG168" s="363">
        <f>+BG71/BG$5/4</f>
        <v>4.0967504297290659E-2</v>
      </c>
      <c r="BH168" s="363">
        <f>+BH71/BH$5/4</f>
        <v>2.7209068642843684E-2</v>
      </c>
      <c r="BI168" s="363">
        <f>+BI71/BI$5/4</f>
        <v>2.0589676076174148E-2</v>
      </c>
      <c r="BJ168" s="363">
        <f>+BJ71/BJ$5/4</f>
        <v>2.5087436104385259E-2</v>
      </c>
      <c r="BK168" s="321">
        <f>+AVERAGE(BK71,BF71)/BK5</f>
        <v>3.1781273788378583E-2</v>
      </c>
      <c r="BL168" s="363">
        <f>+BL71/BL$5/4</f>
        <v>3.9959534648457258E-2</v>
      </c>
      <c r="BM168" s="363">
        <f>+BM71/BM$5/4</f>
        <v>2.4634621630399482E-2</v>
      </c>
      <c r="BN168" s="363">
        <f>+BN71/BN$5/4</f>
        <v>2.2680476695576216E-2</v>
      </c>
      <c r="BO168" s="363">
        <f>+BO71/BO$5/4</f>
        <v>1.9818088649756597E-2</v>
      </c>
      <c r="BP168" s="321">
        <f>+AVERAGE(BP71,BK71)/BP5</f>
        <v>2.7166037675759168E-2</v>
      </c>
      <c r="BQ168" s="363">
        <f>+BQ71/BQ$5/4</f>
        <v>2.1391816748277864E-2</v>
      </c>
      <c r="BR168" s="363">
        <f>+BR71/BR$5/4</f>
        <v>1.4847231063017186E-2</v>
      </c>
      <c r="BS168" s="363">
        <f>+BS71/BS$5/4</f>
        <v>1.14685960591133E-2</v>
      </c>
      <c r="BT168" s="363">
        <f>+BT71/BT$5/4</f>
        <v>1.9794120659633308E-2</v>
      </c>
      <c r="BU168" s="321">
        <f>+AVERAGE(BU71,BP71)/BU5</f>
        <v>2.4344746162927981E-2</v>
      </c>
      <c r="BV168" s="35">
        <f>+BQ168</f>
        <v>2.1391816748277864E-2</v>
      </c>
      <c r="BW168" s="35">
        <f>+BR168</f>
        <v>1.4847231063017186E-2</v>
      </c>
      <c r="BX168" s="35">
        <f>+BS168</f>
        <v>1.14685960591133E-2</v>
      </c>
      <c r="BY168" s="35">
        <f>+BT168</f>
        <v>1.9794120659633308E-2</v>
      </c>
      <c r="BZ168" s="321">
        <f>+AVERAGE(BZ71,BU71)/BZ5</f>
        <v>2.3924976784533768E-2</v>
      </c>
      <c r="CA168" s="35">
        <f>+BV168</f>
        <v>2.1391816748277864E-2</v>
      </c>
      <c r="CB168" s="35">
        <f>+BW168</f>
        <v>1.4847231063017186E-2</v>
      </c>
      <c r="CC168" s="35">
        <f>+BX168</f>
        <v>1.14685960591133E-2</v>
      </c>
      <c r="CD168" s="35">
        <f>+BY168</f>
        <v>1.9794120659633308E-2</v>
      </c>
      <c r="CE168" s="321">
        <f>+AVERAGE(CE71,BZ71)/CE5</f>
        <v>2.4021823046173243E-2</v>
      </c>
      <c r="CF168" s="35">
        <f>+CA168</f>
        <v>2.1391816748277864E-2</v>
      </c>
      <c r="CG168" s="35">
        <f>+CB168</f>
        <v>1.4847231063017186E-2</v>
      </c>
      <c r="CH168" s="35">
        <f>+CC168</f>
        <v>1.14685960591133E-2</v>
      </c>
      <c r="CI168" s="35">
        <f>+CD168</f>
        <v>1.9794120659633308E-2</v>
      </c>
      <c r="CJ168" s="321">
        <f>+AVERAGE(CJ71,CE71)/CJ5</f>
        <v>2.4047947767869671E-2</v>
      </c>
      <c r="CK168" s="35">
        <f>+CF168</f>
        <v>2.1391816748277864E-2</v>
      </c>
      <c r="CL168" s="35">
        <f>+CG168</f>
        <v>1.4847231063017186E-2</v>
      </c>
      <c r="CM168" s="35">
        <f>+CH168</f>
        <v>1.14685960591133E-2</v>
      </c>
      <c r="CN168" s="35">
        <f>+CI168</f>
        <v>1.9794120659633308E-2</v>
      </c>
      <c r="CO168" s="321">
        <f>+AVERAGE(CO71,CJ71)/CO5</f>
        <v>2.406263770560494E-2</v>
      </c>
      <c r="CP168" s="35">
        <f>+CK168</f>
        <v>2.1391816748277864E-2</v>
      </c>
      <c r="CQ168" s="35">
        <f>+CL168</f>
        <v>1.4847231063017186E-2</v>
      </c>
      <c r="CR168" s="35">
        <f>+CM168</f>
        <v>1.14685960591133E-2</v>
      </c>
      <c r="CS168" s="35">
        <f>+CN168</f>
        <v>1.9794120659633308E-2</v>
      </c>
      <c r="CT168" s="321">
        <f>+AVERAGE(CT71,CO71)/CT5</f>
        <v>2.4077268691527022E-2</v>
      </c>
      <c r="CU168" s="462"/>
      <c r="CV168" s="462"/>
    </row>
    <row r="169" spans="1:100" x14ac:dyDescent="0.2">
      <c r="A169" s="443" t="s">
        <v>156</v>
      </c>
      <c r="B169" s="377"/>
      <c r="C169" s="377"/>
      <c r="D169" s="469"/>
      <c r="E169" s="469"/>
      <c r="F169" s="469"/>
      <c r="G169" s="469"/>
      <c r="H169" s="470">
        <f>H130</f>
        <v>-1387</v>
      </c>
      <c r="I169" s="469"/>
      <c r="J169" s="469"/>
      <c r="K169" s="469"/>
      <c r="L169" s="469"/>
      <c r="M169" s="470">
        <f>M130</f>
        <v>-1736</v>
      </c>
      <c r="N169" s="469">
        <f t="shared" ref="N169:AG169" si="308">N130</f>
        <v>-289</v>
      </c>
      <c r="O169" s="469">
        <f t="shared" si="308"/>
        <v>-419</v>
      </c>
      <c r="P169" s="469">
        <f t="shared" si="308"/>
        <v>-422</v>
      </c>
      <c r="Q169" s="469">
        <f t="shared" si="308"/>
        <v>-938</v>
      </c>
      <c r="R169" s="470">
        <f t="shared" si="308"/>
        <v>-2068</v>
      </c>
      <c r="S169" s="471">
        <f t="shared" si="308"/>
        <v>-267</v>
      </c>
      <c r="T169" s="471">
        <f t="shared" si="308"/>
        <v>-476</v>
      </c>
      <c r="U169" s="471">
        <f t="shared" si="308"/>
        <v>-517</v>
      </c>
      <c r="V169" s="471">
        <f t="shared" si="308"/>
        <v>-1170</v>
      </c>
      <c r="W169" s="470">
        <f t="shared" si="308"/>
        <v>-2430</v>
      </c>
      <c r="X169" s="471">
        <f t="shared" si="308"/>
        <v>-309</v>
      </c>
      <c r="Y169" s="471">
        <f t="shared" si="308"/>
        <v>-587</v>
      </c>
      <c r="Z169" s="471">
        <f t="shared" si="308"/>
        <v>-503</v>
      </c>
      <c r="AA169" s="471">
        <f t="shared" si="308"/>
        <v>-1047</v>
      </c>
      <c r="AB169" s="470">
        <f t="shared" si="308"/>
        <v>-2446</v>
      </c>
      <c r="AC169" s="471">
        <f t="shared" si="308"/>
        <v>-298</v>
      </c>
      <c r="AD169" s="471">
        <f t="shared" si="308"/>
        <v>-437</v>
      </c>
      <c r="AE169" s="471">
        <f t="shared" si="308"/>
        <v>-403</v>
      </c>
      <c r="AF169" s="471">
        <f t="shared" si="308"/>
        <v>-990</v>
      </c>
      <c r="AG169" s="470">
        <f t="shared" si="308"/>
        <v>-2128</v>
      </c>
      <c r="AH169" s="471">
        <f t="shared" ref="AH169:BC169" si="309">AH130</f>
        <v>-274</v>
      </c>
      <c r="AI169" s="471">
        <f t="shared" si="309"/>
        <v>-694</v>
      </c>
      <c r="AJ169" s="471">
        <f t="shared" si="309"/>
        <v>-702</v>
      </c>
      <c r="AK169" s="471">
        <f t="shared" si="309"/>
        <v>-1583</v>
      </c>
      <c r="AL169" s="470">
        <f t="shared" si="309"/>
        <v>-3253</v>
      </c>
      <c r="AM169" s="471">
        <f t="shared" si="309"/>
        <v>-433</v>
      </c>
      <c r="AN169" s="469">
        <f t="shared" si="309"/>
        <v>-798</v>
      </c>
      <c r="AO169" s="469">
        <f t="shared" si="309"/>
        <v>-731</v>
      </c>
      <c r="AP169" s="469">
        <f t="shared" si="309"/>
        <v>-1377</v>
      </c>
      <c r="AQ169" s="470">
        <f t="shared" si="309"/>
        <v>-3339</v>
      </c>
      <c r="AR169" s="469">
        <f t="shared" si="309"/>
        <v>-316</v>
      </c>
      <c r="AS169" s="469">
        <f t="shared" si="309"/>
        <v>-585</v>
      </c>
      <c r="AT169" s="469">
        <f t="shared" si="309"/>
        <v>-508</v>
      </c>
      <c r="AU169" s="469">
        <f t="shared" si="309"/>
        <v>-1305</v>
      </c>
      <c r="AV169" s="470">
        <f t="shared" si="309"/>
        <v>-2714</v>
      </c>
      <c r="AW169" s="469">
        <f t="shared" si="309"/>
        <v>-303</v>
      </c>
      <c r="AX169" s="469">
        <f t="shared" si="309"/>
        <v>-608</v>
      </c>
      <c r="AY169" s="469">
        <f t="shared" si="309"/>
        <v>-586</v>
      </c>
      <c r="AZ169" s="469">
        <f t="shared" si="309"/>
        <v>-1298</v>
      </c>
      <c r="BA169" s="470">
        <f t="shared" si="309"/>
        <v>-2795</v>
      </c>
      <c r="BB169" s="469">
        <f>BB130</f>
        <v>-355</v>
      </c>
      <c r="BC169" s="469">
        <f t="shared" si="309"/>
        <v>-566</v>
      </c>
      <c r="BD169" s="469">
        <f>BD130</f>
        <v>-619</v>
      </c>
      <c r="BE169" s="469">
        <f>BE130</f>
        <v>-1319</v>
      </c>
      <c r="BF169" s="470">
        <f t="shared" ref="BF169:BU169" si="310">BF130</f>
        <v>-2859</v>
      </c>
      <c r="BG169" s="469">
        <f t="shared" si="310"/>
        <v>-270</v>
      </c>
      <c r="BH169" s="469">
        <f t="shared" si="310"/>
        <v>-562</v>
      </c>
      <c r="BI169" s="469">
        <f>BI130</f>
        <v>-631</v>
      </c>
      <c r="BJ169" s="469">
        <f t="shared" si="310"/>
        <v>-1295</v>
      </c>
      <c r="BK169" s="470">
        <f t="shared" ref="BK169" si="311">BK130</f>
        <v>-2758</v>
      </c>
      <c r="BL169" s="469">
        <f t="shared" si="310"/>
        <v>-389</v>
      </c>
      <c r="BM169" s="469">
        <f t="shared" ref="BM169:BO169" si="312">BM130</f>
        <v>-530</v>
      </c>
      <c r="BN169" s="469">
        <f t="shared" si="312"/>
        <v>-647</v>
      </c>
      <c r="BO169" s="469">
        <f t="shared" si="312"/>
        <v>-1474</v>
      </c>
      <c r="BP169" s="470">
        <f t="shared" si="310"/>
        <v>-3040</v>
      </c>
      <c r="BQ169" s="469">
        <f t="shared" ref="BQ169" si="313">BQ130</f>
        <v>-317</v>
      </c>
      <c r="BR169" s="469">
        <f t="shared" ref="BR169:BS169" si="314">BR130</f>
        <v>-561</v>
      </c>
      <c r="BS169" s="469">
        <f t="shared" si="314"/>
        <v>-596</v>
      </c>
      <c r="BT169" s="469">
        <f t="shared" si="310"/>
        <v>-1495</v>
      </c>
      <c r="BU169" s="470">
        <f t="shared" si="310"/>
        <v>-2969</v>
      </c>
      <c r="BV169" s="469">
        <f t="shared" ref="BV169:CE169" si="315">BV130</f>
        <v>-441.35277613414155</v>
      </c>
      <c r="BW169" s="469">
        <f t="shared" si="315"/>
        <v>-726.99495194808821</v>
      </c>
      <c r="BX169" s="469">
        <f t="shared" si="315"/>
        <v>-768.68559427433115</v>
      </c>
      <c r="BY169" s="469">
        <f t="shared" si="315"/>
        <v>-1673.6667497421088</v>
      </c>
      <c r="BZ169" s="470">
        <f t="shared" si="315"/>
        <v>-3610.7000720986698</v>
      </c>
      <c r="CA169" s="469">
        <f t="shared" si="315"/>
        <v>-338.3904378973595</v>
      </c>
      <c r="CB169" s="469">
        <f t="shared" si="315"/>
        <v>-598.63609337172238</v>
      </c>
      <c r="CC169" s="469">
        <f t="shared" si="315"/>
        <v>-635.93050079098248</v>
      </c>
      <c r="CD169" s="469">
        <f t="shared" si="315"/>
        <v>-1600.6413459236185</v>
      </c>
      <c r="CE169" s="470">
        <f t="shared" si="315"/>
        <v>-3173.5983779836829</v>
      </c>
      <c r="CF169" s="469">
        <f t="shared" ref="CF169:CO169" si="316">CF130</f>
        <v>-334.84796994852155</v>
      </c>
      <c r="CG169" s="469">
        <f t="shared" si="316"/>
        <v>-599.4112634743185</v>
      </c>
      <c r="CH169" s="469">
        <f t="shared" si="316"/>
        <v>-636.83846828893991</v>
      </c>
      <c r="CI169" s="469">
        <f t="shared" si="316"/>
        <v>-1628.0418141594696</v>
      </c>
      <c r="CJ169" s="470">
        <f t="shared" si="316"/>
        <v>-3199.1395158712494</v>
      </c>
      <c r="CK169" s="469">
        <f t="shared" si="316"/>
        <v>-330.8994425295291</v>
      </c>
      <c r="CL169" s="469">
        <f t="shared" si="316"/>
        <v>-599.84025356410223</v>
      </c>
      <c r="CM169" s="469">
        <f t="shared" si="316"/>
        <v>-637.42004082796882</v>
      </c>
      <c r="CN169" s="469">
        <f t="shared" si="316"/>
        <v>-1656.030125803986</v>
      </c>
      <c r="CO169" s="470">
        <f t="shared" si="316"/>
        <v>-3224.189862725586</v>
      </c>
      <c r="CP169" s="469">
        <f>CP130</f>
        <v>-326.51712899295381</v>
      </c>
      <c r="CQ169" s="469">
        <f>CQ130</f>
        <v>-599.89140300708289</v>
      </c>
      <c r="CR169" s="469">
        <f>CR130</f>
        <v>-637.64358550368343</v>
      </c>
      <c r="CS169" s="469">
        <f>CS130</f>
        <v>-1684.6094858286965</v>
      </c>
      <c r="CT169" s="470">
        <f>CT130</f>
        <v>-3248.6616033324167</v>
      </c>
      <c r="CU169" s="313"/>
      <c r="CV169" s="313"/>
    </row>
    <row r="170" spans="1:100" x14ac:dyDescent="0.2">
      <c r="A170" s="443" t="s">
        <v>157</v>
      </c>
      <c r="B170" s="443"/>
      <c r="C170" s="443"/>
      <c r="D170" s="318"/>
      <c r="E170" s="318"/>
      <c r="F170" s="318"/>
      <c r="G170" s="318"/>
      <c r="H170" s="355">
        <f>-H130/H5</f>
        <v>4.7400977410204707E-2</v>
      </c>
      <c r="I170" s="318"/>
      <c r="J170" s="318"/>
      <c r="K170" s="318"/>
      <c r="L170" s="318"/>
      <c r="M170" s="355">
        <f t="shared" ref="M170:AJ170" si="317">-M130/M5</f>
        <v>5.4006968641114983E-2</v>
      </c>
      <c r="N170" s="318">
        <f t="shared" si="317"/>
        <v>4.3012353028724512E-2</v>
      </c>
      <c r="O170" s="318">
        <f t="shared" si="317"/>
        <v>4.8083543722745009E-2</v>
      </c>
      <c r="P170" s="318">
        <f t="shared" si="317"/>
        <v>4.6201007225749942E-2</v>
      </c>
      <c r="Q170" s="318">
        <f t="shared" si="317"/>
        <v>8.8741721854304637E-2</v>
      </c>
      <c r="R170" s="355">
        <f t="shared" si="317"/>
        <v>5.8855337678230923E-2</v>
      </c>
      <c r="S170" s="335">
        <f t="shared" si="317"/>
        <v>3.6326530612244896E-2</v>
      </c>
      <c r="T170" s="335">
        <f t="shared" si="317"/>
        <v>4.954720516290205E-2</v>
      </c>
      <c r="U170" s="335">
        <f t="shared" si="317"/>
        <v>5.0830793432307543E-2</v>
      </c>
      <c r="V170" s="335">
        <f t="shared" si="317"/>
        <v>9.476753604406285E-2</v>
      </c>
      <c r="W170" s="355">
        <f t="shared" si="317"/>
        <v>6.1559507523939808E-2</v>
      </c>
      <c r="X170" s="335">
        <f t="shared" si="317"/>
        <v>3.7081483259330375E-2</v>
      </c>
      <c r="Y170" s="335">
        <f t="shared" si="317"/>
        <v>5.3631795340338052E-2</v>
      </c>
      <c r="Z170" s="335">
        <f t="shared" si="317"/>
        <v>4.4734969761650659E-2</v>
      </c>
      <c r="AA170" s="335">
        <f t="shared" si="317"/>
        <v>8.2253122790478431E-2</v>
      </c>
      <c r="AB170" s="355">
        <f t="shared" si="317"/>
        <v>5.6553605696978107E-2</v>
      </c>
      <c r="AC170" s="335">
        <f t="shared" si="317"/>
        <v>3.6064383395861065E-2</v>
      </c>
      <c r="AD170" s="335">
        <f t="shared" si="317"/>
        <v>4.1257552870090634E-2</v>
      </c>
      <c r="AE170" s="335">
        <f t="shared" si="317"/>
        <v>3.637184115523466E-2</v>
      </c>
      <c r="AF170" s="335">
        <f t="shared" si="317"/>
        <v>7.4452884109197565E-2</v>
      </c>
      <c r="AG170" s="355">
        <f t="shared" si="317"/>
        <v>4.9222797927461141E-2</v>
      </c>
      <c r="AH170" s="335">
        <f t="shared" si="317"/>
        <v>2.9248505550811273E-2</v>
      </c>
      <c r="AI170" s="335">
        <f t="shared" si="317"/>
        <v>4.688872373488278E-2</v>
      </c>
      <c r="AJ170" s="335">
        <f t="shared" si="317"/>
        <v>4.5249452107773626E-2</v>
      </c>
      <c r="AK170" s="335">
        <f t="shared" ref="AK170:AQ170" si="318">-AK130/AK5</f>
        <v>8.7193610575599004E-2</v>
      </c>
      <c r="AL170" s="355">
        <f t="shared" si="318"/>
        <v>5.6243300252429199E-2</v>
      </c>
      <c r="AM170" s="335">
        <f t="shared" si="318"/>
        <v>3.6273770629136295E-2</v>
      </c>
      <c r="AN170" s="335">
        <f t="shared" si="318"/>
        <v>4.7423783205562488E-2</v>
      </c>
      <c r="AO170" s="335">
        <f t="shared" si="318"/>
        <v>4.1576612444545559E-2</v>
      </c>
      <c r="AP170" s="335">
        <f t="shared" si="318"/>
        <v>7.0488866137701556E-2</v>
      </c>
      <c r="AQ170" s="355">
        <f t="shared" si="318"/>
        <v>5.0682290797043152E-2</v>
      </c>
      <c r="AR170" s="335">
        <f t="shared" ref="AR170:AW170" si="319">-AR130/AR5</f>
        <v>2.5426456388799486E-2</v>
      </c>
      <c r="AS170" s="335">
        <f t="shared" si="319"/>
        <v>3.5545023696682464E-2</v>
      </c>
      <c r="AT170" s="335">
        <f t="shared" si="319"/>
        <v>3.0506846024501561E-2</v>
      </c>
      <c r="AU170" s="335">
        <f t="shared" si="319"/>
        <v>6.5400420968226916E-2</v>
      </c>
      <c r="AV170" s="355">
        <f t="shared" si="319"/>
        <v>4.1440175899346482E-2</v>
      </c>
      <c r="AW170" s="335">
        <f t="shared" si="319"/>
        <v>2.4083936094110168E-2</v>
      </c>
      <c r="AX170" s="335">
        <f t="shared" ref="AX170:BC170" si="320">-AX130/AX5</f>
        <v>3.6175403105848755E-2</v>
      </c>
      <c r="AY170" s="335">
        <f t="shared" si="320"/>
        <v>3.4656100301614527E-2</v>
      </c>
      <c r="AZ170" s="335">
        <f t="shared" si="320"/>
        <v>6.4519335918083315E-2</v>
      </c>
      <c r="BA170" s="355">
        <f t="shared" si="320"/>
        <v>4.2083866596401412E-2</v>
      </c>
      <c r="BB170" s="335">
        <f t="shared" si="320"/>
        <v>2.8123267052206292E-2</v>
      </c>
      <c r="BC170" s="335">
        <f t="shared" si="320"/>
        <v>3.3503018823250859E-2</v>
      </c>
      <c r="BD170" s="335">
        <f t="shared" ref="BD170:BL170" si="321">-BD130/BD5</f>
        <v>3.5950749215936807E-2</v>
      </c>
      <c r="BE170" s="335">
        <f t="shared" si="321"/>
        <v>6.6121916984158813E-2</v>
      </c>
      <c r="BF170" s="355">
        <f t="shared" si="321"/>
        <v>4.2874495748541609E-2</v>
      </c>
      <c r="BG170" s="335">
        <f t="shared" si="321"/>
        <v>2.2100351968568389E-2</v>
      </c>
      <c r="BH170" s="335">
        <f t="shared" si="321"/>
        <v>3.5294856496891291E-2</v>
      </c>
      <c r="BI170" s="335">
        <f t="shared" si="321"/>
        <v>3.863817280019595E-2</v>
      </c>
      <c r="BJ170" s="335">
        <f t="shared" si="321"/>
        <v>6.9679849340866296E-2</v>
      </c>
      <c r="BK170" s="355">
        <f t="shared" ref="BK170" si="322">-BK130/BK5</f>
        <v>4.3738898756660746E-2</v>
      </c>
      <c r="BL170" s="335">
        <f t="shared" si="321"/>
        <v>3.2793795312763448E-2</v>
      </c>
      <c r="BM170" s="335">
        <f t="shared" ref="BM170:BO170" si="323">-BM130/BM5</f>
        <v>3.4426761935693405E-2</v>
      </c>
      <c r="BN170" s="335">
        <f t="shared" si="323"/>
        <v>4.0369376676857804E-2</v>
      </c>
      <c r="BO170" s="335">
        <f t="shared" si="323"/>
        <v>7.5531642326415571E-2</v>
      </c>
      <c r="BP170" s="355">
        <f>-BP130/BP5</f>
        <v>4.8408414146722083E-2</v>
      </c>
      <c r="BQ170" s="335">
        <f t="shared" ref="BQ170" si="324">-BQ130/BQ5</f>
        <v>2.6309237281102165E-2</v>
      </c>
      <c r="BR170" s="335">
        <f t="shared" ref="BR170:BT170" si="325">-BR130/BR5</f>
        <v>3.5709739019732657E-2</v>
      </c>
      <c r="BS170" s="335">
        <f t="shared" si="325"/>
        <v>3.6699507389162563E-2</v>
      </c>
      <c r="BT170" s="335">
        <f t="shared" si="325"/>
        <v>7.656458055925433E-2</v>
      </c>
      <c r="BU170" s="355">
        <f>-BU130/BU5</f>
        <v>4.6737504919323103E-2</v>
      </c>
      <c r="BV170" s="396">
        <f>BQ170+0.009</f>
        <v>3.5309237281102163E-2</v>
      </c>
      <c r="BW170" s="396">
        <f>BR170+0.009</f>
        <v>4.4709739019732658E-2</v>
      </c>
      <c r="BX170" s="396">
        <f>BS170+0.009</f>
        <v>4.5699507389162564E-2</v>
      </c>
      <c r="BY170" s="396">
        <f>BT170+0.006</f>
        <v>8.2564580559254336E-2</v>
      </c>
      <c r="BZ170" s="355">
        <f>-BZ130/BZ5</f>
        <v>5.483102663458949E-2</v>
      </c>
      <c r="CA170" s="396">
        <v>2.6309237281102165E-2</v>
      </c>
      <c r="CB170" s="396">
        <v>3.5709739019732657E-2</v>
      </c>
      <c r="CC170" s="396">
        <v>3.6699507389162563E-2</v>
      </c>
      <c r="CD170" s="396">
        <v>7.656458055925433E-2</v>
      </c>
      <c r="CE170" s="355">
        <f>-CE130/CE5</f>
        <v>4.6766993209947268E-2</v>
      </c>
      <c r="CF170" s="396">
        <f>CA170-0.001</f>
        <v>2.5309237281102164E-2</v>
      </c>
      <c r="CG170" s="396">
        <f>CB170-0.001</f>
        <v>3.4709739019732656E-2</v>
      </c>
      <c r="CH170" s="396">
        <f>CC170-0.001</f>
        <v>3.5699507389162562E-2</v>
      </c>
      <c r="CI170" s="396">
        <f>CD170-0.001</f>
        <v>7.556458055925433E-2</v>
      </c>
      <c r="CJ170" s="355">
        <f>-CJ130/CJ5</f>
        <v>4.5778235086279352E-2</v>
      </c>
      <c r="CK170" s="396">
        <f>CF170-0.001</f>
        <v>2.4309237281102163E-2</v>
      </c>
      <c r="CL170" s="396">
        <f>CG170-0.001</f>
        <v>3.3709739019732655E-2</v>
      </c>
      <c r="CM170" s="396">
        <f>CH170-0.001</f>
        <v>3.4699507389162561E-2</v>
      </c>
      <c r="CN170" s="396">
        <f>CI170-0.001</f>
        <v>7.4564580559254329E-2</v>
      </c>
      <c r="CO170" s="355">
        <f>-CO130/CO5</f>
        <v>4.4789489173696802E-2</v>
      </c>
      <c r="CP170" s="396">
        <f>CK170-0.001</f>
        <v>2.3309237281102162E-2</v>
      </c>
      <c r="CQ170" s="396">
        <f>CL170-0.001</f>
        <v>3.2709739019732655E-2</v>
      </c>
      <c r="CR170" s="396">
        <f>CM170-0.001</f>
        <v>3.369950738916256E-2</v>
      </c>
      <c r="CS170" s="396">
        <f>CN170-0.001</f>
        <v>7.3564580559254328E-2</v>
      </c>
      <c r="CT170" s="355">
        <f>-CT130/CT5</f>
        <v>4.3800750550951451E-2</v>
      </c>
      <c r="CU170" s="313"/>
      <c r="CV170" s="313"/>
    </row>
    <row r="171" spans="1:100" x14ac:dyDescent="0.2">
      <c r="A171" s="313" t="s">
        <v>158</v>
      </c>
      <c r="B171" s="313"/>
      <c r="C171" s="313"/>
      <c r="D171" s="318"/>
      <c r="E171" s="318"/>
      <c r="F171" s="318"/>
      <c r="G171" s="318"/>
      <c r="H171" s="355"/>
      <c r="I171" s="318"/>
      <c r="J171" s="318"/>
      <c r="K171" s="318"/>
      <c r="L171" s="318"/>
      <c r="M171" s="355">
        <f>M113/H74</f>
        <v>0.16051049208491838</v>
      </c>
      <c r="N171" s="318">
        <f>N113*4/M74</f>
        <v>0.13178205275889873</v>
      </c>
      <c r="O171" s="318">
        <f>O113*4/N74</f>
        <v>0.14804660726525018</v>
      </c>
      <c r="P171" s="318">
        <f>P113*4/O74</f>
        <v>0.14770057066129574</v>
      </c>
      <c r="Q171" s="318">
        <f>Q113*4/P74</f>
        <v>0.20458786082757108</v>
      </c>
      <c r="R171" s="355">
        <f>R113/M74</f>
        <v>0.16196290749913606</v>
      </c>
      <c r="S171" s="335">
        <f>S113*4/R74</f>
        <v>0.11396717249922576</v>
      </c>
      <c r="T171" s="335">
        <f>T113*4/S74</f>
        <v>0.13647107183228857</v>
      </c>
      <c r="U171" s="335">
        <f>U113*4/T74</f>
        <v>0.13496080182594025</v>
      </c>
      <c r="V171" s="335">
        <f>V113*4/U74</f>
        <v>0.183899201692796</v>
      </c>
      <c r="W171" s="355">
        <f>W113/R74</f>
        <v>0.14720759781149995</v>
      </c>
      <c r="X171" s="335">
        <f>X113*4/W74</f>
        <v>0.10794442465265408</v>
      </c>
      <c r="Y171" s="335">
        <f>Y113*4/X74</f>
        <v>0.13317943709491253</v>
      </c>
      <c r="Z171" s="335">
        <f>Z113*4/Y74</f>
        <v>0.13</v>
      </c>
      <c r="AA171" s="335">
        <f>AA113*4/Z74</f>
        <v>0.1627751834556371</v>
      </c>
      <c r="AB171" s="355">
        <f>AB113/W74</f>
        <v>0.13742429640185252</v>
      </c>
      <c r="AC171" s="335">
        <f>AC113*4/AB74</f>
        <v>0.10769098859641602</v>
      </c>
      <c r="AD171" s="335">
        <f>AD113*4/AC74</f>
        <v>0.13125773925349371</v>
      </c>
      <c r="AE171" s="335">
        <f>AE113*4/AD74</f>
        <v>0.13436866981769074</v>
      </c>
      <c r="AF171" s="335">
        <f>AF113*4/AE74</f>
        <v>0.18349538768386936</v>
      </c>
      <c r="AG171" s="355">
        <f>AG113/AB74</f>
        <v>0.14018691588785046</v>
      </c>
      <c r="AH171" s="335">
        <f>AH113*4/AG74</f>
        <v>0.11869623549838214</v>
      </c>
      <c r="AI171" s="335">
        <f>AI113*4/AH74</f>
        <v>0.12583554376657824</v>
      </c>
      <c r="AJ171" s="335">
        <f>AJ113*4/AI74</f>
        <v>0.13285496847140682</v>
      </c>
      <c r="AK171" s="335">
        <f>AK113*4/AJ74</f>
        <v>0.16121722240207187</v>
      </c>
      <c r="AL171" s="355">
        <f>AL113/AG74</f>
        <v>0.18364769947123352</v>
      </c>
      <c r="AM171" s="335">
        <f>AM113*4/AL74</f>
        <v>0.1097701752544863</v>
      </c>
      <c r="AN171" s="335">
        <f>AN113*4/AM74</f>
        <v>0.13065079443160019</v>
      </c>
      <c r="AO171" s="335">
        <f>AO113*4/AN74</f>
        <v>0.13234871007960103</v>
      </c>
      <c r="AP171" s="335">
        <f>AP113*4/AO74</f>
        <v>0.16588706177364132</v>
      </c>
      <c r="AQ171" s="355">
        <f>AQ113/AL74</f>
        <v>0.14361423024451675</v>
      </c>
      <c r="AR171" s="335">
        <f>AR113*4/AQ74</f>
        <v>0.11270179713676515</v>
      </c>
      <c r="AS171" s="335">
        <f>AS113*4/AR74</f>
        <v>0.12916770807298175</v>
      </c>
      <c r="AT171" s="335">
        <f>AT113*4/AS74</f>
        <v>0.13740952792481365</v>
      </c>
      <c r="AU171" s="335">
        <f>AU113*4/AT74</f>
        <v>0.18391797085806799</v>
      </c>
      <c r="AV171" s="355">
        <f>AV113/AQ74</f>
        <v>0.13651132094628896</v>
      </c>
      <c r="AW171" s="335">
        <f>AW113*4/AV74</f>
        <v>0.11517558528428094</v>
      </c>
      <c r="AX171" s="335">
        <f>AX113*4/AW74</f>
        <v>0.13457864572277647</v>
      </c>
      <c r="AY171" s="335">
        <f>AY113*4/AX74</f>
        <v>0.13703099510603589</v>
      </c>
      <c r="AZ171" s="335">
        <f>AZ113*4/AY74</f>
        <v>0.1876936697653829</v>
      </c>
      <c r="BA171" s="355">
        <f>BA113/AV74</f>
        <v>0.13916178929765885</v>
      </c>
      <c r="BB171" s="335">
        <f>BB113*4/BA74</f>
        <v>0.11456258411843877</v>
      </c>
      <c r="BC171" s="335">
        <f>BC113*4/BB74</f>
        <v>0.1390038060565944</v>
      </c>
      <c r="BD171" s="335">
        <f>BD113*4/BC74</f>
        <v>0.13909981291955542</v>
      </c>
      <c r="BE171" s="335">
        <f>BE113*4/BD74</f>
        <v>0.18539795861453512</v>
      </c>
      <c r="BF171" s="355">
        <f>BF113/BA74</f>
        <v>0.14131897711978467</v>
      </c>
      <c r="BG171" s="335">
        <f>BG113*4/BF74</f>
        <v>0.11505451171421943</v>
      </c>
      <c r="BH171" s="335">
        <f>BH113*4/BG74</f>
        <v>0.13886557141144021</v>
      </c>
      <c r="BI171" s="335">
        <f>BI113*4/BH74</f>
        <v>0.13599426386233271</v>
      </c>
      <c r="BJ171" s="335">
        <f>BJ113*4/BI74</f>
        <v>0.19143264521728348</v>
      </c>
      <c r="BK171" s="355">
        <f>BK113/BF74</f>
        <v>0.14010670378102527</v>
      </c>
      <c r="BL171" s="335">
        <f>BL113*4/BK74</f>
        <v>0.11791383219954649</v>
      </c>
      <c r="BM171" s="335">
        <f>BM113*4/BL74</f>
        <v>0.13983235020180068</v>
      </c>
      <c r="BN171" s="335">
        <f>BN113*4/BM74</f>
        <v>0.13983599482088907</v>
      </c>
      <c r="BO171" s="335">
        <f>BO113*4/BN74</f>
        <v>0.18570990493713585</v>
      </c>
      <c r="BP171" s="355">
        <f>BP113/BK74</f>
        <v>0.14512471655328799</v>
      </c>
      <c r="BQ171" s="335">
        <f>BQ113*4/BP74</f>
        <v>0.11500210957748176</v>
      </c>
      <c r="BR171" s="335">
        <f>BR113*4/BQ74</f>
        <v>0.13310108715238153</v>
      </c>
      <c r="BS171" s="335">
        <f>BS113*4/BR74</f>
        <v>0.13690120654641022</v>
      </c>
      <c r="BT171" s="335">
        <f>BT113*4/BS74</f>
        <v>0.18042452830188679</v>
      </c>
      <c r="BU171" s="355">
        <f>BU113/BP74</f>
        <v>0.1427882586944729</v>
      </c>
      <c r="BV171" s="396">
        <f>BQ171</f>
        <v>0.11500210957748176</v>
      </c>
      <c r="BW171" s="396">
        <f>BR171</f>
        <v>0.13310108715238153</v>
      </c>
      <c r="BX171" s="396">
        <f>BS171</f>
        <v>0.13690120654641022</v>
      </c>
      <c r="BY171" s="396">
        <f>BT171</f>
        <v>0.18042452830188679</v>
      </c>
      <c r="BZ171" s="355">
        <f>BZ113/BU74</f>
        <v>0.14217475583597844</v>
      </c>
      <c r="CA171" s="396">
        <f>BV171</f>
        <v>0.11500210957748176</v>
      </c>
      <c r="CB171" s="396">
        <f>BW171</f>
        <v>0.13310108715238153</v>
      </c>
      <c r="CC171" s="396">
        <f>BX171</f>
        <v>0.13690120654641022</v>
      </c>
      <c r="CD171" s="396">
        <f>BY171</f>
        <v>0.18042452830188679</v>
      </c>
      <c r="CE171" s="355">
        <f>CE113/BZ74</f>
        <v>0.14019113902768052</v>
      </c>
      <c r="CF171" s="396">
        <f>CA171</f>
        <v>0.11500210957748176</v>
      </c>
      <c r="CG171" s="396">
        <f>CB171</f>
        <v>0.13310108715238153</v>
      </c>
      <c r="CH171" s="396">
        <f>CC171</f>
        <v>0.13690120654641022</v>
      </c>
      <c r="CI171" s="396">
        <f>CD171</f>
        <v>0.18042452830188679</v>
      </c>
      <c r="CJ171" s="355">
        <f>CJ113/CE74</f>
        <v>0.13998590274917597</v>
      </c>
      <c r="CK171" s="396">
        <f>CF171</f>
        <v>0.11500210957748176</v>
      </c>
      <c r="CL171" s="396">
        <f>CG171</f>
        <v>0.13310108715238153</v>
      </c>
      <c r="CM171" s="396">
        <f>CH171</f>
        <v>0.13690120654641022</v>
      </c>
      <c r="CN171" s="396">
        <f>CI171</f>
        <v>0.18042452830188679</v>
      </c>
      <c r="CO171" s="355">
        <f>CO113/CJ74</f>
        <v>0.13980440756276208</v>
      </c>
      <c r="CP171" s="396">
        <f>CK171</f>
        <v>0.11500210957748176</v>
      </c>
      <c r="CQ171" s="396">
        <f>CL171</f>
        <v>0.13310108715238153</v>
      </c>
      <c r="CR171" s="396">
        <f>CM171</f>
        <v>0.13690120654641022</v>
      </c>
      <c r="CS171" s="396">
        <f>CN171</f>
        <v>0.18042452830188679</v>
      </c>
      <c r="CT171" s="355">
        <f>CT113/CO74</f>
        <v>0.13964103770305109</v>
      </c>
      <c r="CU171" s="313"/>
      <c r="CV171" s="313"/>
    </row>
    <row r="172" spans="1:100" x14ac:dyDescent="0.2">
      <c r="A172" s="313" t="s">
        <v>159</v>
      </c>
      <c r="B172" s="313"/>
      <c r="C172" s="313"/>
      <c r="D172" s="320"/>
      <c r="E172" s="320"/>
      <c r="F172" s="320"/>
      <c r="G172" s="320"/>
      <c r="H172" s="321">
        <f>+H113/H74</f>
        <v>0.15511105657135846</v>
      </c>
      <c r="I172" s="320"/>
      <c r="J172" s="320"/>
      <c r="K172" s="320"/>
      <c r="L172" s="320"/>
      <c r="M172" s="321">
        <f>+M113/M74</f>
        <v>0.15067388549706254</v>
      </c>
      <c r="N172" s="320">
        <f>+N113*4/N74</f>
        <v>0.13068311628969614</v>
      </c>
      <c r="O172" s="320">
        <f>+O113*4/O74</f>
        <v>0.14501510574018128</v>
      </c>
      <c r="P172" s="320">
        <f>+P113*4/P74</f>
        <v>0.1448798156075074</v>
      </c>
      <c r="Q172" s="320">
        <f>+Q113*4/Q74</f>
        <v>0.19242283472695365</v>
      </c>
      <c r="R172" s="321">
        <f>+R113/R74</f>
        <v>0.14514297512129659</v>
      </c>
      <c r="S172" s="322">
        <f>+S113*4/S74</f>
        <v>0.11345185489672181</v>
      </c>
      <c r="T172" s="322">
        <f>+T113*4/T74</f>
        <v>0.13178525354768283</v>
      </c>
      <c r="U172" s="322">
        <f>+U113*4/U74</f>
        <v>0.13080696354717708</v>
      </c>
      <c r="V172" s="322">
        <f>+V113*4/V74</f>
        <v>0.1702885643035269</v>
      </c>
      <c r="W172" s="321">
        <f>+W113/W74</f>
        <v>0.12700391877449235</v>
      </c>
      <c r="X172" s="322">
        <f>+X113*4/X74</f>
        <v>0.10760898517268934</v>
      </c>
      <c r="Y172" s="322">
        <f>+Y113*4/Y74</f>
        <v>0.12931034482758622</v>
      </c>
      <c r="Z172" s="322">
        <f>+Z113*4/Z74</f>
        <v>0.1257505003335557</v>
      </c>
      <c r="AA172" s="322">
        <f>+AA113*4/AA74</f>
        <v>0.16736688673583125</v>
      </c>
      <c r="AB172" s="321">
        <f>+AB113/AB74</f>
        <v>0.1322987224556289</v>
      </c>
      <c r="AC172" s="322">
        <f>+AC113*4/AC74</f>
        <v>0.11109145586414293</v>
      </c>
      <c r="AD172" s="322">
        <f>+AD113*4/AD74</f>
        <v>0.12525320729237002</v>
      </c>
      <c r="AE172" s="322">
        <f>+AE113*4/AE74</f>
        <v>0.13230283387351449</v>
      </c>
      <c r="AF172" s="322">
        <f>+AF113*4/AF74</f>
        <v>0.17425617551890143</v>
      </c>
      <c r="AG172" s="321">
        <f>+AG113/AG74</f>
        <v>0.12903480388288216</v>
      </c>
      <c r="AH172" s="322">
        <f>+AH113*4/AH74</f>
        <v>7.978779840848807E-2</v>
      </c>
      <c r="AI172" s="322">
        <f>+AI113*4/AI74</f>
        <v>0.12894107414655359</v>
      </c>
      <c r="AJ172" s="322">
        <f>+AJ113*4/AJ74</f>
        <v>0.13186576022445234</v>
      </c>
      <c r="AK172" s="322">
        <f>+AK113*4/AK74</f>
        <v>0.15678455241893169</v>
      </c>
      <c r="AL172" s="321">
        <f>+AL113/AL74</f>
        <v>0.12210095497953616</v>
      </c>
      <c r="AM172" s="322">
        <f>+AM113*4/AM74</f>
        <v>0.10290717693934773</v>
      </c>
      <c r="AN172" s="320">
        <f>+AN113*4/AN74</f>
        <v>0.12736165723602186</v>
      </c>
      <c r="AO172" s="320">
        <f>+AO113*4/AO74</f>
        <v>0.13309543328350293</v>
      </c>
      <c r="AP172" s="320">
        <f>+AP113*4/AP74</f>
        <v>0.17463701898669914</v>
      </c>
      <c r="AQ172" s="321">
        <f>+AQ113/AQ74</f>
        <v>0.13894811656005687</v>
      </c>
      <c r="AR172" s="320">
        <f>+AR113*4/AR74</f>
        <v>0.11097225693576605</v>
      </c>
      <c r="AS172" s="320">
        <f>+AS113*4/AS74</f>
        <v>0.13957005509344281</v>
      </c>
      <c r="AT172" s="320">
        <f>+AT113*4/AT74</f>
        <v>0.13729087965461415</v>
      </c>
      <c r="AU172" s="320">
        <f>+AU113*4/AU74</f>
        <v>0.17809364548494983</v>
      </c>
      <c r="AV172" s="321">
        <f>+AV113/AV74</f>
        <v>0.14052048494983277</v>
      </c>
      <c r="AW172" s="320">
        <f>+AW113*4/AW74</f>
        <v>0.1169603056675865</v>
      </c>
      <c r="AX172" s="320">
        <f>+AX113*4/AX74</f>
        <v>0.13790103317020119</v>
      </c>
      <c r="AY172" s="320">
        <f>+AY113*4/AY74</f>
        <v>0.1394422310756972</v>
      </c>
      <c r="AZ172" s="320">
        <f>+AZ113*4/AZ74</f>
        <v>0.18261103633916553</v>
      </c>
      <c r="BA172" s="321">
        <f>+BA113/BA74</f>
        <v>0.14336473755047105</v>
      </c>
      <c r="BB172" s="320">
        <f>+BB113*4/BB74</f>
        <v>0.11738099178112417</v>
      </c>
      <c r="BC172" s="320">
        <f>+BC113*4/BC74</f>
        <v>0.13865962363816442</v>
      </c>
      <c r="BD172" s="320">
        <f>+BD113*4/BD74</f>
        <v>0.14100061353115065</v>
      </c>
      <c r="BE172" s="320">
        <f>+BE113*4/BE74</f>
        <v>0.19276270006958943</v>
      </c>
      <c r="BF172" s="321">
        <f>+BF113/BF74</f>
        <v>0.15222686151704942</v>
      </c>
      <c r="BG172" s="320">
        <f>+BG113*4/BG74</f>
        <v>0.11895910780669144</v>
      </c>
      <c r="BH172" s="320">
        <f>+BH113*4/BH74</f>
        <v>0.13838432122370936</v>
      </c>
      <c r="BI172" s="320">
        <f>+BI113*4/BI74</f>
        <v>0.1410947864360548</v>
      </c>
      <c r="BJ172" s="320">
        <f>+BJ113*4/BJ74</f>
        <v>0.18925047496476069</v>
      </c>
      <c r="BK172" s="321">
        <f>+BK113/BK74</f>
        <v>0.14806643378071949</v>
      </c>
      <c r="BL172" s="320">
        <f>+BL113*4/BL74</f>
        <v>0.11946600434647625</v>
      </c>
      <c r="BM172" s="320">
        <f>+BM113*4/BM74</f>
        <v>0.13884949750292866</v>
      </c>
      <c r="BN172" s="320">
        <f>+BN113*4/BN74</f>
        <v>0.13909843606255751</v>
      </c>
      <c r="BO172" s="320">
        <f>+BO113*4/BO74</f>
        <v>0.18250858899403291</v>
      </c>
      <c r="BP172" s="321">
        <f>+BP113/BP74</f>
        <v>0.14272798505213671</v>
      </c>
      <c r="BQ172" s="320">
        <f>+BQ113*4/BQ74</f>
        <v>0.11460147756622019</v>
      </c>
      <c r="BR172" s="631">
        <f>+BR113*4/BR74</f>
        <v>0.13236172500298651</v>
      </c>
      <c r="BS172" s="320">
        <f>+BS113*4/BS74</f>
        <v>0.13514150943396228</v>
      </c>
      <c r="BT172" s="320">
        <f>+BT113*4/BT74</f>
        <v>0.17749419953596288</v>
      </c>
      <c r="BU172" s="321">
        <f>+BU113/BU74</f>
        <v>0.13741299303944315</v>
      </c>
      <c r="BV172" s="320">
        <f>+BV113*4/BV74</f>
        <v>0.11536551305917545</v>
      </c>
      <c r="BW172" s="320">
        <f>+BW113*4/BW74</f>
        <v>0.13191032446460907</v>
      </c>
      <c r="BX172" s="320">
        <f>+BX113*4/BX74</f>
        <v>0.13553195803829696</v>
      </c>
      <c r="BY172" s="320">
        <f>+BY113*4/BY74</f>
        <v>0.17176017301014787</v>
      </c>
      <c r="BZ172" s="321">
        <f>+BZ113/BZ74</f>
        <v>0.1332144079552473</v>
      </c>
      <c r="CA172" s="320">
        <f>+CA113*4/CA74</f>
        <v>0.11620592747502687</v>
      </c>
      <c r="CB172" s="320">
        <f>+CB113*4/CB74</f>
        <v>0.13315427359962545</v>
      </c>
      <c r="CC172" s="320">
        <f>+CC113*4/CC74</f>
        <v>0.13680371729951019</v>
      </c>
      <c r="CD172" s="320">
        <f>+CD113*4/CD74</f>
        <v>0.17302424129931113</v>
      </c>
      <c r="CE172" s="321">
        <f>+CE113/CE74</f>
        <v>0.13580587036722028</v>
      </c>
      <c r="CF172" s="320">
        <f>+CF113*4/CF74</f>
        <v>0.11629544813027272</v>
      </c>
      <c r="CG172" s="320">
        <f>+CG113*4/CG74</f>
        <v>0.13328261902567304</v>
      </c>
      <c r="CH172" s="320">
        <f>+CH113*4/CH74</f>
        <v>0.13693860878569622</v>
      </c>
      <c r="CI172" s="320">
        <f>+CI113*4/CI74</f>
        <v>0.1731996105450023</v>
      </c>
      <c r="CJ172" s="321">
        <f>+CJ113/CJ74</f>
        <v>0.13611409358359716</v>
      </c>
      <c r="CK172" s="320">
        <f>+CK113*4/CK74</f>
        <v>0.11637662038478144</v>
      </c>
      <c r="CL172" s="320">
        <f>+CL113*4/CL74</f>
        <v>0.13339466208757281</v>
      </c>
      <c r="CM172" s="320">
        <f>+CM113*4/CM74</f>
        <v>0.13705624333344874</v>
      </c>
      <c r="CN172" s="320">
        <f>+CN113*4/CN74</f>
        <v>0.1733233986272599</v>
      </c>
      <c r="CO172" s="321">
        <f>+CO113/CO74</f>
        <v>0.13636119915714714</v>
      </c>
      <c r="CP172" s="320">
        <f>+CP113*4/CP74</f>
        <v>0.11645157109891573</v>
      </c>
      <c r="CQ172" s="320">
        <f>+CQ113*4/CQ74</f>
        <v>0.133494096295415</v>
      </c>
      <c r="CR172" s="320">
        <f>+CR113*4/CR74</f>
        <v>0.13716044747836628</v>
      </c>
      <c r="CS172" s="320">
        <f>+CS113*4/CS74</f>
        <v>0.17340457694629527</v>
      </c>
      <c r="CT172" s="321">
        <f>+CT113/CT74</f>
        <v>0.13655879154895878</v>
      </c>
      <c r="CU172" s="313"/>
      <c r="CV172" s="313"/>
    </row>
    <row r="173" spans="1:100" x14ac:dyDescent="0.2">
      <c r="A173" s="462" t="s">
        <v>160</v>
      </c>
      <c r="B173" s="462"/>
      <c r="C173" s="462"/>
      <c r="D173" s="324"/>
      <c r="E173" s="324"/>
      <c r="F173" s="324"/>
      <c r="G173" s="324"/>
      <c r="H173" s="321"/>
      <c r="I173" s="324"/>
      <c r="J173" s="324"/>
      <c r="K173" s="324"/>
      <c r="L173" s="324"/>
      <c r="M173" s="321">
        <f>-AVERAGE(M85,H85)/M8</f>
        <v>0.41324380312879494</v>
      </c>
      <c r="N173" s="324">
        <f>-N85/N8/4</f>
        <v>0.47155638082376772</v>
      </c>
      <c r="O173" s="324">
        <f>-O85/O8/4</f>
        <v>0.40031071983428274</v>
      </c>
      <c r="P173" s="324">
        <f>-P85/P8/4</f>
        <v>0.39544790652385586</v>
      </c>
      <c r="Q173" s="324">
        <f>-Q85/Q8/4</f>
        <v>0.336231884057971</v>
      </c>
      <c r="R173" s="321">
        <f>-AVERAGE(R85,M85)/R8</f>
        <v>0.39547646237787082</v>
      </c>
      <c r="S173" s="363">
        <f>-S85/S8/4</f>
        <v>0.47237442922374429</v>
      </c>
      <c r="T173" s="363">
        <f>-T85/T8/4</f>
        <v>0.39555504375863659</v>
      </c>
      <c r="U173" s="363">
        <f>-U85/U8/4</f>
        <v>0.39393775664577479</v>
      </c>
      <c r="V173" s="363">
        <f>-V85/V8/4</f>
        <v>0.32857883817427386</v>
      </c>
      <c r="W173" s="321">
        <f>-AVERAGE(W85,R85)/W8</f>
        <v>0.39078611819492182</v>
      </c>
      <c r="X173" s="363">
        <f>-X85/X8/4</f>
        <v>0.48161189358372458</v>
      </c>
      <c r="Y173" s="363">
        <f>-Y85/Y8/4</f>
        <v>0.39316660102402523</v>
      </c>
      <c r="Z173" s="363">
        <f>-Z85/Z8/4</f>
        <v>0.38017274107820803</v>
      </c>
      <c r="AA173" s="363">
        <f>-AA85/AA8/4</f>
        <v>0.3399490466798159</v>
      </c>
      <c r="AB173" s="321">
        <f>-AVERAGE(AB85,W85)/AB8</f>
        <v>0.3917045005921832</v>
      </c>
      <c r="AC173" s="363">
        <f>-AC85/AC8/4</f>
        <v>0.50454059829059827</v>
      </c>
      <c r="AD173" s="363">
        <f>-AD85/AD8/4</f>
        <v>0.3980741651300963</v>
      </c>
      <c r="AE173" s="363">
        <f>-AE85/AE8/4</f>
        <v>0.39282956958116194</v>
      </c>
      <c r="AF173" s="363">
        <f>-AF85/AF8/4</f>
        <v>0.32285873192436038</v>
      </c>
      <c r="AG173" s="321">
        <f>-AVERAGE(AG85,AB85)/AG8</f>
        <v>0.40798049654211654</v>
      </c>
      <c r="AH173" s="363">
        <f>-AH85/AH8/4</f>
        <v>0.57107843137254899</v>
      </c>
      <c r="AI173" s="363">
        <f>-AI85/AI8/4</f>
        <v>0.36881744604316546</v>
      </c>
      <c r="AJ173" s="363">
        <f>-AJ85/AJ8/4</f>
        <v>0.38259905592905163</v>
      </c>
      <c r="AK173" s="363">
        <f>-AK85/AK8/4</f>
        <v>0.327624475104979</v>
      </c>
      <c r="AL173" s="321">
        <f>-AVERAGE(AL85,AG85)/AL8</f>
        <v>0.36382734912146675</v>
      </c>
      <c r="AM173" s="363">
        <f>-AM85/AM8/4</f>
        <v>0.47307408091631259</v>
      </c>
      <c r="AN173" s="363">
        <f>-AN85/AN8/4</f>
        <v>0.35912174896343763</v>
      </c>
      <c r="AO173" s="363">
        <f>-AO85/AO8/4</f>
        <v>0.34098709906497809</v>
      </c>
      <c r="AP173" s="363">
        <f>-AP85/AP8/4</f>
        <v>0.31067011943769157</v>
      </c>
      <c r="AQ173" s="321">
        <f>-AVERAGE(AQ85,AL85)/AQ8</f>
        <v>0.36250879099801803</v>
      </c>
      <c r="AR173" s="363">
        <f>-AR85/AR8/4</f>
        <v>0.46833109919571048</v>
      </c>
      <c r="AS173" s="363">
        <f>-AS85/AS8/4</f>
        <v>0.34953616647862606</v>
      </c>
      <c r="AT173" s="363">
        <f>-AT85/AT8/4</f>
        <v>0.36608369768894439</v>
      </c>
      <c r="AU173" s="363">
        <f>-AU85/AU8/4</f>
        <v>0.3061471193415638</v>
      </c>
      <c r="AV173" s="321">
        <f>-AVERAGE(AV85,AQ85)/AV8</f>
        <v>0.37353962740764129</v>
      </c>
      <c r="AW173" s="363">
        <f>-AW85/AW8/4</f>
        <v>0.47789867392043522</v>
      </c>
      <c r="AX173" s="363">
        <f>-AX85/AX8/4</f>
        <v>0.38082200402819738</v>
      </c>
      <c r="AY173" s="363">
        <f>-AY85/AY8/4</f>
        <v>0.38121098626716604</v>
      </c>
      <c r="AZ173" s="363">
        <f>-AZ85/AZ8/4</f>
        <v>0.32371629300547577</v>
      </c>
      <c r="BA173" s="321">
        <f>-AVERAGE(BA85,AV85)/BA8</f>
        <v>0.38768840234808821</v>
      </c>
      <c r="BB173" s="363">
        <f>-BB85/BB8/4</f>
        <v>0.49637062339880444</v>
      </c>
      <c r="BC173" s="363">
        <f>-BC85/BC8/4</f>
        <v>0.4117311350665821</v>
      </c>
      <c r="BD173" s="363">
        <f>-BD85/BD8/4</f>
        <v>0.42072189202575533</v>
      </c>
      <c r="BE173" s="363">
        <f>-BE85/BE8/4</f>
        <v>0.34415653093601267</v>
      </c>
      <c r="BF173" s="321">
        <f>-AVERAGE(BF85,BA85)/BF8</f>
        <v>0.40850948162834577</v>
      </c>
      <c r="BG173" s="363">
        <f>-BG85/BG8/4</f>
        <v>0.55446672743846859</v>
      </c>
      <c r="BH173" s="363">
        <f>-BH85/BH8/4</f>
        <v>0.45370881014752518</v>
      </c>
      <c r="BI173" s="363">
        <f>-BI85/BI8/4</f>
        <v>0.45328603935216172</v>
      </c>
      <c r="BJ173" s="363">
        <f>-BJ85/BJ8/4</f>
        <v>0.39707784571966132</v>
      </c>
      <c r="BK173" s="321">
        <f>-AVERAGE(BK85,BF85)/BK8</f>
        <v>0.46186396405809216</v>
      </c>
      <c r="BL173" s="363">
        <f>-BL85/BL8/4</f>
        <v>0.62023602244147802</v>
      </c>
      <c r="BM173" s="363">
        <f>-BM85/BM8/4</f>
        <v>0.49633686348469463</v>
      </c>
      <c r="BN173" s="363">
        <f>-BN85/BN8/4</f>
        <v>0.49320783340228935</v>
      </c>
      <c r="BO173" s="363">
        <f>-BO85/BO8/4</f>
        <v>0.39678515712057055</v>
      </c>
      <c r="BP173" s="321">
        <f>-AVERAGE(BP85,BK85)/BP8</f>
        <v>0.49050800721179338</v>
      </c>
      <c r="BQ173" s="363">
        <f>-BQ85/BQ8/4</f>
        <v>0.61578699340245047</v>
      </c>
      <c r="BR173" s="632">
        <f>-BR85/BR8/4</f>
        <v>0.49105494817549339</v>
      </c>
      <c r="BS173" s="363">
        <f>-BS85/BS8/4</f>
        <v>0.49684403420659701</v>
      </c>
      <c r="BT173" s="363">
        <f>-BT85/BT8/4</f>
        <v>0.41355474774179335</v>
      </c>
      <c r="BU173" s="321">
        <f>-AVERAGE(BU85,BP85)/BU8</f>
        <v>0.5081096099746466</v>
      </c>
      <c r="BV173" s="35">
        <f>BQ173-0.006</f>
        <v>0.60978699340245046</v>
      </c>
      <c r="BW173" s="35">
        <f>BR173</f>
        <v>0.49105494817549339</v>
      </c>
      <c r="BX173" s="35">
        <f>BS173</f>
        <v>0.49684403420659701</v>
      </c>
      <c r="BY173" s="35">
        <f>BT173</f>
        <v>0.41355474774179335</v>
      </c>
      <c r="BZ173" s="321">
        <f>-AVERAGE(BZ85,BU85)/BZ8</f>
        <v>0.51062204559282021</v>
      </c>
      <c r="CA173" s="35">
        <f>BV173</f>
        <v>0.60978699340245046</v>
      </c>
      <c r="CB173" s="35">
        <f>BW173</f>
        <v>0.49105494817549339</v>
      </c>
      <c r="CC173" s="35">
        <f>BX173</f>
        <v>0.49684403420659701</v>
      </c>
      <c r="CD173" s="35">
        <f>BY173</f>
        <v>0.41355474774179335</v>
      </c>
      <c r="CE173" s="321">
        <f>-AVERAGE(CE85,BZ85)/CE8</f>
        <v>0.5117835657109111</v>
      </c>
      <c r="CF173" s="35">
        <f>CA173</f>
        <v>0.60978699340245046</v>
      </c>
      <c r="CG173" s="35">
        <f>CB173</f>
        <v>0.49105494817549339</v>
      </c>
      <c r="CH173" s="35">
        <f>CC173</f>
        <v>0.49684403420659701</v>
      </c>
      <c r="CI173" s="35">
        <f>CD173</f>
        <v>0.41355474774179335</v>
      </c>
      <c r="CJ173" s="321">
        <f>-AVERAGE(CJ85,CE85)/CJ8</f>
        <v>0.5123712398740472</v>
      </c>
      <c r="CK173" s="35">
        <f>CF173</f>
        <v>0.60978699340245046</v>
      </c>
      <c r="CL173" s="35">
        <f>CG173</f>
        <v>0.49105494817549339</v>
      </c>
      <c r="CM173" s="35">
        <f>CH173</f>
        <v>0.49684403420659701</v>
      </c>
      <c r="CN173" s="35">
        <f>CI173</f>
        <v>0.41355474774179335</v>
      </c>
      <c r="CO173" s="321">
        <f>-AVERAGE(CO85,CJ85)/CO8</f>
        <v>0.51242835084969329</v>
      </c>
      <c r="CP173" s="35">
        <f>CK173</f>
        <v>0.60978699340245046</v>
      </c>
      <c r="CQ173" s="35">
        <f>CL173</f>
        <v>0.49105494817549339</v>
      </c>
      <c r="CR173" s="35">
        <f>CM173</f>
        <v>0.49684403420659701</v>
      </c>
      <c r="CS173" s="35">
        <f>CN173</f>
        <v>0.41355474774179335</v>
      </c>
      <c r="CT173" s="321">
        <f>-AVERAGE(CT85,CO85)/CT8</f>
        <v>0.51275970645819946</v>
      </c>
      <c r="CU173" s="462"/>
      <c r="CV173" s="462"/>
    </row>
    <row r="174" spans="1:100" x14ac:dyDescent="0.2">
      <c r="A174" s="463"/>
      <c r="B174" s="462" t="s">
        <v>161</v>
      </c>
      <c r="C174" s="463"/>
      <c r="D174" s="464"/>
      <c r="E174" s="464"/>
      <c r="F174" s="464"/>
      <c r="G174" s="464"/>
      <c r="H174" s="465"/>
      <c r="I174" s="464"/>
      <c r="J174" s="464"/>
      <c r="K174" s="464"/>
      <c r="L174" s="464"/>
      <c r="M174" s="465">
        <f>-AVERAGE(M85,H85)/M8*365</f>
        <v>150.83398814201016</v>
      </c>
      <c r="N174" s="464">
        <f>-N85/N8*365/4</f>
        <v>172.11807900067521</v>
      </c>
      <c r="O174" s="464">
        <f>-O85/O8*365/4</f>
        <v>146.11341273951319</v>
      </c>
      <c r="P174" s="464">
        <f>-P85/P8*365/4</f>
        <v>144.33848588120739</v>
      </c>
      <c r="Q174" s="464">
        <f>-Q85/Q8*365/4</f>
        <v>122.72463768115941</v>
      </c>
      <c r="R174" s="465">
        <f>-AVERAGE(R85,M85)/R8*365</f>
        <v>144.34890876792284</v>
      </c>
      <c r="S174" s="466">
        <f>-S85/S8*365/4</f>
        <v>172.41666666666666</v>
      </c>
      <c r="T174" s="466">
        <f>-T85/T8*365/4</f>
        <v>144.37759097190235</v>
      </c>
      <c r="U174" s="466">
        <f>-U85/U8*365/4</f>
        <v>143.78728117570779</v>
      </c>
      <c r="V174" s="466">
        <f>-V85/V8*365/4</f>
        <v>119.93127593360995</v>
      </c>
      <c r="W174" s="465">
        <f>-AVERAGE(W85,R85)/W8*365</f>
        <v>142.63693314114647</v>
      </c>
      <c r="X174" s="466">
        <f>-X85/X8*365/4</f>
        <v>175.78834115805947</v>
      </c>
      <c r="Y174" s="466">
        <f>-Y85/Y8*365/4</f>
        <v>143.50580937376921</v>
      </c>
      <c r="Z174" s="466">
        <f>-Z85/Z8*365/4</f>
        <v>138.76305049354593</v>
      </c>
      <c r="AA174" s="466">
        <f>-AA85/AA8*365/4</f>
        <v>124.08140203813281</v>
      </c>
      <c r="AB174" s="465">
        <f>-AVERAGE(AB85,W85)/AB8*365</f>
        <v>142.97214271614686</v>
      </c>
      <c r="AC174" s="466">
        <f>-AC85/AC8*365/4</f>
        <v>184.15731837606836</v>
      </c>
      <c r="AD174" s="466">
        <f>-AD85/AD8*365/4</f>
        <v>145.29707027248514</v>
      </c>
      <c r="AE174" s="466">
        <f>-AE85/AE8*365/4</f>
        <v>143.38279289712412</v>
      </c>
      <c r="AF174" s="466">
        <f>-AF85/AF8*365/4</f>
        <v>117.84343715239153</v>
      </c>
      <c r="AG174" s="465">
        <f>-AVERAGE(AG85,AB85)/AG8*365</f>
        <v>148.91288123787254</v>
      </c>
      <c r="AH174" s="466">
        <f>-AH85/AH8*365/4</f>
        <v>208.44362745098039</v>
      </c>
      <c r="AI174" s="466">
        <f>-AI85/AI8*365/4</f>
        <v>134.61836780575538</v>
      </c>
      <c r="AJ174" s="466">
        <f>-AJ85/AJ8*365/4</f>
        <v>139.64865541410384</v>
      </c>
      <c r="AK174" s="466">
        <f>-AK85/AK8*365/4</f>
        <v>119.58293341331733</v>
      </c>
      <c r="AL174" s="465">
        <f>-AVERAGE(AL85,AG85)/AL8*365</f>
        <v>132.79698242933537</v>
      </c>
      <c r="AM174" s="466">
        <f>-AM85/AM8*365/4</f>
        <v>172.67203953445409</v>
      </c>
      <c r="AN174" s="464">
        <f>-AN85/AN8*365/4</f>
        <v>131.07943837165473</v>
      </c>
      <c r="AO174" s="464">
        <f>-AO85/AO8*365/4</f>
        <v>124.460291158717</v>
      </c>
      <c r="AP174" s="464">
        <f>-AP85/AP8*365/4</f>
        <v>113.39459359475742</v>
      </c>
      <c r="AQ174" s="465">
        <f>-AVERAGE(AQ85,AL85)/AQ8*365</f>
        <v>132.31570871427658</v>
      </c>
      <c r="AR174" s="464">
        <f>-AR85/AR8*365/4</f>
        <v>170.94085120643433</v>
      </c>
      <c r="AS174" s="464">
        <f>-AS85/AS8*365/4</f>
        <v>127.58070076469852</v>
      </c>
      <c r="AT174" s="464">
        <f>-AT85/AT8*365/4</f>
        <v>133.6205496564647</v>
      </c>
      <c r="AU174" s="464">
        <f>-AU85/AU8*365/4</f>
        <v>111.74369855967079</v>
      </c>
      <c r="AV174" s="465">
        <f>-AVERAGE(AV85,AQ85)/AV8*365</f>
        <v>136.34196400378906</v>
      </c>
      <c r="AW174" s="464">
        <f>-AW85/AW8*365/4</f>
        <v>174.43301598095886</v>
      </c>
      <c r="AX174" s="464">
        <f>-AX85/AX8*365/4</f>
        <v>139.00003147029204</v>
      </c>
      <c r="AY174" s="464">
        <f>-AY85/AY8*365/4</f>
        <v>139.14200998751559</v>
      </c>
      <c r="AZ174" s="464">
        <f>-AZ85/AZ8*365/4</f>
        <v>118.15644694699866</v>
      </c>
      <c r="BA174" s="465">
        <f>-AVERAGE(BA85,AV85)/BA8*365</f>
        <v>141.5062668570522</v>
      </c>
      <c r="BB174" s="464">
        <f>-BB85/BB8*365/4</f>
        <v>181.17527754056363</v>
      </c>
      <c r="BC174" s="464">
        <f>-BC85/BC8*365/4</f>
        <v>150.28186429930247</v>
      </c>
      <c r="BD174" s="464">
        <f>-BD85/BD8*365/4</f>
        <v>153.56349058940069</v>
      </c>
      <c r="BE174" s="464">
        <f>-BE85/BE8*365/4</f>
        <v>125.61713379164462</v>
      </c>
      <c r="BF174" s="465">
        <f>-AVERAGE(BF85,BA85)/BF8*365</f>
        <v>149.1059607943462</v>
      </c>
      <c r="BG174" s="464">
        <f>-BG85/BG8*365/4</f>
        <v>202.38035551504103</v>
      </c>
      <c r="BH174" s="464">
        <f>-BH85/BH8*365/4</f>
        <v>165.60371570384669</v>
      </c>
      <c r="BI174" s="464">
        <f>-BI85/BI8*365/4</f>
        <v>165.44940436353903</v>
      </c>
      <c r="BJ174" s="464">
        <f>-BJ85/BJ8*365/4</f>
        <v>144.93341368767639</v>
      </c>
      <c r="BK174" s="465">
        <f>-AVERAGE(BK85,BF85)/BK8*365</f>
        <v>168.58034688120364</v>
      </c>
      <c r="BL174" s="464">
        <f>-BL85/BL8*365/4</f>
        <v>226.38614819113948</v>
      </c>
      <c r="BM174" s="464">
        <f>-BM85/BM8*365/4</f>
        <v>181.16295517191355</v>
      </c>
      <c r="BN174" s="464">
        <f>-BN85/BN8*365/4</f>
        <v>180.02085919183563</v>
      </c>
      <c r="BO174" s="464">
        <f>-BO85/BO8*365/4</f>
        <v>144.82658234900825</v>
      </c>
      <c r="BP174" s="465">
        <f>-AVERAGE(BP85,BK85)/BP8*365</f>
        <v>179.03542263230457</v>
      </c>
      <c r="BQ174" s="464">
        <f>-BQ85/BQ8*365/4</f>
        <v>224.76225259189442</v>
      </c>
      <c r="BR174" s="633">
        <f>-BR85/BR8*365/4</f>
        <v>179.23505608405509</v>
      </c>
      <c r="BS174" s="464">
        <f>-BS85/BS8*365/4</f>
        <v>181.3480724854079</v>
      </c>
      <c r="BT174" s="464">
        <f>-BT85/BT8*365/4</f>
        <v>150.94748292575457</v>
      </c>
      <c r="BU174" s="465">
        <f>-AVERAGE(BU85,BP85)/BU8*365</f>
        <v>185.460007640746</v>
      </c>
      <c r="BV174" s="464">
        <f>-BV85/BV8*365/4</f>
        <v>222.57225259189443</v>
      </c>
      <c r="BW174" s="464">
        <f>-BW85/BW8*365/4</f>
        <v>179.23505608405509</v>
      </c>
      <c r="BX174" s="464">
        <f>-BX85/BX8*365/4</f>
        <v>181.3480724854079</v>
      </c>
      <c r="BY174" s="464">
        <f>-BY85/BY8*365/4</f>
        <v>150.94748292575457</v>
      </c>
      <c r="BZ174" s="465">
        <f>-AVERAGE(BZ85,BU85)/BZ8*365</f>
        <v>186.37704664137937</v>
      </c>
      <c r="CA174" s="464">
        <f>-CA85/CA8*365/4</f>
        <v>222.57225259189443</v>
      </c>
      <c r="CB174" s="464">
        <f>-CB85/CB8*365/4</f>
        <v>179.23505608405509</v>
      </c>
      <c r="CC174" s="464">
        <f>-CC85/CC8*365/4</f>
        <v>181.3480724854079</v>
      </c>
      <c r="CD174" s="464">
        <f>-CD85/CD8*365/4</f>
        <v>150.94748292575457</v>
      </c>
      <c r="CE174" s="465">
        <f>-AVERAGE(CE85,BZ85)/CE8*365</f>
        <v>186.80100148448255</v>
      </c>
      <c r="CF174" s="464">
        <f>-CF85/CF8*365/4</f>
        <v>222.57225259189443</v>
      </c>
      <c r="CG174" s="464">
        <f>-CG85/CG8*365/4</f>
        <v>179.23505608405509</v>
      </c>
      <c r="CH174" s="464">
        <f>-CH85/CH8*365/4</f>
        <v>181.3480724854079</v>
      </c>
      <c r="CI174" s="464">
        <f>-CI85/CI8*365/4</f>
        <v>150.94748292575457</v>
      </c>
      <c r="CJ174" s="465">
        <f>-AVERAGE(CJ85,CE85)/CJ8*365</f>
        <v>187.01550255402722</v>
      </c>
      <c r="CK174" s="464">
        <f>-CK85/CK8*365/4</f>
        <v>222.57225259189443</v>
      </c>
      <c r="CL174" s="464">
        <f>-CL85/CL8*365/4</f>
        <v>179.23505608405509</v>
      </c>
      <c r="CM174" s="464">
        <f>-CM85/CM8*365/4</f>
        <v>181.3480724854079</v>
      </c>
      <c r="CN174" s="464">
        <f>-CN85/CN8*365/4</f>
        <v>150.94748292575457</v>
      </c>
      <c r="CO174" s="465">
        <f>-AVERAGE(CO85,CJ85)/CO8*365</f>
        <v>187.03634806013804</v>
      </c>
      <c r="CP174" s="464">
        <f>-CP85/CP8*365/4</f>
        <v>222.57225259189443</v>
      </c>
      <c r="CQ174" s="464">
        <f>-CQ85/CQ8*365/4</f>
        <v>179.23505608405509</v>
      </c>
      <c r="CR174" s="464">
        <f>-CR85/CR8*365/4</f>
        <v>181.3480724854079</v>
      </c>
      <c r="CS174" s="464">
        <f>-CS85/CS8*365/4</f>
        <v>150.94748292575454</v>
      </c>
      <c r="CT174" s="465">
        <f>-AVERAGE(CT85,CO85)/CT8*365</f>
        <v>187.15729285724279</v>
      </c>
      <c r="CU174" s="467"/>
      <c r="CV174" s="467"/>
    </row>
    <row r="175" spans="1:100" x14ac:dyDescent="0.2">
      <c r="A175" s="462" t="s">
        <v>207</v>
      </c>
      <c r="B175" s="462"/>
      <c r="C175" s="462"/>
      <c r="D175" s="324"/>
      <c r="E175" s="324"/>
      <c r="F175" s="324"/>
      <c r="G175" s="324"/>
      <c r="H175" s="321"/>
      <c r="I175" s="324"/>
      <c r="J175" s="324"/>
      <c r="K175" s="324"/>
      <c r="L175" s="324"/>
      <c r="M175" s="321">
        <f>AVERAGE(M86,H86)/M$5</f>
        <v>1.0032976605276257E-2</v>
      </c>
      <c r="N175" s="324">
        <f>N86/N$5/4</f>
        <v>1.3357642506325346E-2</v>
      </c>
      <c r="O175" s="324">
        <f>O86/O$5/4</f>
        <v>1.2881569887537296E-2</v>
      </c>
      <c r="P175" s="324">
        <f>P86/P$5/4</f>
        <v>1.8283336982701993E-2</v>
      </c>
      <c r="Q175" s="324">
        <f>Q86/Q$5/4</f>
        <v>2.1286660359508044E-3</v>
      </c>
      <c r="R175" s="321">
        <f>AVERAGE(R86,M86)/R$5</f>
        <v>9.0502888692830918E-3</v>
      </c>
      <c r="S175" s="363">
        <f>S86/S$5/4</f>
        <v>1.0646258503401361E-2</v>
      </c>
      <c r="T175" s="363">
        <f>T86/T$5/4</f>
        <v>9.2380555844696569E-3</v>
      </c>
      <c r="U175" s="363">
        <f>U86/U$5/4</f>
        <v>1.929505456690591E-2</v>
      </c>
      <c r="V175" s="363">
        <f>V86/V$5/4</f>
        <v>3.0576705005669852E-3</v>
      </c>
      <c r="W175" s="321">
        <f>AVERAGE(W86,R86)/W$5</f>
        <v>3.0526422455287023E-3</v>
      </c>
      <c r="X175" s="363">
        <f>X86/X$5/4</f>
        <v>2.9401176047041881E-3</v>
      </c>
      <c r="Y175" s="363">
        <f>Y86/Y$5/4</f>
        <v>8.0630424851530387E-3</v>
      </c>
      <c r="Z175" s="363">
        <f>Z86/Z$5/4</f>
        <v>1.1272678762006404E-2</v>
      </c>
      <c r="AA175" s="363">
        <f>AA86/AA$5/4</f>
        <v>2.8478277947992774E-3</v>
      </c>
      <c r="AB175" s="321">
        <f>AVERAGE(AB86,W86)/AB$5</f>
        <v>3.4218861991630253E-3</v>
      </c>
      <c r="AC175" s="363">
        <f>AC86/AC$5/4</f>
        <v>5.445963935616604E-3</v>
      </c>
      <c r="AD175" s="363">
        <f>AD86/AD$5/4</f>
        <v>9.7243202416918435E-3</v>
      </c>
      <c r="AE175" s="363">
        <f>AE86/AE$5/4</f>
        <v>1.450812274368231E-2</v>
      </c>
      <c r="AF175" s="363">
        <f>AF86/AF$5/4</f>
        <v>3.1022035045498984E-3</v>
      </c>
      <c r="AG175" s="321">
        <f>AVERAGE(AG86,AB86)/AG$5</f>
        <v>3.5853071798667654E-3</v>
      </c>
      <c r="AH175" s="363">
        <f>AH86/AH$5/4</f>
        <v>3.3891972672929122E-3</v>
      </c>
      <c r="AI175" s="363">
        <f>AI86/AI$5/4</f>
        <v>3.9862171474900343E-3</v>
      </c>
      <c r="AJ175" s="363">
        <f>AJ86/AJ$5/4</f>
        <v>1.066778393708908E-2</v>
      </c>
      <c r="AK175" s="363">
        <f>AK86/AK$5/4</f>
        <v>9.7769209584136593E-4</v>
      </c>
      <c r="AL175" s="321">
        <f>AVERAGE(AL86,AG86)/AL$5</f>
        <v>2.0401811957536566E-3</v>
      </c>
      <c r="AM175" s="363">
        <f>AM86/AM$5/4</f>
        <v>7.1416603836809917E-3</v>
      </c>
      <c r="AN175" s="363">
        <f>AN86/AN$5/4</f>
        <v>1.3505081119629168E-2</v>
      </c>
      <c r="AO175" s="363">
        <f>AO86/AO$5/4</f>
        <v>1.3806734159936298E-2</v>
      </c>
      <c r="AP175" s="363">
        <f>AP86/AP$5/4</f>
        <v>2.4571282313795751E-3</v>
      </c>
      <c r="AQ175" s="321">
        <f>AVERAGE(AQ86,AL86)/AQ$5</f>
        <v>1.9960231326179019E-3</v>
      </c>
      <c r="AR175" s="363">
        <f>AR86/AR$5/4</f>
        <v>2.9972642420341166E-3</v>
      </c>
      <c r="AS175" s="363">
        <f>AS86/AS$5/4</f>
        <v>1.1848341232227489E-3</v>
      </c>
      <c r="AT175" s="363">
        <f>AT86/AT$5/4</f>
        <v>4.3087917367283209E-3</v>
      </c>
      <c r="AU175" s="363">
        <f>AU86/AU$5/4</f>
        <v>4.6481908389295378E-3</v>
      </c>
      <c r="AV175" s="321">
        <f>AVERAGE(AV86,AQ86)/AV$5</f>
        <v>4.298234898918952E-3</v>
      </c>
      <c r="AW175" s="363">
        <f>AW86/AW$5/4</f>
        <v>1.1425959780621572E-2</v>
      </c>
      <c r="AX175" s="363">
        <f>AX86/AX$5/4</f>
        <v>1.1349437734277384E-2</v>
      </c>
      <c r="AY175" s="363">
        <f>AY86/AY$5/4</f>
        <v>1.4755455674492874E-2</v>
      </c>
      <c r="AZ175" s="363">
        <f>AZ86/AZ$5/4</f>
        <v>0</v>
      </c>
      <c r="BA175" s="321">
        <f>AVERAGE(BA86,AV86)/BA$5</f>
        <v>2.793043740118949E-3</v>
      </c>
      <c r="BB175" s="363">
        <f>BB86/BB$5/4</f>
        <v>0</v>
      </c>
      <c r="BC175" s="363">
        <f>BC86/BC$5/4</f>
        <v>0</v>
      </c>
      <c r="BD175" s="363">
        <f>BD86/BD$5/4</f>
        <v>0</v>
      </c>
      <c r="BE175" s="363">
        <f>BE86/BE$5/4</f>
        <v>0</v>
      </c>
      <c r="BF175" s="321">
        <f>AVERAGE(BF86,BA86)/BF$5</f>
        <v>0</v>
      </c>
      <c r="BG175" s="363">
        <f>BG86/BG$5/4</f>
        <v>0</v>
      </c>
      <c r="BH175" s="363">
        <f ca="1">BH86/BH$5/4</f>
        <v>0</v>
      </c>
      <c r="BI175" s="363">
        <f ca="1">BI86/BI$5/4</f>
        <v>0</v>
      </c>
      <c r="BJ175" s="363">
        <f ca="1">BJ86/BJ$5/4</f>
        <v>0</v>
      </c>
      <c r="BK175" s="321">
        <f ca="1">AVERAGE(BK86,BF86)/BK$5</f>
        <v>0</v>
      </c>
      <c r="BL175" s="363">
        <f ca="1">BL86/BL$5/4</f>
        <v>0</v>
      </c>
      <c r="BM175" s="363">
        <f>BM86/BM$5/4</f>
        <v>0</v>
      </c>
      <c r="BN175" s="363">
        <f ca="1">BN86/BN$5/4</f>
        <v>0</v>
      </c>
      <c r="BO175" s="363">
        <f>BO86/BO$5/4</f>
        <v>0</v>
      </c>
      <c r="BP175" s="321">
        <f ca="1">AVERAGE(BP86,BK86)/BP$5</f>
        <v>0</v>
      </c>
      <c r="BQ175" s="363">
        <f>BQ86/BQ$5/4</f>
        <v>0</v>
      </c>
      <c r="BR175" s="632">
        <f ca="1">BR86/BR$5/4</f>
        <v>0</v>
      </c>
      <c r="BS175" s="363">
        <f>BS86/BS$5/4</f>
        <v>0</v>
      </c>
      <c r="BT175" s="363">
        <f>BT86/BT$5/4</f>
        <v>0</v>
      </c>
      <c r="BU175" s="321">
        <f>AVERAGE(BU86,BP86)/BU$5</f>
        <v>0</v>
      </c>
      <c r="BV175" s="35">
        <f>BQ175</f>
        <v>0</v>
      </c>
      <c r="BW175" s="35">
        <f ca="1">BR175</f>
        <v>0</v>
      </c>
      <c r="BX175" s="35">
        <f>BS175</f>
        <v>0</v>
      </c>
      <c r="BY175" s="35">
        <f>BT175</f>
        <v>0</v>
      </c>
      <c r="BZ175" s="321">
        <f>AVERAGE(BZ86,BU86)/BZ$5</f>
        <v>0</v>
      </c>
      <c r="CA175" s="35">
        <f>BV175</f>
        <v>0</v>
      </c>
      <c r="CB175" s="35">
        <f ca="1">BW175</f>
        <v>0</v>
      </c>
      <c r="CC175" s="35">
        <f>BX175</f>
        <v>0</v>
      </c>
      <c r="CD175" s="35">
        <f>BY175</f>
        <v>0</v>
      </c>
      <c r="CE175" s="321">
        <f>AVERAGE(CE86,BZ86)/CE$5</f>
        <v>0</v>
      </c>
      <c r="CF175" s="35">
        <f>CA175</f>
        <v>0</v>
      </c>
      <c r="CG175" s="35">
        <f ca="1">CB175</f>
        <v>0</v>
      </c>
      <c r="CH175" s="35">
        <f>CC175</f>
        <v>0</v>
      </c>
      <c r="CI175" s="35">
        <f>CD175</f>
        <v>0</v>
      </c>
      <c r="CJ175" s="321">
        <f>AVERAGE(CJ86,CE86)/CJ$5</f>
        <v>0</v>
      </c>
      <c r="CK175" s="35">
        <f>CF175</f>
        <v>0</v>
      </c>
      <c r="CL175" s="35">
        <f ca="1">CG175</f>
        <v>0</v>
      </c>
      <c r="CM175" s="35">
        <f>CH175</f>
        <v>0</v>
      </c>
      <c r="CN175" s="35">
        <f>CI175</f>
        <v>0</v>
      </c>
      <c r="CO175" s="321">
        <f>AVERAGE(CO86,CJ86)/CO$5</f>
        <v>0</v>
      </c>
      <c r="CP175" s="35">
        <f>CK175</f>
        <v>0</v>
      </c>
      <c r="CQ175" s="35">
        <f ca="1">CL175</f>
        <v>0</v>
      </c>
      <c r="CR175" s="35">
        <f>CM175</f>
        <v>0</v>
      </c>
      <c r="CS175" s="35">
        <f>CN175</f>
        <v>0</v>
      </c>
      <c r="CT175" s="321">
        <f>AVERAGE(CT86,CO86)/CT$5</f>
        <v>0</v>
      </c>
      <c r="CU175" s="462"/>
      <c r="CV175" s="462"/>
    </row>
    <row r="176" spans="1:100" x14ac:dyDescent="0.2">
      <c r="A176" s="462" t="s">
        <v>133</v>
      </c>
      <c r="B176" s="462"/>
      <c r="C176" s="462"/>
      <c r="D176" s="472"/>
      <c r="E176" s="472"/>
      <c r="F176" s="472"/>
      <c r="G176" s="472"/>
      <c r="H176" s="473">
        <f>-H142/H54</f>
        <v>0.76865240023134762</v>
      </c>
      <c r="I176" s="472"/>
      <c r="J176" s="472"/>
      <c r="K176" s="472"/>
      <c r="L176" s="472"/>
      <c r="M176" s="473">
        <f t="shared" ref="M176:AJ176" si="326">-M142/M54</f>
        <v>0.9624853458382181</v>
      </c>
      <c r="N176" s="472">
        <f t="shared" si="326"/>
        <v>0.25486725663716814</v>
      </c>
      <c r="O176" s="472">
        <f t="shared" si="326"/>
        <v>0.25518058022498519</v>
      </c>
      <c r="P176" s="472">
        <f t="shared" si="326"/>
        <v>0.29383886255924169</v>
      </c>
      <c r="Q176" s="472">
        <f t="shared" si="326"/>
        <v>0.29446757882212971</v>
      </c>
      <c r="R176" s="473">
        <f t="shared" si="326"/>
        <v>1.098992294013041</v>
      </c>
      <c r="S176" s="474">
        <f t="shared" si="326"/>
        <v>0.29766885833831441</v>
      </c>
      <c r="T176" s="474">
        <f t="shared" si="326"/>
        <v>0.2948948948948949</v>
      </c>
      <c r="U176" s="474">
        <f t="shared" si="326"/>
        <v>0.36886735311932162</v>
      </c>
      <c r="V176" s="474">
        <f t="shared" si="326"/>
        <v>0.36838905775075986</v>
      </c>
      <c r="W176" s="473">
        <f t="shared" si="326"/>
        <v>1.3293124246079615</v>
      </c>
      <c r="X176" s="474">
        <f t="shared" si="326"/>
        <v>0.37377450980392157</v>
      </c>
      <c r="Y176" s="474">
        <f t="shared" si="326"/>
        <v>0.3715880893300248</v>
      </c>
      <c r="Z176" s="474">
        <f t="shared" si="326"/>
        <v>0.42059008160703076</v>
      </c>
      <c r="AA176" s="474">
        <f t="shared" si="326"/>
        <v>0.41951837769328265</v>
      </c>
      <c r="AB176" s="473">
        <f t="shared" si="326"/>
        <v>1.5865384615384617</v>
      </c>
      <c r="AC176" s="474">
        <f t="shared" si="326"/>
        <v>0.42611464968152868</v>
      </c>
      <c r="AD176" s="474">
        <f t="shared" si="326"/>
        <v>0.42111959287531808</v>
      </c>
      <c r="AE176" s="474">
        <f t="shared" si="326"/>
        <v>0.44451490171211161</v>
      </c>
      <c r="AF176" s="474">
        <f t="shared" si="326"/>
        <v>0.44191919191919193</v>
      </c>
      <c r="AG176" s="473">
        <f t="shared" si="326"/>
        <v>1.7324032974001269</v>
      </c>
      <c r="AH176" s="474">
        <f t="shared" si="326"/>
        <v>0.44333748443337484</v>
      </c>
      <c r="AI176" s="474">
        <f t="shared" si="326"/>
        <v>0.45226438188494494</v>
      </c>
      <c r="AJ176" s="474">
        <f t="shared" si="326"/>
        <v>0.47580645161290325</v>
      </c>
      <c r="AK176" s="474">
        <f t="shared" ref="AK176:AU176" si="327">-AK142/AK54</f>
        <v>0.47293092719352831</v>
      </c>
      <c r="AL176" s="473">
        <f t="shared" si="327"/>
        <v>1.8442483356556743</v>
      </c>
      <c r="AM176" s="474">
        <f t="shared" si="327"/>
        <v>0.47912772585669783</v>
      </c>
      <c r="AN176" s="474">
        <f t="shared" si="327"/>
        <v>0.47414330218068534</v>
      </c>
      <c r="AO176" s="474">
        <f t="shared" si="327"/>
        <v>0.51219512195121952</v>
      </c>
      <c r="AP176" s="474">
        <f t="shared" si="327"/>
        <v>0.51010101010101006</v>
      </c>
      <c r="AQ176" s="473">
        <f t="shared" si="327"/>
        <v>1.9752854684811512</v>
      </c>
      <c r="AR176" s="474">
        <f t="shared" si="327"/>
        <v>0.51515151515151514</v>
      </c>
      <c r="AS176" s="472">
        <f t="shared" si="327"/>
        <v>0.51233396584440227</v>
      </c>
      <c r="AT176" s="472">
        <f t="shared" si="327"/>
        <v>0.53587301587301583</v>
      </c>
      <c r="AU176" s="474">
        <f t="shared" si="327"/>
        <v>0.53388746803069054</v>
      </c>
      <c r="AV176" s="473">
        <f>-AV142/AV54</f>
        <v>2.0970812182741119</v>
      </c>
      <c r="AW176" s="474">
        <f>-AW142/AW53</f>
        <v>0.53821243523316065</v>
      </c>
      <c r="AX176" s="474">
        <f>-AX142/AX53</f>
        <v>0.54651162790697672</v>
      </c>
      <c r="AY176" s="474">
        <f>-AY142/AY53</f>
        <v>0.57133592736705574</v>
      </c>
      <c r="AZ176" s="474">
        <f>-AZ142/AZ53</f>
        <v>0.57180156657963443</v>
      </c>
      <c r="BA176" s="473">
        <f>-BA142/BA54</f>
        <v>2.2002242511613006</v>
      </c>
      <c r="BB176" s="474">
        <f>-BB142/BB53</f>
        <v>0.58267716535433067</v>
      </c>
      <c r="BC176" s="474">
        <f>-BC142/BC53</f>
        <v>0.57029702970297025</v>
      </c>
      <c r="BD176" s="474">
        <f>-BD142/BD53</f>
        <v>0.65892501658925018</v>
      </c>
      <c r="BE176" s="474">
        <f>-BE142/BE53</f>
        <v>0.65930388219544844</v>
      </c>
      <c r="BF176" s="473">
        <f>-BF142/BF54</f>
        <v>2.4414989363442974</v>
      </c>
      <c r="BG176" s="474">
        <f>-BG142/BG53</f>
        <v>0.65902964959568733</v>
      </c>
      <c r="BH176" s="474">
        <f>-BH142/BH53</f>
        <v>0.67411924119241196</v>
      </c>
      <c r="BI176" s="474">
        <f>-BI142/BI53</f>
        <v>0.70552147239263807</v>
      </c>
      <c r="BJ176" s="474">
        <f>-BJ142/BJ53</f>
        <v>0.70976616231086653</v>
      </c>
      <c r="BK176" s="473">
        <f>-BK142/BK54</f>
        <v>2.7173364721708424</v>
      </c>
      <c r="BL176" s="634">
        <f>+-BL142/BL59</f>
        <v>0.71784232365145229</v>
      </c>
      <c r="BM176" s="634">
        <f>+-BM142/BM59</f>
        <v>0.70824670824670821</v>
      </c>
      <c r="BN176" s="634">
        <f>+-BN142/BN59</f>
        <v>0.75382475660639781</v>
      </c>
      <c r="BO176" s="634">
        <f>+-BO142/BO59</f>
        <v>0.75681341719077566</v>
      </c>
      <c r="BP176" s="473">
        <f>SUM(BL176:BO176)</f>
        <v>2.936727205695334</v>
      </c>
      <c r="BQ176" s="634">
        <v>0.75249999999999995</v>
      </c>
      <c r="BR176" s="634">
        <v>0.80500000000000005</v>
      </c>
      <c r="BS176" s="634">
        <v>0.80500000000000005</v>
      </c>
      <c r="BT176" s="634">
        <v>0.80500000000000005</v>
      </c>
      <c r="BU176" s="473">
        <f>SUM(BQ176:BT176)</f>
        <v>3.1675000000000004</v>
      </c>
      <c r="BV176" s="475">
        <f>BT176</f>
        <v>0.80500000000000005</v>
      </c>
      <c r="BW176" s="475">
        <f>3.71/4</f>
        <v>0.92749999999999999</v>
      </c>
      <c r="BX176" s="475">
        <f>3.71/4</f>
        <v>0.92749999999999999</v>
      </c>
      <c r="BY176" s="475">
        <f>3.71/4</f>
        <v>0.92749999999999999</v>
      </c>
      <c r="BZ176" s="473">
        <f ca="1">-BZ142/BZ54</f>
        <v>3.5872357024078751</v>
      </c>
      <c r="CA176" s="475">
        <f>3.71/4</f>
        <v>0.92749999999999999</v>
      </c>
      <c r="CB176" s="475">
        <f>CA176*1.06</f>
        <v>0.98315000000000008</v>
      </c>
      <c r="CC176" s="475">
        <f>CB176</f>
        <v>0.98315000000000008</v>
      </c>
      <c r="CD176" s="475">
        <f>CC176</f>
        <v>0.98315000000000008</v>
      </c>
      <c r="CE176" s="473">
        <f ca="1">-CE142/CE54</f>
        <v>3.8768344286188872</v>
      </c>
      <c r="CF176" s="475">
        <f>CD176</f>
        <v>0.98315000000000008</v>
      </c>
      <c r="CG176" s="475">
        <f>CF176*1.06</f>
        <v>1.0421390000000001</v>
      </c>
      <c r="CH176" s="475">
        <f>CG176</f>
        <v>1.0421390000000001</v>
      </c>
      <c r="CI176" s="475">
        <f>CH176</f>
        <v>1.0421390000000001</v>
      </c>
      <c r="CJ176" s="473">
        <f ca="1">-CJ142/CJ54</f>
        <v>4.1094492320056411</v>
      </c>
      <c r="CK176" s="475">
        <f>CI176</f>
        <v>1.0421390000000001</v>
      </c>
      <c r="CL176" s="475">
        <f>CK176*1.06</f>
        <v>1.1046673400000002</v>
      </c>
      <c r="CM176" s="475">
        <f>CL176</f>
        <v>1.1046673400000002</v>
      </c>
      <c r="CN176" s="475">
        <f>CM176</f>
        <v>1.1046673400000002</v>
      </c>
      <c r="CO176" s="473">
        <f ca="1">-CO142/CO54</f>
        <v>4.3560211764628463</v>
      </c>
      <c r="CP176" s="475">
        <f>CN176</f>
        <v>1.1046673400000002</v>
      </c>
      <c r="CQ176" s="475">
        <f>CP176*1.06</f>
        <v>1.1709473804000003</v>
      </c>
      <c r="CR176" s="475">
        <f>CQ176</f>
        <v>1.1709473804000003</v>
      </c>
      <c r="CS176" s="475">
        <f>CR176</f>
        <v>1.1709473804000003</v>
      </c>
      <c r="CT176" s="473">
        <f ca="1">-CT142/CT54</f>
        <v>4.6173877011849216</v>
      </c>
      <c r="CU176" s="462"/>
      <c r="CV176" s="462"/>
    </row>
    <row r="177" spans="1:100" x14ac:dyDescent="0.2">
      <c r="A177" s="462" t="s">
        <v>38</v>
      </c>
      <c r="B177" s="462"/>
      <c r="C177" s="462"/>
      <c r="D177" s="476"/>
      <c r="E177" s="476"/>
      <c r="F177" s="476"/>
      <c r="G177" s="476"/>
      <c r="H177" s="477">
        <f>-H142/H43</f>
        <v>0.33162695585668422</v>
      </c>
      <c r="I177" s="476"/>
      <c r="J177" s="476"/>
      <c r="K177" s="476"/>
      <c r="L177" s="476"/>
      <c r="M177" s="477">
        <f t="shared" ref="M177:AQ177" si="328">-M142/M43</f>
        <v>0.36250681632031301</v>
      </c>
      <c r="N177" s="476">
        <f t="shared" si="328"/>
        <v>0.45617740232312565</v>
      </c>
      <c r="O177" s="476">
        <f t="shared" si="328"/>
        <v>0.31345454545454543</v>
      </c>
      <c r="P177" s="476">
        <f t="shared" si="328"/>
        <v>0.33199464524765732</v>
      </c>
      <c r="Q177" s="476">
        <f t="shared" si="328"/>
        <v>0.39631705364291431</v>
      </c>
      <c r="R177" s="477">
        <f t="shared" si="328"/>
        <v>0.36604146100691015</v>
      </c>
      <c r="S177" s="476">
        <f t="shared" si="328"/>
        <v>0.45939717681062675</v>
      </c>
      <c r="T177" s="476">
        <f t="shared" si="328"/>
        <v>0.31738849385908208</v>
      </c>
      <c r="U177" s="476">
        <f t="shared" si="328"/>
        <v>0.36909746336707677</v>
      </c>
      <c r="V177" s="476">
        <f t="shared" si="328"/>
        <v>0.46401225114854516</v>
      </c>
      <c r="W177" s="477">
        <f t="shared" si="328"/>
        <v>0.39448720243422231</v>
      </c>
      <c r="X177" s="476">
        <f t="shared" si="328"/>
        <v>0.52997393570807994</v>
      </c>
      <c r="Y177" s="476">
        <f t="shared" si="328"/>
        <v>0.36084337349397588</v>
      </c>
      <c r="Z177" s="476">
        <f t="shared" si="328"/>
        <v>0.39691943127962087</v>
      </c>
      <c r="AA177" s="476">
        <f t="shared" si="328"/>
        <v>0.47694524495677232</v>
      </c>
      <c r="AB177" s="477">
        <f t="shared" si="328"/>
        <v>0.43162901307966706</v>
      </c>
      <c r="AC177" s="476">
        <f t="shared" si="328"/>
        <v>0.60053859964093359</v>
      </c>
      <c r="AD177" s="476">
        <f t="shared" si="328"/>
        <v>0.41246105919003118</v>
      </c>
      <c r="AE177" s="476">
        <f t="shared" si="328"/>
        <v>0.41114369501466275</v>
      </c>
      <c r="AF177" s="476">
        <f t="shared" si="328"/>
        <v>0.49226441631504925</v>
      </c>
      <c r="AG177" s="477">
        <f t="shared" si="328"/>
        <v>0.46732808758125216</v>
      </c>
      <c r="AH177" s="476">
        <f t="shared" si="328"/>
        <v>0.58360655737704914</v>
      </c>
      <c r="AI177" s="476">
        <f t="shared" si="328"/>
        <v>0.41215839375348579</v>
      </c>
      <c r="AJ177" s="476">
        <f t="shared" si="328"/>
        <v>0.38855116514690985</v>
      </c>
      <c r="AK177" s="476">
        <f t="shared" si="328"/>
        <v>0.45023696682464454</v>
      </c>
      <c r="AL177" s="477">
        <f t="shared" si="328"/>
        <v>0.44614232209737825</v>
      </c>
      <c r="AM177" s="476">
        <f t="shared" si="328"/>
        <v>0.64405360134003353</v>
      </c>
      <c r="AN177" s="476">
        <f t="shared" si="328"/>
        <v>0.39287558079504387</v>
      </c>
      <c r="AO177" s="476">
        <f t="shared" si="328"/>
        <v>0.39205361416945905</v>
      </c>
      <c r="AP177" s="476">
        <f>-AP142/AP43</f>
        <v>0.44517906336088153</v>
      </c>
      <c r="AQ177" s="477">
        <f t="shared" si="328"/>
        <v>0.44875621890547263</v>
      </c>
      <c r="AR177" s="476">
        <f t="shared" ref="AR177:BW177" si="329">-AR142/AR43</f>
        <v>0.74725274725274726</v>
      </c>
      <c r="AS177" s="476">
        <f t="shared" si="329"/>
        <v>0.45892351274787535</v>
      </c>
      <c r="AT177" s="476">
        <f t="shared" si="329"/>
        <v>0.44585314315900687</v>
      </c>
      <c r="AU177" s="476">
        <f>-AU142/AU43</f>
        <v>0.49002347417840375</v>
      </c>
      <c r="AV177" s="477">
        <f t="shared" si="329"/>
        <v>0.51208552835450882</v>
      </c>
      <c r="AW177" s="476">
        <f>-AW142/AW43</f>
        <v>0.68905472636815923</v>
      </c>
      <c r="AX177" s="476">
        <f>-AX142/AX43</f>
        <v>0.41268292682926827</v>
      </c>
      <c r="AY177" s="476">
        <f>-AY142/AY43</f>
        <v>0.4550619834710744</v>
      </c>
      <c r="AZ177" s="476">
        <f>-AZ142/AZ43</f>
        <v>0.53709380748007363</v>
      </c>
      <c r="BA177" s="477">
        <f t="shared" si="329"/>
        <v>0.50329766964678291</v>
      </c>
      <c r="BB177" s="476">
        <f>-BB142/BB43</f>
        <v>0.69866247049567265</v>
      </c>
      <c r="BC177" s="476">
        <f t="shared" si="329"/>
        <v>0.426245683275777</v>
      </c>
      <c r="BD177" s="476">
        <f>-BD142/BD43</f>
        <v>0.47763347763347763</v>
      </c>
      <c r="BE177" s="476">
        <f>-BE142/BE43</f>
        <v>0.58318531675547658</v>
      </c>
      <c r="BF177" s="477">
        <f t="shared" si="329"/>
        <v>0.5278799886781772</v>
      </c>
      <c r="BG177" s="476">
        <f t="shared" si="329"/>
        <v>0.78177458033573144</v>
      </c>
      <c r="BH177" s="476">
        <f t="shared" si="329"/>
        <v>0.50456389452332662</v>
      </c>
      <c r="BI177" s="476">
        <f t="shared" si="329"/>
        <v>0.51724137931034486</v>
      </c>
      <c r="BJ177" s="476">
        <f t="shared" si="329"/>
        <v>0.65984654731457804</v>
      </c>
      <c r="BK177" s="477">
        <f t="shared" ref="BK177" si="330">-BK142/BK43</f>
        <v>0.59516794342958157</v>
      </c>
      <c r="BL177" s="476">
        <f t="shared" si="329"/>
        <v>0.79846153846153844</v>
      </c>
      <c r="BM177" s="476">
        <f t="shared" ref="BM177" si="331">-BM142/BM43</f>
        <v>0.51851851851851849</v>
      </c>
      <c r="BN177" s="476">
        <f t="shared" si="329"/>
        <v>0.53241650294695486</v>
      </c>
      <c r="BO177" s="476">
        <f t="shared" ref="BO177" si="332">-BO142/BO43</f>
        <v>0.62492787074437395</v>
      </c>
      <c r="BP177" s="477">
        <f t="shared" si="329"/>
        <v>0.6004261363636364</v>
      </c>
      <c r="BQ177" s="476">
        <f t="shared" ref="BQ177" si="333">-BQ142/BQ43</f>
        <v>0.81093057607090102</v>
      </c>
      <c r="BR177" s="635">
        <f t="shared" ref="BR177:BS177" si="334">-BR142/BR43</f>
        <v>0.49976798143851509</v>
      </c>
      <c r="BS177" s="476">
        <f t="shared" si="334"/>
        <v>0.53842549203373946</v>
      </c>
      <c r="BT177" s="476">
        <f t="shared" si="329"/>
        <v>0.61031366294524192</v>
      </c>
      <c r="BU177" s="477">
        <f t="shared" si="329"/>
        <v>0.59436469962785754</v>
      </c>
      <c r="BV177" s="476">
        <f t="shared" ca="1" si="329"/>
        <v>0.88409432907909891</v>
      </c>
      <c r="BW177" s="476">
        <f t="shared" ca="1" si="329"/>
        <v>0.58436378718423299</v>
      </c>
      <c r="BX177" s="476">
        <f t="shared" ref="BX177:CO177" ca="1" si="335">-BX142/BX43</f>
        <v>0.54891149373703629</v>
      </c>
      <c r="BY177" s="476">
        <f t="shared" ca="1" si="335"/>
        <v>0.6133910273894676</v>
      </c>
      <c r="BZ177" s="477">
        <f t="shared" ca="1" si="335"/>
        <v>0.62954382438004786</v>
      </c>
      <c r="CA177" s="476">
        <f t="shared" ca="1" si="335"/>
        <v>0.93597704290955563</v>
      </c>
      <c r="CB177" s="476">
        <f t="shared" ca="1" si="335"/>
        <v>0.5792776385968661</v>
      </c>
      <c r="CC177" s="476">
        <f t="shared" ca="1" si="335"/>
        <v>0.54528293088657842</v>
      </c>
      <c r="CD177" s="476">
        <f t="shared" ca="1" si="335"/>
        <v>0.59962315498730345</v>
      </c>
      <c r="CE177" s="477">
        <f t="shared" ca="1" si="335"/>
        <v>0.63250433962407548</v>
      </c>
      <c r="CF177" s="476">
        <f t="shared" ca="1" si="335"/>
        <v>0.9157722969853096</v>
      </c>
      <c r="CG177" s="476">
        <f t="shared" ca="1" si="335"/>
        <v>0.57422421270452695</v>
      </c>
      <c r="CH177" s="476">
        <f t="shared" ca="1" si="335"/>
        <v>0.54197304096570731</v>
      </c>
      <c r="CI177" s="476">
        <f t="shared" ca="1" si="335"/>
        <v>0.58761324243503954</v>
      </c>
      <c r="CJ177" s="477">
        <f t="shared" ca="1" si="335"/>
        <v>0.62421969005088529</v>
      </c>
      <c r="CK177" s="476">
        <f t="shared" ca="1" si="335"/>
        <v>0.89766775469131932</v>
      </c>
      <c r="CL177" s="476">
        <f t="shared" ca="1" si="335"/>
        <v>0.56971706124774091</v>
      </c>
      <c r="CM177" s="476">
        <f t="shared" ca="1" si="335"/>
        <v>0.53906026641734439</v>
      </c>
      <c r="CN177" s="476">
        <f t="shared" ca="1" si="335"/>
        <v>0.57692267482310622</v>
      </c>
      <c r="CO177" s="477">
        <f t="shared" ca="1" si="335"/>
        <v>0.61679049046625878</v>
      </c>
      <c r="CP177" s="476">
        <f ca="1">-CP142/CP43</f>
        <v>0.8809912419301309</v>
      </c>
      <c r="CQ177" s="476">
        <f ca="1">-CQ142/CQ43</f>
        <v>0.56554324639276154</v>
      </c>
      <c r="CR177" s="476">
        <f ca="1">-CR142/CR43</f>
        <v>0.5363796855927333</v>
      </c>
      <c r="CS177" s="476">
        <f ca="1">-CS142/CS43</f>
        <v>0.56709518203467235</v>
      </c>
      <c r="CT177" s="477">
        <f ca="1">-CT142/CT43</f>
        <v>0.60990376500483234</v>
      </c>
      <c r="CU177" s="462"/>
      <c r="CV177" s="462"/>
    </row>
    <row r="178" spans="1:100" x14ac:dyDescent="0.2">
      <c r="A178" s="111" t="s">
        <v>162</v>
      </c>
      <c r="B178" s="111"/>
      <c r="C178" s="461"/>
      <c r="D178" s="112"/>
      <c r="E178" s="112"/>
      <c r="F178" s="112"/>
      <c r="G178" s="112"/>
      <c r="H178" s="113">
        <f>H159</f>
        <v>2004</v>
      </c>
      <c r="I178" s="112"/>
      <c r="J178" s="112"/>
      <c r="K178" s="112"/>
      <c r="L178" s="112"/>
      <c r="M178" s="113">
        <f t="shared" ref="M178:AR178" si="336">M159</f>
        <v>2005</v>
      </c>
      <c r="N178" s="112">
        <f t="shared" si="336"/>
        <v>38802</v>
      </c>
      <c r="O178" s="112">
        <f t="shared" si="336"/>
        <v>38892</v>
      </c>
      <c r="P178" s="112">
        <f t="shared" si="336"/>
        <v>38987</v>
      </c>
      <c r="Q178" s="112">
        <f t="shared" si="336"/>
        <v>39077</v>
      </c>
      <c r="R178" s="113">
        <f t="shared" si="336"/>
        <v>2006</v>
      </c>
      <c r="S178" s="114">
        <f t="shared" si="336"/>
        <v>39157</v>
      </c>
      <c r="T178" s="114">
        <f t="shared" si="336"/>
        <v>39242</v>
      </c>
      <c r="U178" s="114">
        <f t="shared" si="336"/>
        <v>39332</v>
      </c>
      <c r="V178" s="114">
        <f t="shared" si="336"/>
        <v>39422</v>
      </c>
      <c r="W178" s="113">
        <f t="shared" si="336"/>
        <v>2007</v>
      </c>
      <c r="X178" s="114">
        <f t="shared" si="336"/>
        <v>39517</v>
      </c>
      <c r="Y178" s="114">
        <f t="shared" si="336"/>
        <v>39607</v>
      </c>
      <c r="Z178" s="114">
        <f t="shared" si="336"/>
        <v>39707</v>
      </c>
      <c r="AA178" s="114">
        <f t="shared" si="336"/>
        <v>39797</v>
      </c>
      <c r="AB178" s="113">
        <f t="shared" si="336"/>
        <v>2008</v>
      </c>
      <c r="AC178" s="114">
        <f t="shared" si="336"/>
        <v>39887</v>
      </c>
      <c r="AD178" s="114">
        <f t="shared" si="336"/>
        <v>39977</v>
      </c>
      <c r="AE178" s="114">
        <f t="shared" si="336"/>
        <v>40077</v>
      </c>
      <c r="AF178" s="114">
        <f t="shared" si="336"/>
        <v>40167</v>
      </c>
      <c r="AG178" s="113">
        <f t="shared" si="336"/>
        <v>2009</v>
      </c>
      <c r="AH178" s="114">
        <f t="shared" si="336"/>
        <v>40247</v>
      </c>
      <c r="AI178" s="114">
        <f t="shared" si="336"/>
        <v>40339</v>
      </c>
      <c r="AJ178" s="112">
        <f t="shared" si="336"/>
        <v>40429</v>
      </c>
      <c r="AK178" s="112">
        <f t="shared" si="336"/>
        <v>40543</v>
      </c>
      <c r="AL178" s="113">
        <f t="shared" si="336"/>
        <v>2010</v>
      </c>
      <c r="AM178" s="112">
        <f t="shared" si="336"/>
        <v>40613</v>
      </c>
      <c r="AN178" s="112">
        <f t="shared" si="336"/>
        <v>40705</v>
      </c>
      <c r="AO178" s="112">
        <f t="shared" si="336"/>
        <v>40797</v>
      </c>
      <c r="AP178" s="112">
        <f t="shared" si="336"/>
        <v>40887</v>
      </c>
      <c r="AQ178" s="113">
        <f t="shared" si="336"/>
        <v>2011</v>
      </c>
      <c r="AR178" s="112">
        <f t="shared" si="336"/>
        <v>40980</v>
      </c>
      <c r="AS178" s="112">
        <f t="shared" ref="AS178:BX178" si="337">AS159</f>
        <v>41072</v>
      </c>
      <c r="AT178" s="112">
        <f t="shared" si="337"/>
        <v>41164</v>
      </c>
      <c r="AU178" s="112">
        <f t="shared" si="337"/>
        <v>41274</v>
      </c>
      <c r="AV178" s="113">
        <f t="shared" si="337"/>
        <v>2012</v>
      </c>
      <c r="AW178" s="112">
        <f t="shared" si="337"/>
        <v>41346</v>
      </c>
      <c r="AX178" s="112">
        <f>AX159</f>
        <v>41438</v>
      </c>
      <c r="AY178" s="112">
        <f t="shared" si="337"/>
        <v>41530</v>
      </c>
      <c r="AZ178" s="112">
        <f t="shared" si="337"/>
        <v>41621</v>
      </c>
      <c r="BA178" s="113">
        <f t="shared" si="337"/>
        <v>2013</v>
      </c>
      <c r="BB178" s="112">
        <f t="shared" si="337"/>
        <v>41712</v>
      </c>
      <c r="BC178" s="112">
        <f t="shared" si="337"/>
        <v>41804</v>
      </c>
      <c r="BD178" s="112">
        <f t="shared" si="337"/>
        <v>41896</v>
      </c>
      <c r="BE178" s="112">
        <f>BE159</f>
        <v>41987</v>
      </c>
      <c r="BF178" s="113">
        <f t="shared" si="337"/>
        <v>2014</v>
      </c>
      <c r="BG178" s="112">
        <f t="shared" si="337"/>
        <v>42078</v>
      </c>
      <c r="BH178" s="112">
        <f t="shared" si="337"/>
        <v>42170</v>
      </c>
      <c r="BI178" s="112">
        <f t="shared" si="337"/>
        <v>42262</v>
      </c>
      <c r="BJ178" s="112">
        <f t="shared" si="337"/>
        <v>42353</v>
      </c>
      <c r="BK178" s="113">
        <f t="shared" si="337"/>
        <v>2015</v>
      </c>
      <c r="BL178" s="112">
        <f t="shared" si="337"/>
        <v>42445</v>
      </c>
      <c r="BM178" s="112">
        <f t="shared" si="337"/>
        <v>42537</v>
      </c>
      <c r="BN178" s="112">
        <f t="shared" si="337"/>
        <v>42629</v>
      </c>
      <c r="BO178" s="112">
        <f t="shared" ref="BO178" si="338">BO159</f>
        <v>42720</v>
      </c>
      <c r="BP178" s="113">
        <f t="shared" si="337"/>
        <v>2016</v>
      </c>
      <c r="BQ178" s="614">
        <f t="shared" si="337"/>
        <v>42811</v>
      </c>
      <c r="BR178" s="636">
        <f t="shared" si="337"/>
        <v>42903</v>
      </c>
      <c r="BS178" s="112">
        <f t="shared" si="337"/>
        <v>42995</v>
      </c>
      <c r="BT178" s="112">
        <f t="shared" si="337"/>
        <v>43086</v>
      </c>
      <c r="BU178" s="113">
        <f t="shared" si="337"/>
        <v>2017</v>
      </c>
      <c r="BV178" s="112" t="str">
        <f t="shared" si="337"/>
        <v>Mar-18 E</v>
      </c>
      <c r="BW178" s="112" t="str">
        <f t="shared" si="337"/>
        <v>Jun-18 E</v>
      </c>
      <c r="BX178" s="112" t="str">
        <f t="shared" si="337"/>
        <v>Sep-18 E</v>
      </c>
      <c r="BY178" s="112" t="str">
        <f t="shared" ref="BY178:CJ178" si="339">BY159</f>
        <v>Dec-18 E</v>
      </c>
      <c r="BZ178" s="113" t="str">
        <f t="shared" si="339"/>
        <v>2018E</v>
      </c>
      <c r="CA178" s="112" t="str">
        <f t="shared" si="339"/>
        <v>Mar-19 E</v>
      </c>
      <c r="CB178" s="112" t="str">
        <f t="shared" si="339"/>
        <v>Jun-19 E</v>
      </c>
      <c r="CC178" s="112" t="str">
        <f t="shared" si="339"/>
        <v>Sep-19 E</v>
      </c>
      <c r="CD178" s="112" t="str">
        <f t="shared" si="339"/>
        <v>Dec-19 E</v>
      </c>
      <c r="CE178" s="113" t="str">
        <f t="shared" si="339"/>
        <v>2019E</v>
      </c>
      <c r="CF178" s="112" t="str">
        <f t="shared" si="339"/>
        <v>Mar-20 E</v>
      </c>
      <c r="CG178" s="112" t="str">
        <f t="shared" si="339"/>
        <v>Jun-20 E</v>
      </c>
      <c r="CH178" s="112" t="str">
        <f t="shared" si="339"/>
        <v>Sep-20 E</v>
      </c>
      <c r="CI178" s="112" t="str">
        <f t="shared" si="339"/>
        <v>Dec-20 E</v>
      </c>
      <c r="CJ178" s="113" t="str">
        <f t="shared" si="339"/>
        <v>2020E</v>
      </c>
      <c r="CK178" s="112" t="str">
        <f t="shared" ref="CK178:CT178" si="340">CK159</f>
        <v>Mar-21 E</v>
      </c>
      <c r="CL178" s="112" t="str">
        <f t="shared" si="340"/>
        <v>Jun-21 E</v>
      </c>
      <c r="CM178" s="112" t="str">
        <f t="shared" si="340"/>
        <v>Sep-21 E</v>
      </c>
      <c r="CN178" s="112" t="str">
        <f t="shared" si="340"/>
        <v>Dec-21 E</v>
      </c>
      <c r="CO178" s="113" t="str">
        <f t="shared" si="340"/>
        <v>2021E</v>
      </c>
      <c r="CP178" s="112" t="str">
        <f t="shared" si="340"/>
        <v>Mar-22 E</v>
      </c>
      <c r="CQ178" s="112" t="str">
        <f t="shared" si="340"/>
        <v>Jun-22 E</v>
      </c>
      <c r="CR178" s="112" t="str">
        <f t="shared" si="340"/>
        <v>Sep-22 E</v>
      </c>
      <c r="CS178" s="112" t="str">
        <f t="shared" si="340"/>
        <v>Dec-22 E</v>
      </c>
      <c r="CT178" s="113" t="str">
        <f t="shared" si="340"/>
        <v>2022E</v>
      </c>
      <c r="CU178" s="460"/>
      <c r="CV178" s="460"/>
    </row>
    <row r="179" spans="1:100" x14ac:dyDescent="0.2">
      <c r="A179" s="357" t="s">
        <v>86</v>
      </c>
      <c r="B179" s="357"/>
      <c r="C179" s="357"/>
      <c r="D179" s="385"/>
      <c r="E179" s="385"/>
      <c r="F179" s="385"/>
      <c r="G179" s="385"/>
      <c r="H179" s="387">
        <f>+H57</f>
        <v>58</v>
      </c>
      <c r="I179" s="385"/>
      <c r="J179" s="385"/>
      <c r="K179" s="385"/>
      <c r="L179" s="385"/>
      <c r="M179" s="387">
        <f>+M57</f>
        <v>54</v>
      </c>
      <c r="N179" s="385"/>
      <c r="O179" s="385"/>
      <c r="P179" s="385"/>
      <c r="Q179" s="385"/>
      <c r="R179" s="387">
        <f>+R57</f>
        <v>48</v>
      </c>
      <c r="S179" s="385">
        <f>+S57</f>
        <v>15</v>
      </c>
      <c r="T179" s="385">
        <f>+T57</f>
        <v>17</v>
      </c>
      <c r="U179" s="385">
        <f>+U57</f>
        <v>17</v>
      </c>
      <c r="V179" s="385">
        <f>+V57</f>
        <v>15</v>
      </c>
      <c r="W179" s="373">
        <f>+S179+T179+U179+V179</f>
        <v>64</v>
      </c>
      <c r="X179" s="385">
        <f>+X57</f>
        <v>21</v>
      </c>
      <c r="Y179" s="385">
        <f>+Y57</f>
        <v>22</v>
      </c>
      <c r="Z179" s="385">
        <f>+Z57</f>
        <v>19</v>
      </c>
      <c r="AA179" s="385">
        <f>+AA57</f>
        <v>7</v>
      </c>
      <c r="AB179" s="373">
        <f>+X179+Y179+Z179+AA179</f>
        <v>69</v>
      </c>
      <c r="AC179" s="385">
        <f>+AC57</f>
        <v>0</v>
      </c>
      <c r="AD179" s="385">
        <f>+AD57</f>
        <v>0</v>
      </c>
      <c r="AE179" s="385">
        <f>+AE57</f>
        <v>0</v>
      </c>
      <c r="AF179" s="385">
        <f>+AF57</f>
        <v>0</v>
      </c>
      <c r="AG179" s="373">
        <f>+AC179+AD179+AE179+AF179</f>
        <v>0</v>
      </c>
      <c r="AH179" s="385">
        <f>+AH57</f>
        <v>14</v>
      </c>
      <c r="AI179" s="385">
        <f>+AI57</f>
        <v>37</v>
      </c>
      <c r="AJ179" s="385">
        <f>+AJ57</f>
        <v>16</v>
      </c>
      <c r="AK179" s="385">
        <f>+AK57</f>
        <v>9</v>
      </c>
      <c r="AL179" s="373">
        <f>+AH179+AI179+AJ179+AK179</f>
        <v>76</v>
      </c>
      <c r="AM179" s="478">
        <f>+AM57</f>
        <v>7</v>
      </c>
      <c r="AN179" s="478">
        <f>+AN57</f>
        <v>5</v>
      </c>
      <c r="AO179" s="478">
        <f>+AO57</f>
        <v>19</v>
      </c>
      <c r="AP179" s="478">
        <f>+AP57</f>
        <v>8</v>
      </c>
      <c r="AQ179" s="387">
        <f>+AM179+AN179+AO179+AP179</f>
        <v>39</v>
      </c>
      <c r="AR179" s="478">
        <f>AR57</f>
        <v>5</v>
      </c>
      <c r="AS179" s="478">
        <f>AS57</f>
        <v>14</v>
      </c>
      <c r="AT179" s="478">
        <f>AT57</f>
        <v>16</v>
      </c>
      <c r="AU179" s="478">
        <f>AU57</f>
        <v>12</v>
      </c>
      <c r="AV179" s="373">
        <f>+AR179+AS179+AT179+AU179</f>
        <v>47</v>
      </c>
      <c r="AW179" s="478">
        <f ca="1">AW57</f>
        <v>9</v>
      </c>
      <c r="AX179" s="478">
        <v>6</v>
      </c>
      <c r="AY179" s="385">
        <v>12.2</v>
      </c>
      <c r="AZ179" s="385">
        <f ca="1">BA179-SUM(AW179:AY179)</f>
        <v>9.8000000000000007</v>
      </c>
      <c r="BA179" s="373">
        <v>37</v>
      </c>
      <c r="BB179" s="385">
        <f>-BB181/BB180</f>
        <v>15.402639043038599</v>
      </c>
      <c r="BC179" s="385">
        <f>-BC181/BC180</f>
        <v>11.090357226243288</v>
      </c>
      <c r="BD179" s="385">
        <f ca="1">-BD181/BD180</f>
        <v>11</v>
      </c>
      <c r="BE179" s="385">
        <f>-BE181/BE180</f>
        <v>18.968053804119378</v>
      </c>
      <c r="BF179" s="373">
        <f ca="1">+BB179+BC179+BD179+BE179</f>
        <v>56.461050073401267</v>
      </c>
      <c r="BG179" s="385">
        <f>-BG181/BG180</f>
        <v>11.610370829459766</v>
      </c>
      <c r="BH179" s="385">
        <f>-BH181/BH180</f>
        <v>10.498852014193281</v>
      </c>
      <c r="BI179" s="385">
        <f>-BI181/BI180</f>
        <v>11.164490861618798</v>
      </c>
      <c r="BJ179" s="385">
        <f>-BJ181/BJ180</f>
        <v>18.355075417855687</v>
      </c>
      <c r="BK179" s="373">
        <f>+BG179+BH179+BI179+BJ179</f>
        <v>51.628789123127532</v>
      </c>
      <c r="BL179" s="385">
        <f>-BL181/BL180</f>
        <v>6.2798011565385012</v>
      </c>
      <c r="BM179" s="385">
        <f>-BM181/BM180</f>
        <v>6.9193391642371234</v>
      </c>
      <c r="BN179" s="573">
        <f>-BN181/BN180</f>
        <v>6.9847791577178073</v>
      </c>
      <c r="BO179" s="385">
        <f>-BO181/BO180</f>
        <v>8.8254873989538751</v>
      </c>
      <c r="BP179" s="373">
        <f>+BL179+BM179+BN179+BO179</f>
        <v>29.009406877447308</v>
      </c>
      <c r="BQ179" s="385">
        <f>-BQ181/BQ180</f>
        <v>4.154969118472768</v>
      </c>
      <c r="BR179" s="637">
        <f>-BR181/BR180</f>
        <v>4.3859649122807021</v>
      </c>
      <c r="BS179" s="385">
        <f>-BS181/BS180</f>
        <v>1.1008858690977896</v>
      </c>
      <c r="BT179" s="385">
        <f>-BT181/BT180</f>
        <v>4.1304919757958434</v>
      </c>
      <c r="BU179" s="373">
        <f>+BQ179+BR179+BS179+BT179</f>
        <v>13.772311875647102</v>
      </c>
      <c r="BV179" s="385">
        <f>-BV181/BV180</f>
        <v>4.4642857142857144</v>
      </c>
      <c r="BW179" s="385">
        <f>-BW181/BW180</f>
        <v>4.4420753375977258</v>
      </c>
      <c r="BX179" s="385">
        <f>-BX181/BX180</f>
        <v>4.4199754602962456</v>
      </c>
      <c r="BY179" s="385">
        <f>-BY181/BY180</f>
        <v>4.397985532633081</v>
      </c>
      <c r="BZ179" s="373">
        <f>+BV179+BW179+BX179+BY179</f>
        <v>17.724322044812766</v>
      </c>
      <c r="CA179" s="385">
        <f>-CA181/CA180</f>
        <v>4.3761050075951058</v>
      </c>
      <c r="CB179" s="385">
        <f>-CB181/CB180</f>
        <v>4.354333340890653</v>
      </c>
      <c r="CC179" s="385">
        <f>-CC181/CC180</f>
        <v>4.3326699909359743</v>
      </c>
      <c r="CD179" s="385">
        <f>-CD181/CD180</f>
        <v>4.3111144188417656</v>
      </c>
      <c r="CE179" s="373">
        <f>+CA179+CB179+CC179+CD179</f>
        <v>17.3742227582635</v>
      </c>
      <c r="CF179" s="385">
        <f>-CF181/CF180</f>
        <v>4.289666088399767</v>
      </c>
      <c r="CG179" s="385">
        <f>-CG181/CG180</f>
        <v>4.2683244660694211</v>
      </c>
      <c r="CH179" s="385">
        <f>-CH181/CH180</f>
        <v>4.2470890209645979</v>
      </c>
      <c r="CI179" s="385">
        <f>-CI181/CI180</f>
        <v>4.2259592248403965</v>
      </c>
      <c r="CJ179" s="373">
        <f>+CF179+CG179+CH179+CI179</f>
        <v>17.031038800274182</v>
      </c>
      <c r="CK179" s="385">
        <f>-CK181/CK180</f>
        <v>4.2049345520799966</v>
      </c>
      <c r="CL179" s="385">
        <f>-CL181/CL180</f>
        <v>4.184014479681589</v>
      </c>
      <c r="CM179" s="385">
        <f>-CM181/CM180</f>
        <v>4.1631984872453636</v>
      </c>
      <c r="CN179" s="385">
        <f>-CN181/CN180</f>
        <v>4.1424860569605606</v>
      </c>
      <c r="CO179" s="373">
        <f>+CK179+CL179+CM179+CN179</f>
        <v>16.694633575967508</v>
      </c>
      <c r="CP179" s="385">
        <f>-CP181/CP180</f>
        <v>4.1218766735925989</v>
      </c>
      <c r="CQ179" s="385">
        <f>-CQ181/CQ180</f>
        <v>4.1013698244702477</v>
      </c>
      <c r="CR179" s="385">
        <f>-CR181/CR180</f>
        <v>4.0809649994728838</v>
      </c>
      <c r="CS179" s="385">
        <f>-CS181/CS180</f>
        <v>4.0606616910177955</v>
      </c>
      <c r="CT179" s="373">
        <f>+CP179+CQ179+CR179+CS179</f>
        <v>16.364873188553524</v>
      </c>
      <c r="CU179" s="313"/>
      <c r="CV179" s="313"/>
    </row>
    <row r="180" spans="1:100" x14ac:dyDescent="0.2">
      <c r="A180" s="313" t="s">
        <v>163</v>
      </c>
      <c r="B180" s="313"/>
      <c r="C180" s="479"/>
      <c r="D180" s="480"/>
      <c r="E180" s="480"/>
      <c r="F180" s="480"/>
      <c r="G180" s="480"/>
      <c r="H180" s="481">
        <f>-H181/H179</f>
        <v>52.672413793103445</v>
      </c>
      <c r="I180" s="480"/>
      <c r="J180" s="480"/>
      <c r="K180" s="480"/>
      <c r="L180" s="480"/>
      <c r="M180" s="481">
        <f>-M181/M179</f>
        <v>56.129629629629626</v>
      </c>
      <c r="N180" s="480"/>
      <c r="O180" s="480"/>
      <c r="P180" s="480"/>
      <c r="Q180" s="480"/>
      <c r="R180" s="481">
        <f t="shared" ref="R180:AB180" si="341">-R181/R179</f>
        <v>62.5</v>
      </c>
      <c r="S180" s="306">
        <f t="shared" si="341"/>
        <v>58.93333333333333</v>
      </c>
      <c r="T180" s="306">
        <f t="shared" si="341"/>
        <v>63.764705882352942</v>
      </c>
      <c r="U180" s="306">
        <f t="shared" si="341"/>
        <v>68.411764705882348</v>
      </c>
      <c r="V180" s="306">
        <f t="shared" si="341"/>
        <v>77.933333333333337</v>
      </c>
      <c r="W180" s="481">
        <f t="shared" si="341"/>
        <v>67.1875</v>
      </c>
      <c r="X180" s="306">
        <f t="shared" si="341"/>
        <v>69.523809523809518</v>
      </c>
      <c r="Y180" s="306">
        <f t="shared" si="341"/>
        <v>65.63636363636364</v>
      </c>
      <c r="Z180" s="306">
        <f t="shared" si="341"/>
        <v>68.05263157894737</v>
      </c>
      <c r="AA180" s="306">
        <f t="shared" si="341"/>
        <v>74.714285714285708</v>
      </c>
      <c r="AB180" s="481">
        <f t="shared" si="341"/>
        <v>68.405797101449281</v>
      </c>
      <c r="AC180" s="306" t="s">
        <v>164</v>
      </c>
      <c r="AD180" s="306" t="s">
        <v>164</v>
      </c>
      <c r="AE180" s="306" t="s">
        <v>164</v>
      </c>
      <c r="AF180" s="306" t="s">
        <v>164</v>
      </c>
      <c r="AG180" s="481" t="s">
        <v>164</v>
      </c>
      <c r="AH180" s="306">
        <f t="shared" ref="AH180:AZ180" si="342">-AH181/AH179</f>
        <v>52.571428571428569</v>
      </c>
      <c r="AI180" s="306">
        <f t="shared" si="342"/>
        <v>69.567567567567565</v>
      </c>
      <c r="AJ180" s="306">
        <f t="shared" si="342"/>
        <v>69.25</v>
      </c>
      <c r="AK180" s="306">
        <f t="shared" si="342"/>
        <v>62.777777777777779</v>
      </c>
      <c r="AL180" s="481">
        <f t="shared" si="342"/>
        <v>65.565789473684205</v>
      </c>
      <c r="AM180" s="482">
        <f t="shared" si="342"/>
        <v>51.857142857142854</v>
      </c>
      <c r="AN180" s="482">
        <f t="shared" si="342"/>
        <v>77.400000000000006</v>
      </c>
      <c r="AO180" s="482">
        <f t="shared" si="342"/>
        <v>62.315789473684212</v>
      </c>
      <c r="AP180" s="482">
        <f t="shared" si="342"/>
        <v>70.25</v>
      </c>
      <c r="AQ180" s="481">
        <f>-AQ181/AQ179</f>
        <v>64</v>
      </c>
      <c r="AR180" s="482">
        <f t="shared" si="342"/>
        <v>28.6</v>
      </c>
      <c r="AS180" s="482">
        <f t="shared" si="342"/>
        <v>76.142857142857139</v>
      </c>
      <c r="AT180" s="482">
        <f t="shared" si="342"/>
        <v>70.25</v>
      </c>
      <c r="AU180" s="482">
        <f t="shared" si="342"/>
        <v>74.416666666666671</v>
      </c>
      <c r="AV180" s="481">
        <f>-AV181/AV179</f>
        <v>68.638297872340431</v>
      </c>
      <c r="AW180" s="482">
        <f ca="1">-AW181/AW179</f>
        <v>69.777777777777771</v>
      </c>
      <c r="AX180" s="482">
        <f>-AX181/AX179</f>
        <v>67.333333333333329</v>
      </c>
      <c r="AY180" s="482">
        <f t="shared" si="342"/>
        <v>83.114754098360663</v>
      </c>
      <c r="AZ180" s="482">
        <f t="shared" ca="1" si="342"/>
        <v>98.16326530612244</v>
      </c>
      <c r="BA180" s="481">
        <f>-BA181/BA179</f>
        <v>81.297297297297291</v>
      </c>
      <c r="BB180" s="306">
        <v>81.09</v>
      </c>
      <c r="BC180" s="306">
        <v>85.66</v>
      </c>
      <c r="BD180" s="306">
        <f ca="1">+-BD181/BD179</f>
        <v>91.63636363636364</v>
      </c>
      <c r="BE180" s="306">
        <v>95.16</v>
      </c>
      <c r="BF180" s="481">
        <f ca="1">-BF181/BF179</f>
        <v>88.769160217251198</v>
      </c>
      <c r="BG180" s="306">
        <v>96.81</v>
      </c>
      <c r="BH180" s="306">
        <v>95.82</v>
      </c>
      <c r="BI180" s="306">
        <v>95.75</v>
      </c>
      <c r="BJ180" s="306">
        <v>98.12</v>
      </c>
      <c r="BK180" s="481">
        <f>-BK181/BK179</f>
        <v>96.845192089934372</v>
      </c>
      <c r="BL180" s="306">
        <v>98.57</v>
      </c>
      <c r="BM180" s="306">
        <v>102.9</v>
      </c>
      <c r="BN180" s="574">
        <v>107.09</v>
      </c>
      <c r="BO180" s="306">
        <v>105.15</v>
      </c>
      <c r="BP180" s="481">
        <f>-BP181/BP179</f>
        <v>103.65603173837114</v>
      </c>
      <c r="BQ180" s="306">
        <v>106.86</v>
      </c>
      <c r="BR180" s="638">
        <v>114</v>
      </c>
      <c r="BS180" s="638">
        <v>116.27</v>
      </c>
      <c r="BT180" s="638">
        <v>114.03</v>
      </c>
      <c r="BU180" s="481">
        <f>-BU181/BU179</f>
        <v>112.03638241219403</v>
      </c>
      <c r="BV180" s="483">
        <v>112</v>
      </c>
      <c r="BW180" s="483">
        <f>+BV180*1.005</f>
        <v>112.55999999999999</v>
      </c>
      <c r="BX180" s="483">
        <f>+BW180*1.005</f>
        <v>113.12279999999997</v>
      </c>
      <c r="BY180" s="483">
        <f>+BX180*1.005</f>
        <v>113.68841399999995</v>
      </c>
      <c r="BZ180" s="481">
        <f>-BZ181/BZ179</f>
        <v>112.8392947805484</v>
      </c>
      <c r="CA180" s="483">
        <f>+BY180*1.005</f>
        <v>114.25685606999994</v>
      </c>
      <c r="CB180" s="483">
        <f>+CA180*1.005</f>
        <v>114.82814035034993</v>
      </c>
      <c r="CC180" s="483">
        <f>+CB180*1.005</f>
        <v>115.40228105210166</v>
      </c>
      <c r="CD180" s="483">
        <f>+CC180*1.005</f>
        <v>115.97929245736215</v>
      </c>
      <c r="CE180" s="481">
        <f>-CE181/CE179</f>
        <v>115.11306306054831</v>
      </c>
      <c r="CF180" s="483">
        <f>+CD180*1.005</f>
        <v>116.55918891964895</v>
      </c>
      <c r="CG180" s="483">
        <f>+CF180*1.005</f>
        <v>117.14198486424718</v>
      </c>
      <c r="CH180" s="483">
        <f>+CG180*1.005</f>
        <v>117.7276947885684</v>
      </c>
      <c r="CI180" s="483">
        <f>+CH180*1.005</f>
        <v>118.31633326251124</v>
      </c>
      <c r="CJ180" s="481">
        <f>-CJ181/CJ179</f>
        <v>117.43264890969552</v>
      </c>
      <c r="CK180" s="483">
        <f>+CI180*1.005</f>
        <v>118.90791492882379</v>
      </c>
      <c r="CL180" s="483">
        <f>+CK180*1.005</f>
        <v>119.50245450346789</v>
      </c>
      <c r="CM180" s="483">
        <f>+CL180*1.005</f>
        <v>120.09996677598521</v>
      </c>
      <c r="CN180" s="483">
        <f>+CM180*1.005</f>
        <v>120.70046660986512</v>
      </c>
      <c r="CO180" s="481">
        <f>-CO181/CO179</f>
        <v>119.7989755749457</v>
      </c>
      <c r="CP180" s="483">
        <f>+CN180*1.005</f>
        <v>121.30396894291442</v>
      </c>
      <c r="CQ180" s="483">
        <f>+CP180*1.005</f>
        <v>121.91048878762898</v>
      </c>
      <c r="CR180" s="483">
        <f>+CQ180*1.005</f>
        <v>122.52004123156711</v>
      </c>
      <c r="CS180" s="483">
        <f>+CR180*1.005</f>
        <v>123.13264143772493</v>
      </c>
      <c r="CT180" s="481">
        <f>-CT181/CT179</f>
        <v>122.21298490714294</v>
      </c>
      <c r="CU180" s="467"/>
      <c r="CV180" s="467"/>
    </row>
    <row r="181" spans="1:100" x14ac:dyDescent="0.2">
      <c r="A181" s="313" t="s">
        <v>165</v>
      </c>
      <c r="B181" s="377"/>
      <c r="C181" s="377"/>
      <c r="D181" s="298"/>
      <c r="E181" s="298"/>
      <c r="F181" s="298"/>
      <c r="G181" s="298"/>
      <c r="H181" s="366">
        <v>-3055</v>
      </c>
      <c r="I181" s="298"/>
      <c r="J181" s="298"/>
      <c r="K181" s="298"/>
      <c r="L181" s="298"/>
      <c r="M181" s="366">
        <v>-3031</v>
      </c>
      <c r="N181" s="298">
        <v>-662</v>
      </c>
      <c r="O181" s="298">
        <v>-812</v>
      </c>
      <c r="P181" s="298">
        <v>-690</v>
      </c>
      <c r="Q181" s="298">
        <f>+R181-N181-O181-P181</f>
        <v>-836</v>
      </c>
      <c r="R181" s="366">
        <f>-3000</f>
        <v>-3000</v>
      </c>
      <c r="S181" s="301">
        <v>-884</v>
      </c>
      <c r="T181" s="301">
        <v>-1084</v>
      </c>
      <c r="U181" s="301">
        <v>-1163</v>
      </c>
      <c r="V181" s="301">
        <f>+W181-S181-T181-U181</f>
        <v>-1169</v>
      </c>
      <c r="W181" s="366">
        <f>-4300</f>
        <v>-4300</v>
      </c>
      <c r="X181" s="301">
        <f>-1460</f>
        <v>-1460</v>
      </c>
      <c r="Y181" s="301">
        <f>-2904-X181</f>
        <v>-1444</v>
      </c>
      <c r="Z181" s="301">
        <f>-4197-X181-Y181</f>
        <v>-1293</v>
      </c>
      <c r="AA181" s="301">
        <f>+AB181-X181-Y181-Z181</f>
        <v>-523</v>
      </c>
      <c r="AB181" s="366">
        <f>-4720</f>
        <v>-4720</v>
      </c>
      <c r="AC181" s="301">
        <v>0</v>
      </c>
      <c r="AD181" s="301">
        <v>0</v>
      </c>
      <c r="AE181" s="301">
        <v>0</v>
      </c>
      <c r="AF181" s="301">
        <v>0</v>
      </c>
      <c r="AG181" s="366">
        <v>0</v>
      </c>
      <c r="AH181" s="301">
        <v>-736</v>
      </c>
      <c r="AI181" s="301">
        <v>-2574</v>
      </c>
      <c r="AJ181" s="301">
        <f>-4418-AH181-AI181</f>
        <v>-1108</v>
      </c>
      <c r="AK181" s="301">
        <f>AL181-SUM(AH181:AJ181)</f>
        <v>-565</v>
      </c>
      <c r="AL181" s="366">
        <f>-4978-5</f>
        <v>-4983</v>
      </c>
      <c r="AM181" s="296">
        <f t="shared" ref="AM181:AU181" si="343">AM140</f>
        <v>-363</v>
      </c>
      <c r="AN181" s="296">
        <f t="shared" si="343"/>
        <v>-387</v>
      </c>
      <c r="AO181" s="296">
        <f t="shared" si="343"/>
        <v>-1184</v>
      </c>
      <c r="AP181" s="296">
        <f t="shared" si="343"/>
        <v>-562</v>
      </c>
      <c r="AQ181" s="366">
        <f t="shared" si="343"/>
        <v>-2496</v>
      </c>
      <c r="AR181" s="296">
        <f t="shared" si="343"/>
        <v>-143</v>
      </c>
      <c r="AS181" s="296">
        <f t="shared" si="343"/>
        <v>-1066</v>
      </c>
      <c r="AT181" s="296">
        <f t="shared" si="343"/>
        <v>-1124</v>
      </c>
      <c r="AU181" s="296">
        <f t="shared" si="343"/>
        <v>-893</v>
      </c>
      <c r="AV181" s="366">
        <f>SUM(AR181:AU181)</f>
        <v>-3226</v>
      </c>
      <c r="AW181" s="296">
        <f>AW140</f>
        <v>-628</v>
      </c>
      <c r="AX181" s="301">
        <f>AX140</f>
        <v>-404</v>
      </c>
      <c r="AY181" s="301">
        <f>AY140</f>
        <v>-1014</v>
      </c>
      <c r="AZ181" s="301">
        <f>AZ140</f>
        <v>-962</v>
      </c>
      <c r="BA181" s="366">
        <f>SUM(AW181:AZ181)</f>
        <v>-3008</v>
      </c>
      <c r="BB181" s="301">
        <f>BB140</f>
        <v>-1249</v>
      </c>
      <c r="BC181" s="301">
        <f>BC140</f>
        <v>-950</v>
      </c>
      <c r="BD181" s="301">
        <f>BD140</f>
        <v>-1008</v>
      </c>
      <c r="BE181" s="301">
        <f>BE140</f>
        <v>-1805</v>
      </c>
      <c r="BF181" s="366">
        <f>SUM(BB181:BE181)</f>
        <v>-5012</v>
      </c>
      <c r="BG181" s="301">
        <f>BG140</f>
        <v>-1124</v>
      </c>
      <c r="BH181" s="301">
        <f>BH140</f>
        <v>-1006</v>
      </c>
      <c r="BI181" s="301">
        <f>BI140</f>
        <v>-1069</v>
      </c>
      <c r="BJ181" s="301">
        <f>BJ140</f>
        <v>-1801</v>
      </c>
      <c r="BK181" s="366">
        <f>SUM(BG181:BJ181)</f>
        <v>-5000</v>
      </c>
      <c r="BL181" s="301">
        <f>BL140</f>
        <v>-619</v>
      </c>
      <c r="BM181" s="301">
        <f>BM140</f>
        <v>-712</v>
      </c>
      <c r="BN181" s="301">
        <f>BN140</f>
        <v>-748</v>
      </c>
      <c r="BO181" s="301">
        <f>BO140</f>
        <v>-928</v>
      </c>
      <c r="BP181" s="582">
        <f>SUM(BL181:BO181)</f>
        <v>-3007</v>
      </c>
      <c r="BQ181" s="301">
        <f>BQ140</f>
        <v>-444</v>
      </c>
      <c r="BR181" s="572">
        <f>BR140</f>
        <v>-500</v>
      </c>
      <c r="BS181" s="572">
        <f>BS140</f>
        <v>-128</v>
      </c>
      <c r="BT181" s="301">
        <f>BT140</f>
        <v>-471</v>
      </c>
      <c r="BU181" s="582">
        <f>SUM(BQ181:BT181)</f>
        <v>-1543</v>
      </c>
      <c r="BV181" s="425">
        <f>+BZ181/4</f>
        <v>-500</v>
      </c>
      <c r="BW181" s="425">
        <f>+BV181</f>
        <v>-500</v>
      </c>
      <c r="BX181" s="425">
        <f>+BW181</f>
        <v>-500</v>
      </c>
      <c r="BY181" s="301">
        <f>+BZ181-BV181-BW181-BX181</f>
        <v>-500</v>
      </c>
      <c r="BZ181" s="367">
        <v>-2000</v>
      </c>
      <c r="CA181" s="425">
        <f>+CE181/4</f>
        <v>-500</v>
      </c>
      <c r="CB181" s="425">
        <f>+CA181</f>
        <v>-500</v>
      </c>
      <c r="CC181" s="425">
        <f>+CB181</f>
        <v>-500</v>
      </c>
      <c r="CD181" s="301">
        <f>+CE181-CA181-CB181-CC181</f>
        <v>-500</v>
      </c>
      <c r="CE181" s="367">
        <f>+BZ181</f>
        <v>-2000</v>
      </c>
      <c r="CF181" s="425">
        <f>+CJ181/4</f>
        <v>-500</v>
      </c>
      <c r="CG181" s="425">
        <f>+CF181</f>
        <v>-500</v>
      </c>
      <c r="CH181" s="425">
        <f>+CG181</f>
        <v>-500</v>
      </c>
      <c r="CI181" s="301">
        <f>+CJ181-CF181-CG181-CH181</f>
        <v>-500</v>
      </c>
      <c r="CJ181" s="367">
        <f>+CE181</f>
        <v>-2000</v>
      </c>
      <c r="CK181" s="425">
        <f>+CO181/4</f>
        <v>-500</v>
      </c>
      <c r="CL181" s="425">
        <f>+CK181</f>
        <v>-500</v>
      </c>
      <c r="CM181" s="425">
        <f>+CL181</f>
        <v>-500</v>
      </c>
      <c r="CN181" s="301">
        <f>+CO181-CK181-CL181-CM181</f>
        <v>-500</v>
      </c>
      <c r="CO181" s="367">
        <f>+CJ181</f>
        <v>-2000</v>
      </c>
      <c r="CP181" s="425">
        <f>+CT181/4</f>
        <v>-500</v>
      </c>
      <c r="CQ181" s="425">
        <f>+CP181</f>
        <v>-500</v>
      </c>
      <c r="CR181" s="425">
        <f>+CQ181</f>
        <v>-500</v>
      </c>
      <c r="CS181" s="301">
        <f>+CT181-CP181-CQ181-CR181</f>
        <v>-500</v>
      </c>
      <c r="CT181" s="367">
        <f>+CO181</f>
        <v>-2000</v>
      </c>
      <c r="CU181" s="313"/>
      <c r="CV181" s="313"/>
    </row>
    <row r="182" spans="1:100" ht="6" customHeight="1" x14ac:dyDescent="0.2">
      <c r="A182" s="467"/>
      <c r="B182" s="467"/>
      <c r="C182" s="467"/>
      <c r="D182" s="484"/>
      <c r="E182" s="484"/>
      <c r="F182" s="484"/>
      <c r="G182" s="484"/>
      <c r="H182" s="465"/>
      <c r="I182" s="484"/>
      <c r="J182" s="484"/>
      <c r="K182" s="484"/>
      <c r="L182" s="484"/>
      <c r="M182" s="465"/>
      <c r="N182" s="484"/>
      <c r="O182" s="484"/>
      <c r="P182" s="484"/>
      <c r="Q182" s="484"/>
      <c r="R182" s="465"/>
      <c r="S182" s="485"/>
      <c r="T182" s="485"/>
      <c r="U182" s="485"/>
      <c r="V182" s="485"/>
      <c r="W182" s="465"/>
      <c r="X182" s="485"/>
      <c r="Y182" s="485"/>
      <c r="Z182" s="485"/>
      <c r="AA182" s="485"/>
      <c r="AB182" s="465"/>
      <c r="AC182" s="485"/>
      <c r="AD182" s="485"/>
      <c r="AE182" s="485"/>
      <c r="AF182" s="485"/>
      <c r="AG182" s="465"/>
      <c r="AH182" s="485"/>
      <c r="AI182" s="485"/>
      <c r="AJ182" s="485"/>
      <c r="AK182" s="484"/>
      <c r="AL182" s="465"/>
      <c r="AM182" s="484"/>
      <c r="AN182" s="484"/>
      <c r="AO182" s="484"/>
      <c r="AP182" s="484"/>
      <c r="AQ182" s="465"/>
      <c r="AR182" s="484"/>
      <c r="AS182" s="484"/>
      <c r="AT182" s="484"/>
      <c r="AU182" s="484"/>
      <c r="AV182" s="465"/>
      <c r="AW182" s="484"/>
      <c r="AX182" s="484"/>
      <c r="AY182" s="484"/>
      <c r="AZ182" s="484"/>
      <c r="BA182" s="465"/>
      <c r="BB182" s="484"/>
      <c r="BC182" s="484"/>
      <c r="BD182" s="484"/>
      <c r="BE182" s="484"/>
      <c r="BF182" s="465"/>
      <c r="BG182" s="484"/>
      <c r="BH182" s="484"/>
      <c r="BI182" s="484"/>
      <c r="BJ182" s="484"/>
      <c r="BK182" s="465"/>
      <c r="BL182" s="484"/>
      <c r="BM182" s="484"/>
      <c r="BN182" s="484"/>
      <c r="BO182" s="484"/>
      <c r="BP182" s="465"/>
      <c r="BQ182" s="616"/>
      <c r="BR182" s="484"/>
      <c r="BS182" s="484"/>
      <c r="BT182" s="484"/>
      <c r="BU182" s="465"/>
      <c r="BV182" s="484"/>
      <c r="BW182" s="484"/>
      <c r="BX182" s="484"/>
      <c r="BY182" s="484"/>
      <c r="BZ182" s="465"/>
      <c r="CA182" s="484"/>
      <c r="CB182" s="484"/>
      <c r="CC182" s="484"/>
      <c r="CD182" s="484"/>
      <c r="CE182" s="465"/>
      <c r="CF182" s="484"/>
      <c r="CG182" s="484"/>
      <c r="CH182" s="484"/>
      <c r="CI182" s="484"/>
      <c r="CJ182" s="465"/>
      <c r="CK182" s="484"/>
      <c r="CL182" s="484"/>
      <c r="CM182" s="484"/>
      <c r="CN182" s="484"/>
      <c r="CO182" s="465"/>
      <c r="CP182" s="484"/>
      <c r="CQ182" s="484"/>
      <c r="CR182" s="484"/>
      <c r="CS182" s="484"/>
      <c r="CT182" s="465"/>
      <c r="CU182" s="467"/>
      <c r="CV182" s="467"/>
    </row>
    <row r="183" spans="1:100" x14ac:dyDescent="0.2">
      <c r="A183" s="467" t="s">
        <v>166</v>
      </c>
      <c r="B183" s="486"/>
      <c r="C183" s="487"/>
      <c r="D183" s="469"/>
      <c r="E183" s="469"/>
      <c r="F183" s="488"/>
      <c r="G183" s="488"/>
      <c r="H183" s="470">
        <f t="shared" ref="H183:AH183" si="344">H83+H84+H89</f>
        <v>3451</v>
      </c>
      <c r="I183" s="469"/>
      <c r="J183" s="469"/>
      <c r="K183" s="488"/>
      <c r="L183" s="488"/>
      <c r="M183" s="470">
        <f t="shared" si="344"/>
        <v>5202</v>
      </c>
      <c r="N183" s="469">
        <f t="shared" si="344"/>
        <v>4502</v>
      </c>
      <c r="O183" s="469">
        <f t="shared" si="344"/>
        <v>3703</v>
      </c>
      <c r="P183" s="488">
        <f t="shared" si="344"/>
        <v>3096</v>
      </c>
      <c r="Q183" s="488">
        <f t="shared" si="344"/>
        <v>2824</v>
      </c>
      <c r="R183" s="470">
        <f t="shared" si="344"/>
        <v>2824</v>
      </c>
      <c r="S183" s="471">
        <f t="shared" si="344"/>
        <v>2809</v>
      </c>
      <c r="T183" s="471">
        <f t="shared" si="344"/>
        <v>3625</v>
      </c>
      <c r="U183" s="489">
        <f t="shared" si="344"/>
        <v>2981</v>
      </c>
      <c r="V183" s="489">
        <f t="shared" si="344"/>
        <v>4203</v>
      </c>
      <c r="W183" s="470">
        <f t="shared" si="344"/>
        <v>4203</v>
      </c>
      <c r="X183" s="471">
        <f t="shared" si="344"/>
        <v>5987</v>
      </c>
      <c r="Y183" s="471">
        <f t="shared" si="344"/>
        <v>6053</v>
      </c>
      <c r="Z183" s="489">
        <f t="shared" si="344"/>
        <v>7740</v>
      </c>
      <c r="AA183" s="489">
        <f t="shared" si="344"/>
        <v>8227</v>
      </c>
      <c r="AB183" s="470">
        <f t="shared" si="344"/>
        <v>8227</v>
      </c>
      <c r="AC183" s="471">
        <f t="shared" si="344"/>
        <v>9496</v>
      </c>
      <c r="AD183" s="471">
        <f t="shared" si="344"/>
        <v>8620</v>
      </c>
      <c r="AE183" s="489">
        <f t="shared" si="344"/>
        <v>7945</v>
      </c>
      <c r="AF183" s="489">
        <f t="shared" si="344"/>
        <v>7864</v>
      </c>
      <c r="AG183" s="470">
        <f t="shared" si="344"/>
        <v>7864</v>
      </c>
      <c r="AH183" s="489">
        <f t="shared" si="344"/>
        <v>21858</v>
      </c>
      <c r="AI183" s="489">
        <f t="shared" ref="AI183:BM183" si="345">AI83+AI84+AI89</f>
        <v>24079</v>
      </c>
      <c r="AJ183" s="489">
        <f t="shared" si="345"/>
        <v>24201</v>
      </c>
      <c r="AK183" s="488">
        <f t="shared" si="345"/>
        <v>24897</v>
      </c>
      <c r="AL183" s="470">
        <f t="shared" si="345"/>
        <v>24897</v>
      </c>
      <c r="AM183" s="488">
        <f t="shared" si="345"/>
        <v>27198</v>
      </c>
      <c r="AN183" s="488">
        <f t="shared" si="345"/>
        <v>27322</v>
      </c>
      <c r="AO183" s="488">
        <f t="shared" si="345"/>
        <v>26851</v>
      </c>
      <c r="AP183" s="488">
        <f t="shared" si="345"/>
        <v>26773</v>
      </c>
      <c r="AQ183" s="470">
        <f t="shared" si="345"/>
        <v>26773</v>
      </c>
      <c r="AR183" s="488">
        <f t="shared" si="345"/>
        <v>27710</v>
      </c>
      <c r="AS183" s="488">
        <f t="shared" si="345"/>
        <v>28332</v>
      </c>
      <c r="AT183" s="488">
        <f t="shared" si="345"/>
        <v>27943</v>
      </c>
      <c r="AU183" s="488">
        <f t="shared" si="345"/>
        <v>28359</v>
      </c>
      <c r="AV183" s="470">
        <f t="shared" si="345"/>
        <v>28359</v>
      </c>
      <c r="AW183" s="488">
        <f t="shared" si="345"/>
        <v>29400</v>
      </c>
      <c r="AX183" s="488">
        <f>AX83+AX84+AX89</f>
        <v>29510</v>
      </c>
      <c r="AY183" s="488">
        <f t="shared" si="345"/>
        <v>29549</v>
      </c>
      <c r="AZ183" s="488">
        <f t="shared" si="345"/>
        <v>29639</v>
      </c>
      <c r="BA183" s="470">
        <f t="shared" si="345"/>
        <v>29639</v>
      </c>
      <c r="BB183" s="488">
        <f t="shared" si="345"/>
        <v>32072</v>
      </c>
      <c r="BC183" s="488">
        <f t="shared" si="345"/>
        <v>32848</v>
      </c>
      <c r="BD183" s="488">
        <f>BD83+BD84+BD89</f>
        <v>32742</v>
      </c>
      <c r="BE183" s="488">
        <f>BE83+BE84+BE89</f>
        <v>28897</v>
      </c>
      <c r="BF183" s="470">
        <f t="shared" si="345"/>
        <v>28897</v>
      </c>
      <c r="BG183" s="488">
        <f t="shared" si="345"/>
        <v>30365</v>
      </c>
      <c r="BH183" s="488">
        <f t="shared" ca="1" si="345"/>
        <v>31458</v>
      </c>
      <c r="BI183" s="488">
        <f t="shared" ca="1" si="345"/>
        <v>31843</v>
      </c>
      <c r="BJ183" s="488">
        <f t="shared" ca="1" si="345"/>
        <v>33284</v>
      </c>
      <c r="BK183" s="470">
        <f t="shared" ca="1" si="345"/>
        <v>33284</v>
      </c>
      <c r="BL183" s="488">
        <f t="shared" ca="1" si="345"/>
        <v>35086</v>
      </c>
      <c r="BM183" s="488">
        <f t="shared" si="345"/>
        <v>35621</v>
      </c>
      <c r="BN183" s="488">
        <f>BN83+BN84+BN89</f>
        <v>35606</v>
      </c>
      <c r="BO183" s="488">
        <f t="shared" ref="BO183" si="346">BO83+BO84+BO89</f>
        <v>36945</v>
      </c>
      <c r="BP183" s="470">
        <f t="shared" ref="BP183:CO183" si="347">BP83+BP84+BP89</f>
        <v>36945</v>
      </c>
      <c r="BQ183" s="617">
        <f t="shared" si="347"/>
        <v>38658</v>
      </c>
      <c r="BR183" s="488">
        <f t="shared" si="347"/>
        <v>39484</v>
      </c>
      <c r="BS183" s="488">
        <f t="shared" si="347"/>
        <v>39169</v>
      </c>
      <c r="BT183" s="488">
        <f t="shared" si="347"/>
        <v>39281</v>
      </c>
      <c r="BU183" s="470">
        <f t="shared" si="347"/>
        <v>39281</v>
      </c>
      <c r="BV183" s="488">
        <f t="shared" ca="1" si="347"/>
        <v>41498.141913001207</v>
      </c>
      <c r="BW183" s="488">
        <f t="shared" ca="1" si="347"/>
        <v>41617.106417948191</v>
      </c>
      <c r="BX183" s="488">
        <f t="shared" ca="1" si="347"/>
        <v>40617.518791244889</v>
      </c>
      <c r="BY183" s="488">
        <f t="shared" ca="1" si="347"/>
        <v>40487.987284164759</v>
      </c>
      <c r="BZ183" s="470">
        <f t="shared" ca="1" si="347"/>
        <v>40487.987284164759</v>
      </c>
      <c r="CA183" s="488">
        <f t="shared" ca="1" si="347"/>
        <v>42324.507850799811</v>
      </c>
      <c r="CB183" s="488">
        <f t="shared" ca="1" si="347"/>
        <v>41909.586077186847</v>
      </c>
      <c r="CC183" s="488">
        <f t="shared" ca="1" si="347"/>
        <v>40351.907478969966</v>
      </c>
      <c r="CD183" s="488">
        <f t="shared" ca="1" si="347"/>
        <v>39721.933577601594</v>
      </c>
      <c r="CE183" s="470">
        <f t="shared" ca="1" si="347"/>
        <v>39721.933577601594</v>
      </c>
      <c r="CF183" s="488">
        <f t="shared" ca="1" si="347"/>
        <v>41548.0587038011</v>
      </c>
      <c r="CG183" s="488">
        <f t="shared" ca="1" si="347"/>
        <v>41039.144298358413</v>
      </c>
      <c r="CH183" s="488">
        <f t="shared" ca="1" si="347"/>
        <v>39362.776365699174</v>
      </c>
      <c r="CI183" s="488">
        <f t="shared" ca="1" si="347"/>
        <v>38603.941862358566</v>
      </c>
      <c r="CJ183" s="470">
        <f t="shared" ca="1" si="347"/>
        <v>38603.941862358566</v>
      </c>
      <c r="CK183" s="488">
        <f t="shared" ca="1" si="347"/>
        <v>40405.11909417031</v>
      </c>
      <c r="CL183" s="488">
        <f t="shared" ca="1" si="347"/>
        <v>39799.756406312124</v>
      </c>
      <c r="CM183" s="488">
        <f t="shared" ca="1" si="347"/>
        <v>38000.403714317668</v>
      </c>
      <c r="CN183" s="488">
        <f t="shared" ca="1" si="347"/>
        <v>37109.404008127924</v>
      </c>
      <c r="CO183" s="470">
        <f t="shared" ca="1" si="347"/>
        <v>37109.404008127924</v>
      </c>
      <c r="CP183" s="488">
        <f ca="1">CP83+CP84+CP89</f>
        <v>38899.410070454644</v>
      </c>
      <c r="CQ183" s="488">
        <f ca="1">CQ83+CQ84+CQ89</f>
        <v>38194.292820614253</v>
      </c>
      <c r="CR183" s="488">
        <f ca="1">CR83+CR84+CR89</f>
        <v>36267.656389158932</v>
      </c>
      <c r="CS183" s="488">
        <f ca="1">CS83+CS84+CS89</f>
        <v>35239.590780318627</v>
      </c>
      <c r="CT183" s="470">
        <f ca="1">CT83+CT84+CT89</f>
        <v>35239.590780318627</v>
      </c>
      <c r="CU183" s="467"/>
      <c r="CV183" s="467"/>
    </row>
    <row r="184" spans="1:100" x14ac:dyDescent="0.2">
      <c r="A184" s="467" t="s">
        <v>167</v>
      </c>
      <c r="B184" s="486"/>
      <c r="C184" s="487"/>
      <c r="D184" s="469"/>
      <c r="E184" s="469"/>
      <c r="F184" s="488"/>
      <c r="G184" s="488"/>
      <c r="H184" s="470">
        <f>+H67+H66</f>
        <v>1280</v>
      </c>
      <c r="I184" s="469"/>
      <c r="J184" s="469"/>
      <c r="K184" s="488"/>
      <c r="L184" s="488"/>
      <c r="M184" s="470">
        <f t="shared" ref="M184:R184" si="348">+M67+M66</f>
        <v>1716</v>
      </c>
      <c r="N184" s="469">
        <f t="shared" si="348"/>
        <v>956</v>
      </c>
      <c r="O184" s="469">
        <f t="shared" si="348"/>
        <v>419</v>
      </c>
      <c r="P184" s="488">
        <f t="shared" si="348"/>
        <v>1325</v>
      </c>
      <c r="Q184" s="488">
        <f t="shared" si="348"/>
        <v>1651</v>
      </c>
      <c r="R184" s="470">
        <f t="shared" si="348"/>
        <v>1651</v>
      </c>
      <c r="S184" s="471">
        <f t="shared" ref="S184:AG184" si="349">+S67+S66</f>
        <v>967</v>
      </c>
      <c r="T184" s="471">
        <f t="shared" si="349"/>
        <v>998</v>
      </c>
      <c r="U184" s="489">
        <f t="shared" si="349"/>
        <v>1035</v>
      </c>
      <c r="V184" s="489">
        <f t="shared" si="349"/>
        <v>910</v>
      </c>
      <c r="W184" s="470">
        <f t="shared" si="349"/>
        <v>910</v>
      </c>
      <c r="X184" s="471">
        <f t="shared" si="349"/>
        <v>1604</v>
      </c>
      <c r="Y184" s="471">
        <f t="shared" si="349"/>
        <v>1768</v>
      </c>
      <c r="Z184" s="489">
        <f t="shared" si="349"/>
        <v>1517</v>
      </c>
      <c r="AA184" s="489">
        <f t="shared" si="349"/>
        <v>2064</v>
      </c>
      <c r="AB184" s="470">
        <f t="shared" si="349"/>
        <v>2064</v>
      </c>
      <c r="AC184" s="471">
        <f t="shared" si="349"/>
        <v>2188</v>
      </c>
      <c r="AD184" s="471">
        <f t="shared" si="349"/>
        <v>2214</v>
      </c>
      <c r="AE184" s="489">
        <f t="shared" si="349"/>
        <v>3254</v>
      </c>
      <c r="AF184" s="489">
        <f t="shared" si="349"/>
        <v>3943</v>
      </c>
      <c r="AG184" s="470">
        <f t="shared" si="349"/>
        <v>3943</v>
      </c>
      <c r="AH184" s="489">
        <f t="shared" ref="AH184:AQ184" si="350">+AH67+AH66</f>
        <v>3949</v>
      </c>
      <c r="AI184" s="489">
        <f t="shared" si="350"/>
        <v>4529</v>
      </c>
      <c r="AJ184" s="489">
        <f>+AJ67+AJ66</f>
        <v>5577</v>
      </c>
      <c r="AK184" s="488">
        <f t="shared" si="350"/>
        <v>5943</v>
      </c>
      <c r="AL184" s="470">
        <f t="shared" si="350"/>
        <v>5943</v>
      </c>
      <c r="AM184" s="488">
        <f t="shared" si="350"/>
        <v>3662</v>
      </c>
      <c r="AN184" s="488">
        <f t="shared" si="350"/>
        <v>2913</v>
      </c>
      <c r="AO184" s="488">
        <f t="shared" si="350"/>
        <v>3083</v>
      </c>
      <c r="AP184" s="488">
        <f t="shared" si="350"/>
        <v>4067</v>
      </c>
      <c r="AQ184" s="470">
        <f t="shared" si="350"/>
        <v>4067</v>
      </c>
      <c r="AR184" s="488">
        <f t="shared" ref="AR184:BW184" si="351">+AR67+AR66</f>
        <v>3485</v>
      </c>
      <c r="AS184" s="488">
        <f t="shared" si="351"/>
        <v>3863</v>
      </c>
      <c r="AT184" s="488">
        <f t="shared" si="351"/>
        <v>5309</v>
      </c>
      <c r="AU184" s="488">
        <f t="shared" si="351"/>
        <v>6297</v>
      </c>
      <c r="AV184" s="470">
        <f t="shared" si="351"/>
        <v>6297</v>
      </c>
      <c r="AW184" s="488">
        <f t="shared" si="351"/>
        <v>6715</v>
      </c>
      <c r="AX184" s="488">
        <f>+AX67+AX66</f>
        <v>7793</v>
      </c>
      <c r="AY184" s="488">
        <f t="shared" si="351"/>
        <v>9204</v>
      </c>
      <c r="AZ184" s="488">
        <f t="shared" si="351"/>
        <v>9375</v>
      </c>
      <c r="BA184" s="470">
        <f t="shared" si="351"/>
        <v>9375</v>
      </c>
      <c r="BB184" s="488">
        <f t="shared" si="351"/>
        <v>9839</v>
      </c>
      <c r="BC184" s="488">
        <f t="shared" si="351"/>
        <v>7607</v>
      </c>
      <c r="BD184" s="488">
        <f t="shared" si="351"/>
        <v>7282</v>
      </c>
      <c r="BE184" s="488">
        <f>+BE67+BE66</f>
        <v>6134</v>
      </c>
      <c r="BF184" s="470">
        <f t="shared" si="351"/>
        <v>6134</v>
      </c>
      <c r="BG184" s="488">
        <f t="shared" si="351"/>
        <v>6410</v>
      </c>
      <c r="BH184" s="488">
        <f t="shared" si="351"/>
        <v>7562</v>
      </c>
      <c r="BI184" s="488">
        <f t="shared" si="351"/>
        <v>8698</v>
      </c>
      <c r="BJ184" s="488">
        <f t="shared" si="351"/>
        <v>9096</v>
      </c>
      <c r="BK184" s="470">
        <f t="shared" si="351"/>
        <v>9096</v>
      </c>
      <c r="BL184" s="488">
        <f t="shared" si="351"/>
        <v>8124</v>
      </c>
      <c r="BM184" s="488">
        <f t="shared" si="351"/>
        <v>9646</v>
      </c>
      <c r="BN184" s="488">
        <f t="shared" si="351"/>
        <v>10256</v>
      </c>
      <c r="BO184" s="488">
        <f t="shared" ref="BO184" si="352">+BO67+BO66</f>
        <v>9158</v>
      </c>
      <c r="BP184" s="470">
        <f t="shared" si="351"/>
        <v>9158</v>
      </c>
      <c r="BQ184" s="617">
        <f t="shared" si="351"/>
        <v>9528</v>
      </c>
      <c r="BR184" s="488">
        <f t="shared" si="351"/>
        <v>10282</v>
      </c>
      <c r="BS184" s="488">
        <f>+BS67+BS66</f>
        <v>10243</v>
      </c>
      <c r="BT184" s="488">
        <f t="shared" si="351"/>
        <v>10610</v>
      </c>
      <c r="BU184" s="470">
        <f t="shared" si="351"/>
        <v>10610</v>
      </c>
      <c r="BV184" s="488">
        <f t="shared" ca="1" si="351"/>
        <v>10610</v>
      </c>
      <c r="BW184" s="488">
        <f t="shared" ca="1" si="351"/>
        <v>10610</v>
      </c>
      <c r="BX184" s="488">
        <f t="shared" ref="BX184:CO184" ca="1" si="353">+BX67+BX66</f>
        <v>10610</v>
      </c>
      <c r="BY184" s="488">
        <f t="shared" ca="1" si="353"/>
        <v>10610</v>
      </c>
      <c r="BZ184" s="470">
        <f t="shared" ca="1" si="353"/>
        <v>10610</v>
      </c>
      <c r="CA184" s="488">
        <f t="shared" ca="1" si="353"/>
        <v>10610</v>
      </c>
      <c r="CB184" s="488">
        <f t="shared" ca="1" si="353"/>
        <v>10610</v>
      </c>
      <c r="CC184" s="488">
        <f t="shared" ca="1" si="353"/>
        <v>10610</v>
      </c>
      <c r="CD184" s="488">
        <f t="shared" ca="1" si="353"/>
        <v>10610</v>
      </c>
      <c r="CE184" s="470">
        <f t="shared" ca="1" si="353"/>
        <v>10610</v>
      </c>
      <c r="CF184" s="488">
        <f t="shared" ca="1" si="353"/>
        <v>10610</v>
      </c>
      <c r="CG184" s="488">
        <f t="shared" ca="1" si="353"/>
        <v>10610</v>
      </c>
      <c r="CH184" s="488">
        <f t="shared" ca="1" si="353"/>
        <v>10610</v>
      </c>
      <c r="CI184" s="488">
        <f t="shared" ca="1" si="353"/>
        <v>10610</v>
      </c>
      <c r="CJ184" s="470">
        <f t="shared" ca="1" si="353"/>
        <v>10610</v>
      </c>
      <c r="CK184" s="488">
        <f t="shared" ca="1" si="353"/>
        <v>10610</v>
      </c>
      <c r="CL184" s="488">
        <f t="shared" ca="1" si="353"/>
        <v>10610</v>
      </c>
      <c r="CM184" s="488">
        <f t="shared" ca="1" si="353"/>
        <v>10610</v>
      </c>
      <c r="CN184" s="488">
        <f t="shared" ca="1" si="353"/>
        <v>10610</v>
      </c>
      <c r="CO184" s="470">
        <f t="shared" ca="1" si="353"/>
        <v>10610</v>
      </c>
      <c r="CP184" s="488">
        <f ca="1">+CP67+CP66</f>
        <v>10610</v>
      </c>
      <c r="CQ184" s="488">
        <f ca="1">+CQ67+CQ66</f>
        <v>10610</v>
      </c>
      <c r="CR184" s="488">
        <f ca="1">+CR67+CR66</f>
        <v>10610</v>
      </c>
      <c r="CS184" s="488">
        <f ca="1">+CS67+CS66</f>
        <v>10610</v>
      </c>
      <c r="CT184" s="470">
        <f ca="1">+CT67+CT66</f>
        <v>10610</v>
      </c>
      <c r="CU184" s="467"/>
      <c r="CV184" s="467"/>
    </row>
    <row r="185" spans="1:100" x14ac:dyDescent="0.2">
      <c r="A185" s="59" t="s">
        <v>168</v>
      </c>
      <c r="B185" s="91"/>
      <c r="C185" s="377"/>
      <c r="D185" s="330"/>
      <c r="E185" s="330"/>
      <c r="F185" s="330"/>
      <c r="G185" s="330"/>
      <c r="H185" s="331">
        <f>H183-H184</f>
        <v>2171</v>
      </c>
      <c r="I185" s="330"/>
      <c r="J185" s="330"/>
      <c r="K185" s="330"/>
      <c r="L185" s="330"/>
      <c r="M185" s="331">
        <f t="shared" ref="M185:AG185" si="354">M183-M184</f>
        <v>3486</v>
      </c>
      <c r="N185" s="330">
        <f t="shared" si="354"/>
        <v>3546</v>
      </c>
      <c r="O185" s="330">
        <f t="shared" si="354"/>
        <v>3284</v>
      </c>
      <c r="P185" s="330">
        <f t="shared" si="354"/>
        <v>1771</v>
      </c>
      <c r="Q185" s="330">
        <f t="shared" si="354"/>
        <v>1173</v>
      </c>
      <c r="R185" s="331">
        <f t="shared" si="354"/>
        <v>1173</v>
      </c>
      <c r="S185" s="332">
        <f t="shared" si="354"/>
        <v>1842</v>
      </c>
      <c r="T185" s="332">
        <f t="shared" si="354"/>
        <v>2627</v>
      </c>
      <c r="U185" s="332">
        <f t="shared" si="354"/>
        <v>1946</v>
      </c>
      <c r="V185" s="332">
        <f t="shared" si="354"/>
        <v>3293</v>
      </c>
      <c r="W185" s="331">
        <f t="shared" si="354"/>
        <v>3293</v>
      </c>
      <c r="X185" s="332">
        <f t="shared" si="354"/>
        <v>4383</v>
      </c>
      <c r="Y185" s="332">
        <f t="shared" si="354"/>
        <v>4285</v>
      </c>
      <c r="Z185" s="332">
        <f t="shared" si="354"/>
        <v>6223</v>
      </c>
      <c r="AA185" s="332">
        <f t="shared" si="354"/>
        <v>6163</v>
      </c>
      <c r="AB185" s="331">
        <f t="shared" si="354"/>
        <v>6163</v>
      </c>
      <c r="AC185" s="332">
        <f t="shared" si="354"/>
        <v>7308</v>
      </c>
      <c r="AD185" s="332">
        <f t="shared" si="354"/>
        <v>6406</v>
      </c>
      <c r="AE185" s="332">
        <f t="shared" si="354"/>
        <v>4691</v>
      </c>
      <c r="AF185" s="332">
        <f t="shared" si="354"/>
        <v>3921</v>
      </c>
      <c r="AG185" s="331">
        <f t="shared" si="354"/>
        <v>3921</v>
      </c>
      <c r="AH185" s="332">
        <f t="shared" ref="AH185:AQ185" si="355">AH183-AH184</f>
        <v>17909</v>
      </c>
      <c r="AI185" s="332">
        <f t="shared" si="355"/>
        <v>19550</v>
      </c>
      <c r="AJ185" s="332">
        <f t="shared" si="355"/>
        <v>18624</v>
      </c>
      <c r="AK185" s="330">
        <f t="shared" si="355"/>
        <v>18954</v>
      </c>
      <c r="AL185" s="331">
        <f t="shared" si="355"/>
        <v>18954</v>
      </c>
      <c r="AM185" s="330">
        <f t="shared" si="355"/>
        <v>23536</v>
      </c>
      <c r="AN185" s="330">
        <f t="shared" si="355"/>
        <v>24409</v>
      </c>
      <c r="AO185" s="330">
        <f t="shared" si="355"/>
        <v>23768</v>
      </c>
      <c r="AP185" s="330">
        <f t="shared" si="355"/>
        <v>22706</v>
      </c>
      <c r="AQ185" s="331">
        <f t="shared" si="355"/>
        <v>22706</v>
      </c>
      <c r="AR185" s="330">
        <f t="shared" ref="AR185:BW185" si="356">AR183-AR184</f>
        <v>24225</v>
      </c>
      <c r="AS185" s="330">
        <f t="shared" si="356"/>
        <v>24469</v>
      </c>
      <c r="AT185" s="330">
        <f t="shared" si="356"/>
        <v>22634</v>
      </c>
      <c r="AU185" s="330">
        <f t="shared" si="356"/>
        <v>22062</v>
      </c>
      <c r="AV185" s="331">
        <f t="shared" si="356"/>
        <v>22062</v>
      </c>
      <c r="AW185" s="330">
        <f t="shared" si="356"/>
        <v>22685</v>
      </c>
      <c r="AX185" s="330">
        <f t="shared" si="356"/>
        <v>21717</v>
      </c>
      <c r="AY185" s="330">
        <f t="shared" si="356"/>
        <v>20345</v>
      </c>
      <c r="AZ185" s="330">
        <f t="shared" si="356"/>
        <v>20264</v>
      </c>
      <c r="BA185" s="331">
        <f t="shared" si="356"/>
        <v>20264</v>
      </c>
      <c r="BB185" s="330">
        <f t="shared" si="356"/>
        <v>22233</v>
      </c>
      <c r="BC185" s="330">
        <f t="shared" si="356"/>
        <v>25241</v>
      </c>
      <c r="BD185" s="330">
        <f t="shared" si="356"/>
        <v>25460</v>
      </c>
      <c r="BE185" s="330">
        <f>BE183-BE184</f>
        <v>22763</v>
      </c>
      <c r="BF185" s="331">
        <f t="shared" si="356"/>
        <v>22763</v>
      </c>
      <c r="BG185" s="330">
        <f t="shared" si="356"/>
        <v>23955</v>
      </c>
      <c r="BH185" s="330">
        <f t="shared" ca="1" si="356"/>
        <v>23896</v>
      </c>
      <c r="BI185" s="330">
        <f t="shared" ca="1" si="356"/>
        <v>23145</v>
      </c>
      <c r="BJ185" s="330">
        <f t="shared" ca="1" si="356"/>
        <v>24188</v>
      </c>
      <c r="BK185" s="331">
        <f t="shared" ca="1" si="356"/>
        <v>24188</v>
      </c>
      <c r="BL185" s="330">
        <f t="shared" ca="1" si="356"/>
        <v>26962</v>
      </c>
      <c r="BM185" s="330">
        <f t="shared" si="356"/>
        <v>25975</v>
      </c>
      <c r="BN185" s="330">
        <f t="shared" si="356"/>
        <v>25350</v>
      </c>
      <c r="BO185" s="330">
        <f t="shared" ref="BO185" si="357">BO183-BO184</f>
        <v>27787</v>
      </c>
      <c r="BP185" s="331">
        <f t="shared" si="356"/>
        <v>27787</v>
      </c>
      <c r="BQ185" s="578">
        <f t="shared" si="356"/>
        <v>29130</v>
      </c>
      <c r="BR185" s="330">
        <f t="shared" si="356"/>
        <v>29202</v>
      </c>
      <c r="BS185" s="330">
        <f t="shared" si="356"/>
        <v>28926</v>
      </c>
      <c r="BT185" s="330">
        <f t="shared" si="356"/>
        <v>28671</v>
      </c>
      <c r="BU185" s="331">
        <f t="shared" si="356"/>
        <v>28671</v>
      </c>
      <c r="BV185" s="330">
        <f t="shared" ca="1" si="356"/>
        <v>30888.141913001207</v>
      </c>
      <c r="BW185" s="330">
        <f t="shared" ca="1" si="356"/>
        <v>31007.106417948191</v>
      </c>
      <c r="BX185" s="330">
        <f t="shared" ref="BX185:CO185" ca="1" si="358">BX183-BX184</f>
        <v>30007.518791244889</v>
      </c>
      <c r="BY185" s="330">
        <f t="shared" ca="1" si="358"/>
        <v>29877.987284164759</v>
      </c>
      <c r="BZ185" s="331">
        <f t="shared" ca="1" si="358"/>
        <v>29877.987284164759</v>
      </c>
      <c r="CA185" s="330">
        <f t="shared" ca="1" si="358"/>
        <v>31714.507850799811</v>
      </c>
      <c r="CB185" s="330">
        <f t="shared" ca="1" si="358"/>
        <v>31299.586077186847</v>
      </c>
      <c r="CC185" s="330">
        <f t="shared" ca="1" si="358"/>
        <v>29741.907478969966</v>
      </c>
      <c r="CD185" s="330">
        <f t="shared" ca="1" si="358"/>
        <v>29111.933577601594</v>
      </c>
      <c r="CE185" s="331">
        <f t="shared" ca="1" si="358"/>
        <v>29111.933577601594</v>
      </c>
      <c r="CF185" s="330">
        <f t="shared" ca="1" si="358"/>
        <v>30938.0587038011</v>
      </c>
      <c r="CG185" s="330">
        <f t="shared" ca="1" si="358"/>
        <v>30429.144298358413</v>
      </c>
      <c r="CH185" s="330">
        <f t="shared" ca="1" si="358"/>
        <v>28752.776365699174</v>
      </c>
      <c r="CI185" s="330">
        <f t="shared" ca="1" si="358"/>
        <v>27993.941862358566</v>
      </c>
      <c r="CJ185" s="331">
        <f t="shared" ca="1" si="358"/>
        <v>27993.941862358566</v>
      </c>
      <c r="CK185" s="330">
        <f t="shared" ca="1" si="358"/>
        <v>29795.11909417031</v>
      </c>
      <c r="CL185" s="330">
        <f t="shared" ca="1" si="358"/>
        <v>29189.756406312124</v>
      </c>
      <c r="CM185" s="330">
        <f t="shared" ca="1" si="358"/>
        <v>27390.403714317668</v>
      </c>
      <c r="CN185" s="330">
        <f t="shared" ca="1" si="358"/>
        <v>26499.404008127924</v>
      </c>
      <c r="CO185" s="331">
        <f t="shared" ca="1" si="358"/>
        <v>26499.404008127924</v>
      </c>
      <c r="CP185" s="330">
        <f ca="1">CP183-CP184</f>
        <v>28289.410070454644</v>
      </c>
      <c r="CQ185" s="330">
        <f ca="1">CQ183-CQ184</f>
        <v>27584.292820614253</v>
      </c>
      <c r="CR185" s="330">
        <f ca="1">CR183-CR184</f>
        <v>25657.656389158932</v>
      </c>
      <c r="CS185" s="330">
        <f ca="1">CS183-CS184</f>
        <v>24629.590780318627</v>
      </c>
      <c r="CT185" s="331">
        <f ca="1">CT183-CT184</f>
        <v>24629.590780318627</v>
      </c>
      <c r="CU185" s="313"/>
      <c r="CV185" s="313"/>
    </row>
    <row r="186" spans="1:100" x14ac:dyDescent="0.2">
      <c r="A186" s="462" t="s">
        <v>169</v>
      </c>
      <c r="B186" s="462"/>
      <c r="C186" s="462"/>
      <c r="D186" s="324"/>
      <c r="E186" s="324"/>
      <c r="F186" s="324"/>
      <c r="G186" s="324"/>
      <c r="H186" s="362"/>
      <c r="I186" s="324"/>
      <c r="J186" s="324"/>
      <c r="K186" s="324"/>
      <c r="L186" s="324"/>
      <c r="M186" s="362">
        <f>-M33*2/(M183+H183)</f>
        <v>5.801456142378366E-2</v>
      </c>
      <c r="N186" s="363">
        <f>-N33*(13/3)/((N183+M183)/2)</f>
        <v>5.5372355042594114E-2</v>
      </c>
      <c r="O186" s="363">
        <f>-O33*(13/3)/((O183+N183)/2)</f>
        <v>6.2319723745683522E-2</v>
      </c>
      <c r="P186" s="363">
        <f>-P33*(13/3)/((P183+O183)/2)</f>
        <v>6.5009560229445498E-2</v>
      </c>
      <c r="Q186" s="363">
        <f>-Q33*(13/4)/((Q183+P183)/2)</f>
        <v>7.3564189189189194E-2</v>
      </c>
      <c r="R186" s="362">
        <f>-R33*2/(R183+M183)</f>
        <v>5.9556441564914027E-2</v>
      </c>
      <c r="S186" s="363">
        <f>-S33*(13/3)/((S183+R183)/2)</f>
        <v>6.4619208237173792E-2</v>
      </c>
      <c r="T186" s="363">
        <f>-T33*(13/3)/((T183+S183)/2)</f>
        <v>7.2738576313335399E-2</v>
      </c>
      <c r="U186" s="363">
        <f>-U33*(13/3)/((U183+T183)/2)</f>
        <v>7.4780502573418089E-2</v>
      </c>
      <c r="V186" s="363">
        <f>-V33*(13/4)/((V183+U183)/2)</f>
        <v>6.4239977728285075E-2</v>
      </c>
      <c r="W186" s="362">
        <f>-W33*2/(W183+R183)</f>
        <v>6.375409136188985E-2</v>
      </c>
      <c r="X186" s="363">
        <f>-X33*(13/3)/((X183+W183)/2)</f>
        <v>4.9329407916257763E-2</v>
      </c>
      <c r="Y186" s="363">
        <f>-Y33*(13/3)/((Y183+X183)/2)</f>
        <v>5.3266888150609072E-2</v>
      </c>
      <c r="Z186" s="363">
        <f>-Z33*(13/3)/((Z183+Y183)/2)</f>
        <v>4.5868677348413441E-2</v>
      </c>
      <c r="AA186" s="363">
        <f>-AA33*(13/4)/((AA183+Z183)/2)</f>
        <v>5.047911317091501E-2</v>
      </c>
      <c r="AB186" s="362">
        <f>-AB33*2/(AB183+W183)</f>
        <v>5.2936444086886567E-2</v>
      </c>
      <c r="AC186" s="363">
        <f t="shared" ref="AC186:AJ186" si="359">-AC33*(13/3)/((AC183+AB183)/2)</f>
        <v>4.7922661701367331E-2</v>
      </c>
      <c r="AD186" s="363">
        <f t="shared" si="359"/>
        <v>4.8318245381614777E-2</v>
      </c>
      <c r="AE186" s="363">
        <f t="shared" si="359"/>
        <v>4.499446624408894E-2</v>
      </c>
      <c r="AF186" s="363">
        <f>-AF33*(13/4)/((AF183+AE183)/2)</f>
        <v>4.604971851477007E-2</v>
      </c>
      <c r="AG186" s="362">
        <f>-AG33*2/(AG183+AB183)</f>
        <v>4.9344353986700638E-2</v>
      </c>
      <c r="AH186" s="363">
        <f t="shared" si="359"/>
        <v>3.615727968059574E-2</v>
      </c>
      <c r="AI186" s="363">
        <f t="shared" si="359"/>
        <v>3.2450239821204402E-2</v>
      </c>
      <c r="AJ186" s="363">
        <f t="shared" si="359"/>
        <v>3.0336923501795079E-2</v>
      </c>
      <c r="AK186" s="363">
        <f>-AK33*(13/4)/((AK183+AJ183)/2)</f>
        <v>3.044930547069127E-2</v>
      </c>
      <c r="AL186" s="362">
        <f>-AL33*2/(AL183+AG183)</f>
        <v>4.2428497298617258E-2</v>
      </c>
      <c r="AM186" s="363">
        <f>-AM33*(13/3)/((AM183+AL183)/2)</f>
        <v>2.9945292254534985E-2</v>
      </c>
      <c r="AN186" s="363">
        <f>-AN33*(13/3)/((AN183+AM183)/2)</f>
        <v>3.163365125947664E-2</v>
      </c>
      <c r="AO186" s="363">
        <f>-AO33*(13/3)/((AO183+AN183)/2)</f>
        <v>3.0236464659516734E-2</v>
      </c>
      <c r="AP186" s="363">
        <f>-AP33*(13/4)/((AP183+AO183)/2)</f>
        <v>3.1030881694763538E-2</v>
      </c>
      <c r="AQ186" s="362">
        <f>-AQ33*2/(AQ183+AL183)</f>
        <v>3.1894716469905167E-2</v>
      </c>
      <c r="AR186" s="363">
        <f>-AR33*(13/3)/((AR183+AQ183)/2)</f>
        <v>3.1496062992125977E-2</v>
      </c>
      <c r="AS186" s="363">
        <f>-AS33*(13/3)/((AS183+AR183)/2)</f>
        <v>3.2320997347227674E-2</v>
      </c>
      <c r="AT186" s="363">
        <f>-AT33*(13/3)/((AT183+AS183)/2)</f>
        <v>3.141714793425144E-2</v>
      </c>
      <c r="AU186" s="363">
        <f>-AU33*(13/4)/((AU183+AT183)/2)</f>
        <v>3.2672018755994459E-2</v>
      </c>
      <c r="AV186" s="362">
        <f>-AV33*2/(AV183+AQ183)</f>
        <v>3.2431255894943042E-2</v>
      </c>
      <c r="AW186" s="363">
        <f>-AW33*(13/3)/((AW183+AV183)/2)</f>
        <v>3.211043589166479E-2</v>
      </c>
      <c r="AX186" s="363">
        <f>-AX33*(13/3)/((AX183+AW183)/2)</f>
        <v>3.0600350817631412E-2</v>
      </c>
      <c r="AY186" s="363">
        <f>-AY33*(13/3)/((AY183+AX183)/2)</f>
        <v>3.2284100080710247E-2</v>
      </c>
      <c r="AZ186" s="363">
        <f>-AZ33*(13/4)/((AZ183+AY183)/2)</f>
        <v>2.9541461106981144E-2</v>
      </c>
      <c r="BA186" s="362">
        <f>-BA33*2/(BA183+AV183)</f>
        <v>3.1414876375047418E-2</v>
      </c>
      <c r="BB186" s="363">
        <f>-BB33*(13/3)/((BB183+BA183)/2)</f>
        <v>2.822835475036865E-2</v>
      </c>
      <c r="BC186" s="363">
        <f>-BC33*(13/3)/((BC183+BB183)/2)</f>
        <v>2.7901006366810432E-2</v>
      </c>
      <c r="BD186" s="363">
        <f>-BD33*(13/3)/((BD183+BC183)/2)</f>
        <v>2.840880215480002E-2</v>
      </c>
      <c r="BE186" s="363">
        <f>-BE33*(13/4)/((BE183+BD183)/2)</f>
        <v>2.9948571521277112E-2</v>
      </c>
      <c r="BF186" s="362">
        <f>-BF33*2/(BF183+BA183)</f>
        <v>3.105781057810578E-2</v>
      </c>
      <c r="BG186" s="363">
        <f>-BG33*(13/3)/((BG183+BF183)/2)</f>
        <v>3.0857322848818241E-2</v>
      </c>
      <c r="BH186" s="363">
        <f ca="1">-BH33*(13/3)/((BH183+BG183)/2)</f>
        <v>3.0420178035143335E-2</v>
      </c>
      <c r="BI186" s="363">
        <f ca="1">-BI33*(13/3)/((BI183+BH183)/2)</f>
        <v>3.0805200549754344E-2</v>
      </c>
      <c r="BJ186" s="363">
        <f ca="1">-BJ33*(13/4)/((BJ183+BI183)/2)</f>
        <v>3.1638183856157971E-2</v>
      </c>
      <c r="BK186" s="362">
        <f ca="1">-BK33*2/(BK183+BF183)</f>
        <v>3.1199240925684695E-2</v>
      </c>
      <c r="BL186" s="363">
        <f ca="1">-BL33*(53/12)/((BL183+BK183)/2)</f>
        <v>3.1782945736434108E-2</v>
      </c>
      <c r="BM186" s="363">
        <f ca="1">-BM33*(53/12)/((BM183+BL183)/2)</f>
        <v>3.1856817571103285E-2</v>
      </c>
      <c r="BN186" s="363">
        <f>-BN33*(53/12)/((BN183+BM183)/2)</f>
        <v>3.0632110482448138E-2</v>
      </c>
      <c r="BO186" s="363">
        <f>-BO33*(13/4)/((BO183+BN183)/2)</f>
        <v>3.2342765778555778E-2</v>
      </c>
      <c r="BP186" s="362">
        <f ca="1">-BP33*2/(BP183+BK183)</f>
        <v>3.1582394737216822E-2</v>
      </c>
      <c r="BQ186" s="363">
        <f>-BQ33*(53/12)/((BQ183+BP183)/2)</f>
        <v>2.944327606047379E-2</v>
      </c>
      <c r="BR186" s="363">
        <f>-BR33*(53/12)/((BR183+BQ183)/2)</f>
        <v>2.9956148208816431E-2</v>
      </c>
      <c r="BS186" s="363">
        <f>-BS33*(53/12)/((BS183+BR183)/2)</f>
        <v>3.0210756953538542E-2</v>
      </c>
      <c r="BT186" s="363">
        <f>-BT33*(53/12)/((BT183+BS183)/2)</f>
        <v>4.1098364138517106E-2</v>
      </c>
      <c r="BU186" s="362">
        <f>-BU33*2/(BU183+BP183)</f>
        <v>3.019966940414032E-2</v>
      </c>
      <c r="BV186" s="35">
        <v>2.8500000000000001E-2</v>
      </c>
      <c r="BW186" s="35">
        <v>2.8500000000000001E-2</v>
      </c>
      <c r="BX186" s="35">
        <v>2.8500000000000001E-2</v>
      </c>
      <c r="BY186" s="35">
        <v>2.8500000000000001E-2</v>
      </c>
      <c r="BZ186" s="362">
        <f ca="1">-BZ33*2/(BZ183+BU183)</f>
        <v>2.920940305741089E-2</v>
      </c>
      <c r="CA186" s="35">
        <f t="shared" ref="CA186:CD187" si="360">BV186</f>
        <v>2.8500000000000001E-2</v>
      </c>
      <c r="CB186" s="35">
        <f t="shared" si="360"/>
        <v>2.8500000000000001E-2</v>
      </c>
      <c r="CC186" s="35">
        <f t="shared" si="360"/>
        <v>2.8500000000000001E-2</v>
      </c>
      <c r="CD186" s="35">
        <f t="shared" si="360"/>
        <v>2.8500000000000001E-2</v>
      </c>
      <c r="CE186" s="362">
        <f ca="1">-CE33*2/(CE183+BZ183)</f>
        <v>2.919671341754353E-2</v>
      </c>
      <c r="CF186" s="35">
        <f t="shared" ref="CF186:CI187" si="361">CA186</f>
        <v>2.8500000000000001E-2</v>
      </c>
      <c r="CG186" s="35">
        <f t="shared" si="361"/>
        <v>2.8500000000000001E-2</v>
      </c>
      <c r="CH186" s="35">
        <f t="shared" si="361"/>
        <v>2.8500000000000001E-2</v>
      </c>
      <c r="CI186" s="35">
        <f t="shared" si="361"/>
        <v>2.8500000000000001E-2</v>
      </c>
      <c r="CJ186" s="362">
        <f ca="1">-CJ33*2/(CJ183+CE183)</f>
        <v>2.9239144127302774E-2</v>
      </c>
      <c r="CK186" s="35">
        <f t="shared" ref="CK186:CN187" si="362">CF186</f>
        <v>2.8500000000000001E-2</v>
      </c>
      <c r="CL186" s="35">
        <f t="shared" si="362"/>
        <v>2.8500000000000001E-2</v>
      </c>
      <c r="CM186" s="35">
        <f t="shared" si="362"/>
        <v>2.8500000000000001E-2</v>
      </c>
      <c r="CN186" s="35">
        <f t="shared" si="362"/>
        <v>2.8500000000000001E-2</v>
      </c>
      <c r="CO186" s="362">
        <f ca="1">-CO33*2/(CO183+CJ183)</f>
        <v>2.9287818320450503E-2</v>
      </c>
      <c r="CP186" s="35">
        <f t="shared" ref="CP186:CS187" si="363">CK186</f>
        <v>2.8500000000000001E-2</v>
      </c>
      <c r="CQ186" s="35">
        <f t="shared" si="363"/>
        <v>2.8500000000000001E-2</v>
      </c>
      <c r="CR186" s="35">
        <f t="shared" si="363"/>
        <v>2.8500000000000001E-2</v>
      </c>
      <c r="CS186" s="35">
        <f t="shared" si="363"/>
        <v>2.8500000000000001E-2</v>
      </c>
      <c r="CT186" s="362">
        <f ca="1">-CT33*2/(CT183+CO183)</f>
        <v>2.9354071157652803E-2</v>
      </c>
      <c r="CU186" s="462"/>
      <c r="CV186" s="462"/>
    </row>
    <row r="187" spans="1:100" x14ac:dyDescent="0.2">
      <c r="A187" s="462" t="s">
        <v>170</v>
      </c>
      <c r="B187" s="462"/>
      <c r="C187" s="462"/>
      <c r="D187" s="324"/>
      <c r="E187" s="324"/>
      <c r="F187" s="324"/>
      <c r="G187" s="324"/>
      <c r="H187" s="362"/>
      <c r="I187" s="324"/>
      <c r="J187" s="324"/>
      <c r="K187" s="324"/>
      <c r="L187" s="324"/>
      <c r="M187" s="362">
        <f>M34*2/(M184+H184)</f>
        <v>0.1041388518024032</v>
      </c>
      <c r="N187" s="324">
        <f>N34*(13/3)/((N184+M184)/2)</f>
        <v>0.14595808383233533</v>
      </c>
      <c r="O187" s="324">
        <f>O34*(13/3)/((O184+N184)/2)</f>
        <v>0.16387878787878787</v>
      </c>
      <c r="P187" s="324">
        <f>P34*(13/3)/((P184+O184)/2)</f>
        <v>0.19380733944954129</v>
      </c>
      <c r="Q187" s="324">
        <f>Q34*(13/4)/((Q184+P184)/2)</f>
        <v>0.13760080645161291</v>
      </c>
      <c r="R187" s="362">
        <f>R34*2/(R184+M184)</f>
        <v>0.10276210276210276</v>
      </c>
      <c r="S187" s="363">
        <f>S34*(13/3)/((S184+R184)/2)</f>
        <v>7.2829131652661055E-2</v>
      </c>
      <c r="T187" s="363">
        <f>T34*(13/3)/((T184+S184)/2)</f>
        <v>0.17201017811704836</v>
      </c>
      <c r="U187" s="363">
        <f>U34*(13/3)/((U184+T184)/2)</f>
        <v>8.9522872602065914E-2</v>
      </c>
      <c r="V187" s="363">
        <f>V34*(13/4)/((V184+U184)/2)</f>
        <v>0.14370179948586118</v>
      </c>
      <c r="W187" s="362">
        <f>W34*2/(W184+R184)</f>
        <v>9.7618117922686445E-2</v>
      </c>
      <c r="X187" s="363">
        <f>X34*(13/3)/((X184+W184)/2)</f>
        <v>3.4473614425881726E-3</v>
      </c>
      <c r="Y187" s="363">
        <f>Y34*(13/3)/((Y184+X184)/2)</f>
        <v>9.7667062079873468E-2</v>
      </c>
      <c r="Z187" s="363">
        <f>Z34*(13/3)/((Z184+Y184)/2)</f>
        <v>3.6935565702688987E-2</v>
      </c>
      <c r="AA187" s="363">
        <f>AA34*(13/4)/((AA184+Z184)/2)</f>
        <v>-2.1781625244345154E-2</v>
      </c>
      <c r="AB187" s="362">
        <f>AB34*2/(AB184+W184)</f>
        <v>2.7572293207800941E-2</v>
      </c>
      <c r="AC187" s="363">
        <f>AC34*(13/3)/((AC184+AB184)/2)</f>
        <v>0</v>
      </c>
      <c r="AD187" s="363">
        <f>AD34*(13/3)/((AD184+AC184)/2)</f>
        <v>5.5126457670755712E-2</v>
      </c>
      <c r="AE187" s="363">
        <f>AE34*(13/3)/((AE184+AD184)/2)</f>
        <v>2.5359668373567422E-2</v>
      </c>
      <c r="AF187" s="363">
        <f>AF34*(13/4)/((AF184+AE184)/2)</f>
        <v>2.0772544115603725E-2</v>
      </c>
      <c r="AG187" s="362">
        <f>AG34*2/(AG184+AB184)</f>
        <v>2.2307308140502746E-2</v>
      </c>
      <c r="AH187" s="363">
        <f>AH34*(13/3)/((AH184+AG184)/2)</f>
        <v>6.5889508362899137E-3</v>
      </c>
      <c r="AI187" s="363">
        <f>AI34*(13/3)/((AI184+AH184)/2)</f>
        <v>2.0445073523629787E-3</v>
      </c>
      <c r="AJ187" s="363">
        <f>AJ34*(13/3)/((AJ184+AI184)/2)</f>
        <v>1.5436374431031071E-2</v>
      </c>
      <c r="AK187" s="363">
        <f>AK34*(13/4)/((AK184+AJ184)/2)</f>
        <v>2.3697916666666666E-2</v>
      </c>
      <c r="AL187" s="362">
        <f>AL34*2/(AL184+AG184)</f>
        <v>1.3756827837345741E-2</v>
      </c>
      <c r="AM187" s="363">
        <f>AM34*(13/3)/((AM184+AL184)/2)</f>
        <v>1.5339233038348081E-2</v>
      </c>
      <c r="AN187" s="363">
        <f>AN34*(13/3)/((AN184+AM184)/2)</f>
        <v>2.636248415716096E-2</v>
      </c>
      <c r="AO187" s="363" t="s">
        <v>235</v>
      </c>
      <c r="AP187" s="363">
        <f>AP34*(13/4)/((AP184+AO184)/2)</f>
        <v>2.0909090909090908E-2</v>
      </c>
      <c r="AQ187" s="362">
        <f>AQ34*2/(AQ184+AL184)</f>
        <v>1.1188811188811189E-2</v>
      </c>
      <c r="AR187" s="363">
        <f>AR34*(13/3)/((AR184+AQ184)/2)</f>
        <v>2.6394774011299433E-2</v>
      </c>
      <c r="AS187" s="363" t="s">
        <v>235</v>
      </c>
      <c r="AT187" s="363">
        <f>AT34*(13/3)/((AT184+AS184)/2)</f>
        <v>2.1732810001453697E-2</v>
      </c>
      <c r="AU187" s="363">
        <f>AU34*(13/4)/((AU184+AT184)/2)</f>
        <v>2.4642426331207997E-2</v>
      </c>
      <c r="AV187" s="362">
        <f>AV34*2/(AV184+AQ184)</f>
        <v>1.756078734079506E-2</v>
      </c>
      <c r="AW187" s="363">
        <f>AW34*(13/3)/((AW184+AV184)/2)</f>
        <v>1.7983399938518288E-2</v>
      </c>
      <c r="AX187" s="363">
        <f>AX34*(13/3)/((AX184+AW184)/2)</f>
        <v>1.0752688172043012E-2</v>
      </c>
      <c r="AY187" s="363">
        <f>AY34*(13/3)/((AY184+AX184)/2)</f>
        <v>8.6681963483752015E-3</v>
      </c>
      <c r="AZ187" s="363">
        <f>AZ34*(13/3)/((AZ184+AY184)/2)</f>
        <v>1.6326677072680623E-2</v>
      </c>
      <c r="BA187" s="362">
        <f>BA34*2/(BA184+AV184)</f>
        <v>1.2378764675855029E-2</v>
      </c>
      <c r="BB187" s="363">
        <f>BB34*(13/3)/((BB184+BA184)/2)</f>
        <v>4.5105999097880016E-3</v>
      </c>
      <c r="BC187" s="363">
        <f>BC34*(13/3)/((BC184+BB184)/2)</f>
        <v>8.9418777943368107E-3</v>
      </c>
      <c r="BD187" s="363">
        <f>BD34*(13/3)/((BD184+BC184)/2)</f>
        <v>1.338795979134484E-2</v>
      </c>
      <c r="BE187" s="363">
        <f>BE34*(13/3)/((BE184+BD184)/2)</f>
        <v>2.1963824289405683E-2</v>
      </c>
      <c r="BF187" s="362">
        <f>BF34*2/(BF184+BA184)</f>
        <v>1.0961377264813979E-2</v>
      </c>
      <c r="BG187" s="363">
        <f>BG34*(13/3)/((BG184+BF184)/2)</f>
        <v>1.0363520408163265E-2</v>
      </c>
      <c r="BH187" s="363">
        <f>BH34*(13/3)/((BH184+BG184)/2)</f>
        <v>8.6840347361389434E-3</v>
      </c>
      <c r="BI187" s="363">
        <f>BI34*(13/3)/((BI184+BH184)/2)</f>
        <v>1.0660106601066009E-3</v>
      </c>
      <c r="BJ187" s="363">
        <f>BJ34*(13/4)/((BJ184+BI184)/2)</f>
        <v>1.0228166797797011E-2</v>
      </c>
      <c r="BK187" s="362">
        <f>BK34*2/(BK184+BF184)</f>
        <v>7.7478660538411034E-3</v>
      </c>
      <c r="BL187" s="363">
        <f>BL34*(53/12)/((BL184+BK184)/2)</f>
        <v>7.1815718157181574E-3</v>
      </c>
      <c r="BM187" s="363">
        <f>BM34*(53/12)/((BM184+BL184)/2)</f>
        <v>1.0936034515100357E-2</v>
      </c>
      <c r="BN187" s="363">
        <f>BN34*(53/12)/((BN184+BM184)/2)</f>
        <v>1.3315244699025224E-2</v>
      </c>
      <c r="BO187" s="363">
        <f>BO34*(13/4)/((BO184+BN184)/2)</f>
        <v>1.473163696301638E-2</v>
      </c>
      <c r="BP187" s="362">
        <f>BP34*2/(BP184+BK184)</f>
        <v>1.2052152952777473E-2</v>
      </c>
      <c r="BQ187" s="363">
        <f>BQ34*(53/12)/((BQ184+BP184)/2)</f>
        <v>1.8908987120482359E-2</v>
      </c>
      <c r="BR187" s="363">
        <f>BR34*(53/12)/((BR184+BQ184)/2)</f>
        <v>2.0511526165236414E-2</v>
      </c>
      <c r="BS187" s="363">
        <f>BS34*(53/12)/((BS184+BR184)/2)</f>
        <v>2.2379212342671539E-2</v>
      </c>
      <c r="BT187" s="363">
        <f>BT34*(53/12)/((BT184+BS184)/2)</f>
        <v>4.3630812512987741E-2</v>
      </c>
      <c r="BU187" s="362">
        <f>BU34*2/(BU184+BP184)</f>
        <v>2.4382840955078915E-2</v>
      </c>
      <c r="BV187" s="35">
        <v>0.02</v>
      </c>
      <c r="BW187" s="35">
        <v>2.5000000000000001E-2</v>
      </c>
      <c r="BX187" s="35">
        <v>2.5000000000000001E-2</v>
      </c>
      <c r="BY187" s="35">
        <v>2.5000000000000001E-2</v>
      </c>
      <c r="BZ187" s="362">
        <f ca="1">BZ34*2/(BZ184+BU184)</f>
        <v>2.384615384615385E-2</v>
      </c>
      <c r="CA187" s="35">
        <v>2.5000000000000001E-2</v>
      </c>
      <c r="CB187" s="35">
        <f t="shared" si="360"/>
        <v>2.5000000000000001E-2</v>
      </c>
      <c r="CC187" s="35">
        <f t="shared" si="360"/>
        <v>2.5000000000000001E-2</v>
      </c>
      <c r="CD187" s="35">
        <f t="shared" si="360"/>
        <v>2.5000000000000001E-2</v>
      </c>
      <c r="CE187" s="362">
        <f ca="1">CE34*2/(CE184+BZ184)</f>
        <v>2.5000000000000001E-2</v>
      </c>
      <c r="CF187" s="35">
        <f t="shared" si="361"/>
        <v>2.5000000000000001E-2</v>
      </c>
      <c r="CG187" s="35">
        <f t="shared" si="361"/>
        <v>2.5000000000000001E-2</v>
      </c>
      <c r="CH187" s="35">
        <f t="shared" si="361"/>
        <v>2.5000000000000001E-2</v>
      </c>
      <c r="CI187" s="35">
        <f t="shared" si="361"/>
        <v>2.5000000000000001E-2</v>
      </c>
      <c r="CJ187" s="362">
        <f ca="1">CJ34*2/(CJ184+CE184)</f>
        <v>2.5000000000000001E-2</v>
      </c>
      <c r="CK187" s="35">
        <f t="shared" si="362"/>
        <v>2.5000000000000001E-2</v>
      </c>
      <c r="CL187" s="35">
        <f t="shared" si="362"/>
        <v>2.5000000000000001E-2</v>
      </c>
      <c r="CM187" s="35">
        <f t="shared" si="362"/>
        <v>2.5000000000000001E-2</v>
      </c>
      <c r="CN187" s="35">
        <f t="shared" si="362"/>
        <v>2.5000000000000001E-2</v>
      </c>
      <c r="CO187" s="362">
        <f ca="1">CO34*2/(CO184+CJ184)</f>
        <v>2.5000000000000001E-2</v>
      </c>
      <c r="CP187" s="35">
        <f t="shared" si="363"/>
        <v>2.5000000000000001E-2</v>
      </c>
      <c r="CQ187" s="35">
        <f t="shared" si="363"/>
        <v>2.5000000000000001E-2</v>
      </c>
      <c r="CR187" s="35">
        <f t="shared" si="363"/>
        <v>2.5000000000000001E-2</v>
      </c>
      <c r="CS187" s="35">
        <f t="shared" si="363"/>
        <v>2.5000000000000001E-2</v>
      </c>
      <c r="CT187" s="362">
        <f ca="1">CT34*2/(CT184+CO184)</f>
        <v>2.5000000000000001E-2</v>
      </c>
      <c r="CU187" s="462"/>
      <c r="CV187" s="462"/>
    </row>
    <row r="188" spans="1:100" x14ac:dyDescent="0.2">
      <c r="A188" s="59" t="s">
        <v>171</v>
      </c>
      <c r="B188" s="91"/>
      <c r="C188" s="377"/>
      <c r="D188" s="330"/>
      <c r="E188" s="330"/>
      <c r="F188" s="330"/>
      <c r="G188" s="330"/>
      <c r="H188" s="331"/>
      <c r="I188" s="330"/>
      <c r="J188" s="330"/>
      <c r="K188" s="330"/>
      <c r="L188" s="330"/>
      <c r="M188" s="331">
        <f>H190</f>
        <v>2171</v>
      </c>
      <c r="N188" s="330">
        <f>M190</f>
        <v>3486</v>
      </c>
      <c r="O188" s="330">
        <f>N190</f>
        <v>3546</v>
      </c>
      <c r="P188" s="330">
        <f>O190</f>
        <v>3284</v>
      </c>
      <c r="Q188" s="330">
        <f>P190</f>
        <v>1771</v>
      </c>
      <c r="R188" s="331">
        <f>M190</f>
        <v>3486</v>
      </c>
      <c r="S188" s="332">
        <f>R190</f>
        <v>1173</v>
      </c>
      <c r="T188" s="332">
        <f>S190</f>
        <v>1842</v>
      </c>
      <c r="U188" s="332">
        <f>T190</f>
        <v>2627</v>
      </c>
      <c r="V188" s="332">
        <f>U190</f>
        <v>1946</v>
      </c>
      <c r="W188" s="331">
        <f>R190</f>
        <v>1173</v>
      </c>
      <c r="X188" s="332">
        <f>W190</f>
        <v>3293</v>
      </c>
      <c r="Y188" s="332">
        <f>X190</f>
        <v>4383</v>
      </c>
      <c r="Z188" s="332">
        <f>Y190</f>
        <v>4285</v>
      </c>
      <c r="AA188" s="332">
        <f>Z190</f>
        <v>6223</v>
      </c>
      <c r="AB188" s="331">
        <f>W190</f>
        <v>3293</v>
      </c>
      <c r="AC188" s="332">
        <f>AB190</f>
        <v>6163</v>
      </c>
      <c r="AD188" s="332">
        <f>AC190</f>
        <v>7308</v>
      </c>
      <c r="AE188" s="332">
        <f>AD190</f>
        <v>6406</v>
      </c>
      <c r="AF188" s="332">
        <f>AE190</f>
        <v>4691</v>
      </c>
      <c r="AG188" s="331">
        <f>AB190</f>
        <v>6163</v>
      </c>
      <c r="AH188" s="332">
        <f>AG190</f>
        <v>3921</v>
      </c>
      <c r="AI188" s="332">
        <f>AH190</f>
        <v>9152</v>
      </c>
      <c r="AJ188" s="332">
        <f>AI190</f>
        <v>10866</v>
      </c>
      <c r="AK188" s="330">
        <f>AJ190</f>
        <v>9808</v>
      </c>
      <c r="AL188" s="331">
        <f>AG190</f>
        <v>3921</v>
      </c>
      <c r="AM188" s="330">
        <f>AL190</f>
        <v>10295</v>
      </c>
      <c r="AN188" s="330">
        <f>AM190</f>
        <v>13692</v>
      </c>
      <c r="AO188" s="330">
        <f>AN190</f>
        <v>14532</v>
      </c>
      <c r="AP188" s="330">
        <f>AO190</f>
        <v>13844</v>
      </c>
      <c r="AQ188" s="331">
        <f>AL190</f>
        <v>10295</v>
      </c>
      <c r="AR188" s="330">
        <f>AQ190</f>
        <v>13107</v>
      </c>
      <c r="AS188" s="330">
        <f>AR190</f>
        <v>14623</v>
      </c>
      <c r="AT188" s="330">
        <f>AS190</f>
        <v>15336</v>
      </c>
      <c r="AU188" s="330">
        <f>AT190</f>
        <v>13521</v>
      </c>
      <c r="AV188" s="331">
        <f>AQ190</f>
        <v>13107</v>
      </c>
      <c r="AW188" s="330">
        <f>AV190</f>
        <v>12966</v>
      </c>
      <c r="AX188" s="330">
        <f>AW190</f>
        <v>13696</v>
      </c>
      <c r="AY188" s="330">
        <f>AX190</f>
        <v>12769</v>
      </c>
      <c r="AZ188" s="330">
        <f>AY190</f>
        <v>11478</v>
      </c>
      <c r="BA188" s="331">
        <f>AV190</f>
        <v>12966</v>
      </c>
      <c r="BB188" s="330">
        <f>BA190</f>
        <v>11354</v>
      </c>
      <c r="BC188" s="330">
        <f>BB190</f>
        <v>13353</v>
      </c>
      <c r="BD188" s="330">
        <f>BC190</f>
        <v>16379</v>
      </c>
      <c r="BE188" s="330">
        <f>BD190</f>
        <v>16764</v>
      </c>
      <c r="BF188" s="331">
        <f>BA190</f>
        <v>11354</v>
      </c>
      <c r="BG188" s="330">
        <f>BF190</f>
        <v>14264</v>
      </c>
      <c r="BH188" s="330">
        <f>BG190</f>
        <v>15673</v>
      </c>
      <c r="BI188" s="330">
        <f>BH190</f>
        <v>15516</v>
      </c>
      <c r="BJ188" s="330">
        <f>BI190</f>
        <v>14766</v>
      </c>
      <c r="BK188" s="331">
        <f>BF190</f>
        <v>14264</v>
      </c>
      <c r="BL188" s="330">
        <f>BK190</f>
        <v>15934</v>
      </c>
      <c r="BM188" s="330">
        <f>BL190</f>
        <v>18658</v>
      </c>
      <c r="BN188" s="330">
        <f>BM190</f>
        <v>17652</v>
      </c>
      <c r="BO188" s="330">
        <f>BN190</f>
        <v>17113</v>
      </c>
      <c r="BP188" s="331">
        <f>BK190</f>
        <v>15934</v>
      </c>
      <c r="BQ188" s="578">
        <f>BP190</f>
        <v>19618</v>
      </c>
      <c r="BR188" s="330">
        <f>BQ190</f>
        <v>20920</v>
      </c>
      <c r="BS188" s="330">
        <f>BR190</f>
        <v>20838</v>
      </c>
      <c r="BT188" s="330">
        <f>BS190</f>
        <v>20314</v>
      </c>
      <c r="BU188" s="331">
        <f>BP190</f>
        <v>19618</v>
      </c>
      <c r="BV188" s="330">
        <f>BU190</f>
        <v>20216</v>
      </c>
      <c r="BW188" s="330">
        <f ca="1">BV190</f>
        <v>22433.1419130012</v>
      </c>
      <c r="BX188" s="330">
        <f ca="1">BW190</f>
        <v>22552.106417948216</v>
      </c>
      <c r="BY188" s="330">
        <f ca="1">BX190</f>
        <v>21552.518791244896</v>
      </c>
      <c r="BZ188" s="331">
        <f>BU190</f>
        <v>20216</v>
      </c>
      <c r="CA188" s="330">
        <f ca="1">BZ190</f>
        <v>21422.987284164778</v>
      </c>
      <c r="CB188" s="330">
        <f ca="1">CA190</f>
        <v>23259.507850799833</v>
      </c>
      <c r="CC188" s="330">
        <f ca="1">CB190</f>
        <v>22844.586077186868</v>
      </c>
      <c r="CD188" s="330">
        <f ca="1">CC190</f>
        <v>21286.90747896997</v>
      </c>
      <c r="CE188" s="331">
        <f ca="1">BZ190</f>
        <v>21422.987284164778</v>
      </c>
      <c r="CF188" s="330">
        <f ca="1">CE190</f>
        <v>20656.933577601594</v>
      </c>
      <c r="CG188" s="330">
        <f ca="1">CF190</f>
        <v>22483.058703801104</v>
      </c>
      <c r="CH188" s="330">
        <f ca="1">CG190</f>
        <v>21974.144298358409</v>
      </c>
      <c r="CI188" s="330">
        <f ca="1">CH190</f>
        <v>20297.776365699163</v>
      </c>
      <c r="CJ188" s="331">
        <f ca="1">CE190</f>
        <v>20656.933577601594</v>
      </c>
      <c r="CK188" s="330">
        <f ca="1">CJ190</f>
        <v>19538.941862358573</v>
      </c>
      <c r="CL188" s="330">
        <f ca="1">CK190</f>
        <v>21340.119094170321</v>
      </c>
      <c r="CM188" s="330">
        <f ca="1">CL190</f>
        <v>20734.756406312124</v>
      </c>
      <c r="CN188" s="330">
        <f ca="1">CM190</f>
        <v>18935.403714317654</v>
      </c>
      <c r="CO188" s="331">
        <f ca="1">CJ190</f>
        <v>19538.941862358573</v>
      </c>
      <c r="CP188" s="330">
        <f ca="1">CO190</f>
        <v>18044.404008127891</v>
      </c>
      <c r="CQ188" s="330">
        <f ca="1">CP190</f>
        <v>19834.410070454622</v>
      </c>
      <c r="CR188" s="330">
        <f ca="1">CQ190</f>
        <v>19129.292820614235</v>
      </c>
      <c r="CS188" s="330">
        <f ca="1">CR190</f>
        <v>17202.656389158918</v>
      </c>
      <c r="CT188" s="331">
        <f ca="1">CO190</f>
        <v>18044.404008127891</v>
      </c>
      <c r="CU188" s="313"/>
      <c r="CV188" s="313"/>
    </row>
    <row r="189" spans="1:100" x14ac:dyDescent="0.2">
      <c r="A189" s="313" t="s">
        <v>172</v>
      </c>
      <c r="B189" s="377"/>
      <c r="C189" s="377"/>
      <c r="D189" s="330"/>
      <c r="E189" s="330"/>
      <c r="F189" s="330"/>
      <c r="G189" s="330"/>
      <c r="H189" s="331"/>
      <c r="I189" s="330"/>
      <c r="J189" s="330"/>
      <c r="K189" s="330"/>
      <c r="L189" s="330"/>
      <c r="M189" s="331">
        <f t="shared" ref="M189:AG189" si="364">+M190-M188</f>
        <v>1315</v>
      </c>
      <c r="N189" s="330">
        <f t="shared" si="364"/>
        <v>60</v>
      </c>
      <c r="O189" s="330">
        <f t="shared" si="364"/>
        <v>-262</v>
      </c>
      <c r="P189" s="330">
        <f t="shared" si="364"/>
        <v>-1513</v>
      </c>
      <c r="Q189" s="330">
        <f t="shared" si="364"/>
        <v>-598</v>
      </c>
      <c r="R189" s="331">
        <f t="shared" si="364"/>
        <v>-2313</v>
      </c>
      <c r="S189" s="332">
        <f t="shared" si="364"/>
        <v>669</v>
      </c>
      <c r="T189" s="332">
        <f t="shared" si="364"/>
        <v>785</v>
      </c>
      <c r="U189" s="332">
        <f t="shared" si="364"/>
        <v>-681</v>
      </c>
      <c r="V189" s="332">
        <f t="shared" si="364"/>
        <v>1347</v>
      </c>
      <c r="W189" s="331">
        <f t="shared" si="364"/>
        <v>2120</v>
      </c>
      <c r="X189" s="332">
        <f t="shared" si="364"/>
        <v>1090</v>
      </c>
      <c r="Y189" s="332">
        <f t="shared" si="364"/>
        <v>-98</v>
      </c>
      <c r="Z189" s="332">
        <f t="shared" si="364"/>
        <v>1938</v>
      </c>
      <c r="AA189" s="332">
        <f t="shared" si="364"/>
        <v>-60</v>
      </c>
      <c r="AB189" s="331">
        <f t="shared" si="364"/>
        <v>2870</v>
      </c>
      <c r="AC189" s="332">
        <f t="shared" si="364"/>
        <v>1145</v>
      </c>
      <c r="AD189" s="332">
        <f t="shared" si="364"/>
        <v>-902</v>
      </c>
      <c r="AE189" s="332">
        <f t="shared" si="364"/>
        <v>-1715</v>
      </c>
      <c r="AF189" s="332">
        <f t="shared" si="364"/>
        <v>-770</v>
      </c>
      <c r="AG189" s="331">
        <f t="shared" si="364"/>
        <v>-2242</v>
      </c>
      <c r="AH189" s="332">
        <f t="shared" ref="AH189:BM189" si="365">-(AH127+AH135+AH140+AH141+AH142+AH146)</f>
        <v>5231</v>
      </c>
      <c r="AI189" s="332">
        <f t="shared" si="365"/>
        <v>1714</v>
      </c>
      <c r="AJ189" s="332">
        <f t="shared" si="365"/>
        <v>-1058</v>
      </c>
      <c r="AK189" s="330">
        <f t="shared" si="365"/>
        <v>487</v>
      </c>
      <c r="AL189" s="331">
        <f t="shared" si="365"/>
        <v>6374</v>
      </c>
      <c r="AM189" s="330">
        <f t="shared" si="365"/>
        <v>3397</v>
      </c>
      <c r="AN189" s="330">
        <f t="shared" si="365"/>
        <v>840</v>
      </c>
      <c r="AO189" s="330">
        <f t="shared" si="365"/>
        <v>-688</v>
      </c>
      <c r="AP189" s="330">
        <f t="shared" si="365"/>
        <v>-737</v>
      </c>
      <c r="AQ189" s="331">
        <f t="shared" si="365"/>
        <v>2812</v>
      </c>
      <c r="AR189" s="330">
        <f t="shared" si="365"/>
        <v>1516</v>
      </c>
      <c r="AS189" s="330">
        <f t="shared" si="365"/>
        <v>713</v>
      </c>
      <c r="AT189" s="330">
        <f t="shared" si="365"/>
        <v>-1815</v>
      </c>
      <c r="AU189" s="330">
        <f t="shared" si="365"/>
        <v>-555</v>
      </c>
      <c r="AV189" s="331">
        <f t="shared" si="365"/>
        <v>-141</v>
      </c>
      <c r="AW189" s="330">
        <f t="shared" si="365"/>
        <v>730</v>
      </c>
      <c r="AX189" s="330">
        <f>-(AX127+AX135+AX140+AX141+AX142+AX146)</f>
        <v>-927</v>
      </c>
      <c r="AY189" s="330">
        <f t="shared" si="365"/>
        <v>-1291</v>
      </c>
      <c r="AZ189" s="330">
        <f t="shared" si="365"/>
        <v>-124</v>
      </c>
      <c r="BA189" s="331">
        <f t="shared" si="365"/>
        <v>-1612</v>
      </c>
      <c r="BB189" s="330">
        <f t="shared" si="365"/>
        <v>1999</v>
      </c>
      <c r="BC189" s="330">
        <f t="shared" si="365"/>
        <v>3026</v>
      </c>
      <c r="BD189" s="330">
        <f t="shared" si="365"/>
        <v>385</v>
      </c>
      <c r="BE189" s="330">
        <f>-(BE127+BE135+BE140+BE141+BE142+BE146)</f>
        <v>-2500</v>
      </c>
      <c r="BF189" s="331">
        <f t="shared" si="365"/>
        <v>2910</v>
      </c>
      <c r="BG189" s="330">
        <f t="shared" si="365"/>
        <v>1409</v>
      </c>
      <c r="BH189" s="330">
        <f t="shared" si="365"/>
        <v>-157</v>
      </c>
      <c r="BI189" s="330">
        <f t="shared" si="365"/>
        <v>-750</v>
      </c>
      <c r="BJ189" s="330">
        <f t="shared" si="365"/>
        <v>1168</v>
      </c>
      <c r="BK189" s="331">
        <f t="shared" si="365"/>
        <v>1670</v>
      </c>
      <c r="BL189" s="330">
        <f t="shared" si="365"/>
        <v>2724</v>
      </c>
      <c r="BM189" s="330">
        <f t="shared" si="365"/>
        <v>-1006</v>
      </c>
      <c r="BN189" s="330">
        <f t="shared" ref="BN189:CO189" si="366">-(BN127+BN135+BN140+BN141+BN142+BN146)</f>
        <v>-539</v>
      </c>
      <c r="BO189" s="330">
        <f t="shared" si="366"/>
        <v>2505</v>
      </c>
      <c r="BP189" s="331">
        <f t="shared" si="366"/>
        <v>3684</v>
      </c>
      <c r="BQ189" s="578">
        <f t="shared" si="366"/>
        <v>1302</v>
      </c>
      <c r="BR189" s="330">
        <f t="shared" si="366"/>
        <v>-82</v>
      </c>
      <c r="BS189" s="330">
        <f t="shared" si="366"/>
        <v>-524</v>
      </c>
      <c r="BT189" s="330">
        <f t="shared" si="366"/>
        <v>-98</v>
      </c>
      <c r="BU189" s="331">
        <f t="shared" si="366"/>
        <v>598</v>
      </c>
      <c r="BV189" s="330">
        <f t="shared" ca="1" si="366"/>
        <v>2217.1419130012005</v>
      </c>
      <c r="BW189" s="330">
        <f t="shared" ca="1" si="366"/>
        <v>118.96450494701617</v>
      </c>
      <c r="BX189" s="330">
        <f t="shared" ca="1" si="366"/>
        <v>-999.58762670332089</v>
      </c>
      <c r="BY189" s="330">
        <f t="shared" ca="1" si="366"/>
        <v>-129.53150708011981</v>
      </c>
      <c r="BZ189" s="331">
        <f t="shared" ca="1" si="366"/>
        <v>1206.9872841647766</v>
      </c>
      <c r="CA189" s="330">
        <f t="shared" ca="1" si="366"/>
        <v>1836.5205666350544</v>
      </c>
      <c r="CB189" s="330">
        <f t="shared" ca="1" si="366"/>
        <v>-414.92177361296399</v>
      </c>
      <c r="CC189" s="330">
        <f t="shared" ca="1" si="366"/>
        <v>-1557.6785982168976</v>
      </c>
      <c r="CD189" s="330">
        <f t="shared" ca="1" si="366"/>
        <v>-629.97390136837862</v>
      </c>
      <c r="CE189" s="331">
        <f t="shared" ca="1" si="366"/>
        <v>-766.05370656318519</v>
      </c>
      <c r="CF189" s="330">
        <f t="shared" ca="1" si="366"/>
        <v>1826.1251261995094</v>
      </c>
      <c r="CG189" s="330">
        <f t="shared" ca="1" si="366"/>
        <v>-508.91440544269335</v>
      </c>
      <c r="CH189" s="330">
        <f t="shared" ca="1" si="366"/>
        <v>-1676.3679326592451</v>
      </c>
      <c r="CI189" s="330">
        <f t="shared" ca="1" si="366"/>
        <v>-758.83450334058875</v>
      </c>
      <c r="CJ189" s="331">
        <f t="shared" ca="1" si="366"/>
        <v>-1117.9917152430216</v>
      </c>
      <c r="CK189" s="330">
        <f t="shared" ca="1" si="366"/>
        <v>1801.1772318117469</v>
      </c>
      <c r="CL189" s="330">
        <f t="shared" ca="1" si="366"/>
        <v>-605.36268785819721</v>
      </c>
      <c r="CM189" s="330">
        <f t="shared" ca="1" si="366"/>
        <v>-1799.3526919944713</v>
      </c>
      <c r="CN189" s="330">
        <f t="shared" ca="1" si="366"/>
        <v>-890.99970618976113</v>
      </c>
      <c r="CO189" s="331">
        <f t="shared" ca="1" si="366"/>
        <v>-1494.5378542306835</v>
      </c>
      <c r="CP189" s="330">
        <f ca="1">-(CP127+CP135+CP140+CP141+CP142+CP146)</f>
        <v>1790.0060623267325</v>
      </c>
      <c r="CQ189" s="330">
        <f ca="1">-(CQ127+CQ135+CQ140+CQ141+CQ142+CQ146)</f>
        <v>-705.11724984038733</v>
      </c>
      <c r="CR189" s="330">
        <f ca="1">-(CR127+CR135+CR140+CR141+CR142+CR146)</f>
        <v>-1926.6364314553166</v>
      </c>
      <c r="CS189" s="330">
        <f ca="1">-(CS127+CS135+CS140+CS141+CS142+CS146)</f>
        <v>-1028.0656088403255</v>
      </c>
      <c r="CT189" s="331">
        <f ca="1">-(CT127+CT135+CT140+CT141+CT142+CT146)</f>
        <v>-1869.8132278092926</v>
      </c>
      <c r="CU189" s="313"/>
      <c r="CV189" s="313"/>
    </row>
    <row r="190" spans="1:100" x14ac:dyDescent="0.2">
      <c r="A190" s="59" t="s">
        <v>173</v>
      </c>
      <c r="B190" s="91"/>
      <c r="C190" s="377"/>
      <c r="D190" s="298"/>
      <c r="E190" s="298"/>
      <c r="F190" s="298"/>
      <c r="G190" s="298"/>
      <c r="H190" s="331">
        <f>H185</f>
        <v>2171</v>
      </c>
      <c r="I190" s="298"/>
      <c r="J190" s="298"/>
      <c r="K190" s="298"/>
      <c r="L190" s="298"/>
      <c r="M190" s="331">
        <f t="shared" ref="M190:R190" si="367">M185</f>
        <v>3486</v>
      </c>
      <c r="N190" s="298">
        <f t="shared" si="367"/>
        <v>3546</v>
      </c>
      <c r="O190" s="298">
        <f t="shared" si="367"/>
        <v>3284</v>
      </c>
      <c r="P190" s="298">
        <f t="shared" si="367"/>
        <v>1771</v>
      </c>
      <c r="Q190" s="298">
        <f t="shared" si="367"/>
        <v>1173</v>
      </c>
      <c r="R190" s="331">
        <f t="shared" si="367"/>
        <v>1173</v>
      </c>
      <c r="S190" s="301">
        <f t="shared" ref="S190:AG190" si="368">S185</f>
        <v>1842</v>
      </c>
      <c r="T190" s="301">
        <f t="shared" si="368"/>
        <v>2627</v>
      </c>
      <c r="U190" s="301">
        <f t="shared" si="368"/>
        <v>1946</v>
      </c>
      <c r="V190" s="301">
        <f t="shared" si="368"/>
        <v>3293</v>
      </c>
      <c r="W190" s="331">
        <f t="shared" si="368"/>
        <v>3293</v>
      </c>
      <c r="X190" s="301">
        <f t="shared" si="368"/>
        <v>4383</v>
      </c>
      <c r="Y190" s="301">
        <f t="shared" si="368"/>
        <v>4285</v>
      </c>
      <c r="Z190" s="301">
        <f t="shared" si="368"/>
        <v>6223</v>
      </c>
      <c r="AA190" s="301">
        <f t="shared" si="368"/>
        <v>6163</v>
      </c>
      <c r="AB190" s="331">
        <f t="shared" si="368"/>
        <v>6163</v>
      </c>
      <c r="AC190" s="301">
        <f t="shared" si="368"/>
        <v>7308</v>
      </c>
      <c r="AD190" s="301">
        <f t="shared" si="368"/>
        <v>6406</v>
      </c>
      <c r="AE190" s="301">
        <f t="shared" si="368"/>
        <v>4691</v>
      </c>
      <c r="AF190" s="301">
        <f t="shared" si="368"/>
        <v>3921</v>
      </c>
      <c r="AG190" s="331">
        <f t="shared" si="368"/>
        <v>3921</v>
      </c>
      <c r="AH190" s="332">
        <f t="shared" ref="AH190:AQ190" si="369">AH188+AH189</f>
        <v>9152</v>
      </c>
      <c r="AI190" s="332">
        <f t="shared" si="369"/>
        <v>10866</v>
      </c>
      <c r="AJ190" s="332">
        <f t="shared" si="369"/>
        <v>9808</v>
      </c>
      <c r="AK190" s="330">
        <f t="shared" si="369"/>
        <v>10295</v>
      </c>
      <c r="AL190" s="331">
        <f t="shared" si="369"/>
        <v>10295</v>
      </c>
      <c r="AM190" s="330">
        <f t="shared" si="369"/>
        <v>13692</v>
      </c>
      <c r="AN190" s="330">
        <f t="shared" si="369"/>
        <v>14532</v>
      </c>
      <c r="AO190" s="330">
        <f t="shared" si="369"/>
        <v>13844</v>
      </c>
      <c r="AP190" s="330">
        <f t="shared" si="369"/>
        <v>13107</v>
      </c>
      <c r="AQ190" s="331">
        <f t="shared" si="369"/>
        <v>13107</v>
      </c>
      <c r="AR190" s="330">
        <f t="shared" ref="AR190:BW190" si="370">AR188+AR189</f>
        <v>14623</v>
      </c>
      <c r="AS190" s="330">
        <f t="shared" si="370"/>
        <v>15336</v>
      </c>
      <c r="AT190" s="330">
        <f t="shared" si="370"/>
        <v>13521</v>
      </c>
      <c r="AU190" s="330">
        <f t="shared" si="370"/>
        <v>12966</v>
      </c>
      <c r="AV190" s="331">
        <f t="shared" si="370"/>
        <v>12966</v>
      </c>
      <c r="AW190" s="330">
        <f t="shared" si="370"/>
        <v>13696</v>
      </c>
      <c r="AX190" s="330">
        <f t="shared" si="370"/>
        <v>12769</v>
      </c>
      <c r="AY190" s="330">
        <f t="shared" si="370"/>
        <v>11478</v>
      </c>
      <c r="AZ190" s="330">
        <f t="shared" si="370"/>
        <v>11354</v>
      </c>
      <c r="BA190" s="331">
        <f t="shared" si="370"/>
        <v>11354</v>
      </c>
      <c r="BB190" s="330">
        <f t="shared" si="370"/>
        <v>13353</v>
      </c>
      <c r="BC190" s="330">
        <f t="shared" si="370"/>
        <v>16379</v>
      </c>
      <c r="BD190" s="330">
        <f t="shared" si="370"/>
        <v>16764</v>
      </c>
      <c r="BE190" s="330">
        <f>BE188+BE189</f>
        <v>14264</v>
      </c>
      <c r="BF190" s="331">
        <f t="shared" si="370"/>
        <v>14264</v>
      </c>
      <c r="BG190" s="330">
        <f t="shared" si="370"/>
        <v>15673</v>
      </c>
      <c r="BH190" s="330">
        <f t="shared" si="370"/>
        <v>15516</v>
      </c>
      <c r="BI190" s="330">
        <f t="shared" si="370"/>
        <v>14766</v>
      </c>
      <c r="BJ190" s="330">
        <f t="shared" si="370"/>
        <v>15934</v>
      </c>
      <c r="BK190" s="331">
        <f t="shared" si="370"/>
        <v>15934</v>
      </c>
      <c r="BL190" s="330">
        <f t="shared" si="370"/>
        <v>18658</v>
      </c>
      <c r="BM190" s="330">
        <f t="shared" si="370"/>
        <v>17652</v>
      </c>
      <c r="BN190" s="330">
        <f t="shared" si="370"/>
        <v>17113</v>
      </c>
      <c r="BO190" s="330">
        <f t="shared" ref="BO190" si="371">BO188+BO189</f>
        <v>19618</v>
      </c>
      <c r="BP190" s="331">
        <f t="shared" si="370"/>
        <v>19618</v>
      </c>
      <c r="BQ190" s="578">
        <f t="shared" si="370"/>
        <v>20920</v>
      </c>
      <c r="BR190" s="330">
        <f t="shared" si="370"/>
        <v>20838</v>
      </c>
      <c r="BS190" s="330">
        <f t="shared" si="370"/>
        <v>20314</v>
      </c>
      <c r="BT190" s="330">
        <f t="shared" si="370"/>
        <v>20216</v>
      </c>
      <c r="BU190" s="331">
        <f t="shared" si="370"/>
        <v>20216</v>
      </c>
      <c r="BV190" s="330">
        <f t="shared" ca="1" si="370"/>
        <v>22433.1419130012</v>
      </c>
      <c r="BW190" s="330">
        <f t="shared" ca="1" si="370"/>
        <v>22552.106417948216</v>
      </c>
      <c r="BX190" s="330">
        <f t="shared" ref="BX190:CO190" ca="1" si="372">BX188+BX189</f>
        <v>21552.518791244896</v>
      </c>
      <c r="BY190" s="330">
        <f t="shared" ca="1" si="372"/>
        <v>21422.987284164778</v>
      </c>
      <c r="BZ190" s="331">
        <f t="shared" ca="1" si="372"/>
        <v>21422.987284164778</v>
      </c>
      <c r="CA190" s="330">
        <f t="shared" ca="1" si="372"/>
        <v>23259.507850799833</v>
      </c>
      <c r="CB190" s="330">
        <f t="shared" ca="1" si="372"/>
        <v>22844.586077186868</v>
      </c>
      <c r="CC190" s="330">
        <f t="shared" ca="1" si="372"/>
        <v>21286.90747896997</v>
      </c>
      <c r="CD190" s="330">
        <f t="shared" ca="1" si="372"/>
        <v>20656.933577601591</v>
      </c>
      <c r="CE190" s="331">
        <f t="shared" ca="1" si="372"/>
        <v>20656.933577601594</v>
      </c>
      <c r="CF190" s="330">
        <f t="shared" ca="1" si="372"/>
        <v>22483.058703801104</v>
      </c>
      <c r="CG190" s="330">
        <f t="shared" ca="1" si="372"/>
        <v>21974.144298358409</v>
      </c>
      <c r="CH190" s="330">
        <f t="shared" ca="1" si="372"/>
        <v>20297.776365699163</v>
      </c>
      <c r="CI190" s="330">
        <f t="shared" ca="1" si="372"/>
        <v>19538.941862358573</v>
      </c>
      <c r="CJ190" s="331">
        <f t="shared" ca="1" si="372"/>
        <v>19538.941862358573</v>
      </c>
      <c r="CK190" s="330">
        <f t="shared" ca="1" si="372"/>
        <v>21340.119094170321</v>
      </c>
      <c r="CL190" s="330">
        <f t="shared" ca="1" si="372"/>
        <v>20734.756406312124</v>
      </c>
      <c r="CM190" s="330">
        <f t="shared" ca="1" si="372"/>
        <v>18935.403714317654</v>
      </c>
      <c r="CN190" s="330">
        <f t="shared" ca="1" si="372"/>
        <v>18044.404008127894</v>
      </c>
      <c r="CO190" s="331">
        <f t="shared" ca="1" si="372"/>
        <v>18044.404008127891</v>
      </c>
      <c r="CP190" s="330">
        <f ca="1">CP188+CP189</f>
        <v>19834.410070454622</v>
      </c>
      <c r="CQ190" s="330">
        <f ca="1">CQ188+CQ189</f>
        <v>19129.292820614235</v>
      </c>
      <c r="CR190" s="330">
        <f ca="1">CR188+CR189</f>
        <v>17202.656389158918</v>
      </c>
      <c r="CS190" s="330">
        <f ca="1">CS188+CS189</f>
        <v>16174.590780318593</v>
      </c>
      <c r="CT190" s="331">
        <f ca="1">CT188+CT189</f>
        <v>16174.590780318598</v>
      </c>
      <c r="CU190" s="313"/>
      <c r="CV190" s="313"/>
    </row>
    <row r="191" spans="1:100" x14ac:dyDescent="0.2">
      <c r="A191" s="59"/>
      <c r="B191" s="313" t="s">
        <v>184</v>
      </c>
      <c r="C191" s="313"/>
      <c r="D191" s="490"/>
      <c r="E191" s="490"/>
      <c r="F191" s="490"/>
      <c r="G191" s="490"/>
      <c r="H191" s="491">
        <f>+H190/H29</f>
        <v>0.32534092612018584</v>
      </c>
      <c r="I191" s="490"/>
      <c r="J191" s="490"/>
      <c r="K191" s="490"/>
      <c r="L191" s="490"/>
      <c r="M191" s="491">
        <f>+M190/M29</f>
        <v>0.48169130855326792</v>
      </c>
      <c r="N191" s="490">
        <f>+N190/(N29+L29+K29+J29)</f>
        <v>0.48903599503516754</v>
      </c>
      <c r="O191" s="490">
        <f>+O190/(O29+N29+L29+K29)</f>
        <v>0.43710901104751765</v>
      </c>
      <c r="P191" s="490">
        <f>+P190/(P29+O29+N29+L29)</f>
        <v>0.2296421161825726</v>
      </c>
      <c r="Q191" s="490">
        <f>+R191</f>
        <v>0.14708463949843259</v>
      </c>
      <c r="R191" s="491">
        <f>+R190/R29</f>
        <v>0.14708463949843259</v>
      </c>
      <c r="S191" s="492">
        <f>+S190/(S29+Q29+P29+O29)</f>
        <v>0.22712700369913688</v>
      </c>
      <c r="T191" s="492">
        <f>+T190/(T29+S29+Q29+P29)</f>
        <v>0.31788480154888676</v>
      </c>
      <c r="U191" s="492">
        <f>+U190/(U29+T29+S29+Q29)</f>
        <v>0.22869902456222824</v>
      </c>
      <c r="V191" s="492">
        <f>+W191</f>
        <v>0.37942159234934902</v>
      </c>
      <c r="W191" s="491">
        <f>+W190/W29</f>
        <v>0.37942159234934902</v>
      </c>
      <c r="X191" s="492">
        <f>+X190/(X29+V29+U29+T29)</f>
        <v>0.49441624365482234</v>
      </c>
      <c r="Y191" s="492">
        <f>+Y190/(Y29+X29+V29+U29)</f>
        <v>0.4712934447866256</v>
      </c>
      <c r="Z191" s="492">
        <f>+Z190/(Z29+Y29+X29+V29)</f>
        <v>0.67604562737642582</v>
      </c>
      <c r="AA191" s="492">
        <f>+AB191</f>
        <v>0.65626663827068465</v>
      </c>
      <c r="AB191" s="491">
        <f>+AB190/AB29</f>
        <v>0.65626663827068465</v>
      </c>
      <c r="AC191" s="492">
        <f>+AC190/(AC29+AA29+Z29+Y29)</f>
        <v>0.77810902896081768</v>
      </c>
      <c r="AD191" s="492">
        <f>+AD190/(AD29+AC29+AA29+Z29)</f>
        <v>0.68447483705524093</v>
      </c>
      <c r="AE191" s="492">
        <f>+AE190/(AE29+AD29+AC29+AA29)</f>
        <v>0.49814165870234683</v>
      </c>
      <c r="AF191" s="492">
        <f>+AG191</f>
        <v>0.41312822674112315</v>
      </c>
      <c r="AG191" s="491">
        <f>+AG190/AG29</f>
        <v>0.41312822674112315</v>
      </c>
      <c r="AH191" s="492">
        <f>+AH190/(AH29+AF29+AE29+AD29)</f>
        <v>0.94117647058823528</v>
      </c>
      <c r="AI191" s="492">
        <f>+AI190/(AI29+AH29+AF29+AE29)</f>
        <v>1.0308319893748221</v>
      </c>
      <c r="AJ191" s="492">
        <f>+AJ190/(AJ29+AI29+AG29+AF29)</f>
        <v>0.52134162547174823</v>
      </c>
      <c r="AK191" s="490">
        <f>+AL191</f>
        <v>0.85082644628099169</v>
      </c>
      <c r="AL191" s="491">
        <f>+AL190/AL29</f>
        <v>0.85082644628099169</v>
      </c>
      <c r="AM191" s="490">
        <f>+AM190/(AM29+AK29+AJ29+AI29)</f>
        <v>1.1123568120887155</v>
      </c>
      <c r="AN191" s="490">
        <f>+AN190/(AN29+AM29+AK29+AJ29)</f>
        <v>1.161723559037493</v>
      </c>
      <c r="AO191" s="490">
        <f>+AO190/(AO29+AN29+AM29+AK29)</f>
        <v>1.0879371316306483</v>
      </c>
      <c r="AP191" s="490">
        <f>+AQ191</f>
        <v>1.0001526135062953</v>
      </c>
      <c r="AQ191" s="491">
        <f>+AQ190/AQ29</f>
        <v>1.0001526135062953</v>
      </c>
      <c r="AR191" s="490">
        <f>+AR190/(AR29+AP29+AO29+AN29)</f>
        <v>1.1226009519422693</v>
      </c>
      <c r="AS191" s="490">
        <f>+AS190/(AS29+AR29+AP29+AO29)</f>
        <v>1.1929060360920971</v>
      </c>
      <c r="AT191" s="490">
        <f>+AT190/(AT29+AS29+AR29+AP29)</f>
        <v>1.0765984552910264</v>
      </c>
      <c r="AU191" s="490">
        <f>+AV191</f>
        <v>1.0480963543771724</v>
      </c>
      <c r="AV191" s="491">
        <f>+AV190/AV29</f>
        <v>1.0480963543771724</v>
      </c>
      <c r="AW191" s="490">
        <f>+AW190/(AW29+AU29+AT29+AS29)</f>
        <v>1.0964694580097671</v>
      </c>
      <c r="AX191" s="490">
        <f>+AX190/(AX29+AV29+AU29+AT29)</f>
        <v>0.56115139529773672</v>
      </c>
      <c r="AY191" s="490">
        <f>+AY190/(AY29+AX29+AW29+AU29)</f>
        <v>0.89833294200516556</v>
      </c>
      <c r="AZ191" s="490">
        <f>+BA191</f>
        <v>0.89232945614586612</v>
      </c>
      <c r="BA191" s="491">
        <f>+BA190/BA29</f>
        <v>0.89232945614586612</v>
      </c>
      <c r="BB191" s="490">
        <f>+BB190/(BB29+AZ29+AY29+AX29)</f>
        <v>1.0449174426793959</v>
      </c>
      <c r="BC191" s="490">
        <f>+BC190/(BC29+BB29+AZ29+AY29)</f>
        <v>1.2790098391379041</v>
      </c>
      <c r="BD191" s="490">
        <f>+BD190/(BD29+BC29+BB29+AZ29)</f>
        <v>1.295417664786338</v>
      </c>
      <c r="BE191" s="490">
        <f>+BE190/(BE29+BD29+BC29+BA29)</f>
        <v>0.61326798228642676</v>
      </c>
      <c r="BF191" s="491">
        <f>+BF190/BF29</f>
        <v>1.1024887927036637</v>
      </c>
      <c r="BG191" s="490">
        <f>+BG190/(BG29+BE29+BD29+BC29)</f>
        <v>1.2182666148464827</v>
      </c>
      <c r="BH191" s="490">
        <f>+BH190/(BH29+BG29+BE29+BD29)</f>
        <v>1.2176096680530488</v>
      </c>
      <c r="BI191" s="490">
        <f>+BI190/(BI29+BH29+BG29+BE29)</f>
        <v>1.1697694684306426</v>
      </c>
      <c r="BJ191" s="490">
        <f>+BJ190/(BJ29+BI29+BH29+BF29)</f>
        <v>0.69395932232916679</v>
      </c>
      <c r="BK191" s="491">
        <f>+BK190/BK29</f>
        <v>1.2898890957662106</v>
      </c>
      <c r="BL191" s="490">
        <f>+BL190/(BL29+BJ29+BI29+BH29)</f>
        <v>1.5018916525798922</v>
      </c>
      <c r="BM191" s="490">
        <f>+BM190/(BM29+BL29+BJ29+BI29)</f>
        <v>1.4261937464652177</v>
      </c>
      <c r="BN191" s="490">
        <f>+BN190/(BN29+BM29+BL29+BJ29)</f>
        <v>1.3897190190027611</v>
      </c>
      <c r="BO191" s="490">
        <f>+BO190/(BO29+BN29+BM29+BK29)</f>
        <v>0.87245397135995728</v>
      </c>
      <c r="BP191" s="491">
        <f>+BP190/BP29</f>
        <v>1.5653075879677651</v>
      </c>
      <c r="BQ191" s="618">
        <f>+BQ190/(BQ29+BO29+BN29+BM29)</f>
        <v>1.6718612642851434</v>
      </c>
      <c r="BR191" s="490">
        <f>+BR190/(BR29+BQ29+BO29+BN29)</f>
        <v>1.6504039284017107</v>
      </c>
      <c r="BS191" s="490">
        <f>+BS190/(BS29+BR29+BQ29+BO29)</f>
        <v>1.5988980716253443</v>
      </c>
      <c r="BT191" s="490">
        <f>+BU191</f>
        <v>1.572128470332063</v>
      </c>
      <c r="BU191" s="491">
        <f>+BU190/BU29</f>
        <v>1.572128470332063</v>
      </c>
      <c r="BV191" s="490">
        <f ca="1">+BV190/(BV29+BT29+BS29+BR29)</f>
        <v>1.7546732035832049</v>
      </c>
      <c r="BW191" s="490">
        <f ca="1">+BW190/(BW29+BV29+BT29+BS29)</f>
        <v>1.7549644302969762</v>
      </c>
      <c r="BX191" s="490">
        <f ca="1">+BX190/(BX29+BW29+BV29+BT29)</f>
        <v>1.6358380914060631</v>
      </c>
      <c r="BY191" s="490">
        <f ca="1">+BZ191</f>
        <v>1.5949986302422681</v>
      </c>
      <c r="BZ191" s="491">
        <f ca="1">+BZ190/BZ29</f>
        <v>1.5949986302422681</v>
      </c>
      <c r="CA191" s="490">
        <f ca="1">+CA190/(CA29+BY29+BX29+BW29)</f>
        <v>1.7108619144780652</v>
      </c>
      <c r="CB191" s="490">
        <f ca="1">+CB190/(CB29+CA29+BY29+BX29)</f>
        <v>1.653548800328803</v>
      </c>
      <c r="CC191" s="490">
        <f ca="1">+CC190/(CC29+CB29+CA29+BY29)</f>
        <v>1.5169776869585723</v>
      </c>
      <c r="CD191" s="490">
        <f ca="1">+CE191</f>
        <v>1.4471661875571915</v>
      </c>
      <c r="CE191" s="491">
        <f ca="1">+CE190/CE29</f>
        <v>1.4471661875571915</v>
      </c>
      <c r="CF191" s="490">
        <f ca="1">+CF190/(CF29+CD29+CC29+CB29)</f>
        <v>1.5585641682164435</v>
      </c>
      <c r="CG191" s="490">
        <f ca="1">+CG190/(CG29+CF29+CD29+CC29)</f>
        <v>1.5015276587573749</v>
      </c>
      <c r="CH191" s="490">
        <f ca="1">+CH190/(CH29+CG29+CF29+CD29)</f>
        <v>1.3672486127135481</v>
      </c>
      <c r="CI191" s="490">
        <f ca="1">+CJ191</f>
        <v>1.2951965865088433</v>
      </c>
      <c r="CJ191" s="491">
        <f ca="1">+CJ190/CJ29</f>
        <v>1.2951965865088433</v>
      </c>
      <c r="CK191" s="490">
        <f ca="1">+CK190/(CK29+CI29+CH29+CG29)</f>
        <v>1.4002125154581404</v>
      </c>
      <c r="CL191" s="490">
        <f ca="1">+CL190/(CL29+CK29+CI29+CH29)</f>
        <v>1.3415672783246002</v>
      </c>
      <c r="CM191" s="490">
        <f ca="1">+CM190/(CM29+CL29+CK29+CI29)</f>
        <v>1.2081608660674104</v>
      </c>
      <c r="CN191" s="490">
        <f ca="1">+CO191</f>
        <v>1.1335265371921563</v>
      </c>
      <c r="CO191" s="491">
        <f ca="1">+CO190/CO29</f>
        <v>1.1335265371921563</v>
      </c>
      <c r="CP191" s="490">
        <f ca="1">+CP190/(CP29+CN29+CM29+CL29)</f>
        <v>1.2335706245926956</v>
      </c>
      <c r="CQ191" s="490">
        <f ca="1">+CQ190/(CQ29+CP29+CN29+CM29)</f>
        <v>1.1734530954429216</v>
      </c>
      <c r="CR191" s="490">
        <f ca="1">+CR190/(CR29+CQ29+CP29+CN29)</f>
        <v>1.0408881014949483</v>
      </c>
      <c r="CS191" s="490">
        <f ca="1">+CT191</f>
        <v>0.96383011721816647</v>
      </c>
      <c r="CT191" s="491">
        <f ca="1">+CT190/CT29</f>
        <v>0.96383011721816647</v>
      </c>
      <c r="CU191" s="313"/>
      <c r="CV191" s="313"/>
    </row>
    <row r="192" spans="1:100" x14ac:dyDescent="0.2">
      <c r="A192" s="59" t="s">
        <v>230</v>
      </c>
      <c r="B192" s="91"/>
      <c r="C192" s="377"/>
      <c r="D192" s="330"/>
      <c r="E192" s="330"/>
      <c r="F192" s="330"/>
      <c r="G192" s="330"/>
      <c r="H192" s="331">
        <f>+H80-H66-H67-H68-H85-H86</f>
        <v>18844</v>
      </c>
      <c r="I192" s="330">
        <f t="shared" ref="I192:AP192" si="373">+I80-I66-I67-I68-I85-I86</f>
        <v>19908</v>
      </c>
      <c r="J192" s="330">
        <f t="shared" si="373"/>
        <v>19793</v>
      </c>
      <c r="K192" s="330">
        <f t="shared" si="373"/>
        <v>19276</v>
      </c>
      <c r="L192" s="330">
        <f t="shared" si="373"/>
        <v>20328</v>
      </c>
      <c r="M192" s="331">
        <f t="shared" si="373"/>
        <v>20328</v>
      </c>
      <c r="N192" s="330">
        <f t="shared" si="373"/>
        <v>21719</v>
      </c>
      <c r="O192" s="330">
        <f t="shared" si="373"/>
        <v>22115</v>
      </c>
      <c r="P192" s="330">
        <f t="shared" si="373"/>
        <v>21700</v>
      </c>
      <c r="Q192" s="330">
        <f t="shared" si="373"/>
        <v>20522</v>
      </c>
      <c r="R192" s="331">
        <f t="shared" si="373"/>
        <v>20522</v>
      </c>
      <c r="S192" s="332">
        <f t="shared" si="373"/>
        <v>21573</v>
      </c>
      <c r="T192" s="332">
        <f t="shared" si="373"/>
        <v>22838</v>
      </c>
      <c r="U192" s="332">
        <f t="shared" si="373"/>
        <v>22094</v>
      </c>
      <c r="V192" s="332">
        <f t="shared" si="373"/>
        <v>24394</v>
      </c>
      <c r="W192" s="331">
        <f t="shared" si="373"/>
        <v>24394</v>
      </c>
      <c r="X192" s="332">
        <f t="shared" si="373"/>
        <v>25618</v>
      </c>
      <c r="Y192" s="332">
        <f t="shared" si="373"/>
        <v>26367</v>
      </c>
      <c r="Z192" s="332">
        <f t="shared" si="373"/>
        <v>28081</v>
      </c>
      <c r="AA192" s="332">
        <f t="shared" si="373"/>
        <v>25299</v>
      </c>
      <c r="AB192" s="331">
        <f t="shared" si="373"/>
        <v>25299</v>
      </c>
      <c r="AC192" s="332">
        <f t="shared" si="373"/>
        <v>24897</v>
      </c>
      <c r="AD192" s="332">
        <f t="shared" si="373"/>
        <v>26442</v>
      </c>
      <c r="AE192" s="332">
        <f t="shared" si="373"/>
        <v>26376</v>
      </c>
      <c r="AF192" s="332">
        <f t="shared" si="373"/>
        <v>27421</v>
      </c>
      <c r="AG192" s="331">
        <f t="shared" si="373"/>
        <v>27421</v>
      </c>
      <c r="AH192" s="332">
        <f t="shared" si="373"/>
        <v>50317</v>
      </c>
      <c r="AI192" s="332">
        <f t="shared" si="373"/>
        <v>50241</v>
      </c>
      <c r="AJ192" s="332">
        <f t="shared" si="373"/>
        <v>49532</v>
      </c>
      <c r="AK192" s="330">
        <f t="shared" si="373"/>
        <v>50790</v>
      </c>
      <c r="AL192" s="331">
        <f t="shared" si="373"/>
        <v>50790</v>
      </c>
      <c r="AM192" s="330">
        <f t="shared" si="373"/>
        <v>58472</v>
      </c>
      <c r="AN192" s="330">
        <f t="shared" si="373"/>
        <v>59994</v>
      </c>
      <c r="AO192" s="330">
        <f t="shared" si="373"/>
        <v>59348</v>
      </c>
      <c r="AP192" s="330">
        <f t="shared" si="373"/>
        <v>56508</v>
      </c>
      <c r="AQ192" s="331">
        <f>+AQ80-AQ66-AQ67-AQ68-AQ85-AQ86-AQ78</f>
        <v>55031</v>
      </c>
      <c r="AR192" s="330">
        <f t="shared" ref="AR192:CT192" si="374">+AR80-AR66-AR67-AR68-AR85-AR86-AR78</f>
        <v>57734</v>
      </c>
      <c r="AS192" s="330">
        <f t="shared" si="374"/>
        <v>55404</v>
      </c>
      <c r="AT192" s="330">
        <f t="shared" si="374"/>
        <v>54712</v>
      </c>
      <c r="AU192" s="330">
        <f t="shared" si="374"/>
        <v>54112</v>
      </c>
      <c r="AV192" s="331">
        <f t="shared" si="374"/>
        <v>54112</v>
      </c>
      <c r="AW192" s="330">
        <f t="shared" si="374"/>
        <v>54849</v>
      </c>
      <c r="AX192" s="330">
        <f t="shared" si="374"/>
        <v>53811</v>
      </c>
      <c r="AY192" s="330">
        <f t="shared" si="374"/>
        <v>52220</v>
      </c>
      <c r="AZ192" s="330">
        <f t="shared" si="374"/>
        <v>53426</v>
      </c>
      <c r="BA192" s="331">
        <f t="shared" si="374"/>
        <v>53426</v>
      </c>
      <c r="BB192" s="330">
        <f t="shared" si="374"/>
        <v>53892</v>
      </c>
      <c r="BC192" s="330">
        <f t="shared" si="374"/>
        <v>54246</v>
      </c>
      <c r="BD192" s="330">
        <f t="shared" si="374"/>
        <v>52023</v>
      </c>
      <c r="BE192" s="330">
        <f t="shared" si="374"/>
        <v>46078</v>
      </c>
      <c r="BF192" s="331">
        <f t="shared" si="374"/>
        <v>46078</v>
      </c>
      <c r="BG192" s="330">
        <f t="shared" si="374"/>
        <v>46339</v>
      </c>
      <c r="BH192" s="330">
        <f t="shared" ca="1" si="374"/>
        <v>46894</v>
      </c>
      <c r="BI192" s="330">
        <f t="shared" ca="1" si="374"/>
        <v>43392</v>
      </c>
      <c r="BJ192" s="330">
        <f t="shared" ca="1" si="374"/>
        <v>41840</v>
      </c>
      <c r="BK192" s="331">
        <f t="shared" ca="1" si="374"/>
        <v>41840</v>
      </c>
      <c r="BL192" s="330">
        <f t="shared" ca="1" si="374"/>
        <v>43116</v>
      </c>
      <c r="BM192" s="330">
        <f t="shared" si="374"/>
        <v>43645</v>
      </c>
      <c r="BN192" s="330">
        <f t="shared" ca="1" si="374"/>
        <v>42837</v>
      </c>
      <c r="BO192" s="330">
        <f t="shared" si="374"/>
        <v>41811</v>
      </c>
      <c r="BP192" s="331">
        <f t="shared" si="374"/>
        <v>41811</v>
      </c>
      <c r="BQ192" s="578">
        <f t="shared" si="374"/>
        <v>43563</v>
      </c>
      <c r="BR192" s="330">
        <f t="shared" ca="1" si="374"/>
        <v>43987</v>
      </c>
      <c r="BS192" s="330">
        <f t="shared" si="374"/>
        <v>43594</v>
      </c>
      <c r="BT192" s="330">
        <f t="shared" si="374"/>
        <v>43235</v>
      </c>
      <c r="BU192" s="331">
        <f t="shared" si="374"/>
        <v>43235</v>
      </c>
      <c r="BV192" s="330">
        <f t="shared" ca="1" si="374"/>
        <v>44821.778203823444</v>
      </c>
      <c r="BW192" s="330">
        <f t="shared" ca="1" si="374"/>
        <v>45104.637789269487</v>
      </c>
      <c r="BX192" s="330">
        <f t="shared" ca="1" si="374"/>
        <v>44408.512841987031</v>
      </c>
      <c r="BY192" s="330">
        <f t="shared" ca="1" si="374"/>
        <v>44386.683762235574</v>
      </c>
      <c r="BZ192" s="331">
        <f t="shared" ca="1" si="374"/>
        <v>44386.683762235574</v>
      </c>
      <c r="CA192" s="330">
        <f t="shared" ca="1" si="374"/>
        <v>45837.504678295823</v>
      </c>
      <c r="CB192" s="330">
        <f t="shared" ca="1" si="374"/>
        <v>45959.905741862742</v>
      </c>
      <c r="CC192" s="330">
        <f t="shared" ca="1" si="374"/>
        <v>45081.539379344205</v>
      </c>
      <c r="CD192" s="330">
        <f t="shared" ca="1" si="374"/>
        <v>44926.080042555084</v>
      </c>
      <c r="CE192" s="331">
        <f t="shared" ca="1" si="374"/>
        <v>44926.080042555084</v>
      </c>
      <c r="CF192" s="330">
        <f t="shared" ca="1" si="374"/>
        <v>46405.222797840033</v>
      </c>
      <c r="CG192" s="330">
        <f t="shared" ca="1" si="374"/>
        <v>46512.194587389851</v>
      </c>
      <c r="CH192" s="330">
        <f t="shared" ca="1" si="374"/>
        <v>45595.619776460473</v>
      </c>
      <c r="CI192" s="330">
        <f t="shared" ca="1" si="374"/>
        <v>45414.168668411978</v>
      </c>
      <c r="CJ192" s="331">
        <f t="shared" ca="1" si="374"/>
        <v>45414.168668411978</v>
      </c>
      <c r="CK192" s="330">
        <f t="shared" ca="1" si="374"/>
        <v>46908.753160925378</v>
      </c>
      <c r="CL192" s="330">
        <f t="shared" ca="1" si="374"/>
        <v>47001.408945576106</v>
      </c>
      <c r="CM192" s="330">
        <f t="shared" ca="1" si="374"/>
        <v>46046.011131559746</v>
      </c>
      <c r="CN192" s="330">
        <f t="shared" ca="1" si="374"/>
        <v>45839.913256990527</v>
      </c>
      <c r="CO192" s="331">
        <f t="shared" ca="1" si="374"/>
        <v>45839.913256990527</v>
      </c>
      <c r="CP192" s="330">
        <f t="shared" ca="1" si="374"/>
        <v>47366.301921252074</v>
      </c>
      <c r="CQ192" s="330">
        <f t="shared" ca="1" si="374"/>
        <v>47445.934688461362</v>
      </c>
      <c r="CR192" s="330">
        <f t="shared" ca="1" si="374"/>
        <v>46452.044861172704</v>
      </c>
      <c r="CS192" s="330">
        <f t="shared" ca="1" si="374"/>
        <v>46222.798810134911</v>
      </c>
      <c r="CT192" s="331">
        <f t="shared" ca="1" si="374"/>
        <v>46222.798810134911</v>
      </c>
      <c r="CU192" s="313"/>
      <c r="CV192" s="313"/>
    </row>
    <row r="193" spans="1:100" x14ac:dyDescent="0.2">
      <c r="A193" s="462"/>
      <c r="B193" s="462"/>
      <c r="C193" s="462"/>
      <c r="D193" s="16"/>
      <c r="E193" s="16"/>
      <c r="F193" s="16"/>
      <c r="G193" s="16"/>
      <c r="H193" s="321"/>
      <c r="I193" s="16"/>
      <c r="J193" s="16"/>
      <c r="K193" s="16"/>
      <c r="L193" s="16"/>
      <c r="M193" s="321"/>
      <c r="N193" s="16"/>
      <c r="O193" s="16"/>
      <c r="P193" s="16"/>
      <c r="Q193" s="16"/>
      <c r="R193" s="321"/>
      <c r="S193" s="15"/>
      <c r="T193" s="15"/>
      <c r="U193" s="15"/>
      <c r="V193" s="15"/>
      <c r="W193" s="321"/>
      <c r="X193" s="15"/>
      <c r="Y193" s="15"/>
      <c r="Z193" s="15"/>
      <c r="AA193" s="15"/>
      <c r="AB193" s="321"/>
      <c r="AC193" s="15"/>
      <c r="AD193" s="15"/>
      <c r="AE193" s="15"/>
      <c r="AF193" s="15"/>
      <c r="AG193" s="321"/>
      <c r="AH193" s="15"/>
      <c r="AI193" s="15"/>
      <c r="AJ193" s="16"/>
      <c r="AK193" s="16"/>
      <c r="AL193" s="321"/>
      <c r="AM193" s="16"/>
      <c r="AN193" s="16"/>
      <c r="AO193" s="16"/>
      <c r="AP193" s="16"/>
      <c r="AQ193" s="321"/>
      <c r="AR193" s="16"/>
      <c r="AS193" s="16"/>
      <c r="AT193" s="16"/>
      <c r="AU193" s="16"/>
      <c r="AV193" s="321"/>
      <c r="AW193" s="16"/>
      <c r="AX193" s="493"/>
      <c r="AY193" s="16"/>
      <c r="AZ193" s="16"/>
      <c r="BA193" s="321"/>
      <c r="BB193" s="509"/>
      <c r="BC193" s="509"/>
      <c r="BD193" s="509"/>
      <c r="BE193" s="509"/>
      <c r="BF193" s="354"/>
      <c r="BG193" s="509"/>
      <c r="BH193" s="509"/>
      <c r="BI193" s="509"/>
      <c r="BJ193" s="509"/>
      <c r="BK193" s="354"/>
      <c r="BL193" s="16"/>
      <c r="BM193" s="16"/>
      <c r="BN193" s="16"/>
      <c r="BO193" s="16"/>
      <c r="BP193" s="321"/>
      <c r="BQ193" s="619"/>
      <c r="BR193" s="16"/>
      <c r="BS193" s="16"/>
      <c r="BT193" s="16"/>
      <c r="BU193" s="321"/>
      <c r="BV193" s="16"/>
      <c r="BW193" s="16"/>
      <c r="BX193" s="16"/>
      <c r="BY193" s="16"/>
      <c r="BZ193" s="321"/>
      <c r="CA193" s="16"/>
      <c r="CB193" s="16"/>
      <c r="CC193" s="16"/>
      <c r="CD193" s="16"/>
      <c r="CE193" s="321"/>
      <c r="CF193" s="16"/>
      <c r="CG193" s="16"/>
      <c r="CH193" s="16"/>
      <c r="CI193" s="16"/>
      <c r="CJ193" s="321"/>
      <c r="CK193" s="16"/>
      <c r="CL193" s="16"/>
      <c r="CM193" s="16"/>
      <c r="CN193" s="16"/>
      <c r="CO193" s="321"/>
      <c r="CP193" s="16"/>
      <c r="CQ193" s="16"/>
      <c r="CR193" s="16"/>
      <c r="CS193" s="16"/>
      <c r="CT193" s="321"/>
      <c r="CU193" s="462"/>
      <c r="CV193" s="462"/>
    </row>
    <row r="194" spans="1:100" x14ac:dyDescent="0.2">
      <c r="A194" s="111" t="s">
        <v>185</v>
      </c>
      <c r="B194" s="111"/>
      <c r="C194" s="461"/>
      <c r="D194" s="112"/>
      <c r="E194" s="112"/>
      <c r="F194" s="112"/>
      <c r="G194" s="112"/>
      <c r="H194" s="113">
        <f>H4</f>
        <v>2004</v>
      </c>
      <c r="I194" s="112"/>
      <c r="J194" s="112"/>
      <c r="K194" s="112"/>
      <c r="L194" s="112"/>
      <c r="M194" s="113">
        <f t="shared" ref="M194:R194" si="375">M4</f>
        <v>2005</v>
      </c>
      <c r="N194" s="112">
        <f t="shared" si="375"/>
        <v>38802</v>
      </c>
      <c r="O194" s="112">
        <f t="shared" si="375"/>
        <v>38892</v>
      </c>
      <c r="P194" s="112">
        <f t="shared" si="375"/>
        <v>38987</v>
      </c>
      <c r="Q194" s="112">
        <f t="shared" si="375"/>
        <v>39077</v>
      </c>
      <c r="R194" s="113">
        <f t="shared" si="375"/>
        <v>2006</v>
      </c>
      <c r="S194" s="114">
        <f t="shared" ref="S194:AG194" si="376">S4</f>
        <v>39157</v>
      </c>
      <c r="T194" s="114">
        <f t="shared" si="376"/>
        <v>39242</v>
      </c>
      <c r="U194" s="114">
        <f t="shared" si="376"/>
        <v>39332</v>
      </c>
      <c r="V194" s="114">
        <f t="shared" si="376"/>
        <v>39422</v>
      </c>
      <c r="W194" s="113">
        <f t="shared" si="376"/>
        <v>2007</v>
      </c>
      <c r="X194" s="114">
        <f t="shared" si="376"/>
        <v>39517</v>
      </c>
      <c r="Y194" s="114">
        <f t="shared" si="376"/>
        <v>39607</v>
      </c>
      <c r="Z194" s="114">
        <f t="shared" si="376"/>
        <v>39707</v>
      </c>
      <c r="AA194" s="114">
        <f t="shared" si="376"/>
        <v>39797</v>
      </c>
      <c r="AB194" s="113">
        <f t="shared" si="376"/>
        <v>2008</v>
      </c>
      <c r="AC194" s="114">
        <f t="shared" si="376"/>
        <v>39887</v>
      </c>
      <c r="AD194" s="114">
        <f t="shared" si="376"/>
        <v>39977</v>
      </c>
      <c r="AE194" s="114">
        <f t="shared" si="376"/>
        <v>40077</v>
      </c>
      <c r="AF194" s="114">
        <f t="shared" si="376"/>
        <v>40167</v>
      </c>
      <c r="AG194" s="113">
        <f t="shared" si="376"/>
        <v>2009</v>
      </c>
      <c r="AH194" s="114">
        <f t="shared" ref="AH194:AY194" si="377">AH4</f>
        <v>40247</v>
      </c>
      <c r="AI194" s="114">
        <f t="shared" si="377"/>
        <v>40339</v>
      </c>
      <c r="AJ194" s="112">
        <f t="shared" si="377"/>
        <v>40429</v>
      </c>
      <c r="AK194" s="112">
        <f t="shared" si="377"/>
        <v>40543</v>
      </c>
      <c r="AL194" s="113">
        <f t="shared" si="377"/>
        <v>2010</v>
      </c>
      <c r="AM194" s="112">
        <f t="shared" si="377"/>
        <v>40613</v>
      </c>
      <c r="AN194" s="112">
        <f t="shared" si="377"/>
        <v>40705</v>
      </c>
      <c r="AO194" s="112">
        <f t="shared" si="377"/>
        <v>40797</v>
      </c>
      <c r="AP194" s="112">
        <f t="shared" si="377"/>
        <v>40887</v>
      </c>
      <c r="AQ194" s="113">
        <f t="shared" si="377"/>
        <v>2011</v>
      </c>
      <c r="AR194" s="112">
        <f t="shared" si="377"/>
        <v>40980</v>
      </c>
      <c r="AS194" s="112">
        <f t="shared" si="377"/>
        <v>41072</v>
      </c>
      <c r="AT194" s="112">
        <f t="shared" si="377"/>
        <v>41164</v>
      </c>
      <c r="AU194" s="112">
        <f t="shared" si="377"/>
        <v>41274</v>
      </c>
      <c r="AV194" s="113">
        <f t="shared" si="377"/>
        <v>2012</v>
      </c>
      <c r="AW194" s="112">
        <f t="shared" si="377"/>
        <v>41346</v>
      </c>
      <c r="AX194" s="112">
        <f t="shared" si="377"/>
        <v>41438</v>
      </c>
      <c r="AY194" s="112">
        <f t="shared" si="377"/>
        <v>41530</v>
      </c>
      <c r="AZ194" s="112">
        <f t="shared" ref="AZ194:BU194" si="378">AZ4</f>
        <v>41621</v>
      </c>
      <c r="BA194" s="113">
        <f t="shared" si="378"/>
        <v>2013</v>
      </c>
      <c r="BB194" s="112">
        <f t="shared" si="378"/>
        <v>41712</v>
      </c>
      <c r="BC194" s="112">
        <f t="shared" si="378"/>
        <v>41804</v>
      </c>
      <c r="BD194" s="112">
        <f t="shared" si="378"/>
        <v>41896</v>
      </c>
      <c r="BE194" s="112">
        <f t="shared" si="378"/>
        <v>41987</v>
      </c>
      <c r="BF194" s="113">
        <f t="shared" si="378"/>
        <v>2014</v>
      </c>
      <c r="BG194" s="112">
        <f t="shared" si="378"/>
        <v>42078</v>
      </c>
      <c r="BH194" s="112">
        <f t="shared" si="378"/>
        <v>42170</v>
      </c>
      <c r="BI194" s="112">
        <f t="shared" si="378"/>
        <v>42262</v>
      </c>
      <c r="BJ194" s="112">
        <f t="shared" si="378"/>
        <v>42353</v>
      </c>
      <c r="BK194" s="113">
        <f t="shared" si="378"/>
        <v>2015</v>
      </c>
      <c r="BL194" s="112">
        <f t="shared" si="378"/>
        <v>42445</v>
      </c>
      <c r="BM194" s="112">
        <f t="shared" si="378"/>
        <v>42537</v>
      </c>
      <c r="BN194" s="112">
        <f t="shared" si="378"/>
        <v>42629</v>
      </c>
      <c r="BO194" s="112">
        <f t="shared" si="378"/>
        <v>42720</v>
      </c>
      <c r="BP194" s="113">
        <f t="shared" si="378"/>
        <v>2016</v>
      </c>
      <c r="BQ194" s="614">
        <f t="shared" si="378"/>
        <v>42811</v>
      </c>
      <c r="BR194" s="112">
        <f t="shared" si="378"/>
        <v>42903</v>
      </c>
      <c r="BS194" s="112">
        <f t="shared" si="378"/>
        <v>42995</v>
      </c>
      <c r="BT194" s="112">
        <f t="shared" si="378"/>
        <v>43086</v>
      </c>
      <c r="BU194" s="113">
        <f t="shared" si="378"/>
        <v>2017</v>
      </c>
      <c r="BV194" s="112" t="str">
        <f t="shared" ref="BV194:CE194" si="379">BV4</f>
        <v>Mar-18 E</v>
      </c>
      <c r="BW194" s="112" t="str">
        <f t="shared" si="379"/>
        <v>Jun-18 E</v>
      </c>
      <c r="BX194" s="112" t="str">
        <f t="shared" si="379"/>
        <v>Sep-18 E</v>
      </c>
      <c r="BY194" s="112" t="str">
        <f t="shared" si="379"/>
        <v>Dec-18 E</v>
      </c>
      <c r="BZ194" s="113" t="str">
        <f t="shared" si="379"/>
        <v>2018E</v>
      </c>
      <c r="CA194" s="112" t="str">
        <f t="shared" si="379"/>
        <v>Mar-19 E</v>
      </c>
      <c r="CB194" s="112" t="str">
        <f t="shared" si="379"/>
        <v>Jun-19 E</v>
      </c>
      <c r="CC194" s="112" t="str">
        <f t="shared" si="379"/>
        <v>Sep-19 E</v>
      </c>
      <c r="CD194" s="112" t="str">
        <f t="shared" si="379"/>
        <v>Dec-19 E</v>
      </c>
      <c r="CE194" s="113" t="str">
        <f t="shared" si="379"/>
        <v>2019E</v>
      </c>
      <c r="CF194" s="112" t="str">
        <f t="shared" ref="CF194:CO194" si="380">CF4</f>
        <v>Mar-20 E</v>
      </c>
      <c r="CG194" s="112" t="str">
        <f t="shared" si="380"/>
        <v>Jun-20 E</v>
      </c>
      <c r="CH194" s="112" t="str">
        <f t="shared" si="380"/>
        <v>Sep-20 E</v>
      </c>
      <c r="CI194" s="112" t="str">
        <f t="shared" si="380"/>
        <v>Dec-20 E</v>
      </c>
      <c r="CJ194" s="113" t="str">
        <f t="shared" si="380"/>
        <v>2020E</v>
      </c>
      <c r="CK194" s="112" t="str">
        <f t="shared" si="380"/>
        <v>Mar-21 E</v>
      </c>
      <c r="CL194" s="112" t="str">
        <f t="shared" si="380"/>
        <v>Jun-21 E</v>
      </c>
      <c r="CM194" s="112" t="str">
        <f t="shared" si="380"/>
        <v>Sep-21 E</v>
      </c>
      <c r="CN194" s="112" t="str">
        <f t="shared" si="380"/>
        <v>Dec-21 E</v>
      </c>
      <c r="CO194" s="113" t="str">
        <f t="shared" si="380"/>
        <v>2021E</v>
      </c>
      <c r="CP194" s="112" t="str">
        <f>CP4</f>
        <v>Mar-22 E</v>
      </c>
      <c r="CQ194" s="112" t="str">
        <f>CQ4</f>
        <v>Jun-22 E</v>
      </c>
      <c r="CR194" s="112" t="str">
        <f>CR4</f>
        <v>Sep-22 E</v>
      </c>
      <c r="CS194" s="112" t="str">
        <f>CS4</f>
        <v>Dec-22 E</v>
      </c>
      <c r="CT194" s="113" t="str">
        <f>CT4</f>
        <v>2022E</v>
      </c>
      <c r="CU194" s="313"/>
      <c r="CV194" s="313"/>
    </row>
    <row r="195" spans="1:100" x14ac:dyDescent="0.2">
      <c r="A195" s="313"/>
      <c r="B195" s="377" t="s">
        <v>54</v>
      </c>
      <c r="C195" s="377"/>
      <c r="D195" s="330"/>
      <c r="E195" s="330"/>
      <c r="F195" s="330"/>
      <c r="G195" s="330"/>
      <c r="H195" s="331">
        <f>+H23</f>
        <v>5409</v>
      </c>
      <c r="I195" s="330"/>
      <c r="J195" s="330"/>
      <c r="K195" s="330"/>
      <c r="L195" s="330"/>
      <c r="M195" s="331">
        <f>+M23</f>
        <v>5929</v>
      </c>
      <c r="N195" s="330">
        <f t="shared" ref="N195:BU195" si="381">+N23</f>
        <v>1257</v>
      </c>
      <c r="O195" s="330">
        <f t="shared" si="381"/>
        <v>1800</v>
      </c>
      <c r="P195" s="330">
        <f t="shared" si="381"/>
        <v>1856</v>
      </c>
      <c r="Q195" s="330">
        <f t="shared" si="381"/>
        <v>1656</v>
      </c>
      <c r="R195" s="331">
        <f t="shared" si="381"/>
        <v>6569</v>
      </c>
      <c r="S195" s="332">
        <f t="shared" si="381"/>
        <v>1402</v>
      </c>
      <c r="T195" s="332">
        <f t="shared" si="381"/>
        <v>1946</v>
      </c>
      <c r="U195" s="332">
        <f t="shared" si="381"/>
        <v>2091</v>
      </c>
      <c r="V195" s="332">
        <f t="shared" si="381"/>
        <v>1814</v>
      </c>
      <c r="W195" s="331">
        <f t="shared" si="381"/>
        <v>7253</v>
      </c>
      <c r="X195" s="332">
        <f t="shared" si="381"/>
        <v>1561</v>
      </c>
      <c r="Y195" s="332">
        <f t="shared" si="381"/>
        <v>2130</v>
      </c>
      <c r="Z195" s="332">
        <f t="shared" si="381"/>
        <v>2167</v>
      </c>
      <c r="AA195" s="332">
        <f t="shared" si="381"/>
        <v>1990</v>
      </c>
      <c r="AB195" s="331">
        <f t="shared" si="381"/>
        <v>7848</v>
      </c>
      <c r="AC195" s="332">
        <f t="shared" si="381"/>
        <v>1551</v>
      </c>
      <c r="AD195" s="332">
        <f t="shared" si="381"/>
        <v>2101</v>
      </c>
      <c r="AE195" s="332">
        <f t="shared" si="381"/>
        <v>2204</v>
      </c>
      <c r="AF195" s="332">
        <f t="shared" si="381"/>
        <v>2000</v>
      </c>
      <c r="AG195" s="331">
        <f t="shared" si="381"/>
        <v>7856</v>
      </c>
      <c r="AH195" s="332">
        <f t="shared" si="381"/>
        <v>1722</v>
      </c>
      <c r="AI195" s="332">
        <f t="shared" si="381"/>
        <v>2696</v>
      </c>
      <c r="AJ195" s="330">
        <f t="shared" si="381"/>
        <v>2870</v>
      </c>
      <c r="AK195" s="330">
        <f t="shared" si="381"/>
        <v>2485</v>
      </c>
      <c r="AL195" s="331">
        <f t="shared" si="381"/>
        <v>9773</v>
      </c>
      <c r="AM195" s="330">
        <f t="shared" si="381"/>
        <v>1784</v>
      </c>
      <c r="AN195" s="330">
        <f t="shared" si="381"/>
        <v>2825</v>
      </c>
      <c r="AO195" s="330">
        <f t="shared" si="381"/>
        <v>3007</v>
      </c>
      <c r="AP195" s="330">
        <f t="shared" si="381"/>
        <v>2752</v>
      </c>
      <c r="AQ195" s="331">
        <f t="shared" si="381"/>
        <v>10368</v>
      </c>
      <c r="AR195" s="330">
        <f t="shared" si="381"/>
        <v>1673</v>
      </c>
      <c r="AS195" s="330">
        <f t="shared" si="381"/>
        <v>2673</v>
      </c>
      <c r="AT195" s="330">
        <f t="shared" si="381"/>
        <v>2764</v>
      </c>
      <c r="AU195" s="330">
        <f t="shared" si="381"/>
        <v>2572</v>
      </c>
      <c r="AV195" s="331">
        <f>+AV23</f>
        <v>9682</v>
      </c>
      <c r="AW195" s="330">
        <f t="shared" si="381"/>
        <v>1797</v>
      </c>
      <c r="AX195" s="330">
        <f t="shared" si="381"/>
        <v>2926</v>
      </c>
      <c r="AY195" s="330">
        <f t="shared" si="381"/>
        <v>2815</v>
      </c>
      <c r="AZ195" s="330">
        <f t="shared" si="381"/>
        <v>2523</v>
      </c>
      <c r="BA195" s="331">
        <f t="shared" si="381"/>
        <v>10061</v>
      </c>
      <c r="BB195" s="330">
        <f t="shared" si="381"/>
        <v>1871</v>
      </c>
      <c r="BC195" s="330">
        <f t="shared" si="381"/>
        <v>2957</v>
      </c>
      <c r="BD195" s="330">
        <f t="shared" si="381"/>
        <v>2948</v>
      </c>
      <c r="BE195" s="330">
        <f t="shared" si="381"/>
        <v>2537</v>
      </c>
      <c r="BF195" s="331">
        <f t="shared" si="381"/>
        <v>10313</v>
      </c>
      <c r="BG195" s="330">
        <f t="shared" si="381"/>
        <v>1834</v>
      </c>
      <c r="BH195" s="330">
        <f t="shared" si="381"/>
        <v>2886</v>
      </c>
      <c r="BI195" s="330">
        <f t="shared" si="381"/>
        <v>2891</v>
      </c>
      <c r="BJ195" s="330">
        <f t="shared" si="381"/>
        <v>2326</v>
      </c>
      <c r="BK195" s="331">
        <f t="shared" si="381"/>
        <v>9937</v>
      </c>
      <c r="BL195" s="330">
        <f t="shared" si="381"/>
        <v>1919</v>
      </c>
      <c r="BM195" s="330">
        <f t="shared" si="381"/>
        <v>2856</v>
      </c>
      <c r="BN195" s="330">
        <f t="shared" si="381"/>
        <v>2830</v>
      </c>
      <c r="BO195" s="330">
        <f t="shared" si="381"/>
        <v>2560</v>
      </c>
      <c r="BP195" s="331">
        <f>+BP23</f>
        <v>10165</v>
      </c>
      <c r="BQ195" s="578">
        <f t="shared" si="381"/>
        <v>1903</v>
      </c>
      <c r="BR195" s="330">
        <f t="shared" si="381"/>
        <v>2978</v>
      </c>
      <c r="BS195" s="330">
        <f t="shared" si="381"/>
        <v>2903</v>
      </c>
      <c r="BT195" s="330">
        <f t="shared" si="381"/>
        <v>2706</v>
      </c>
      <c r="BU195" s="331">
        <f t="shared" si="381"/>
        <v>10490</v>
      </c>
      <c r="BV195" s="330">
        <f t="shared" ref="BV195:CE195" si="382">+BV23</f>
        <v>1810.1385938033688</v>
      </c>
      <c r="BW195" s="330">
        <f t="shared" si="382"/>
        <v>3025.8072214013041</v>
      </c>
      <c r="BX195" s="330">
        <f t="shared" si="382"/>
        <v>3207.2564683688406</v>
      </c>
      <c r="BY195" s="330">
        <f t="shared" si="382"/>
        <v>2937.0564504928266</v>
      </c>
      <c r="BZ195" s="331">
        <f t="shared" si="382"/>
        <v>10980.258734066339</v>
      </c>
      <c r="CA195" s="330">
        <f t="shared" si="382"/>
        <v>1940.6465506209504</v>
      </c>
      <c r="CB195" s="330">
        <f t="shared" si="382"/>
        <v>3212.047139335803</v>
      </c>
      <c r="CC195" s="330">
        <f t="shared" si="382"/>
        <v>3394.7485526676228</v>
      </c>
      <c r="CD195" s="330">
        <f t="shared" si="382"/>
        <v>3147.1534961321249</v>
      </c>
      <c r="CE195" s="331">
        <f t="shared" si="382"/>
        <v>11694.595738756501</v>
      </c>
      <c r="CF195" s="330">
        <f t="shared" ref="CF195:CO195" si="383">+CF23</f>
        <v>2075.0015872512149</v>
      </c>
      <c r="CG195" s="330">
        <f t="shared" si="383"/>
        <v>3401.9941063627966</v>
      </c>
      <c r="CH195" s="330">
        <f t="shared" si="383"/>
        <v>3586.9313545064224</v>
      </c>
      <c r="CI195" s="330">
        <f t="shared" si="383"/>
        <v>3362.9125067519744</v>
      </c>
      <c r="CJ195" s="331">
        <f t="shared" si="383"/>
        <v>12426.839554872411</v>
      </c>
      <c r="CK195" s="330">
        <f t="shared" si="383"/>
        <v>2214.4009726006416</v>
      </c>
      <c r="CL195" s="330">
        <f t="shared" si="383"/>
        <v>3599.6573231374491</v>
      </c>
      <c r="CM195" s="330">
        <f t="shared" si="383"/>
        <v>3786.9794168319618</v>
      </c>
      <c r="CN195" s="330">
        <f t="shared" si="383"/>
        <v>3586.8384321285025</v>
      </c>
      <c r="CO195" s="331">
        <f t="shared" si="383"/>
        <v>13187.876144698554</v>
      </c>
      <c r="CP195" s="330">
        <f>+CP23</f>
        <v>2360.2612286286508</v>
      </c>
      <c r="CQ195" s="330">
        <f>+CQ23</f>
        <v>3806.712186808657</v>
      </c>
      <c r="CR195" s="330">
        <f>+CR23</f>
        <v>3996.4641461937399</v>
      </c>
      <c r="CS195" s="330">
        <f>+CS23</f>
        <v>3821.5116629513141</v>
      </c>
      <c r="CT195" s="331">
        <f>+CT23</f>
        <v>13984.949224582359</v>
      </c>
      <c r="CU195" s="313"/>
      <c r="CV195" s="313"/>
    </row>
    <row r="196" spans="1:100" x14ac:dyDescent="0.2">
      <c r="A196" s="313"/>
      <c r="B196" s="313" t="s">
        <v>186</v>
      </c>
      <c r="C196" s="313"/>
      <c r="D196" s="318"/>
      <c r="E196" s="318"/>
      <c r="F196" s="318"/>
      <c r="G196" s="318"/>
      <c r="H196" s="362">
        <f>H40</f>
        <v>0.29643346207865168</v>
      </c>
      <c r="I196" s="318"/>
      <c r="J196" s="318"/>
      <c r="K196" s="318"/>
      <c r="L196" s="318"/>
      <c r="M196" s="362">
        <f t="shared" ref="M196:R196" si="384">M40</f>
        <v>0.29025853964274523</v>
      </c>
      <c r="N196" s="318">
        <f t="shared" si="384"/>
        <v>0.38008415147265079</v>
      </c>
      <c r="O196" s="318">
        <f t="shared" si="384"/>
        <v>0.32259549010584443</v>
      </c>
      <c r="P196" s="318">
        <f t="shared" si="384"/>
        <v>0.3308724832214765</v>
      </c>
      <c r="Q196" s="318">
        <f t="shared" si="384"/>
        <v>0.35765325310267021</v>
      </c>
      <c r="R196" s="362">
        <f t="shared" si="384"/>
        <v>0.28002842928216065</v>
      </c>
      <c r="S196" s="335">
        <f t="shared" ref="S196:AG196" si="385">S40</f>
        <v>0.25547438186813182</v>
      </c>
      <c r="T196" s="335">
        <f t="shared" si="385"/>
        <v>0.26452527161076994</v>
      </c>
      <c r="U196" s="335">
        <f t="shared" si="385"/>
        <v>0.27410000000000001</v>
      </c>
      <c r="V196" s="335">
        <f t="shared" si="385"/>
        <v>0.3056884635832004</v>
      </c>
      <c r="W196" s="362">
        <f t="shared" si="385"/>
        <v>0.27573243453461238</v>
      </c>
      <c r="X196" s="335">
        <f t="shared" si="385"/>
        <v>0.26620076238881829</v>
      </c>
      <c r="Y196" s="335">
        <f t="shared" si="385"/>
        <v>0.26348364279398762</v>
      </c>
      <c r="Z196" s="335">
        <f t="shared" si="385"/>
        <v>0.26591598094413166</v>
      </c>
      <c r="AA196" s="335">
        <f t="shared" si="385"/>
        <v>0.2760768033212247</v>
      </c>
      <c r="AB196" s="362">
        <f t="shared" si="385"/>
        <v>0.26771555996035679</v>
      </c>
      <c r="AC196" s="335">
        <f t="shared" si="385"/>
        <v>0.2422192151556157</v>
      </c>
      <c r="AD196" s="335">
        <f t="shared" si="385"/>
        <v>0.24871914299021891</v>
      </c>
      <c r="AE196" s="335">
        <f t="shared" si="385"/>
        <v>0.24781468531468531</v>
      </c>
      <c r="AF196" s="335">
        <f t="shared" si="385"/>
        <v>0.28355957767722473</v>
      </c>
      <c r="AG196" s="362">
        <f t="shared" si="385"/>
        <v>0.25601113642115919</v>
      </c>
      <c r="AH196" s="335">
        <f t="shared" ref="AH196:AY196" si="386">AH40</f>
        <v>0.22873345935727787</v>
      </c>
      <c r="AI196" s="335">
        <f t="shared" si="386"/>
        <v>0.28875739644970416</v>
      </c>
      <c r="AJ196" s="318">
        <f t="shared" si="386"/>
        <v>0.27372663979479661</v>
      </c>
      <c r="AK196" s="318">
        <f t="shared" si="386"/>
        <v>0.26909722222222221</v>
      </c>
      <c r="AL196" s="362">
        <f t="shared" si="386"/>
        <v>0.26892408519934463</v>
      </c>
      <c r="AM196" s="318">
        <f t="shared" si="386"/>
        <v>0.25971622455274523</v>
      </c>
      <c r="AN196" s="318">
        <f t="shared" si="386"/>
        <v>0.26001511715797432</v>
      </c>
      <c r="AO196" s="318">
        <f t="shared" si="386"/>
        <v>0.2537313432835821</v>
      </c>
      <c r="AP196" s="318">
        <f t="shared" si="386"/>
        <v>0.28463676061929338</v>
      </c>
      <c r="AQ196" s="362">
        <f t="shared" si="386"/>
        <v>0.26458333333333334</v>
      </c>
      <c r="AR196" s="318">
        <f t="shared" si="386"/>
        <v>0.26702269692923897</v>
      </c>
      <c r="AS196" s="318">
        <f t="shared" si="386"/>
        <v>0.27870182555780931</v>
      </c>
      <c r="AT196" s="318">
        <f t="shared" si="386"/>
        <v>0.26287262872628725</v>
      </c>
      <c r="AU196" s="318">
        <f t="shared" si="386"/>
        <v>0.26703814830690098</v>
      </c>
      <c r="AV196" s="362">
        <f>AV40</f>
        <v>0.26906183128730715</v>
      </c>
      <c r="AW196" s="318">
        <f t="shared" si="386"/>
        <v>0.24472049689440994</v>
      </c>
      <c r="AX196" s="318">
        <f t="shared" si="386"/>
        <v>0.24524853801169591</v>
      </c>
      <c r="AY196" s="318">
        <f t="shared" si="386"/>
        <v>0.25497702909647779</v>
      </c>
      <c r="AZ196" s="318">
        <f t="shared" ref="AZ196:BT196" si="387">AZ40</f>
        <v>0.28221930974224552</v>
      </c>
      <c r="BA196" s="362">
        <f>BA40</f>
        <v>0.25705634259759924</v>
      </c>
      <c r="BB196" s="318">
        <f t="shared" si="387"/>
        <v>0.2369047619047619</v>
      </c>
      <c r="BC196" s="318">
        <f t="shared" si="387"/>
        <v>0.26283441793203183</v>
      </c>
      <c r="BD196" s="318">
        <f t="shared" si="387"/>
        <v>0.24201741654571843</v>
      </c>
      <c r="BE196" s="318">
        <f t="shared" si="387"/>
        <v>0.254919108001749</v>
      </c>
      <c r="BF196" s="362">
        <f>BF40</f>
        <v>0.25028980925281907</v>
      </c>
      <c r="BG196" s="318">
        <f t="shared" si="387"/>
        <v>0.23015873015873015</v>
      </c>
      <c r="BH196" s="318">
        <f t="shared" si="387"/>
        <v>0.25978382407752515</v>
      </c>
      <c r="BI196" s="318">
        <f t="shared" si="387"/>
        <v>0.24625187406296853</v>
      </c>
      <c r="BJ196" s="318">
        <f t="shared" si="387"/>
        <v>0.22484045164457536</v>
      </c>
      <c r="BK196" s="362">
        <f>BK40</f>
        <v>0.24252160425437624</v>
      </c>
      <c r="BL196" s="318">
        <f t="shared" si="387"/>
        <v>0.24655963302752293</v>
      </c>
      <c r="BM196" s="318">
        <f t="shared" si="387"/>
        <v>0.26044776119402985</v>
      </c>
      <c r="BN196" s="318">
        <f t="shared" si="387"/>
        <v>0.23295880149812734</v>
      </c>
      <c r="BO196" s="318">
        <f t="shared" si="387"/>
        <v>0.23956521739130435</v>
      </c>
      <c r="BP196" s="362">
        <f>BP40</f>
        <v>0.24494358100915478</v>
      </c>
      <c r="BQ196" s="546">
        <f t="shared" si="387"/>
        <v>0.22531214528944382</v>
      </c>
      <c r="BR196" s="318">
        <f t="shared" si="387"/>
        <v>0.23525256093253266</v>
      </c>
      <c r="BS196" s="318">
        <f t="shared" si="387"/>
        <v>0.2216177003989844</v>
      </c>
      <c r="BT196" s="318">
        <f t="shared" si="387"/>
        <v>0.25029655990510086</v>
      </c>
      <c r="BU196" s="362">
        <f>BU40</f>
        <v>0.23352566049195261</v>
      </c>
      <c r="BV196" s="318">
        <f t="shared" ref="BV196:CD196" si="388">BV40</f>
        <v>0.21</v>
      </c>
      <c r="BW196" s="318">
        <f t="shared" si="388"/>
        <v>0.21</v>
      </c>
      <c r="BX196" s="318">
        <f t="shared" si="388"/>
        <v>0.21</v>
      </c>
      <c r="BY196" s="318">
        <f t="shared" si="388"/>
        <v>0.21</v>
      </c>
      <c r="BZ196" s="362">
        <f ca="1">BZ40</f>
        <v>0.21</v>
      </c>
      <c r="CA196" s="318">
        <f t="shared" si="388"/>
        <v>0.21</v>
      </c>
      <c r="CB196" s="318">
        <f t="shared" si="388"/>
        <v>0.21</v>
      </c>
      <c r="CC196" s="318">
        <f t="shared" si="388"/>
        <v>0.21</v>
      </c>
      <c r="CD196" s="318">
        <f t="shared" si="388"/>
        <v>0.21</v>
      </c>
      <c r="CE196" s="362">
        <f ca="1">CE40</f>
        <v>0.21000000000000002</v>
      </c>
      <c r="CF196" s="318">
        <f t="shared" ref="CF196:CN196" si="389">CF40</f>
        <v>0.21</v>
      </c>
      <c r="CG196" s="318">
        <f t="shared" si="389"/>
        <v>0.21</v>
      </c>
      <c r="CH196" s="318">
        <f t="shared" si="389"/>
        <v>0.21</v>
      </c>
      <c r="CI196" s="318">
        <f t="shared" si="389"/>
        <v>0.21</v>
      </c>
      <c r="CJ196" s="362">
        <f ca="1">CJ40</f>
        <v>0.20999999999999991</v>
      </c>
      <c r="CK196" s="318">
        <f t="shared" si="389"/>
        <v>0.21</v>
      </c>
      <c r="CL196" s="318">
        <f t="shared" si="389"/>
        <v>0.21</v>
      </c>
      <c r="CM196" s="318">
        <f t="shared" si="389"/>
        <v>0.21</v>
      </c>
      <c r="CN196" s="318">
        <f t="shared" si="389"/>
        <v>0.21</v>
      </c>
      <c r="CO196" s="362">
        <f t="shared" ref="CO196:CT196" ca="1" si="390">CO40</f>
        <v>0.21</v>
      </c>
      <c r="CP196" s="318">
        <f t="shared" si="390"/>
        <v>0.21</v>
      </c>
      <c r="CQ196" s="318">
        <f t="shared" si="390"/>
        <v>0.21</v>
      </c>
      <c r="CR196" s="318">
        <f t="shared" si="390"/>
        <v>0.21</v>
      </c>
      <c r="CS196" s="318">
        <f t="shared" si="390"/>
        <v>0.21</v>
      </c>
      <c r="CT196" s="362">
        <f t="shared" ca="1" si="390"/>
        <v>0.21000000000000002</v>
      </c>
      <c r="CU196" s="313"/>
      <c r="CV196" s="313"/>
    </row>
    <row r="197" spans="1:100" x14ac:dyDescent="0.2">
      <c r="A197" s="313"/>
      <c r="B197" s="377" t="s">
        <v>187</v>
      </c>
      <c r="C197" s="377"/>
      <c r="D197" s="330"/>
      <c r="E197" s="330"/>
      <c r="F197" s="330"/>
      <c r="G197" s="330"/>
      <c r="H197" s="331">
        <f>H195*(1-H196)</f>
        <v>3805.5914036165727</v>
      </c>
      <c r="I197" s="330"/>
      <c r="J197" s="330"/>
      <c r="K197" s="330"/>
      <c r="L197" s="330"/>
      <c r="M197" s="331">
        <f t="shared" ref="M197:AG197" si="391">M195*(1-M196)</f>
        <v>4208.0571184581631</v>
      </c>
      <c r="N197" s="330">
        <f t="shared" si="391"/>
        <v>779.23422159887798</v>
      </c>
      <c r="O197" s="330">
        <f t="shared" si="391"/>
        <v>1219.3281178094801</v>
      </c>
      <c r="P197" s="330">
        <f t="shared" si="391"/>
        <v>1241.9006711409397</v>
      </c>
      <c r="Q197" s="330">
        <f t="shared" si="391"/>
        <v>1063.7262128619782</v>
      </c>
      <c r="R197" s="331">
        <f t="shared" si="391"/>
        <v>4729.4932480454863</v>
      </c>
      <c r="S197" s="332">
        <f t="shared" si="391"/>
        <v>1043.8249166208793</v>
      </c>
      <c r="T197" s="332">
        <f t="shared" si="391"/>
        <v>1431.2338214454417</v>
      </c>
      <c r="U197" s="332">
        <f t="shared" si="391"/>
        <v>1517.8569</v>
      </c>
      <c r="V197" s="332">
        <f t="shared" si="391"/>
        <v>1259.4811270600744</v>
      </c>
      <c r="W197" s="331">
        <f t="shared" si="391"/>
        <v>5253.1126523204566</v>
      </c>
      <c r="X197" s="332">
        <f t="shared" si="391"/>
        <v>1145.4606099110547</v>
      </c>
      <c r="Y197" s="332">
        <f t="shared" si="391"/>
        <v>1568.7798408488063</v>
      </c>
      <c r="Z197" s="332">
        <f t="shared" si="391"/>
        <v>1590.7600692940669</v>
      </c>
      <c r="AA197" s="332">
        <f t="shared" si="391"/>
        <v>1440.6071613907629</v>
      </c>
      <c r="AB197" s="331">
        <f t="shared" si="391"/>
        <v>5746.9682854311195</v>
      </c>
      <c r="AC197" s="332">
        <f t="shared" si="391"/>
        <v>1175.31799729364</v>
      </c>
      <c r="AD197" s="332">
        <f t="shared" si="391"/>
        <v>1578.4410805775501</v>
      </c>
      <c r="AE197" s="332">
        <f t="shared" si="391"/>
        <v>1657.8164335664335</v>
      </c>
      <c r="AF197" s="332">
        <f t="shared" si="391"/>
        <v>1432.8808446455505</v>
      </c>
      <c r="AG197" s="331">
        <f t="shared" si="391"/>
        <v>5844.7765122753726</v>
      </c>
      <c r="AH197" s="332">
        <f t="shared" ref="AH197:AY197" si="392">AH195*(1-AH196)</f>
        <v>1328.1209829867676</v>
      </c>
      <c r="AI197" s="332">
        <f t="shared" si="392"/>
        <v>1917.5100591715977</v>
      </c>
      <c r="AJ197" s="330">
        <f t="shared" si="392"/>
        <v>2084.4045437889336</v>
      </c>
      <c r="AK197" s="330">
        <f t="shared" si="392"/>
        <v>1816.2934027777778</v>
      </c>
      <c r="AL197" s="331">
        <f t="shared" si="392"/>
        <v>7144.8049153468046</v>
      </c>
      <c r="AM197" s="330">
        <f t="shared" si="392"/>
        <v>1320.6662553979024</v>
      </c>
      <c r="AN197" s="330">
        <f t="shared" si="392"/>
        <v>2090.4572940287226</v>
      </c>
      <c r="AO197" s="330">
        <f t="shared" si="392"/>
        <v>2244.0298507462685</v>
      </c>
      <c r="AP197" s="330">
        <f t="shared" si="392"/>
        <v>1968.6796347757045</v>
      </c>
      <c r="AQ197" s="331">
        <f t="shared" si="392"/>
        <v>7624.7999999999993</v>
      </c>
      <c r="AR197" s="330">
        <f t="shared" si="392"/>
        <v>1226.2710280373833</v>
      </c>
      <c r="AS197" s="330">
        <f t="shared" si="392"/>
        <v>1928.0300202839758</v>
      </c>
      <c r="AT197" s="330">
        <f t="shared" si="392"/>
        <v>2037.4200542005422</v>
      </c>
      <c r="AU197" s="330">
        <f t="shared" si="392"/>
        <v>1885.1778825546508</v>
      </c>
      <c r="AV197" s="331">
        <f>AV195*(1-AV196)</f>
        <v>7076.9433494762916</v>
      </c>
      <c r="AW197" s="330">
        <f t="shared" si="392"/>
        <v>1357.2372670807454</v>
      </c>
      <c r="AX197" s="330">
        <f t="shared" si="392"/>
        <v>2208.4027777777778</v>
      </c>
      <c r="AY197" s="330">
        <f t="shared" si="392"/>
        <v>2097.2396630934149</v>
      </c>
      <c r="AZ197" s="330">
        <f t="shared" ref="AZ197:BT197" si="393">AZ195*(1-AZ196)</f>
        <v>1810.9606815203147</v>
      </c>
      <c r="BA197" s="331">
        <f>BA195*(1-BA196)</f>
        <v>7474.7561371255542</v>
      </c>
      <c r="BB197" s="330">
        <f t="shared" si="393"/>
        <v>1427.7511904761905</v>
      </c>
      <c r="BC197" s="330">
        <f t="shared" si="393"/>
        <v>2179.7986261749816</v>
      </c>
      <c r="BD197" s="330">
        <f t="shared" si="393"/>
        <v>2234.532656023222</v>
      </c>
      <c r="BE197" s="330">
        <f t="shared" si="393"/>
        <v>1890.2702229995627</v>
      </c>
      <c r="BF197" s="331">
        <f>BF195*(1-BF196)</f>
        <v>7731.7611971756769</v>
      </c>
      <c r="BG197" s="330">
        <f t="shared" si="393"/>
        <v>1411.8888888888889</v>
      </c>
      <c r="BH197" s="330">
        <f t="shared" si="393"/>
        <v>2136.2638837122622</v>
      </c>
      <c r="BI197" s="330">
        <f t="shared" si="393"/>
        <v>2179.0858320839579</v>
      </c>
      <c r="BJ197" s="330">
        <f t="shared" si="393"/>
        <v>1803.0211094747178</v>
      </c>
      <c r="BK197" s="331">
        <f>BK195*(1-BK196)</f>
        <v>7527.0628185242631</v>
      </c>
      <c r="BL197" s="330">
        <f t="shared" si="393"/>
        <v>1445.8520642201836</v>
      </c>
      <c r="BM197" s="330">
        <f t="shared" si="393"/>
        <v>2112.1611940298508</v>
      </c>
      <c r="BN197" s="330">
        <f t="shared" si="393"/>
        <v>2170.7265917602999</v>
      </c>
      <c r="BO197" s="330">
        <f t="shared" si="393"/>
        <v>1946.7130434782609</v>
      </c>
      <c r="BP197" s="331">
        <f>BP195*(1-BP196)</f>
        <v>7675.1484990419412</v>
      </c>
      <c r="BQ197" s="578">
        <f t="shared" si="393"/>
        <v>1474.2309875141884</v>
      </c>
      <c r="BR197" s="330">
        <f t="shared" si="393"/>
        <v>2277.4178735429177</v>
      </c>
      <c r="BS197" s="330">
        <f t="shared" si="393"/>
        <v>2259.6438157417483</v>
      </c>
      <c r="BT197" s="330">
        <f t="shared" si="393"/>
        <v>2028.6975088967972</v>
      </c>
      <c r="BU197" s="331">
        <f>BU195*(1-BU196)</f>
        <v>8040.3158214394161</v>
      </c>
      <c r="BV197" s="330">
        <f t="shared" ref="BV197:CD197" si="394">BV195*(1-BV196)</f>
        <v>1430.0094891046615</v>
      </c>
      <c r="BW197" s="330">
        <f t="shared" si="394"/>
        <v>2390.3877049070302</v>
      </c>
      <c r="BX197" s="330">
        <f t="shared" si="394"/>
        <v>2533.7326100113842</v>
      </c>
      <c r="BY197" s="330">
        <f t="shared" si="394"/>
        <v>2320.2745958893329</v>
      </c>
      <c r="BZ197" s="331">
        <f ca="1">BZ195*(1-BZ196)</f>
        <v>8674.4043999124078</v>
      </c>
      <c r="CA197" s="330">
        <f t="shared" si="394"/>
        <v>1533.1107749905509</v>
      </c>
      <c r="CB197" s="330">
        <f t="shared" si="394"/>
        <v>2537.5172400752845</v>
      </c>
      <c r="CC197" s="330">
        <f t="shared" si="394"/>
        <v>2681.8513566074221</v>
      </c>
      <c r="CD197" s="330">
        <f t="shared" si="394"/>
        <v>2486.2512619443787</v>
      </c>
      <c r="CE197" s="331">
        <f ca="1">CE195*(1-CE196)</f>
        <v>9238.7306336176371</v>
      </c>
      <c r="CF197" s="330">
        <f t="shared" ref="CF197:CN197" si="395">CF195*(1-CF196)</f>
        <v>1639.2512539284598</v>
      </c>
      <c r="CG197" s="330">
        <f t="shared" si="395"/>
        <v>2687.5753440266094</v>
      </c>
      <c r="CH197" s="330">
        <f t="shared" si="395"/>
        <v>2833.6757700600738</v>
      </c>
      <c r="CI197" s="330">
        <f t="shared" si="395"/>
        <v>2656.70088033406</v>
      </c>
      <c r="CJ197" s="331">
        <f ca="1">CJ195*(1-CJ196)</f>
        <v>9817.2032483492058</v>
      </c>
      <c r="CK197" s="330">
        <f t="shared" si="395"/>
        <v>1749.376768354507</v>
      </c>
      <c r="CL197" s="330">
        <f t="shared" si="395"/>
        <v>2843.7292852785849</v>
      </c>
      <c r="CM197" s="330">
        <f t="shared" si="395"/>
        <v>2991.71373929725</v>
      </c>
      <c r="CN197" s="330">
        <f t="shared" si="395"/>
        <v>2833.6023613815173</v>
      </c>
      <c r="CO197" s="331">
        <f t="shared" ref="CO197:CT197" ca="1" si="396">CO195*(1-CO196)</f>
        <v>10418.422154311858</v>
      </c>
      <c r="CP197" s="330">
        <f t="shared" si="396"/>
        <v>1864.6063706166342</v>
      </c>
      <c r="CQ197" s="330">
        <f t="shared" si="396"/>
        <v>3007.3026275788393</v>
      </c>
      <c r="CR197" s="330">
        <f t="shared" si="396"/>
        <v>3157.2066754930547</v>
      </c>
      <c r="CS197" s="330">
        <f t="shared" si="396"/>
        <v>3018.9942137315384</v>
      </c>
      <c r="CT197" s="331">
        <f t="shared" ca="1" si="396"/>
        <v>11048.109887420063</v>
      </c>
      <c r="CU197" s="313"/>
      <c r="CV197" s="313"/>
    </row>
    <row r="198" spans="1:100" x14ac:dyDescent="0.2">
      <c r="A198" s="313"/>
      <c r="B198" s="313" t="s">
        <v>185</v>
      </c>
      <c r="C198" s="313"/>
      <c r="D198" s="320"/>
      <c r="E198" s="320"/>
      <c r="F198" s="320"/>
      <c r="G198" s="320"/>
      <c r="H198" s="321"/>
      <c r="I198" s="320"/>
      <c r="J198" s="320"/>
      <c r="K198" s="320"/>
      <c r="L198" s="320"/>
      <c r="M198" s="321">
        <f>M197/AVERAGE(H192,M192)</f>
        <v>0.21485025622680298</v>
      </c>
      <c r="N198" s="320">
        <f>(J197+K197+L197+N197)/AVERAGE(J192,K192,L192,N192)</f>
        <v>3.8425672942397453E-2</v>
      </c>
      <c r="O198" s="320">
        <f>(K197+L197+N197+O197)/AVERAGE(K192,L192,N192,O192)</f>
        <v>9.5810654110038987E-2</v>
      </c>
      <c r="P198" s="320">
        <f>(L197+N197+O197+P197)/AVERAGE(L192,N192,O192,P192)</f>
        <v>0.15096145025968638</v>
      </c>
      <c r="Q198" s="320">
        <f>SUM(N197:Q197)/AVERAGE(N192:Q192)</f>
        <v>0.20006457299485342</v>
      </c>
      <c r="R198" s="321">
        <f>R197/AVERAGE(M192,R192)</f>
        <v>0.23155413699121108</v>
      </c>
      <c r="S198" s="322">
        <f>(O197+P197+Q197+S197)/AVERAGE(O192,P192,Q192,S192)</f>
        <v>0.21272400970472713</v>
      </c>
      <c r="T198" s="322">
        <f>(P197+Q197+S197+T197)/AVERAGE(P192,Q192,S192,T192)</f>
        <v>0.22073277490421611</v>
      </c>
      <c r="U198" s="322">
        <f>(Q197+S197+T197+U197)/AVERAGE(Q192,S192,T192,U192)</f>
        <v>0.2324171510417824</v>
      </c>
      <c r="V198" s="322">
        <f>SUM(S197:V197)/AVERAGE(S192:V192)</f>
        <v>0.23113111321912874</v>
      </c>
      <c r="W198" s="321">
        <f>W197/AVERAGE(R192,W192)</f>
        <v>0.23390830226736381</v>
      </c>
      <c r="X198" s="322">
        <f>(T197+U197+V197+X197)/AVERAGE(T192,U192,V192,X192)</f>
        <v>0.22556591078600319</v>
      </c>
      <c r="Y198" s="322">
        <f>(U197+V197+X197+Y197)/AVERAGE(U192,V192,X192,Y192)</f>
        <v>0.22306940898804489</v>
      </c>
      <c r="Z198" s="322">
        <f>(V197+X197+Y197+Z197)/AVERAGE(V192,X192,Y192,Z192)</f>
        <v>0.21307607302753215</v>
      </c>
      <c r="AA198" s="322">
        <f>SUM(X197:AA197)/AVERAGE(X192:AA192)</f>
        <v>0.21812205880300636</v>
      </c>
      <c r="AB198" s="321">
        <f>AB197/AVERAGE(W192,AB192)</f>
        <v>0.23129890670440986</v>
      </c>
      <c r="AC198" s="322">
        <f>(Y197+Z197+AA197+AC197)/AVERAGE(Y192,Z192,AA192,AC192)</f>
        <v>0.22076621951864517</v>
      </c>
      <c r="AD198" s="322">
        <f>(Z197+AA197+AC197+AD197)/AVERAGE(Z192,AA192,AC192,AD192)</f>
        <v>0.22097714105581681</v>
      </c>
      <c r="AE198" s="322">
        <f>(AA197+AC197+AD197+AE197)/AVERAGE(AA192,AC192,AD192,AE192)</f>
        <v>0.22723834324765127</v>
      </c>
      <c r="AF198" s="322">
        <f>SUM(AC197:AF197)/AVERAGE(AC192:AF192)</f>
        <v>0.22235794993468169</v>
      </c>
      <c r="AG198" s="321">
        <f>AG197/AVERAGE(AB192,AG192)</f>
        <v>0.22172900274185783</v>
      </c>
      <c r="AH198" s="322">
        <f>(AD197+AE197+AF197+AH197)/AVERAGE(AD192,AE192,AF192,AH192)</f>
        <v>0.18374519261546929</v>
      </c>
      <c r="AI198" s="322">
        <f>(AE197+AF197+AH197+AI197)/AVERAGE(AE192,AF192,AH192,AI192)</f>
        <v>0.16420144006660875</v>
      </c>
      <c r="AJ198" s="320">
        <f>(AF197+AH197+AI197+AJ197)/AVERAGE(AF192,AH192,AI192,AJ192)</f>
        <v>0.15239430639437215</v>
      </c>
      <c r="AK198" s="320">
        <f>SUM(AH197:AK197)/AVERAGE(AH192:AK192)</f>
        <v>0.14230045776035594</v>
      </c>
      <c r="AL198" s="321">
        <f>AL197/AVERAGE(AG192,AL192)</f>
        <v>0.18270588319665532</v>
      </c>
      <c r="AM198" s="320">
        <f>(AI197+AJ197+AK197+AM197)/AVERAGE(AI192,AJ192,AK192,AM192)</f>
        <v>0.13660629580952877</v>
      </c>
      <c r="AN198" s="320">
        <f>(AJ197+AK197+AM197+AN197)/AVERAGE(AJ192,AK192,AM192,AN192)</f>
        <v>0.13367865689148101</v>
      </c>
      <c r="AO198" s="320">
        <f>(AK197+AM197+AN197+AO197)/AVERAGE(AK192,AM192,AN192,AO192)</f>
        <v>0.13073168978584226</v>
      </c>
      <c r="AP198" s="320">
        <f>SUM(AM197:AP197)/AVERAGE(AM192:AP192)</f>
        <v>0.13014284676553797</v>
      </c>
      <c r="AQ198" s="321">
        <f>AQ197/AVERAGE(AL192,AQ192)</f>
        <v>0.14410750229160563</v>
      </c>
      <c r="AR198" s="320">
        <f>(AN197+AO197+AP197+AR197)/AVERAGE(AN192,AO192,AP192,AR192)</f>
        <v>0.1289375609217768</v>
      </c>
      <c r="AS198" s="320">
        <f>(AO197+AP197+AR197+AS197)/AVERAGE(AO192,AP192,AR192,AS192)</f>
        <v>0.12868477835826844</v>
      </c>
      <c r="AT198" s="320">
        <f>(AP197+AR197+AS197+AT197)/AVERAGE(AP192,AR192,AS192,AT192)</f>
        <v>0.12766027041242309</v>
      </c>
      <c r="AU198" s="320">
        <f>SUM(AR197:AU197)/AVERAGE(AR192:AU192)</f>
        <v>0.12753352348738167</v>
      </c>
      <c r="AV198" s="321">
        <f>AV197/AVERAGE(AQ192,AV192)</f>
        <v>0.12968203823380869</v>
      </c>
      <c r="AW198" s="320">
        <f>(AS197+AT197+AU197+AW197)/AVERAGE(AS192,AT192,AU192,AW192)</f>
        <v>0.13160423456811832</v>
      </c>
      <c r="AX198" s="320">
        <f>(AT197+AU197+AW197+AX197)/AVERAGE(AT192,AU192,AW192,AX192)</f>
        <v>0.13772485298437984</v>
      </c>
      <c r="AY198" s="320">
        <f>(AU197+AW197+AX197+AY197)/AVERAGE(AU192,AW192,AX192,AY192)</f>
        <v>0.14043420388677882</v>
      </c>
      <c r="AZ198" s="320">
        <f>SUM(AW197:AZ197)/AVERAGE(AW192:AZ192)</f>
        <v>0.13949848141390819</v>
      </c>
      <c r="BA198" s="321">
        <f>BA197/AVERAGE(AV192,BA192)</f>
        <v>0.139016089886841</v>
      </c>
      <c r="BB198" s="320">
        <f>(AX197+AY197+AZ197+BB197)/AVERAGE(AX192,AY192,AZ192,BB192)</f>
        <v>0.14144625590685117</v>
      </c>
      <c r="BC198" s="320">
        <f>(AY197+AZ197+BB197+BC197)/AVERAGE(AY192,AZ192,BB192,BC192)</f>
        <v>0.14062324891039368</v>
      </c>
      <c r="BD198" s="320">
        <f>(AZ197+BB197+BC197+BD197)/AVERAGE(AZ192,BB192,BC192,BD192)</f>
        <v>0.14332413778356753</v>
      </c>
      <c r="BE198" s="320">
        <f>SUM(BB197:BE197)/AVERAGE(BB192:BE192)</f>
        <v>0.14996877788728527</v>
      </c>
      <c r="BF198" s="321">
        <f>BF197/AVERAGE(BA192,BF192)</f>
        <v>0.15540603789145516</v>
      </c>
      <c r="BG198" s="320">
        <f>(BC197+BD197+BE197+BG197)/AVERAGE(BC192,BD192,BE192,BG192)</f>
        <v>0.1553504604066045</v>
      </c>
      <c r="BH198" s="320">
        <f ca="1">(BD197+BE197+BG197+BH197)/AVERAGE(BD192,BE192,BG192,BH192)</f>
        <v>0.16040966376334442</v>
      </c>
      <c r="BI198" s="320">
        <f ca="1">(BE197+BG197+BH197+BI197)/AVERAGE(BE192,BG192,BH192,BI192)</f>
        <v>0.16677359053074492</v>
      </c>
      <c r="BJ198" s="320">
        <f ca="1">SUM(BG197:BJ197)/AVERAGE(BG192:BJ192)</f>
        <v>0.16877840952925957</v>
      </c>
      <c r="BK198" s="321">
        <f ca="1">BK197/AVERAGE(BF192,BK192)</f>
        <v>0.17122916396015067</v>
      </c>
      <c r="BL198" s="320">
        <f ca="1">(BH197+BI197+BJ197+BL197)/AVERAGE(BH192,BI192,BJ192,BL192)</f>
        <v>0.17265776216868381</v>
      </c>
      <c r="BM198" s="320">
        <f ca="1">(BI197+BJ197+BL197+BM197)/AVERAGE(BI192,BJ192,BL192,BM192)</f>
        <v>0.17535876924778823</v>
      </c>
      <c r="BN198" s="320">
        <f ca="1">(BJ197+BL197+BM197+BN197)/AVERAGE(BJ192,BL192,BM192,BN192)</f>
        <v>0.17573142382634077</v>
      </c>
      <c r="BO198" s="320">
        <f ca="1">SUM(BL197:BO197)/AVERAGE(BL192:BO192)</f>
        <v>0.17911434973632881</v>
      </c>
      <c r="BP198" s="321">
        <f ca="1">BP197/AVERAGE(BK192,BP192)</f>
        <v>0.18350404655155209</v>
      </c>
      <c r="BQ198" s="580">
        <f ca="1">(BM197+BN197+BO197+BQ197)/AVERAGE(BM192,BN192,BO192,BQ192)</f>
        <v>0.17930899862169725</v>
      </c>
      <c r="BR198" s="320">
        <f ca="1">(BN197+BO197+BQ197+BR197)/AVERAGE(BN192,BO192,BQ192,BR192)</f>
        <v>0.18279163512458141</v>
      </c>
      <c r="BS198" s="320">
        <f ca="1">(BO197+BQ197+BR197+BS197)/AVERAGE(BO192,BQ192,BR192,BS192)</f>
        <v>0.18404800601953375</v>
      </c>
      <c r="BT198" s="320">
        <f ca="1">SUM(BQ197:BT197)/AVERAGE(BQ192:BT192)</f>
        <v>0.18442565184329882</v>
      </c>
      <c r="BU198" s="321">
        <f>BU197/AVERAGE(BP192,BU192)</f>
        <v>0.18908157518141749</v>
      </c>
      <c r="BV198" s="320">
        <f ca="1">(BR197+BS197+BT197+BV197)/AVERAGE(BR192,BS192,BT192,BV192)</f>
        <v>0.18209678507791704</v>
      </c>
      <c r="BW198" s="320">
        <f ca="1">(BS197+BT197+BV197+BW197)/AVERAGE(BS192,BT192,BV192,BW192)</f>
        <v>0.18350189663137911</v>
      </c>
      <c r="BX198" s="320">
        <f ca="1">(BT197+BV197+BW197+BX197)/AVERAGE(BT192,BV192,BW192,BX192)</f>
        <v>0.18883439032530147</v>
      </c>
      <c r="BY198" s="320">
        <f ca="1">SUM(BV197:BY197)/AVERAGE(BV192:BY192)</f>
        <v>0.19414337804699736</v>
      </c>
      <c r="BZ198" s="321">
        <f ca="1">BZ197/AVERAGE(BU192,BZ192)</f>
        <v>0.19799675211562245</v>
      </c>
      <c r="CA198" s="320">
        <f ca="1">(BW197+BX197+BY197+CA197)/AVERAGE(BW192,BX192,BY192,CA192)</f>
        <v>0.19534072844580219</v>
      </c>
      <c r="CB198" s="320">
        <f ca="1">(BX197+BY197+CA197+CB197)/AVERAGE(BX192,BY192,CA192,CB192)</f>
        <v>0.19767443126310633</v>
      </c>
      <c r="CC198" s="320">
        <f ca="1">(BY197+CA197+CB197+CC197)/AVERAGE(BY192,CA192,CB192,CC192)</f>
        <v>0.20020902560048584</v>
      </c>
      <c r="CD198" s="320">
        <f ca="1">SUM(CA197:CD197)/AVERAGE(CA192:CD192)</f>
        <v>0.20326677741850674</v>
      </c>
      <c r="CE198" s="321">
        <f ca="1">CE197/AVERAGE(BZ192,CE192)</f>
        <v>0.2068848894612772</v>
      </c>
      <c r="CF198" s="320">
        <f ca="1">(CB197+CC197+CD197+CF197)/AVERAGE(CB192,CC192,CD192,CF192)</f>
        <v>0.20496200703239006</v>
      </c>
      <c r="CG198" s="320">
        <f ca="1">(CC197+CD197+CF197+CG197)/AVERAGE(CC192,CD192,CF192,CG192)</f>
        <v>0.2076244866692151</v>
      </c>
      <c r="CH198" s="320">
        <f ca="1">(CD197+CF197+CG197+CH197)/AVERAGE(CD192,CF192,CG192,CH192)</f>
        <v>0.21035325021148243</v>
      </c>
      <c r="CI198" s="320">
        <f ca="1">SUM(CF197:CI197)/AVERAGE(CF192:CI192)</f>
        <v>0.21350192765756629</v>
      </c>
      <c r="CJ198" s="321">
        <f ca="1">CJ197/AVERAGE(CE192,CJ192)</f>
        <v>0.21733841534481904</v>
      </c>
      <c r="CK198" s="320">
        <f ca="1">(CG197+CH197+CI197+CK197)/AVERAGE(CG192,CH192,CI192,CK192)</f>
        <v>0.21530746919269597</v>
      </c>
      <c r="CL198" s="320">
        <f ca="1">(CH197+CI197+CK197+CL197)/AVERAGE(CH192,CI192,CK192,CL192)</f>
        <v>0.21811562622554043</v>
      </c>
      <c r="CM198" s="320">
        <f ca="1">(CI197+CK197+CL197+CM197)/AVERAGE(CI192,CK192,CL192,CM192)</f>
        <v>0.22099588462606731</v>
      </c>
      <c r="CN198" s="320">
        <f ca="1">SUM(CK197:CN197)/AVERAGE(CK192:CN192)</f>
        <v>0.22429798928169195</v>
      </c>
      <c r="CO198" s="321">
        <f ca="1">CO197/AVERAGE(CJ192,CO192)</f>
        <v>0.22833876434872485</v>
      </c>
      <c r="CP198" s="320">
        <f ca="1">(CL197+CM197+CN197+CP197)/AVERAGE(CL192,CM192,CN192,CP192)</f>
        <v>0.2262216625652638</v>
      </c>
      <c r="CQ198" s="320">
        <f ca="1">(CM197+CN197+CP197+CQ197)/AVERAGE(CM192,CN192,CP192,CQ192)</f>
        <v>0.22918758367360081</v>
      </c>
      <c r="CR198" s="320">
        <f ca="1">(CN197+CP197+CQ197+CR197)/AVERAGE(CN192,CP192,CQ192,CR192)</f>
        <v>0.23222820954642356</v>
      </c>
      <c r="CS198" s="320">
        <f ca="1">SUM(CP197:CS197)/AVERAGE(CP192:CS192)</f>
        <v>0.23570925251724545</v>
      </c>
      <c r="CT198" s="321">
        <f ca="1">CT197/AVERAGE(CO192,CT192)</f>
        <v>0.24001269654894775</v>
      </c>
      <c r="CU198" s="313"/>
      <c r="CV198" s="313"/>
    </row>
    <row r="199" spans="1:100" ht="6" customHeight="1" x14ac:dyDescent="0.2">
      <c r="A199" s="468"/>
      <c r="B199" s="468"/>
      <c r="C199" s="468"/>
      <c r="D199" s="484"/>
      <c r="E199" s="484"/>
      <c r="F199" s="484"/>
      <c r="G199" s="484"/>
      <c r="H199" s="465"/>
      <c r="I199" s="484"/>
      <c r="J199" s="484"/>
      <c r="K199" s="484"/>
      <c r="L199" s="484"/>
      <c r="M199" s="465"/>
      <c r="N199" s="484"/>
      <c r="O199" s="484"/>
      <c r="P199" s="484"/>
      <c r="Q199" s="484"/>
      <c r="R199" s="465"/>
      <c r="S199" s="485"/>
      <c r="T199" s="485"/>
      <c r="U199" s="485"/>
      <c r="V199" s="485"/>
      <c r="W199" s="465"/>
      <c r="X199" s="485"/>
      <c r="Y199" s="485"/>
      <c r="Z199" s="485"/>
      <c r="AA199" s="485"/>
      <c r="AB199" s="465"/>
      <c r="AC199" s="485"/>
      <c r="AD199" s="485"/>
      <c r="AE199" s="485"/>
      <c r="AF199" s="485"/>
      <c r="AG199" s="465"/>
      <c r="AH199" s="485"/>
      <c r="AI199" s="485"/>
      <c r="AJ199" s="484"/>
      <c r="AK199" s="484"/>
      <c r="AL199" s="465"/>
      <c r="AM199" s="484"/>
      <c r="AN199" s="484"/>
      <c r="AO199" s="484"/>
      <c r="AP199" s="484"/>
      <c r="AQ199" s="465"/>
      <c r="AR199" s="484"/>
      <c r="AS199" s="484"/>
      <c r="AT199" s="484"/>
      <c r="AU199" s="484"/>
      <c r="AV199" s="465"/>
      <c r="AW199" s="484"/>
      <c r="AX199" s="484"/>
      <c r="AY199" s="484"/>
      <c r="AZ199" s="484"/>
      <c r="BA199" s="465"/>
      <c r="BB199" s="484"/>
      <c r="BC199" s="484"/>
      <c r="BD199" s="484"/>
      <c r="BE199" s="484"/>
      <c r="BF199" s="465"/>
      <c r="BG199" s="484"/>
      <c r="BH199" s="484"/>
      <c r="BI199" s="484"/>
      <c r="BJ199" s="484"/>
      <c r="BK199" s="465"/>
      <c r="BL199" s="484"/>
      <c r="BM199" s="484"/>
      <c r="BN199" s="484"/>
      <c r="BO199" s="484"/>
      <c r="BP199" s="465"/>
      <c r="BQ199" s="616"/>
      <c r="BR199" s="484"/>
      <c r="BS199" s="484"/>
      <c r="BT199" s="484"/>
      <c r="BU199" s="465"/>
      <c r="BV199" s="484"/>
      <c r="BW199" s="484"/>
      <c r="BX199" s="484"/>
      <c r="BY199" s="484"/>
      <c r="BZ199" s="465"/>
      <c r="CA199" s="484"/>
      <c r="CB199" s="484"/>
      <c r="CC199" s="484"/>
      <c r="CD199" s="484"/>
      <c r="CE199" s="465"/>
      <c r="CF199" s="484"/>
      <c r="CG199" s="484"/>
      <c r="CH199" s="484"/>
      <c r="CI199" s="484"/>
      <c r="CJ199" s="465"/>
      <c r="CK199" s="484"/>
      <c r="CL199" s="484"/>
      <c r="CM199" s="484"/>
      <c r="CN199" s="484"/>
      <c r="CO199" s="465"/>
      <c r="CP199" s="484"/>
      <c r="CQ199" s="484"/>
      <c r="CR199" s="484"/>
      <c r="CS199" s="484"/>
      <c r="CT199" s="465"/>
      <c r="CU199" s="468"/>
      <c r="CV199" s="468"/>
    </row>
    <row r="200" spans="1:100" x14ac:dyDescent="0.2">
      <c r="A200" s="111" t="s">
        <v>188</v>
      </c>
      <c r="B200" s="111"/>
      <c r="C200" s="461"/>
      <c r="D200" s="112"/>
      <c r="E200" s="112"/>
      <c r="F200" s="112"/>
      <c r="G200" s="112"/>
      <c r="H200" s="113">
        <f>H4</f>
        <v>2004</v>
      </c>
      <c r="I200" s="112"/>
      <c r="J200" s="112"/>
      <c r="K200" s="112"/>
      <c r="L200" s="112"/>
      <c r="M200" s="113">
        <f t="shared" ref="M200:R200" si="397">M4</f>
        <v>2005</v>
      </c>
      <c r="N200" s="112">
        <f t="shared" si="397"/>
        <v>38802</v>
      </c>
      <c r="O200" s="112">
        <f t="shared" si="397"/>
        <v>38892</v>
      </c>
      <c r="P200" s="112">
        <f t="shared" si="397"/>
        <v>38987</v>
      </c>
      <c r="Q200" s="112">
        <f t="shared" si="397"/>
        <v>39077</v>
      </c>
      <c r="R200" s="113">
        <f t="shared" si="397"/>
        <v>2006</v>
      </c>
      <c r="S200" s="114">
        <f t="shared" ref="S200:AG200" si="398">S4</f>
        <v>39157</v>
      </c>
      <c r="T200" s="114">
        <f t="shared" si="398"/>
        <v>39242</v>
      </c>
      <c r="U200" s="114">
        <f t="shared" si="398"/>
        <v>39332</v>
      </c>
      <c r="V200" s="114">
        <f t="shared" si="398"/>
        <v>39422</v>
      </c>
      <c r="W200" s="113">
        <f t="shared" si="398"/>
        <v>2007</v>
      </c>
      <c r="X200" s="114">
        <f t="shared" si="398"/>
        <v>39517</v>
      </c>
      <c r="Y200" s="114">
        <f t="shared" si="398"/>
        <v>39607</v>
      </c>
      <c r="Z200" s="114">
        <f t="shared" si="398"/>
        <v>39707</v>
      </c>
      <c r="AA200" s="114">
        <f t="shared" si="398"/>
        <v>39797</v>
      </c>
      <c r="AB200" s="113">
        <f t="shared" si="398"/>
        <v>2008</v>
      </c>
      <c r="AC200" s="114">
        <f t="shared" si="398"/>
        <v>39887</v>
      </c>
      <c r="AD200" s="114">
        <f t="shared" si="398"/>
        <v>39977</v>
      </c>
      <c r="AE200" s="114">
        <f t="shared" si="398"/>
        <v>40077</v>
      </c>
      <c r="AF200" s="114">
        <f t="shared" si="398"/>
        <v>40167</v>
      </c>
      <c r="AG200" s="113">
        <f t="shared" si="398"/>
        <v>2009</v>
      </c>
      <c r="AH200" s="114">
        <f t="shared" ref="AH200:AY200" si="399">AH4</f>
        <v>40247</v>
      </c>
      <c r="AI200" s="114">
        <f t="shared" si="399"/>
        <v>40339</v>
      </c>
      <c r="AJ200" s="112">
        <f t="shared" si="399"/>
        <v>40429</v>
      </c>
      <c r="AK200" s="112">
        <f t="shared" si="399"/>
        <v>40543</v>
      </c>
      <c r="AL200" s="113">
        <f t="shared" si="399"/>
        <v>2010</v>
      </c>
      <c r="AM200" s="112">
        <f t="shared" si="399"/>
        <v>40613</v>
      </c>
      <c r="AN200" s="112">
        <f t="shared" si="399"/>
        <v>40705</v>
      </c>
      <c r="AO200" s="112">
        <f t="shared" si="399"/>
        <v>40797</v>
      </c>
      <c r="AP200" s="112">
        <f t="shared" si="399"/>
        <v>40887</v>
      </c>
      <c r="AQ200" s="113">
        <f t="shared" si="399"/>
        <v>2011</v>
      </c>
      <c r="AR200" s="112">
        <f t="shared" si="399"/>
        <v>40980</v>
      </c>
      <c r="AS200" s="112">
        <f t="shared" si="399"/>
        <v>41072</v>
      </c>
      <c r="AT200" s="112">
        <f t="shared" si="399"/>
        <v>41164</v>
      </c>
      <c r="AU200" s="112">
        <f t="shared" si="399"/>
        <v>41274</v>
      </c>
      <c r="AV200" s="113">
        <f t="shared" si="399"/>
        <v>2012</v>
      </c>
      <c r="AW200" s="112">
        <f t="shared" si="399"/>
        <v>41346</v>
      </c>
      <c r="AX200" s="112">
        <f t="shared" si="399"/>
        <v>41438</v>
      </c>
      <c r="AY200" s="112">
        <f t="shared" si="399"/>
        <v>41530</v>
      </c>
      <c r="AZ200" s="112">
        <f t="shared" ref="AZ200:BU200" si="400">AZ4</f>
        <v>41621</v>
      </c>
      <c r="BA200" s="113">
        <f t="shared" si="400"/>
        <v>2013</v>
      </c>
      <c r="BB200" s="112">
        <f t="shared" si="400"/>
        <v>41712</v>
      </c>
      <c r="BC200" s="112">
        <f t="shared" si="400"/>
        <v>41804</v>
      </c>
      <c r="BD200" s="112">
        <f t="shared" si="400"/>
        <v>41896</v>
      </c>
      <c r="BE200" s="112">
        <f t="shared" si="400"/>
        <v>41987</v>
      </c>
      <c r="BF200" s="113">
        <f t="shared" si="400"/>
        <v>2014</v>
      </c>
      <c r="BG200" s="112">
        <f t="shared" si="400"/>
        <v>42078</v>
      </c>
      <c r="BH200" s="112">
        <f t="shared" si="400"/>
        <v>42170</v>
      </c>
      <c r="BI200" s="112">
        <f t="shared" si="400"/>
        <v>42262</v>
      </c>
      <c r="BJ200" s="112">
        <f t="shared" si="400"/>
        <v>42353</v>
      </c>
      <c r="BK200" s="113">
        <f t="shared" si="400"/>
        <v>2015</v>
      </c>
      <c r="BL200" s="112">
        <f t="shared" si="400"/>
        <v>42445</v>
      </c>
      <c r="BM200" s="112">
        <f t="shared" si="400"/>
        <v>42537</v>
      </c>
      <c r="BN200" s="112">
        <f t="shared" si="400"/>
        <v>42629</v>
      </c>
      <c r="BO200" s="112">
        <f t="shared" si="400"/>
        <v>42720</v>
      </c>
      <c r="BP200" s="113">
        <f t="shared" si="400"/>
        <v>2016</v>
      </c>
      <c r="BQ200" s="614">
        <f t="shared" si="400"/>
        <v>42811</v>
      </c>
      <c r="BR200" s="112">
        <f t="shared" si="400"/>
        <v>42903</v>
      </c>
      <c r="BS200" s="112">
        <f t="shared" si="400"/>
        <v>42995</v>
      </c>
      <c r="BT200" s="112">
        <f t="shared" si="400"/>
        <v>43086</v>
      </c>
      <c r="BU200" s="113">
        <f t="shared" si="400"/>
        <v>2017</v>
      </c>
      <c r="BV200" s="112" t="str">
        <f t="shared" ref="BV200:CE200" si="401">BV4</f>
        <v>Mar-18 E</v>
      </c>
      <c r="BW200" s="112" t="str">
        <f t="shared" si="401"/>
        <v>Jun-18 E</v>
      </c>
      <c r="BX200" s="112" t="str">
        <f t="shared" si="401"/>
        <v>Sep-18 E</v>
      </c>
      <c r="BY200" s="112" t="str">
        <f t="shared" si="401"/>
        <v>Dec-18 E</v>
      </c>
      <c r="BZ200" s="113" t="str">
        <f t="shared" si="401"/>
        <v>2018E</v>
      </c>
      <c r="CA200" s="112" t="str">
        <f t="shared" si="401"/>
        <v>Mar-19 E</v>
      </c>
      <c r="CB200" s="112" t="str">
        <f t="shared" si="401"/>
        <v>Jun-19 E</v>
      </c>
      <c r="CC200" s="112" t="str">
        <f t="shared" si="401"/>
        <v>Sep-19 E</v>
      </c>
      <c r="CD200" s="112" t="str">
        <f t="shared" si="401"/>
        <v>Dec-19 E</v>
      </c>
      <c r="CE200" s="113" t="str">
        <f t="shared" si="401"/>
        <v>2019E</v>
      </c>
      <c r="CF200" s="112" t="str">
        <f t="shared" ref="CF200:CO200" si="402">CF4</f>
        <v>Mar-20 E</v>
      </c>
      <c r="CG200" s="112" t="str">
        <f t="shared" si="402"/>
        <v>Jun-20 E</v>
      </c>
      <c r="CH200" s="112" t="str">
        <f t="shared" si="402"/>
        <v>Sep-20 E</v>
      </c>
      <c r="CI200" s="112" t="str">
        <f t="shared" si="402"/>
        <v>Dec-20 E</v>
      </c>
      <c r="CJ200" s="113" t="str">
        <f t="shared" si="402"/>
        <v>2020E</v>
      </c>
      <c r="CK200" s="112" t="str">
        <f t="shared" si="402"/>
        <v>Mar-21 E</v>
      </c>
      <c r="CL200" s="112" t="str">
        <f t="shared" si="402"/>
        <v>Jun-21 E</v>
      </c>
      <c r="CM200" s="112" t="str">
        <f t="shared" si="402"/>
        <v>Sep-21 E</v>
      </c>
      <c r="CN200" s="112" t="str">
        <f t="shared" si="402"/>
        <v>Dec-21 E</v>
      </c>
      <c r="CO200" s="113" t="str">
        <f t="shared" si="402"/>
        <v>2021E</v>
      </c>
      <c r="CP200" s="112" t="str">
        <f>CP4</f>
        <v>Mar-22 E</v>
      </c>
      <c r="CQ200" s="112" t="str">
        <f>CQ4</f>
        <v>Jun-22 E</v>
      </c>
      <c r="CR200" s="112" t="str">
        <f>CR4</f>
        <v>Sep-22 E</v>
      </c>
      <c r="CS200" s="112" t="str">
        <f>CS4</f>
        <v>Dec-22 E</v>
      </c>
      <c r="CT200" s="113" t="str">
        <f>CT4</f>
        <v>2022E</v>
      </c>
      <c r="CU200" s="313"/>
      <c r="CV200" s="313"/>
    </row>
    <row r="201" spans="1:100" x14ac:dyDescent="0.2">
      <c r="A201" s="468"/>
      <c r="B201" s="468" t="s">
        <v>189</v>
      </c>
      <c r="C201" s="468"/>
      <c r="D201" s="464"/>
      <c r="E201" s="464"/>
      <c r="F201" s="464"/>
      <c r="G201" s="464"/>
      <c r="H201" s="465"/>
      <c r="I201" s="464"/>
      <c r="J201" s="464"/>
      <c r="K201" s="464"/>
      <c r="L201" s="464"/>
      <c r="M201" s="465">
        <f t="shared" ref="M201:R201" si="403">M167</f>
        <v>42.160511465104655</v>
      </c>
      <c r="N201" s="464">
        <f t="shared" si="403"/>
        <v>57.947754895340985</v>
      </c>
      <c r="O201" s="464">
        <f t="shared" si="403"/>
        <v>49.618073537027449</v>
      </c>
      <c r="P201" s="464">
        <f t="shared" si="403"/>
        <v>43.581426484907496</v>
      </c>
      <c r="Q201" s="464">
        <f t="shared" si="403"/>
        <v>36.386645962732921</v>
      </c>
      <c r="R201" s="465">
        <f t="shared" si="403"/>
        <v>41.902518715898999</v>
      </c>
      <c r="S201" s="466">
        <f t="shared" ref="S201:AF201" si="404">S167</f>
        <v>57.611111111111114</v>
      </c>
      <c r="T201" s="466">
        <f t="shared" si="404"/>
        <v>52.749309074159378</v>
      </c>
      <c r="U201" s="466">
        <f t="shared" si="404"/>
        <v>45.023503349902747</v>
      </c>
      <c r="V201" s="466">
        <f t="shared" si="404"/>
        <v>36.12767980636238</v>
      </c>
      <c r="W201" s="465">
        <f t="shared" si="404"/>
        <v>42.655505044905198</v>
      </c>
      <c r="X201" s="466">
        <f t="shared" si="404"/>
        <v>59.310119979134065</v>
      </c>
      <c r="Y201" s="466">
        <f t="shared" si="404"/>
        <v>52.740990547459631</v>
      </c>
      <c r="Z201" s="466">
        <f t="shared" si="404"/>
        <v>48.56966590736522</v>
      </c>
      <c r="AA201" s="466">
        <f t="shared" si="404"/>
        <v>37.825854700854705</v>
      </c>
      <c r="AB201" s="465">
        <f t="shared" si="404"/>
        <v>43.337445716541652</v>
      </c>
      <c r="AC201" s="466">
        <f t="shared" si="404"/>
        <v>62.880608974358971</v>
      </c>
      <c r="AD201" s="466">
        <f t="shared" si="404"/>
        <v>55.187461585740621</v>
      </c>
      <c r="AE201" s="466">
        <f t="shared" si="404"/>
        <v>47.835359969117931</v>
      </c>
      <c r="AF201" s="466">
        <f t="shared" si="404"/>
        <v>37.961624026696327</v>
      </c>
      <c r="AG201" s="465">
        <f>AG167</f>
        <v>46.671476192845418</v>
      </c>
      <c r="AH201" s="466">
        <f t="shared" ref="AH201:AY201" si="405">AH167</f>
        <v>71.634086561453856</v>
      </c>
      <c r="AI201" s="466">
        <f t="shared" si="405"/>
        <v>48.278252398081541</v>
      </c>
      <c r="AJ201" s="464">
        <f t="shared" si="405"/>
        <v>43.843334286940348</v>
      </c>
      <c r="AK201" s="464">
        <f t="shared" si="405"/>
        <v>36.916016796640669</v>
      </c>
      <c r="AL201" s="465">
        <f t="shared" si="405"/>
        <v>41.756111535523303</v>
      </c>
      <c r="AM201" s="464">
        <f t="shared" si="405"/>
        <v>64.581331978570105</v>
      </c>
      <c r="AN201" s="464">
        <f t="shared" si="405"/>
        <v>52.039672069355447</v>
      </c>
      <c r="AO201" s="464">
        <f t="shared" si="405"/>
        <v>45.414398153627644</v>
      </c>
      <c r="AP201" s="464">
        <f t="shared" si="405"/>
        <v>36.910870943874855</v>
      </c>
      <c r="AQ201" s="465">
        <f t="shared" si="405"/>
        <v>41.999152867463714</v>
      </c>
      <c r="AR201" s="464">
        <f t="shared" si="405"/>
        <v>64.431551608579085</v>
      </c>
      <c r="AS201" s="464">
        <f t="shared" si="405"/>
        <v>48.890873762065937</v>
      </c>
      <c r="AT201" s="464">
        <f t="shared" si="405"/>
        <v>44.513585259212995</v>
      </c>
      <c r="AU201" s="464">
        <f t="shared" si="405"/>
        <v>33.617926954732511</v>
      </c>
      <c r="AV201" s="465">
        <f t="shared" si="405"/>
        <v>42.688980107357118</v>
      </c>
      <c r="AW201" s="464">
        <f t="shared" si="405"/>
        <v>60.81264875892554</v>
      </c>
      <c r="AX201" s="464">
        <f t="shared" si="405"/>
        <v>47.45137839879154</v>
      </c>
      <c r="AY201" s="464">
        <f t="shared" si="405"/>
        <v>42.583333333333336</v>
      </c>
      <c r="AZ201" s="464">
        <f t="shared" ref="AZ201:BU201" si="406">AZ167</f>
        <v>32.138779832627336</v>
      </c>
      <c r="BA201" s="465">
        <f t="shared" si="406"/>
        <v>40.478343645882916</v>
      </c>
      <c r="BB201" s="464">
        <f t="shared" si="406"/>
        <v>58.412467976088806</v>
      </c>
      <c r="BC201" s="464">
        <f t="shared" si="406"/>
        <v>48.535510462904242</v>
      </c>
      <c r="BD201" s="464">
        <f t="shared" si="406"/>
        <v>42.755076770678556</v>
      </c>
      <c r="BE201" s="464">
        <f t="shared" si="406"/>
        <v>30.333024854574298</v>
      </c>
      <c r="BF201" s="465">
        <f t="shared" si="406"/>
        <v>38.237984074701799</v>
      </c>
      <c r="BG201" s="464">
        <f t="shared" si="406"/>
        <v>57.594804010938923</v>
      </c>
      <c r="BH201" s="464">
        <f t="shared" si="406"/>
        <v>49.455914793878392</v>
      </c>
      <c r="BI201" s="464">
        <f t="shared" si="406"/>
        <v>38.156203988756523</v>
      </c>
      <c r="BJ201" s="464">
        <f t="shared" si="406"/>
        <v>29.186265286923799</v>
      </c>
      <c r="BK201" s="465">
        <f t="shared" si="406"/>
        <v>37.265263121234284</v>
      </c>
      <c r="BL201" s="464">
        <f t="shared" si="406"/>
        <v>56.826030179918746</v>
      </c>
      <c r="BM201" s="464">
        <f t="shared" si="406"/>
        <v>46.161141737995074</v>
      </c>
      <c r="BN201" s="464">
        <f t="shared" si="406"/>
        <v>39.263549855192387</v>
      </c>
      <c r="BO201" s="464">
        <f t="shared" si="406"/>
        <v>27.688182527301091</v>
      </c>
      <c r="BP201" s="465">
        <f t="shared" si="406"/>
        <v>35.11674974369852</v>
      </c>
      <c r="BQ201" s="615">
        <f t="shared" si="406"/>
        <v>56.452874646559849</v>
      </c>
      <c r="BR201" s="464">
        <f t="shared" si="406"/>
        <v>46.797529461877048</v>
      </c>
      <c r="BS201" s="464">
        <f t="shared" si="406"/>
        <v>40.267917741278673</v>
      </c>
      <c r="BT201" s="464">
        <f t="shared" si="406"/>
        <v>29.622576558713373</v>
      </c>
      <c r="BU201" s="465">
        <f t="shared" si="406"/>
        <v>35.938422533254609</v>
      </c>
      <c r="BV201" s="464">
        <f t="shared" ref="BV201:CE201" si="407">BV167</f>
        <v>58.277874646559852</v>
      </c>
      <c r="BW201" s="464">
        <f t="shared" si="407"/>
        <v>48.622529461877043</v>
      </c>
      <c r="BX201" s="464">
        <f t="shared" si="407"/>
        <v>42.092917741278676</v>
      </c>
      <c r="BY201" s="464">
        <f t="shared" si="407"/>
        <v>31.447576558713372</v>
      </c>
      <c r="BZ201" s="465">
        <f t="shared" si="407"/>
        <v>37.718644004146853</v>
      </c>
      <c r="CA201" s="464">
        <f t="shared" si="407"/>
        <v>58.277874646559852</v>
      </c>
      <c r="CB201" s="464">
        <f t="shared" si="407"/>
        <v>48.622529461877043</v>
      </c>
      <c r="CC201" s="464">
        <f t="shared" si="407"/>
        <v>42.092917741278683</v>
      </c>
      <c r="CD201" s="464">
        <f t="shared" si="407"/>
        <v>31.447576558713372</v>
      </c>
      <c r="CE201" s="465">
        <f t="shared" si="407"/>
        <v>38.917103363141287</v>
      </c>
      <c r="CF201" s="464">
        <f t="shared" ref="CF201:CO201" si="408">CF167</f>
        <v>58.277874646559852</v>
      </c>
      <c r="CG201" s="464">
        <f t="shared" si="408"/>
        <v>48.622529461877043</v>
      </c>
      <c r="CH201" s="464">
        <f t="shared" si="408"/>
        <v>42.092917741278676</v>
      </c>
      <c r="CI201" s="464">
        <f t="shared" si="408"/>
        <v>31.447576558713372</v>
      </c>
      <c r="CJ201" s="465">
        <f t="shared" si="408"/>
        <v>38.961791347834286</v>
      </c>
      <c r="CK201" s="464">
        <f t="shared" si="408"/>
        <v>58.277874646559852</v>
      </c>
      <c r="CL201" s="464">
        <f t="shared" si="408"/>
        <v>48.622529461877043</v>
      </c>
      <c r="CM201" s="464">
        <f t="shared" si="408"/>
        <v>42.092917741278676</v>
      </c>
      <c r="CN201" s="464">
        <f t="shared" si="408"/>
        <v>31.447576558713372</v>
      </c>
      <c r="CO201" s="465">
        <f t="shared" si="408"/>
        <v>38.966134187056376</v>
      </c>
      <c r="CP201" s="464">
        <f>CP167</f>
        <v>58.277874646559852</v>
      </c>
      <c r="CQ201" s="464">
        <f>CQ167</f>
        <v>48.622529461877043</v>
      </c>
      <c r="CR201" s="464">
        <f>CR167</f>
        <v>42.092917741278676</v>
      </c>
      <c r="CS201" s="464">
        <f>CS167</f>
        <v>31.447576558713372</v>
      </c>
      <c r="CT201" s="465">
        <f>CT167</f>
        <v>38.991331167440599</v>
      </c>
      <c r="CU201" s="468"/>
      <c r="CV201" s="468"/>
    </row>
    <row r="202" spans="1:100" x14ac:dyDescent="0.2">
      <c r="A202" s="468"/>
      <c r="B202" s="468" t="s">
        <v>190</v>
      </c>
      <c r="C202" s="468"/>
      <c r="D202" s="464"/>
      <c r="E202" s="464"/>
      <c r="F202" s="464"/>
      <c r="G202" s="464"/>
      <c r="H202" s="465"/>
      <c r="I202" s="464"/>
      <c r="J202" s="464"/>
      <c r="K202" s="464"/>
      <c r="L202" s="464"/>
      <c r="M202" s="465">
        <f t="shared" ref="M202:R202" si="409">M165</f>
        <v>35.541625186660035</v>
      </c>
      <c r="N202" s="464">
        <f t="shared" si="409"/>
        <v>49.352954308676885</v>
      </c>
      <c r="O202" s="464">
        <f t="shared" si="409"/>
        <v>42.975671333486346</v>
      </c>
      <c r="P202" s="464">
        <f t="shared" si="409"/>
        <v>41.4990694109919</v>
      </c>
      <c r="Q202" s="464">
        <f t="shared" si="409"/>
        <v>32.157639545884578</v>
      </c>
      <c r="R202" s="465">
        <f t="shared" si="409"/>
        <v>36.284970259270857</v>
      </c>
      <c r="S202" s="466">
        <f t="shared" ref="S202:AG202" si="410">S165</f>
        <v>51.186904761904763</v>
      </c>
      <c r="T202" s="466">
        <f t="shared" si="410"/>
        <v>44.347481003434993</v>
      </c>
      <c r="U202" s="466">
        <f t="shared" si="410"/>
        <v>42.740635139121025</v>
      </c>
      <c r="V202" s="466">
        <f t="shared" si="410"/>
        <v>32.439352826826507</v>
      </c>
      <c r="W202" s="465">
        <f t="shared" si="410"/>
        <v>37.513426559254192</v>
      </c>
      <c r="X202" s="466">
        <f t="shared" si="410"/>
        <v>52.704458178327137</v>
      </c>
      <c r="Y202" s="466">
        <f t="shared" si="410"/>
        <v>46.829716765646417</v>
      </c>
      <c r="Z202" s="466">
        <f t="shared" si="410"/>
        <v>46.680007114905727</v>
      </c>
      <c r="AA202" s="466">
        <f t="shared" si="410"/>
        <v>33.570881451802968</v>
      </c>
      <c r="AB202" s="465">
        <f t="shared" si="410"/>
        <v>38.279808559339671</v>
      </c>
      <c r="AC202" s="466">
        <f t="shared" si="410"/>
        <v>50.809784581870993</v>
      </c>
      <c r="AD202" s="466">
        <f t="shared" si="410"/>
        <v>44.99610555135952</v>
      </c>
      <c r="AE202" s="466">
        <f t="shared" si="410"/>
        <v>42.95667870036101</v>
      </c>
      <c r="AF202" s="466">
        <f t="shared" si="410"/>
        <v>31.731969617206886</v>
      </c>
      <c r="AG202" s="465">
        <f t="shared" si="410"/>
        <v>39.288663490007401</v>
      </c>
      <c r="AH202" s="466">
        <f t="shared" ref="AH202:AY202" si="411">AH165</f>
        <v>60.430721605465415</v>
      </c>
      <c r="AI202" s="466">
        <f t="shared" si="411"/>
        <v>42.416052969393959</v>
      </c>
      <c r="AJ202" s="464">
        <f t="shared" si="411"/>
        <v>42.613526492200592</v>
      </c>
      <c r="AK202" s="464">
        <f t="shared" si="411"/>
        <v>31.780432387771963</v>
      </c>
      <c r="AL202" s="465">
        <f t="shared" si="411"/>
        <v>34.541780490335071</v>
      </c>
      <c r="AM202" s="464">
        <f t="shared" si="411"/>
        <v>53.028503811677972</v>
      </c>
      <c r="AN202" s="464">
        <f t="shared" si="411"/>
        <v>44.917320377963989</v>
      </c>
      <c r="AO202" s="464">
        <f t="shared" si="411"/>
        <v>43.232425207598681</v>
      </c>
      <c r="AP202" s="464">
        <f t="shared" si="411"/>
        <v>32.286664960327613</v>
      </c>
      <c r="AQ202" s="465">
        <f t="shared" si="411"/>
        <v>36.6628845949515</v>
      </c>
      <c r="AR202" s="464">
        <f t="shared" si="411"/>
        <v>52.556123270035407</v>
      </c>
      <c r="AS202" s="464">
        <f t="shared" si="411"/>
        <v>42.808436626564585</v>
      </c>
      <c r="AT202" s="464">
        <f t="shared" si="411"/>
        <v>43.82761830410761</v>
      </c>
      <c r="AU202" s="464">
        <f t="shared" si="411"/>
        <v>32.198619324446227</v>
      </c>
      <c r="AV202" s="465">
        <f t="shared" si="411"/>
        <v>38.881428266047763</v>
      </c>
      <c r="AW202" s="464">
        <f t="shared" si="411"/>
        <v>52.46820602495827</v>
      </c>
      <c r="AX202" s="464">
        <f t="shared" si="411"/>
        <v>43.331126911405967</v>
      </c>
      <c r="AY202" s="464">
        <f t="shared" si="411"/>
        <v>43.647170146076057</v>
      </c>
      <c r="AZ202" s="464">
        <f t="shared" ref="AZ202:BU202" si="412">AZ165</f>
        <v>31.541529973158365</v>
      </c>
      <c r="BA202" s="465">
        <f t="shared" si="412"/>
        <v>38.456485733644506</v>
      </c>
      <c r="BB202" s="464">
        <f t="shared" si="412"/>
        <v>52.496038976471517</v>
      </c>
      <c r="BC202" s="464">
        <f t="shared" si="412"/>
        <v>45.749230496034095</v>
      </c>
      <c r="BD202" s="464">
        <f t="shared" si="412"/>
        <v>44.39017307468928</v>
      </c>
      <c r="BE202" s="464">
        <f t="shared" si="412"/>
        <v>30.424290655704834</v>
      </c>
      <c r="BF202" s="465">
        <f t="shared" si="412"/>
        <v>37.234565031567264</v>
      </c>
      <c r="BG202" s="464">
        <f t="shared" si="412"/>
        <v>52.007346320700663</v>
      </c>
      <c r="BH202" s="464">
        <f t="shared" si="412"/>
        <v>44.848489606229982</v>
      </c>
      <c r="BI202" s="464">
        <f t="shared" si="412"/>
        <v>42.834027310023878</v>
      </c>
      <c r="BJ202" s="464">
        <f t="shared" si="412"/>
        <v>31.604856066720473</v>
      </c>
      <c r="BK202" s="465">
        <f t="shared" si="412"/>
        <v>37.879979700583604</v>
      </c>
      <c r="BL202" s="464">
        <f t="shared" si="412"/>
        <v>51.594482380711518</v>
      </c>
      <c r="BM202" s="464">
        <f t="shared" si="412"/>
        <v>44.424732055862293</v>
      </c>
      <c r="BN202" s="464">
        <f t="shared" si="412"/>
        <v>44.096290634554187</v>
      </c>
      <c r="BO202" s="464">
        <f t="shared" si="412"/>
        <v>31.300409941070971</v>
      </c>
      <c r="BP202" s="465">
        <f t="shared" si="412"/>
        <v>38.159962738260162</v>
      </c>
      <c r="BQ202" s="615">
        <f t="shared" si="412"/>
        <v>51.861565275126566</v>
      </c>
      <c r="BR202" s="464">
        <f t="shared" si="412"/>
        <v>43.81277848504137</v>
      </c>
      <c r="BS202" s="464">
        <f t="shared" si="412"/>
        <v>44.518088054187189</v>
      </c>
      <c r="BT202" s="464">
        <f t="shared" si="412"/>
        <v>32.824951346922049</v>
      </c>
      <c r="BU202" s="465">
        <f t="shared" si="412"/>
        <v>39.410232192050373</v>
      </c>
      <c r="BV202" s="464">
        <f t="shared" ref="BV202:CE202" si="413">BV165</f>
        <v>51.861565275126566</v>
      </c>
      <c r="BW202" s="464">
        <f t="shared" si="413"/>
        <v>43.81277848504137</v>
      </c>
      <c r="BX202" s="464">
        <f t="shared" si="413"/>
        <v>44.518088054187189</v>
      </c>
      <c r="BY202" s="464">
        <f t="shared" si="413"/>
        <v>32.094951346922052</v>
      </c>
      <c r="BZ202" s="465">
        <f t="shared" si="413"/>
        <v>39.225794405268381</v>
      </c>
      <c r="CA202" s="464">
        <f t="shared" si="413"/>
        <v>51.861565275126566</v>
      </c>
      <c r="CB202" s="464">
        <f t="shared" si="413"/>
        <v>43.81277848504137</v>
      </c>
      <c r="CC202" s="464">
        <f t="shared" si="413"/>
        <v>44.518088054187189</v>
      </c>
      <c r="CD202" s="464">
        <f t="shared" si="413"/>
        <v>32.094951346922052</v>
      </c>
      <c r="CE202" s="465">
        <f t="shared" si="413"/>
        <v>38.949911197802287</v>
      </c>
      <c r="CF202" s="464">
        <f t="shared" ref="CF202:CO202" si="414">CF165</f>
        <v>51.861565275126566</v>
      </c>
      <c r="CG202" s="464">
        <f t="shared" si="414"/>
        <v>43.81277848504137</v>
      </c>
      <c r="CH202" s="464">
        <f t="shared" si="414"/>
        <v>44.518088054187189</v>
      </c>
      <c r="CI202" s="464">
        <f t="shared" si="414"/>
        <v>32.094951346922052</v>
      </c>
      <c r="CJ202" s="465">
        <f t="shared" si="414"/>
        <v>38.992270830049492</v>
      </c>
      <c r="CK202" s="464">
        <f t="shared" si="414"/>
        <v>51.861565275126566</v>
      </c>
      <c r="CL202" s="464">
        <f t="shared" si="414"/>
        <v>43.81277848504137</v>
      </c>
      <c r="CM202" s="464">
        <f t="shared" si="414"/>
        <v>44.518088054187189</v>
      </c>
      <c r="CN202" s="464">
        <f t="shared" si="414"/>
        <v>32.094951346922052</v>
      </c>
      <c r="CO202" s="465">
        <f t="shared" si="414"/>
        <v>39.016089662166863</v>
      </c>
      <c r="CP202" s="464">
        <f>CP165</f>
        <v>51.861565275126566</v>
      </c>
      <c r="CQ202" s="464">
        <f>CQ165</f>
        <v>43.812778485041378</v>
      </c>
      <c r="CR202" s="464">
        <f>CR165</f>
        <v>44.518088054187189</v>
      </c>
      <c r="CS202" s="464">
        <f>CS165</f>
        <v>32.094951346922052</v>
      </c>
      <c r="CT202" s="465">
        <f>CT165</f>
        <v>39.039812907538625</v>
      </c>
      <c r="CU202" s="468"/>
      <c r="CV202" s="468"/>
    </row>
    <row r="203" spans="1:100" x14ac:dyDescent="0.2">
      <c r="A203" s="468"/>
      <c r="B203" s="468" t="s">
        <v>191</v>
      </c>
      <c r="C203" s="468"/>
      <c r="D203" s="464"/>
      <c r="E203" s="464"/>
      <c r="F203" s="464"/>
      <c r="G203" s="464"/>
      <c r="H203" s="465"/>
      <c r="I203" s="464"/>
      <c r="J203" s="464"/>
      <c r="K203" s="464"/>
      <c r="L203" s="464"/>
      <c r="M203" s="465">
        <f t="shared" ref="M203:R203" si="415">M174</f>
        <v>150.83398814201016</v>
      </c>
      <c r="N203" s="464">
        <f t="shared" si="415"/>
        <v>172.11807900067521</v>
      </c>
      <c r="O203" s="464">
        <f t="shared" si="415"/>
        <v>146.11341273951319</v>
      </c>
      <c r="P203" s="464">
        <f t="shared" si="415"/>
        <v>144.33848588120739</v>
      </c>
      <c r="Q203" s="464">
        <f t="shared" si="415"/>
        <v>122.72463768115941</v>
      </c>
      <c r="R203" s="465">
        <f t="shared" si="415"/>
        <v>144.34890876792284</v>
      </c>
      <c r="S203" s="466">
        <f t="shared" ref="S203:AG203" si="416">S174</f>
        <v>172.41666666666666</v>
      </c>
      <c r="T203" s="466">
        <f t="shared" si="416"/>
        <v>144.37759097190235</v>
      </c>
      <c r="U203" s="466">
        <f t="shared" si="416"/>
        <v>143.78728117570779</v>
      </c>
      <c r="V203" s="466">
        <f t="shared" si="416"/>
        <v>119.93127593360995</v>
      </c>
      <c r="W203" s="465">
        <f t="shared" si="416"/>
        <v>142.63693314114647</v>
      </c>
      <c r="X203" s="466">
        <f t="shared" si="416"/>
        <v>175.78834115805947</v>
      </c>
      <c r="Y203" s="466">
        <f t="shared" si="416"/>
        <v>143.50580937376921</v>
      </c>
      <c r="Z203" s="466">
        <f t="shared" si="416"/>
        <v>138.76305049354593</v>
      </c>
      <c r="AA203" s="466">
        <f t="shared" si="416"/>
        <v>124.08140203813281</v>
      </c>
      <c r="AB203" s="465">
        <f t="shared" si="416"/>
        <v>142.97214271614686</v>
      </c>
      <c r="AC203" s="466">
        <f t="shared" si="416"/>
        <v>184.15731837606836</v>
      </c>
      <c r="AD203" s="466">
        <f t="shared" si="416"/>
        <v>145.29707027248514</v>
      </c>
      <c r="AE203" s="466">
        <f t="shared" si="416"/>
        <v>143.38279289712412</v>
      </c>
      <c r="AF203" s="466">
        <f t="shared" si="416"/>
        <v>117.84343715239153</v>
      </c>
      <c r="AG203" s="465">
        <f t="shared" si="416"/>
        <v>148.91288123787254</v>
      </c>
      <c r="AH203" s="466">
        <f t="shared" ref="AH203:AY203" si="417">AH174</f>
        <v>208.44362745098039</v>
      </c>
      <c r="AI203" s="466">
        <f t="shared" si="417"/>
        <v>134.61836780575538</v>
      </c>
      <c r="AJ203" s="464">
        <f t="shared" si="417"/>
        <v>139.64865541410384</v>
      </c>
      <c r="AK203" s="464">
        <f t="shared" si="417"/>
        <v>119.58293341331733</v>
      </c>
      <c r="AL203" s="465">
        <f t="shared" si="417"/>
        <v>132.79698242933537</v>
      </c>
      <c r="AM203" s="464">
        <f t="shared" si="417"/>
        <v>172.67203953445409</v>
      </c>
      <c r="AN203" s="464">
        <f t="shared" si="417"/>
        <v>131.07943837165473</v>
      </c>
      <c r="AO203" s="464">
        <f t="shared" si="417"/>
        <v>124.460291158717</v>
      </c>
      <c r="AP203" s="464">
        <f t="shared" si="417"/>
        <v>113.39459359475742</v>
      </c>
      <c r="AQ203" s="465">
        <f t="shared" si="417"/>
        <v>132.31570871427658</v>
      </c>
      <c r="AR203" s="464">
        <f t="shared" si="417"/>
        <v>170.94085120643433</v>
      </c>
      <c r="AS203" s="464">
        <f t="shared" si="417"/>
        <v>127.58070076469852</v>
      </c>
      <c r="AT203" s="464">
        <f t="shared" si="417"/>
        <v>133.6205496564647</v>
      </c>
      <c r="AU203" s="464">
        <f t="shared" si="417"/>
        <v>111.74369855967079</v>
      </c>
      <c r="AV203" s="465">
        <f t="shared" si="417"/>
        <v>136.34196400378906</v>
      </c>
      <c r="AW203" s="464">
        <f t="shared" si="417"/>
        <v>174.43301598095886</v>
      </c>
      <c r="AX203" s="464">
        <f t="shared" si="417"/>
        <v>139.00003147029204</v>
      </c>
      <c r="AY203" s="464">
        <f t="shared" si="417"/>
        <v>139.14200998751559</v>
      </c>
      <c r="AZ203" s="464">
        <f t="shared" ref="AZ203:BU203" si="418">AZ174</f>
        <v>118.15644694699866</v>
      </c>
      <c r="BA203" s="465">
        <f t="shared" si="418"/>
        <v>141.5062668570522</v>
      </c>
      <c r="BB203" s="464">
        <f t="shared" si="418"/>
        <v>181.17527754056363</v>
      </c>
      <c r="BC203" s="464">
        <f t="shared" si="418"/>
        <v>150.28186429930247</v>
      </c>
      <c r="BD203" s="464">
        <f t="shared" si="418"/>
        <v>153.56349058940069</v>
      </c>
      <c r="BE203" s="464">
        <f t="shared" si="418"/>
        <v>125.61713379164462</v>
      </c>
      <c r="BF203" s="465">
        <f t="shared" si="418"/>
        <v>149.1059607943462</v>
      </c>
      <c r="BG203" s="464">
        <f t="shared" si="418"/>
        <v>202.38035551504103</v>
      </c>
      <c r="BH203" s="464">
        <f t="shared" si="418"/>
        <v>165.60371570384669</v>
      </c>
      <c r="BI203" s="464">
        <f t="shared" si="418"/>
        <v>165.44940436353903</v>
      </c>
      <c r="BJ203" s="464">
        <f t="shared" si="418"/>
        <v>144.93341368767639</v>
      </c>
      <c r="BK203" s="465">
        <f t="shared" si="418"/>
        <v>168.58034688120364</v>
      </c>
      <c r="BL203" s="464">
        <f t="shared" si="418"/>
        <v>226.38614819113948</v>
      </c>
      <c r="BM203" s="464">
        <f t="shared" si="418"/>
        <v>181.16295517191355</v>
      </c>
      <c r="BN203" s="464">
        <f t="shared" si="418"/>
        <v>180.02085919183563</v>
      </c>
      <c r="BO203" s="464">
        <f t="shared" si="418"/>
        <v>144.82658234900825</v>
      </c>
      <c r="BP203" s="465">
        <f t="shared" si="418"/>
        <v>179.03542263230457</v>
      </c>
      <c r="BQ203" s="615">
        <f t="shared" si="418"/>
        <v>224.76225259189442</v>
      </c>
      <c r="BR203" s="464">
        <f t="shared" si="418"/>
        <v>179.23505608405509</v>
      </c>
      <c r="BS203" s="464">
        <f t="shared" si="418"/>
        <v>181.3480724854079</v>
      </c>
      <c r="BT203" s="464">
        <f t="shared" si="418"/>
        <v>150.94748292575457</v>
      </c>
      <c r="BU203" s="465">
        <f t="shared" si="418"/>
        <v>185.460007640746</v>
      </c>
      <c r="BV203" s="464">
        <f t="shared" ref="BV203:CE203" si="419">BV174</f>
        <v>222.57225259189443</v>
      </c>
      <c r="BW203" s="464">
        <f t="shared" si="419"/>
        <v>179.23505608405509</v>
      </c>
      <c r="BX203" s="464">
        <f t="shared" si="419"/>
        <v>181.3480724854079</v>
      </c>
      <c r="BY203" s="464">
        <f t="shared" si="419"/>
        <v>150.94748292575457</v>
      </c>
      <c r="BZ203" s="465">
        <f t="shared" si="419"/>
        <v>186.37704664137937</v>
      </c>
      <c r="CA203" s="464">
        <f t="shared" si="419"/>
        <v>222.57225259189443</v>
      </c>
      <c r="CB203" s="464">
        <f t="shared" si="419"/>
        <v>179.23505608405509</v>
      </c>
      <c r="CC203" s="464">
        <f t="shared" si="419"/>
        <v>181.3480724854079</v>
      </c>
      <c r="CD203" s="464">
        <f t="shared" si="419"/>
        <v>150.94748292575457</v>
      </c>
      <c r="CE203" s="465">
        <f t="shared" si="419"/>
        <v>186.80100148448255</v>
      </c>
      <c r="CF203" s="464">
        <f t="shared" ref="CF203:CO203" si="420">CF174</f>
        <v>222.57225259189443</v>
      </c>
      <c r="CG203" s="464">
        <f t="shared" si="420"/>
        <v>179.23505608405509</v>
      </c>
      <c r="CH203" s="464">
        <f t="shared" si="420"/>
        <v>181.3480724854079</v>
      </c>
      <c r="CI203" s="464">
        <f t="shared" si="420"/>
        <v>150.94748292575457</v>
      </c>
      <c r="CJ203" s="465">
        <f t="shared" si="420"/>
        <v>187.01550255402722</v>
      </c>
      <c r="CK203" s="464">
        <f t="shared" si="420"/>
        <v>222.57225259189443</v>
      </c>
      <c r="CL203" s="464">
        <f t="shared" si="420"/>
        <v>179.23505608405509</v>
      </c>
      <c r="CM203" s="464">
        <f t="shared" si="420"/>
        <v>181.3480724854079</v>
      </c>
      <c r="CN203" s="464">
        <f t="shared" si="420"/>
        <v>150.94748292575457</v>
      </c>
      <c r="CO203" s="465">
        <f t="shared" si="420"/>
        <v>187.03634806013804</v>
      </c>
      <c r="CP203" s="464">
        <f>CP174</f>
        <v>222.57225259189443</v>
      </c>
      <c r="CQ203" s="464">
        <f>CQ174</f>
        <v>179.23505608405509</v>
      </c>
      <c r="CR203" s="464">
        <f>CR174</f>
        <v>181.3480724854079</v>
      </c>
      <c r="CS203" s="464">
        <f>CS174</f>
        <v>150.94748292575454</v>
      </c>
      <c r="CT203" s="465">
        <f>CT174</f>
        <v>187.15729285724279</v>
      </c>
      <c r="CU203" s="468"/>
      <c r="CV203" s="468"/>
    </row>
    <row r="204" spans="1:100" x14ac:dyDescent="0.2">
      <c r="A204" s="468"/>
      <c r="B204" s="468" t="s">
        <v>188</v>
      </c>
      <c r="C204" s="468"/>
      <c r="D204" s="464"/>
      <c r="E204" s="464"/>
      <c r="F204" s="464"/>
      <c r="G204" s="464"/>
      <c r="H204" s="465"/>
      <c r="I204" s="464"/>
      <c r="J204" s="464"/>
      <c r="K204" s="464"/>
      <c r="L204" s="464"/>
      <c r="M204" s="465">
        <f t="shared" ref="M204:AG204" si="421">M201+M202-M203</f>
        <v>-73.131851490245467</v>
      </c>
      <c r="N204" s="464">
        <f t="shared" si="421"/>
        <v>-64.817369796657346</v>
      </c>
      <c r="O204" s="464">
        <f t="shared" si="421"/>
        <v>-53.519667868999392</v>
      </c>
      <c r="P204" s="464">
        <f t="shared" si="421"/>
        <v>-59.257989985308001</v>
      </c>
      <c r="Q204" s="464">
        <f t="shared" si="421"/>
        <v>-54.180352172541916</v>
      </c>
      <c r="R204" s="465">
        <f t="shared" si="421"/>
        <v>-66.16141979275298</v>
      </c>
      <c r="S204" s="466">
        <f t="shared" si="421"/>
        <v>-63.618650793650772</v>
      </c>
      <c r="T204" s="466">
        <f t="shared" si="421"/>
        <v>-47.280800894307987</v>
      </c>
      <c r="U204" s="466">
        <f t="shared" si="421"/>
        <v>-56.023142686684025</v>
      </c>
      <c r="V204" s="466">
        <f t="shared" si="421"/>
        <v>-51.364243300421066</v>
      </c>
      <c r="W204" s="465">
        <f t="shared" si="421"/>
        <v>-62.468001536987089</v>
      </c>
      <c r="X204" s="466">
        <f t="shared" si="421"/>
        <v>-63.773763000598265</v>
      </c>
      <c r="Y204" s="466">
        <f t="shared" si="421"/>
        <v>-43.935102060663155</v>
      </c>
      <c r="Z204" s="466">
        <f t="shared" si="421"/>
        <v>-43.513377471274993</v>
      </c>
      <c r="AA204" s="466">
        <f t="shared" si="421"/>
        <v>-52.684665885475141</v>
      </c>
      <c r="AB204" s="465">
        <f t="shared" si="421"/>
        <v>-61.35488844026554</v>
      </c>
      <c r="AC204" s="466">
        <f t="shared" si="421"/>
        <v>-70.466924819838397</v>
      </c>
      <c r="AD204" s="466">
        <f t="shared" si="421"/>
        <v>-45.113503135385002</v>
      </c>
      <c r="AE204" s="466">
        <f t="shared" si="421"/>
        <v>-52.590754227645178</v>
      </c>
      <c r="AF204" s="466">
        <f t="shared" si="421"/>
        <v>-48.149843508488317</v>
      </c>
      <c r="AG204" s="465">
        <f t="shared" si="421"/>
        <v>-62.952741555019713</v>
      </c>
      <c r="AH204" s="466">
        <f t="shared" ref="AH204:AY204" si="422">AH201+AH202-AH203</f>
        <v>-76.378819284061109</v>
      </c>
      <c r="AI204" s="466">
        <f t="shared" si="422"/>
        <v>-43.92406243827989</v>
      </c>
      <c r="AJ204" s="464">
        <f t="shared" si="422"/>
        <v>-53.191794634962903</v>
      </c>
      <c r="AK204" s="464">
        <f t="shared" si="422"/>
        <v>-50.886484228904706</v>
      </c>
      <c r="AL204" s="465">
        <f t="shared" si="422"/>
        <v>-56.499090403476998</v>
      </c>
      <c r="AM204" s="464">
        <f t="shared" si="422"/>
        <v>-55.062203744206016</v>
      </c>
      <c r="AN204" s="464">
        <f t="shared" si="422"/>
        <v>-34.122445924335295</v>
      </c>
      <c r="AO204" s="464">
        <f t="shared" si="422"/>
        <v>-35.813467797490674</v>
      </c>
      <c r="AP204" s="464">
        <f t="shared" si="422"/>
        <v>-44.197057690554956</v>
      </c>
      <c r="AQ204" s="465">
        <f t="shared" si="422"/>
        <v>-53.653671251861368</v>
      </c>
      <c r="AR204" s="464">
        <f t="shared" si="422"/>
        <v>-53.953176327819847</v>
      </c>
      <c r="AS204" s="464">
        <f t="shared" si="422"/>
        <v>-35.881390376067998</v>
      </c>
      <c r="AT204" s="464">
        <f t="shared" si="422"/>
        <v>-45.279346093144099</v>
      </c>
      <c r="AU204" s="464">
        <f t="shared" si="422"/>
        <v>-45.927152280492052</v>
      </c>
      <c r="AV204" s="465">
        <f t="shared" si="422"/>
        <v>-54.771555630384171</v>
      </c>
      <c r="AW204" s="464">
        <f t="shared" si="422"/>
        <v>-61.152161197075046</v>
      </c>
      <c r="AX204" s="464">
        <f t="shared" si="422"/>
        <v>-48.217526160094536</v>
      </c>
      <c r="AY204" s="464">
        <f t="shared" si="422"/>
        <v>-52.9115065081062</v>
      </c>
      <c r="AZ204" s="464">
        <f t="shared" ref="AZ204:BU204" si="423">AZ201+AZ202-AZ203</f>
        <v>-54.476137141212959</v>
      </c>
      <c r="BA204" s="465">
        <f t="shared" si="423"/>
        <v>-62.571437477524768</v>
      </c>
      <c r="BB204" s="464">
        <f t="shared" si="423"/>
        <v>-70.266770588003311</v>
      </c>
      <c r="BC204" s="464">
        <f t="shared" si="423"/>
        <v>-55.997123340364141</v>
      </c>
      <c r="BD204" s="464">
        <f t="shared" si="423"/>
        <v>-66.418240744032857</v>
      </c>
      <c r="BE204" s="464">
        <f t="shared" si="423"/>
        <v>-64.859818281365492</v>
      </c>
      <c r="BF204" s="465">
        <f t="shared" si="423"/>
        <v>-73.633411688077132</v>
      </c>
      <c r="BG204" s="464">
        <f t="shared" si="423"/>
        <v>-92.77820518340144</v>
      </c>
      <c r="BH204" s="464">
        <f t="shared" si="423"/>
        <v>-71.299311303738307</v>
      </c>
      <c r="BI204" s="464">
        <f t="shared" si="423"/>
        <v>-84.45917306475863</v>
      </c>
      <c r="BJ204" s="464">
        <f t="shared" si="423"/>
        <v>-84.14229233403212</v>
      </c>
      <c r="BK204" s="465">
        <f t="shared" si="423"/>
        <v>-93.43510405938575</v>
      </c>
      <c r="BL204" s="464">
        <f t="shared" si="423"/>
        <v>-117.96563563050921</v>
      </c>
      <c r="BM204" s="464">
        <f t="shared" si="423"/>
        <v>-90.577081378056192</v>
      </c>
      <c r="BN204" s="464">
        <f t="shared" si="423"/>
        <v>-96.661018702089052</v>
      </c>
      <c r="BO204" s="464">
        <f t="shared" si="423"/>
        <v>-85.837989880636187</v>
      </c>
      <c r="BP204" s="465">
        <f t="shared" si="423"/>
        <v>-105.75871015034589</v>
      </c>
      <c r="BQ204" s="615">
        <f t="shared" si="423"/>
        <v>-116.44781267020801</v>
      </c>
      <c r="BR204" s="464">
        <f t="shared" si="423"/>
        <v>-88.624748137136663</v>
      </c>
      <c r="BS204" s="464">
        <f t="shared" si="423"/>
        <v>-96.562066689942043</v>
      </c>
      <c r="BT204" s="464">
        <f t="shared" si="423"/>
        <v>-88.499955020119145</v>
      </c>
      <c r="BU204" s="465">
        <f t="shared" si="423"/>
        <v>-110.11135291544102</v>
      </c>
      <c r="BV204" s="464">
        <f t="shared" ref="BV204:CE204" si="424">BV201+BV202-BV203</f>
        <v>-112.43281267020801</v>
      </c>
      <c r="BW204" s="464">
        <f t="shared" si="424"/>
        <v>-86.799748137136675</v>
      </c>
      <c r="BX204" s="464">
        <f t="shared" si="424"/>
        <v>-94.737066689942026</v>
      </c>
      <c r="BY204" s="464">
        <f t="shared" si="424"/>
        <v>-87.404955020119147</v>
      </c>
      <c r="BZ204" s="465">
        <f t="shared" si="424"/>
        <v>-109.43260823196414</v>
      </c>
      <c r="CA204" s="464">
        <f t="shared" si="424"/>
        <v>-112.43281267020801</v>
      </c>
      <c r="CB204" s="464">
        <f t="shared" si="424"/>
        <v>-86.799748137136675</v>
      </c>
      <c r="CC204" s="464">
        <f t="shared" si="424"/>
        <v>-94.737066689942026</v>
      </c>
      <c r="CD204" s="464">
        <f t="shared" si="424"/>
        <v>-87.404955020119147</v>
      </c>
      <c r="CE204" s="465">
        <f t="shared" si="424"/>
        <v>-108.93398692353898</v>
      </c>
      <c r="CF204" s="464">
        <f t="shared" ref="CF204:CO204" si="425">CF201+CF202-CF203</f>
        <v>-112.43281267020801</v>
      </c>
      <c r="CG204" s="464">
        <f t="shared" si="425"/>
        <v>-86.799748137136675</v>
      </c>
      <c r="CH204" s="464">
        <f t="shared" si="425"/>
        <v>-94.737066689942026</v>
      </c>
      <c r="CI204" s="464">
        <f t="shared" si="425"/>
        <v>-87.404955020119147</v>
      </c>
      <c r="CJ204" s="465">
        <f t="shared" si="425"/>
        <v>-109.06144037614345</v>
      </c>
      <c r="CK204" s="464">
        <f t="shared" si="425"/>
        <v>-112.43281267020801</v>
      </c>
      <c r="CL204" s="464">
        <f t="shared" si="425"/>
        <v>-86.799748137136675</v>
      </c>
      <c r="CM204" s="464">
        <f t="shared" si="425"/>
        <v>-94.737066689942026</v>
      </c>
      <c r="CN204" s="464">
        <f t="shared" si="425"/>
        <v>-87.404955020119147</v>
      </c>
      <c r="CO204" s="465">
        <f t="shared" si="425"/>
        <v>-109.05412421091481</v>
      </c>
      <c r="CP204" s="464">
        <f>CP201+CP202-CP203</f>
        <v>-112.43281267020801</v>
      </c>
      <c r="CQ204" s="464">
        <f>CQ201+CQ202-CQ203</f>
        <v>-86.799748137136675</v>
      </c>
      <c r="CR204" s="464">
        <f>CR201+CR202-CR203</f>
        <v>-94.737066689942026</v>
      </c>
      <c r="CS204" s="464">
        <f>CS201+CS202-CS203</f>
        <v>-87.404955020119118</v>
      </c>
      <c r="CT204" s="465">
        <f>CT201+CT202-CT203</f>
        <v>-109.12614878226357</v>
      </c>
      <c r="CU204" s="468"/>
      <c r="CV204" s="468"/>
    </row>
    <row r="205" spans="1:100" x14ac:dyDescent="0.2">
      <c r="A205" s="468"/>
      <c r="B205" s="468"/>
      <c r="C205" s="468"/>
      <c r="D205" s="484"/>
      <c r="E205" s="484"/>
      <c r="F205" s="484"/>
      <c r="G205" s="484"/>
      <c r="H205" s="465"/>
      <c r="I205" s="484"/>
      <c r="J205" s="484"/>
      <c r="K205" s="484"/>
      <c r="L205" s="484"/>
      <c r="M205" s="465"/>
      <c r="N205" s="484"/>
      <c r="O205" s="484"/>
      <c r="P205" s="484"/>
      <c r="Q205" s="484"/>
      <c r="R205" s="465"/>
      <c r="S205" s="485"/>
      <c r="T205" s="485"/>
      <c r="U205" s="485"/>
      <c r="V205" s="485"/>
      <c r="W205" s="465"/>
      <c r="X205" s="485"/>
      <c r="Y205" s="485"/>
      <c r="Z205" s="485"/>
      <c r="AA205" s="485"/>
      <c r="AB205" s="465"/>
      <c r="AC205" s="485"/>
      <c r="AD205" s="485"/>
      <c r="AE205" s="485"/>
      <c r="AF205" s="485"/>
      <c r="AG205" s="465"/>
      <c r="AH205" s="485"/>
      <c r="AI205" s="485"/>
      <c r="AJ205" s="484"/>
      <c r="AK205" s="484"/>
      <c r="AL205" s="465"/>
      <c r="AM205" s="484"/>
      <c r="AN205" s="484"/>
      <c r="AO205" s="484"/>
      <c r="AP205" s="484"/>
      <c r="AQ205" s="465"/>
      <c r="AR205" s="484"/>
      <c r="AS205" s="484"/>
      <c r="AT205" s="484"/>
      <c r="AU205" s="484"/>
      <c r="AV205" s="465"/>
      <c r="AW205" s="484"/>
      <c r="AX205" s="484"/>
      <c r="AY205" s="484"/>
      <c r="AZ205" s="484"/>
      <c r="BA205" s="465"/>
      <c r="BB205" s="484"/>
      <c r="BC205" s="484"/>
      <c r="BD205" s="484"/>
      <c r="BE205" s="484"/>
      <c r="BF205" s="465"/>
      <c r="BG205" s="484"/>
      <c r="BH205" s="484"/>
      <c r="BI205" s="484"/>
      <c r="BJ205" s="484"/>
      <c r="BK205" s="465"/>
      <c r="BL205" s="484"/>
      <c r="BM205" s="484"/>
      <c r="BN205" s="484"/>
      <c r="BO205" s="484"/>
      <c r="BP205" s="465"/>
      <c r="BQ205" s="616"/>
      <c r="BR205" s="484"/>
      <c r="BS205" s="484"/>
      <c r="BT205" s="484"/>
      <c r="BU205" s="465"/>
      <c r="BV205" s="484"/>
      <c r="BW205" s="484"/>
      <c r="BX205" s="484"/>
      <c r="BY205" s="484"/>
      <c r="BZ205" s="465"/>
      <c r="CA205" s="484"/>
      <c r="CB205" s="484"/>
      <c r="CC205" s="484"/>
      <c r="CD205" s="484"/>
      <c r="CE205" s="465"/>
      <c r="CF205" s="484"/>
      <c r="CG205" s="484"/>
      <c r="CH205" s="484"/>
      <c r="CI205" s="484"/>
      <c r="CJ205" s="465"/>
      <c r="CK205" s="484"/>
      <c r="CL205" s="484"/>
      <c r="CM205" s="484"/>
      <c r="CN205" s="484"/>
      <c r="CO205" s="465"/>
      <c r="CP205" s="484"/>
      <c r="CQ205" s="484"/>
      <c r="CR205" s="484"/>
      <c r="CS205" s="484"/>
      <c r="CT205" s="465"/>
      <c r="CU205" s="468"/>
      <c r="CV205" s="468"/>
    </row>
    <row r="206" spans="1:100" x14ac:dyDescent="0.2">
      <c r="A206" s="313"/>
      <c r="B206" s="313"/>
      <c r="C206" s="313"/>
      <c r="D206" s="313"/>
      <c r="E206" s="313"/>
      <c r="F206" s="313"/>
      <c r="G206" s="313"/>
      <c r="H206" s="412"/>
      <c r="I206" s="313"/>
      <c r="J206" s="313"/>
      <c r="K206" s="313"/>
      <c r="L206" s="313"/>
      <c r="M206" s="412"/>
      <c r="N206" s="313"/>
      <c r="O206" s="313"/>
      <c r="P206" s="313"/>
      <c r="Q206" s="313"/>
      <c r="R206" s="412"/>
      <c r="S206" s="357"/>
      <c r="T206" s="357"/>
      <c r="U206" s="357"/>
      <c r="V206" s="357"/>
      <c r="W206" s="412"/>
      <c r="X206" s="357"/>
      <c r="Y206" s="357"/>
      <c r="Z206" s="357"/>
      <c r="AA206" s="357"/>
      <c r="AB206" s="412"/>
      <c r="AC206" s="357"/>
      <c r="AD206" s="357"/>
      <c r="AE206" s="357"/>
      <c r="AF206" s="357"/>
      <c r="AG206" s="412"/>
      <c r="AH206" s="357"/>
      <c r="AI206" s="357"/>
      <c r="AJ206" s="313"/>
      <c r="AK206" s="313"/>
      <c r="AL206" s="412"/>
      <c r="AM206" s="313"/>
      <c r="AN206" s="313"/>
      <c r="AO206" s="313"/>
      <c r="AP206" s="313"/>
      <c r="AQ206" s="412"/>
      <c r="AR206" s="313"/>
      <c r="AS206" s="313"/>
      <c r="AT206" s="313"/>
      <c r="AU206" s="313"/>
      <c r="AV206" s="412"/>
      <c r="AW206" s="313"/>
      <c r="AX206" s="313"/>
      <c r="AY206" s="313"/>
      <c r="AZ206" s="313"/>
      <c r="BA206" s="412"/>
      <c r="BB206" s="313"/>
      <c r="BC206" s="313"/>
      <c r="BD206" s="313"/>
      <c r="BE206" s="313"/>
      <c r="BF206" s="494"/>
      <c r="BG206" s="313"/>
      <c r="BH206" s="313"/>
      <c r="BI206" s="313"/>
      <c r="BJ206" s="313"/>
      <c r="BK206" s="559"/>
      <c r="BL206" s="313"/>
      <c r="BM206" s="313"/>
      <c r="BN206" s="313"/>
      <c r="BO206" s="313"/>
      <c r="BP206" s="412"/>
      <c r="BQ206" s="620"/>
      <c r="BR206" s="313"/>
      <c r="BS206" s="313"/>
      <c r="BT206" s="313"/>
      <c r="BU206" s="412"/>
      <c r="BV206" s="313"/>
      <c r="BW206" s="313"/>
      <c r="BX206" s="313"/>
      <c r="BY206" s="313"/>
      <c r="BZ206" s="412"/>
      <c r="CA206" s="313"/>
      <c r="CB206" s="313"/>
      <c r="CC206" s="313"/>
      <c r="CD206" s="313"/>
      <c r="CE206" s="412"/>
      <c r="CF206" s="313"/>
      <c r="CG206" s="313"/>
      <c r="CH206" s="313"/>
      <c r="CI206" s="313"/>
      <c r="CJ206" s="412"/>
      <c r="CK206" s="313"/>
      <c r="CL206" s="313"/>
      <c r="CM206" s="313"/>
      <c r="CN206" s="313"/>
      <c r="CO206" s="412"/>
      <c r="CP206" s="313"/>
      <c r="CQ206" s="313"/>
      <c r="CR206" s="313"/>
      <c r="CS206" s="313"/>
      <c r="CT206" s="412"/>
      <c r="CU206" s="313"/>
      <c r="CV206" s="313"/>
    </row>
    <row r="207" spans="1:100" x14ac:dyDescent="0.2">
      <c r="A207" s="313"/>
      <c r="B207" s="313"/>
      <c r="C207" s="313"/>
      <c r="D207" s="313"/>
      <c r="E207" s="313"/>
      <c r="F207" s="313"/>
      <c r="G207" s="313"/>
      <c r="H207" s="412"/>
      <c r="I207" s="313"/>
      <c r="J207" s="313"/>
      <c r="K207" s="313"/>
      <c r="L207" s="313"/>
      <c r="M207" s="412"/>
      <c r="N207" s="313"/>
      <c r="O207" s="313"/>
      <c r="P207" s="313"/>
      <c r="Q207" s="313"/>
      <c r="R207" s="412"/>
      <c r="S207" s="313"/>
      <c r="T207" s="313"/>
      <c r="U207" s="313"/>
      <c r="V207" s="313"/>
      <c r="W207" s="412"/>
      <c r="X207" s="313"/>
      <c r="Y207" s="313"/>
      <c r="Z207" s="313"/>
      <c r="AA207" s="313"/>
      <c r="AB207" s="412"/>
      <c r="AC207" s="313"/>
      <c r="AD207" s="313"/>
      <c r="AE207" s="313"/>
      <c r="AF207" s="313"/>
      <c r="AG207" s="412"/>
      <c r="AH207" s="357"/>
      <c r="AI207" s="357"/>
      <c r="AJ207" s="313"/>
      <c r="AK207" s="313"/>
      <c r="AL207" s="412"/>
      <c r="AM207" s="313"/>
      <c r="AN207" s="313"/>
      <c r="AO207" s="313"/>
      <c r="AP207" s="313"/>
      <c r="AQ207" s="412"/>
      <c r="AR207" s="313"/>
      <c r="AS207" s="313"/>
      <c r="AT207" s="313"/>
      <c r="AU207" s="313"/>
      <c r="AV207" s="412"/>
      <c r="AW207" s="313"/>
      <c r="AX207" s="313"/>
      <c r="AY207" s="313"/>
      <c r="AZ207" s="313"/>
      <c r="BA207" s="412"/>
      <c r="BB207" s="313"/>
      <c r="BC207" s="313"/>
      <c r="BD207" s="313"/>
      <c r="BE207" s="313"/>
      <c r="BF207" s="412"/>
      <c r="BG207" s="313"/>
      <c r="BH207" s="313"/>
      <c r="BI207" s="313"/>
      <c r="BJ207" s="313"/>
      <c r="BK207" s="412"/>
      <c r="BL207" s="313"/>
      <c r="BM207" s="313"/>
      <c r="BN207" s="313"/>
      <c r="BO207" s="313"/>
      <c r="BP207" s="412"/>
      <c r="BQ207" s="620"/>
      <c r="BR207" s="313"/>
      <c r="BS207" s="313"/>
      <c r="BT207" s="313"/>
      <c r="BU207" s="412"/>
      <c r="BV207" s="313"/>
      <c r="BW207" s="313"/>
      <c r="BX207" s="313"/>
      <c r="BY207" s="313"/>
      <c r="BZ207" s="412"/>
      <c r="CA207" s="313"/>
      <c r="CB207" s="313"/>
      <c r="CC207" s="313"/>
      <c r="CD207" s="313"/>
      <c r="CE207" s="412"/>
      <c r="CF207" s="313"/>
      <c r="CG207" s="313"/>
      <c r="CH207" s="313"/>
      <c r="CI207" s="313"/>
      <c r="CJ207" s="412"/>
      <c r="CK207" s="313"/>
      <c r="CL207" s="313"/>
      <c r="CM207" s="313"/>
      <c r="CN207" s="313"/>
      <c r="CO207" s="412"/>
      <c r="CP207" s="313"/>
      <c r="CQ207" s="313"/>
      <c r="CR207" s="313"/>
      <c r="CS207" s="313"/>
      <c r="CT207" s="412"/>
      <c r="CU207" s="313"/>
      <c r="CV207" s="313"/>
    </row>
    <row r="208" spans="1:100" x14ac:dyDescent="0.2">
      <c r="A208" s="313"/>
      <c r="B208" s="313"/>
      <c r="C208" s="313"/>
      <c r="D208" s="313"/>
      <c r="E208" s="313"/>
      <c r="F208" s="313"/>
      <c r="G208" s="313"/>
      <c r="H208" s="412"/>
      <c r="I208" s="313"/>
      <c r="J208" s="313"/>
      <c r="K208" s="313"/>
      <c r="L208" s="313"/>
      <c r="M208" s="412"/>
      <c r="N208" s="313"/>
      <c r="O208" s="313"/>
      <c r="P208" s="313"/>
      <c r="Q208" s="313"/>
      <c r="R208" s="412"/>
      <c r="S208" s="313"/>
      <c r="T208" s="313"/>
      <c r="U208" s="313"/>
      <c r="V208" s="313"/>
      <c r="W208" s="412"/>
      <c r="X208" s="313"/>
      <c r="Y208" s="313"/>
      <c r="Z208" s="313"/>
      <c r="AA208" s="313"/>
      <c r="AB208" s="412"/>
      <c r="AC208" s="313"/>
      <c r="AD208" s="313"/>
      <c r="AE208" s="313"/>
      <c r="AF208" s="313"/>
      <c r="AG208" s="412"/>
      <c r="AH208" s="313"/>
      <c r="AI208" s="313"/>
      <c r="AJ208" s="313"/>
      <c r="AK208" s="313"/>
      <c r="AL208" s="412"/>
      <c r="AM208" s="313"/>
      <c r="AN208" s="313"/>
      <c r="AO208" s="313"/>
      <c r="AP208" s="313"/>
      <c r="AQ208" s="412"/>
      <c r="AR208" s="313"/>
      <c r="AS208" s="313"/>
      <c r="AT208" s="313"/>
      <c r="AU208" s="313"/>
      <c r="AV208" s="412"/>
      <c r="AW208" s="313"/>
      <c r="AX208" s="313"/>
      <c r="AY208" s="313"/>
      <c r="AZ208" s="313"/>
      <c r="BA208" s="412"/>
      <c r="BB208" s="313"/>
      <c r="BC208" s="313"/>
      <c r="BD208" s="313"/>
      <c r="BE208" s="313"/>
      <c r="BF208" s="412"/>
      <c r="BG208" s="313"/>
      <c r="BH208" s="313"/>
      <c r="BI208" s="313"/>
      <c r="BJ208" s="313"/>
      <c r="BK208" s="412"/>
      <c r="BL208" s="313"/>
      <c r="BM208" s="313"/>
      <c r="BN208" s="313"/>
      <c r="BO208" s="313"/>
      <c r="BP208" s="412"/>
      <c r="BQ208" s="620"/>
      <c r="BR208" s="313"/>
      <c r="BS208" s="313"/>
      <c r="BT208" s="313"/>
      <c r="BU208" s="412"/>
      <c r="BV208" s="313"/>
      <c r="BW208" s="313"/>
      <c r="BX208" s="313"/>
      <c r="BY208" s="313"/>
      <c r="BZ208" s="412"/>
      <c r="CA208" s="313"/>
      <c r="CB208" s="313"/>
      <c r="CC208" s="313"/>
      <c r="CD208" s="313"/>
      <c r="CE208" s="412"/>
      <c r="CF208" s="313"/>
      <c r="CG208" s="313"/>
      <c r="CH208" s="313"/>
      <c r="CI208" s="313"/>
      <c r="CJ208" s="412"/>
      <c r="CK208" s="313"/>
      <c r="CL208" s="313"/>
      <c r="CM208" s="313"/>
      <c r="CN208" s="313"/>
      <c r="CO208" s="412"/>
      <c r="CP208" s="313"/>
      <c r="CQ208" s="313"/>
      <c r="CR208" s="313"/>
      <c r="CS208" s="313"/>
      <c r="CT208" s="412"/>
      <c r="CU208" s="313"/>
      <c r="CV208" s="313"/>
    </row>
    <row r="209" spans="1:121" customFormat="1" hidden="1" outlineLevel="1" x14ac:dyDescent="0.2"/>
    <row r="210" spans="1:121" s="304" customFormat="1" hidden="1" outlineLevel="1" x14ac:dyDescent="0.2">
      <c r="A210" s="495" t="s">
        <v>192</v>
      </c>
      <c r="B210" s="496"/>
      <c r="C210" s="496"/>
      <c r="D210" s="363"/>
      <c r="E210" s="363"/>
      <c r="F210" s="363"/>
      <c r="G210" s="363"/>
      <c r="H210" s="363"/>
      <c r="I210" s="363"/>
      <c r="J210" s="363"/>
      <c r="K210" s="363"/>
      <c r="L210" s="363"/>
      <c r="M210" s="363"/>
      <c r="N210" s="363">
        <f>+Segments!E7</f>
        <v>0</v>
      </c>
      <c r="O210" s="363">
        <f>+Segments!F7</f>
        <v>0</v>
      </c>
      <c r="P210" s="363">
        <f>+Segments!G7</f>
        <v>0</v>
      </c>
      <c r="Q210" s="363">
        <f>+Segments!H7</f>
        <v>0</v>
      </c>
      <c r="R210" s="363">
        <f>+Segments!I7</f>
        <v>7.9527049656539367E-2</v>
      </c>
      <c r="S210" s="363">
        <f>+Segments!J7</f>
        <v>5.3136800695466752E-2</v>
      </c>
      <c r="T210" s="363">
        <f>+Segments!K7</f>
        <v>6.1693371316572931E-2</v>
      </c>
      <c r="U210" s="363">
        <f>+Segments!L7</f>
        <v>7.1627431404462233E-2</v>
      </c>
      <c r="V210" s="363">
        <f>+Segments!M7</f>
        <v>0.11751655629139074</v>
      </c>
      <c r="W210" s="363">
        <f>+Segments!N7</f>
        <v>7.0897913879955587E-2</v>
      </c>
      <c r="X210" s="363">
        <f>+Segments!O7</f>
        <v>6.9219047619047624E-2</v>
      </c>
      <c r="Y210" s="363">
        <f>+Segments!P7</f>
        <v>6.8355365879046531E-2</v>
      </c>
      <c r="Z210" s="363">
        <f>+Segments!Q7</f>
        <v>6.2860584013371343E-2</v>
      </c>
      <c r="AA210" s="363">
        <f>+Segments!R7</f>
        <v>6.29677628381662E-2</v>
      </c>
      <c r="AB210" s="363">
        <f>+Segments!S7</f>
        <v>6.5444089780615097E-2</v>
      </c>
      <c r="AC210" s="363">
        <f>+Segments!T7</f>
        <v>4.2269890795631822E-2</v>
      </c>
      <c r="AD210" s="363">
        <f>+Segments!U7</f>
        <v>3.69835541343079E-2</v>
      </c>
      <c r="AE210" s="363">
        <f>+Segments!V7</f>
        <v>3.1727143365350416E-2</v>
      </c>
      <c r="AF210" s="363">
        <f>+Segments!W7</f>
        <v>2.6610888522271975E-2</v>
      </c>
      <c r="AG210" s="363">
        <f>+Segments!X7</f>
        <v>3.6070379875609813E-2</v>
      </c>
      <c r="AH210" s="363">
        <f>+Segments!Y7</f>
        <v>1.4373714147404126E-2</v>
      </c>
      <c r="AI210" s="363">
        <f>+Segments!Z7</f>
        <v>3.0356268882175297E-2</v>
      </c>
      <c r="AJ210" s="363">
        <f>+Segments!AA7</f>
        <v>4.6451010830324879E-2</v>
      </c>
      <c r="AK210" s="363">
        <f>+Segments!AB7</f>
        <v>4.2536000601639423E-2</v>
      </c>
      <c r="AL210" s="363">
        <f>+Segments!AC7</f>
        <v>3.294926999386133E-2</v>
      </c>
      <c r="AM210" s="363">
        <f>+Segments!AD7</f>
        <v>0.04</v>
      </c>
      <c r="AN210" s="363">
        <f>+Segments!AE7</f>
        <v>5.1187757583946933E-2</v>
      </c>
      <c r="AO210" s="363">
        <f>+Segments!AF7</f>
        <v>5.5E-2</v>
      </c>
      <c r="AP210" s="363">
        <f>+Segments!AG7</f>
        <v>4.9883778573395793E-2</v>
      </c>
      <c r="AQ210" s="363">
        <f ca="1">+Segments!AH7</f>
        <v>4.7099194301324476E-2</v>
      </c>
      <c r="AR210" s="363">
        <f>+Segments!AI7</f>
        <v>4.3419619669933782E-2</v>
      </c>
      <c r="AS210" s="363">
        <f>+Segments!AJ7</f>
        <v>0.05</v>
      </c>
      <c r="AT210" s="363">
        <f>+Segments!AK7</f>
        <v>0.05</v>
      </c>
      <c r="AU210" s="363">
        <f>+Segments!AL7</f>
        <v>0.05</v>
      </c>
      <c r="AV210" s="363">
        <f>+Segments!AM7</f>
        <v>0.05</v>
      </c>
      <c r="AW210" s="363">
        <f>+Segments!AN7</f>
        <v>4.3999999999999997E-2</v>
      </c>
      <c r="AX210" s="363">
        <f>+Segments!AO7</f>
        <v>4.2000000000000003E-2</v>
      </c>
      <c r="AY210" s="363">
        <f>+Segments!AP7</f>
        <v>3.3000000000000002E-2</v>
      </c>
      <c r="AZ210" s="363">
        <f>+Segments!AQ7</f>
        <v>4.1000000000000002E-2</v>
      </c>
      <c r="BA210" s="363">
        <f>+Segments!AR7</f>
        <v>0.04</v>
      </c>
      <c r="BB210" s="363">
        <f>+Segments!AS7</f>
        <v>0.04</v>
      </c>
      <c r="BC210" s="363">
        <f>+Segments!AT7</f>
        <v>3.5999999999999997E-2</v>
      </c>
      <c r="BD210" s="363">
        <f>+Segments!AU7</f>
        <v>3.1E-2</v>
      </c>
      <c r="BE210" s="363">
        <f>+Segments!AV7</f>
        <v>0.05</v>
      </c>
      <c r="BF210" s="363">
        <f>+Segments!AW7</f>
        <v>0.04</v>
      </c>
      <c r="BG210" s="363">
        <f>+Segments!AX7</f>
        <v>4.3999999999999997E-2</v>
      </c>
      <c r="BH210" s="363">
        <f>+Segments!AY7</f>
        <v>5.0999999999999997E-2</v>
      </c>
      <c r="BI210" s="363">
        <f>+Segments!AZ7</f>
        <v>7.3999999999999996E-2</v>
      </c>
      <c r="BJ210" s="363">
        <f>+Segments!BA7</f>
        <v>0.04</v>
      </c>
      <c r="BK210" s="363">
        <f>+Segments!BB7</f>
        <v>0.05</v>
      </c>
      <c r="BL210" s="363">
        <f>+Segments!BC7</f>
        <v>3.5000000000000003E-2</v>
      </c>
      <c r="BM210" s="363">
        <f>+Segments!BD7</f>
        <v>3.3000000000000002E-2</v>
      </c>
      <c r="BN210" s="363">
        <f>+Segments!BE7</f>
        <v>4.2000000000000003E-2</v>
      </c>
      <c r="BO210" s="363">
        <f>+Segments!BF7</f>
        <v>3.6999999999999998E-2</v>
      </c>
      <c r="BP210" s="363">
        <f>+Segments!BG7</f>
        <v>3.6999999999999998E-2</v>
      </c>
      <c r="BQ210" s="595">
        <f>+Segments!BH7</f>
        <v>2.1000000000000001E-2</v>
      </c>
      <c r="BR210" s="363">
        <f>+Segments!BI7</f>
        <v>3.1E-2</v>
      </c>
      <c r="BS210" s="363">
        <f>+Segments!BJ7</f>
        <v>1.7000000000000001E-2</v>
      </c>
      <c r="BT210" s="363">
        <f>+Segments!BK7</f>
        <v>2.3E-2</v>
      </c>
      <c r="BU210" s="363">
        <f>+Segments!BL7</f>
        <v>2.3E-2</v>
      </c>
      <c r="BV210" s="363">
        <f>+Segments!BM7</f>
        <v>1.9764533173890101E-2</v>
      </c>
      <c r="BW210" s="363">
        <f>+Segments!BN7</f>
        <v>2.1306204195067353E-2</v>
      </c>
      <c r="BX210" s="363">
        <f>+Segments!BO7</f>
        <v>3.2808856607126319E-2</v>
      </c>
      <c r="BY210" s="363">
        <f>+Segments!BP7</f>
        <v>3.0822082506599836E-2</v>
      </c>
      <c r="BZ210" s="363">
        <f>+Segments!BQ7</f>
        <v>2.6879356827080807E-2</v>
      </c>
      <c r="CA210" s="363">
        <f>+Segments!BR7</f>
        <v>2.9228850021822406E-2</v>
      </c>
      <c r="CB210" s="363">
        <f>+Segments!BS7</f>
        <v>3.0972215787963941E-2</v>
      </c>
      <c r="CC210" s="363">
        <f>+Segments!BT7</f>
        <v>3.0177824368073258E-2</v>
      </c>
      <c r="CD210" s="363">
        <f>+Segments!BU7</f>
        <v>3.1314001564767713E-2</v>
      </c>
      <c r="CE210" s="363">
        <f>+Segments!BV7</f>
        <v>3.0543597518213842E-2</v>
      </c>
      <c r="CF210" s="363">
        <f>+Segments!BW7</f>
        <v>2.8629057120954648E-2</v>
      </c>
      <c r="CG210" s="363">
        <f>+Segments!BX7</f>
        <v>3.0142557836388306E-2</v>
      </c>
      <c r="CH210" s="363">
        <f>+Segments!BY7</f>
        <v>2.9479363206257991E-2</v>
      </c>
      <c r="CI210" s="363">
        <f>+Segments!BZ7</f>
        <v>3.057868465192648E-2</v>
      </c>
      <c r="CJ210" s="363">
        <f>+Segments!CA7</f>
        <v>2.9820702999743043E-2</v>
      </c>
      <c r="CK210" s="363">
        <f>+Segments!CB7</f>
        <v>2.8859542320265552E-2</v>
      </c>
      <c r="CL210" s="363">
        <f>+Segments!CC7</f>
        <v>3.0401934124465901E-2</v>
      </c>
      <c r="CM210" s="363">
        <f>+Segments!CD7</f>
        <v>2.9758389121312456E-2</v>
      </c>
      <c r="CN210" s="363">
        <f>+Segments!CE7</f>
        <v>3.0833146461193062E-2</v>
      </c>
      <c r="CO210" s="363">
        <f>+Segments!CF7</f>
        <v>3.0078597369138205E-2</v>
      </c>
      <c r="CP210" s="363">
        <f>+Segments!CG7</f>
        <v>2.9089633951339344E-2</v>
      </c>
      <c r="CQ210" s="363">
        <f>+Segments!CH7</f>
        <v>3.0659813233825162E-2</v>
      </c>
      <c r="CR210" s="363">
        <f>+Segments!CI7</f>
        <v>3.0035133316167029E-2</v>
      </c>
      <c r="CS210" s="363">
        <f>+Segments!CJ7</f>
        <v>3.1085845231110021E-2</v>
      </c>
      <c r="CT210" s="363">
        <f>+Segments!CK7</f>
        <v>3.0334931877431082E-2</v>
      </c>
      <c r="CU210" s="338"/>
      <c r="CV210" s="338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</row>
    <row r="211" spans="1:121" s="304" customFormat="1" hidden="1" outlineLevel="1" x14ac:dyDescent="0.2">
      <c r="A211" s="495" t="s">
        <v>193</v>
      </c>
      <c r="B211" s="496"/>
      <c r="C211" s="496"/>
      <c r="D211" s="363"/>
      <c r="E211" s="363"/>
      <c r="F211" s="363"/>
      <c r="G211" s="363"/>
      <c r="H211" s="363"/>
      <c r="I211" s="363"/>
      <c r="J211" s="363"/>
      <c r="K211" s="363"/>
      <c r="L211" s="363"/>
      <c r="M211" s="363"/>
      <c r="N211" s="363">
        <f>+Segments!E8</f>
        <v>0</v>
      </c>
      <c r="O211" s="363">
        <f>+Segments!F8</f>
        <v>0</v>
      </c>
      <c r="P211" s="363">
        <f>+Segments!G8</f>
        <v>0</v>
      </c>
      <c r="Q211" s="363">
        <f>+Segments!H8</f>
        <v>0</v>
      </c>
      <c r="R211" s="363">
        <f>+Segments!I8</f>
        <v>8.9999999999999993E-3</v>
      </c>
      <c r="S211" s="363">
        <f>+Segments!J8</f>
        <v>2.3431140962518179E-2</v>
      </c>
      <c r="T211" s="363">
        <f>+Segments!K8</f>
        <v>2.3431140962518179E-2</v>
      </c>
      <c r="U211" s="363">
        <f>+Segments!L8</f>
        <v>2.3431140962518179E-2</v>
      </c>
      <c r="V211" s="363">
        <f>+Segments!M8</f>
        <v>2.8582781456953643E-2</v>
      </c>
      <c r="W211" s="363">
        <f>+Segments!N8</f>
        <v>2.3431140962518179E-2</v>
      </c>
      <c r="X211" s="363">
        <f>+Segments!O8</f>
        <v>3.3741496598639426E-2</v>
      </c>
      <c r="Y211" s="363">
        <f>+Segments!P8</f>
        <v>3.9273446445300259E-2</v>
      </c>
      <c r="Z211" s="363">
        <f>+Segments!Q8</f>
        <v>3.0496018090649904E-2</v>
      </c>
      <c r="AA211" s="363">
        <f>+Segments!R8</f>
        <v>-5.3977806577028914E-2</v>
      </c>
      <c r="AB211" s="363">
        <f>+Segments!S8</f>
        <v>5.6832345341236296E-3</v>
      </c>
      <c r="AC211" s="363">
        <f>+Segments!T8</f>
        <v>-6.8400336013440588E-2</v>
      </c>
      <c r="AD211" s="363">
        <f>+Segments!U8</f>
        <v>-8.725216994061219E-2</v>
      </c>
      <c r="AE211" s="363">
        <f>+Segments!V8</f>
        <v>-6.4585556741373187E-2</v>
      </c>
      <c r="AF211" s="363">
        <f>+Segments!W8</f>
        <v>1.4622515515751361E-2</v>
      </c>
      <c r="AG211" s="363">
        <f>+Segments!X8</f>
        <v>-5.0439296201243947E-2</v>
      </c>
      <c r="AH211" s="363">
        <f>+Segments!Y8</f>
        <v>2.8145951833474576E-2</v>
      </c>
      <c r="AI211" s="363">
        <f>+Segments!Z8</f>
        <v>2.4493957703927507E-2</v>
      </c>
      <c r="AJ211" s="363">
        <f>+Segments!AA8</f>
        <v>-1.2666064981949421E-2</v>
      </c>
      <c r="AK211" s="363">
        <f>+Segments!AB8</f>
        <v>-7.9393848236444606E-3</v>
      </c>
      <c r="AL211" s="363">
        <f>+Segments!AC8</f>
        <v>7.8515914137676224E-3</v>
      </c>
      <c r="AM211" s="363">
        <f>+Segments!AD8</f>
        <v>0.01</v>
      </c>
      <c r="AN211" s="363">
        <f>+Segments!AE8</f>
        <v>0.03</v>
      </c>
      <c r="AO211" s="363">
        <f>+Segments!AF8</f>
        <v>3.5000000000000003E-2</v>
      </c>
      <c r="AP211" s="363">
        <f>+Segments!AG8</f>
        <v>-1.4999999999999999E-2</v>
      </c>
      <c r="AQ211" s="363">
        <f ca="1">+Segments!AH8</f>
        <v>1.3959939831944395E-2</v>
      </c>
      <c r="AR211" s="363">
        <f>+Segments!AI8</f>
        <v>-0.01</v>
      </c>
      <c r="AS211" s="363">
        <f>+Segments!AJ8</f>
        <v>-0.03</v>
      </c>
      <c r="AT211" s="363">
        <f>+Segments!AK8</f>
        <v>-0.05</v>
      </c>
      <c r="AU211" s="363">
        <f>+Segments!AL8</f>
        <v>-5.0000000000000001E-3</v>
      </c>
      <c r="AV211" s="363">
        <f>+Segments!AM8</f>
        <v>-2.5000000000000001E-2</v>
      </c>
      <c r="AW211" s="363">
        <f>+Segments!AN8</f>
        <v>-5.0000000000000001E-3</v>
      </c>
      <c r="AX211" s="363">
        <f>+Segments!AO8</f>
        <v>-1.4999999999999999E-2</v>
      </c>
      <c r="AY211" s="363">
        <f>+Segments!AP8</f>
        <v>-1.2999999999999999E-2</v>
      </c>
      <c r="AZ211" s="363">
        <f>+Segments!AQ8</f>
        <v>-0.03</v>
      </c>
      <c r="BA211" s="363">
        <f>+Segments!AR8</f>
        <v>-1.7000000000000001E-2</v>
      </c>
      <c r="BB211" s="363">
        <f>+Segments!AS8</f>
        <v>-0.03</v>
      </c>
      <c r="BC211" s="363">
        <f>+Segments!AT8</f>
        <v>-0.03</v>
      </c>
      <c r="BD211" s="363">
        <f>+Segments!AU8</f>
        <v>-0.01</v>
      </c>
      <c r="BE211" s="363">
        <f>+Segments!AV8</f>
        <v>-0.06</v>
      </c>
      <c r="BF211" s="363">
        <f>+Segments!AW8</f>
        <v>-0.03</v>
      </c>
      <c r="BG211" s="363">
        <f>+Segments!AX8</f>
        <v>-0.08</v>
      </c>
      <c r="BH211" s="363">
        <f>+Segments!AY8</f>
        <v>-0.1</v>
      </c>
      <c r="BI211" s="363">
        <f>+Segments!AZ8</f>
        <v>-0.12</v>
      </c>
      <c r="BJ211" s="363">
        <f>+Segments!BA8</f>
        <v>-0.08</v>
      </c>
      <c r="BK211" s="363">
        <f>+Segments!BB8</f>
        <v>-0.1</v>
      </c>
      <c r="BL211" s="363">
        <f>+Segments!BC8</f>
        <v>-4.4999999999999998E-2</v>
      </c>
      <c r="BM211" s="363">
        <f>+Segments!BD8</f>
        <v>-0.04</v>
      </c>
      <c r="BN211" s="363">
        <f>+Segments!BE8</f>
        <v>-0.03</v>
      </c>
      <c r="BO211" s="363">
        <f>+Segments!BF8</f>
        <v>-0.02</v>
      </c>
      <c r="BP211" s="363">
        <f>+Segments!BG8</f>
        <v>-0.03</v>
      </c>
      <c r="BQ211" s="595">
        <f>+Segments!BH8</f>
        <v>-0.01</v>
      </c>
      <c r="BR211" s="363">
        <f>+Segments!BI8</f>
        <v>-1.4999999999999999E-2</v>
      </c>
      <c r="BS211" s="363">
        <f>+Segments!BJ8</f>
        <v>-0.01</v>
      </c>
      <c r="BT211" s="363">
        <f>+Segments!BK8</f>
        <v>0.01</v>
      </c>
      <c r="BU211" s="363">
        <f>+Segments!BL8</f>
        <v>0</v>
      </c>
      <c r="BV211" s="363">
        <f>+Segments!BM8</f>
        <v>2.0051269579069036E-2</v>
      </c>
      <c r="BW211" s="363">
        <f>+Segments!BN8</f>
        <v>1.678332157462812E-2</v>
      </c>
      <c r="BX211" s="363">
        <f>+Segments!BO8</f>
        <v>5.8269202020464726E-3</v>
      </c>
      <c r="BY211" s="363">
        <f>+Segments!BP8</f>
        <v>1.0237615436548917E-2</v>
      </c>
      <c r="BZ211" s="363">
        <f>+Segments!BQ8</f>
        <v>1.2590202159636356E-2</v>
      </c>
      <c r="CA211" s="363">
        <f>+Segments!BR8</f>
        <v>-2.3613916885667534E-4</v>
      </c>
      <c r="CB211" s="363">
        <f>+Segments!BS8</f>
        <v>0</v>
      </c>
      <c r="CC211" s="363">
        <f>+Segments!BT8</f>
        <v>0</v>
      </c>
      <c r="CD211" s="363">
        <f>+Segments!BU8</f>
        <v>0</v>
      </c>
      <c r="CE211" s="363">
        <f>+Segments!BV8</f>
        <v>-4.482295861036175E-5</v>
      </c>
      <c r="CF211" s="363">
        <f>+Segments!BW8</f>
        <v>0</v>
      </c>
      <c r="CG211" s="363">
        <f>+Segments!BX8</f>
        <v>0</v>
      </c>
      <c r="CH211" s="363">
        <f>+Segments!BY8</f>
        <v>0</v>
      </c>
      <c r="CI211" s="363">
        <f>+Segments!BZ8</f>
        <v>0</v>
      </c>
      <c r="CJ211" s="363">
        <f>+Segments!CA8</f>
        <v>0</v>
      </c>
      <c r="CK211" s="363">
        <f>+Segments!CB8</f>
        <v>0</v>
      </c>
      <c r="CL211" s="363">
        <f>+Segments!CC8</f>
        <v>0</v>
      </c>
      <c r="CM211" s="363">
        <f>+Segments!CD8</f>
        <v>0</v>
      </c>
      <c r="CN211" s="363">
        <f>+Segments!CE8</f>
        <v>0</v>
      </c>
      <c r="CO211" s="363">
        <f>+Segments!CF8</f>
        <v>0</v>
      </c>
      <c r="CP211" s="363">
        <f>+Segments!CG8</f>
        <v>0</v>
      </c>
      <c r="CQ211" s="363">
        <f>+Segments!CH8</f>
        <v>0</v>
      </c>
      <c r="CR211" s="363">
        <f>+Segments!CI8</f>
        <v>0</v>
      </c>
      <c r="CS211" s="363">
        <f>+Segments!CJ8</f>
        <v>0</v>
      </c>
      <c r="CT211" s="363">
        <f>+Segments!CK8</f>
        <v>0</v>
      </c>
      <c r="CU211" s="338"/>
      <c r="CV211" s="338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</row>
    <row r="212" spans="1:121" s="304" customFormat="1" hidden="1" outlineLevel="1" x14ac:dyDescent="0.2">
      <c r="A212" s="495" t="s">
        <v>194</v>
      </c>
      <c r="B212" s="496"/>
      <c r="C212" s="496"/>
      <c r="D212" s="498"/>
      <c r="E212" s="498"/>
      <c r="F212" s="498"/>
      <c r="G212" s="498"/>
      <c r="H212" s="498"/>
      <c r="I212" s="498"/>
      <c r="J212" s="498"/>
      <c r="K212" s="498"/>
      <c r="L212" s="498"/>
      <c r="M212" s="498"/>
      <c r="N212" s="498">
        <v>0</v>
      </c>
      <c r="O212" s="498">
        <v>0</v>
      </c>
      <c r="P212" s="498">
        <v>0</v>
      </c>
      <c r="Q212" s="498">
        <v>0</v>
      </c>
      <c r="R212" s="498">
        <v>0</v>
      </c>
      <c r="S212" s="498">
        <v>0</v>
      </c>
      <c r="T212" s="498">
        <v>0</v>
      </c>
      <c r="U212" s="498">
        <v>0</v>
      </c>
      <c r="V212" s="498">
        <v>0</v>
      </c>
      <c r="W212" s="498">
        <v>0</v>
      </c>
      <c r="X212" s="498">
        <v>0</v>
      </c>
      <c r="Y212" s="498">
        <v>0</v>
      </c>
      <c r="Z212" s="498">
        <v>0</v>
      </c>
      <c r="AA212" s="498">
        <v>0</v>
      </c>
      <c r="AB212" s="498">
        <v>0</v>
      </c>
      <c r="AC212" s="498">
        <v>0</v>
      </c>
      <c r="AD212" s="498">
        <v>0</v>
      </c>
      <c r="AE212" s="498">
        <v>0</v>
      </c>
      <c r="AF212" s="498">
        <v>0</v>
      </c>
      <c r="AG212" s="498">
        <v>0</v>
      </c>
      <c r="AH212" s="498">
        <v>0</v>
      </c>
      <c r="AI212" s="498">
        <v>0</v>
      </c>
      <c r="AJ212" s="498">
        <v>0</v>
      </c>
      <c r="AK212" s="498">
        <v>0</v>
      </c>
      <c r="AL212" s="498">
        <v>0</v>
      </c>
      <c r="AM212" s="498">
        <v>0</v>
      </c>
      <c r="AN212" s="498">
        <v>0</v>
      </c>
      <c r="AO212" s="498">
        <v>0</v>
      </c>
      <c r="AP212" s="498">
        <v>0</v>
      </c>
      <c r="AQ212" s="498">
        <v>0</v>
      </c>
      <c r="AR212" s="498">
        <v>0</v>
      </c>
      <c r="AS212" s="498">
        <v>0</v>
      </c>
      <c r="AT212" s="498">
        <v>0</v>
      </c>
      <c r="AU212" s="498">
        <v>0</v>
      </c>
      <c r="AV212" s="498">
        <v>0</v>
      </c>
      <c r="AW212" s="498">
        <v>0</v>
      </c>
      <c r="AX212" s="498">
        <v>0</v>
      </c>
      <c r="AY212" s="498">
        <v>0</v>
      </c>
      <c r="AZ212" s="498">
        <v>0</v>
      </c>
      <c r="BA212" s="498">
        <v>0</v>
      </c>
      <c r="BB212" s="498">
        <v>0</v>
      </c>
      <c r="BC212" s="498">
        <v>0</v>
      </c>
      <c r="BD212" s="498">
        <v>0</v>
      </c>
      <c r="BE212" s="498">
        <v>0</v>
      </c>
      <c r="BF212" s="498">
        <v>0</v>
      </c>
      <c r="BG212" s="498">
        <v>0</v>
      </c>
      <c r="BH212" s="498">
        <v>0</v>
      </c>
      <c r="BI212" s="498">
        <v>0</v>
      </c>
      <c r="BJ212" s="498">
        <v>0</v>
      </c>
      <c r="BK212" s="498">
        <v>0</v>
      </c>
      <c r="BL212" s="498">
        <v>0</v>
      </c>
      <c r="BM212" s="498">
        <v>0</v>
      </c>
      <c r="BN212" s="498">
        <v>0</v>
      </c>
      <c r="BO212" s="498">
        <v>0</v>
      </c>
      <c r="BP212" s="498">
        <v>0</v>
      </c>
      <c r="BQ212" s="621">
        <v>0</v>
      </c>
      <c r="BR212" s="498">
        <v>0</v>
      </c>
      <c r="BS212" s="498">
        <v>0</v>
      </c>
      <c r="BT212" s="498">
        <v>0</v>
      </c>
      <c r="BU212" s="498">
        <v>0</v>
      </c>
      <c r="BV212" s="498">
        <v>0</v>
      </c>
      <c r="BW212" s="498">
        <v>0</v>
      </c>
      <c r="BX212" s="498">
        <v>0</v>
      </c>
      <c r="BY212" s="498">
        <v>0</v>
      </c>
      <c r="BZ212" s="498">
        <v>0</v>
      </c>
      <c r="CA212" s="498">
        <v>0</v>
      </c>
      <c r="CB212" s="498">
        <v>0</v>
      </c>
      <c r="CC212" s="498">
        <v>0</v>
      </c>
      <c r="CD212" s="498">
        <v>0</v>
      </c>
      <c r="CE212" s="498">
        <v>0</v>
      </c>
      <c r="CF212" s="498">
        <v>0</v>
      </c>
      <c r="CG212" s="498">
        <v>0</v>
      </c>
      <c r="CH212" s="498">
        <v>0</v>
      </c>
      <c r="CI212" s="498">
        <v>0</v>
      </c>
      <c r="CJ212" s="498">
        <v>0</v>
      </c>
      <c r="CK212" s="498">
        <v>0</v>
      </c>
      <c r="CL212" s="498">
        <v>0</v>
      </c>
      <c r="CM212" s="498">
        <v>0</v>
      </c>
      <c r="CN212" s="498">
        <v>0</v>
      </c>
      <c r="CO212" s="498">
        <v>0</v>
      </c>
      <c r="CP212" s="498">
        <v>0</v>
      </c>
      <c r="CQ212" s="498">
        <v>0</v>
      </c>
      <c r="CR212" s="498">
        <v>0</v>
      </c>
      <c r="CS212" s="498">
        <v>0</v>
      </c>
      <c r="CT212" s="498">
        <v>0</v>
      </c>
      <c r="CU212" s="499"/>
      <c r="CV212" s="499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</row>
    <row r="213" spans="1:121" s="304" customFormat="1" hidden="1" outlineLevel="1" x14ac:dyDescent="0.2">
      <c r="A213" s="495" t="s">
        <v>195</v>
      </c>
      <c r="B213" s="496"/>
      <c r="C213" s="496"/>
      <c r="D213" s="496"/>
      <c r="E213" s="496"/>
      <c r="F213" s="496"/>
      <c r="G213" s="496"/>
      <c r="H213" s="496"/>
      <c r="I213" s="496"/>
      <c r="J213" s="496"/>
      <c r="K213" s="496"/>
      <c r="L213" s="496"/>
      <c r="M213" s="496"/>
      <c r="N213" s="496">
        <f t="shared" ref="N213:T213" si="426">+N133+N131</f>
        <v>-269</v>
      </c>
      <c r="O213" s="496">
        <f t="shared" si="426"/>
        <v>-142</v>
      </c>
      <c r="P213" s="496">
        <f t="shared" si="426"/>
        <v>41</v>
      </c>
      <c r="Q213" s="496">
        <f t="shared" si="426"/>
        <v>-91</v>
      </c>
      <c r="R213" s="496">
        <f t="shared" si="426"/>
        <v>-461</v>
      </c>
      <c r="S213" s="496">
        <f t="shared" si="426"/>
        <v>-427</v>
      </c>
      <c r="T213" s="496">
        <f t="shared" si="426"/>
        <v>-411</v>
      </c>
      <c r="U213" s="496">
        <f t="shared" ref="U213:AZ213" si="427">+U133+U131</f>
        <v>-124</v>
      </c>
      <c r="V213" s="496">
        <f t="shared" si="427"/>
        <v>-284</v>
      </c>
      <c r="W213" s="496">
        <f t="shared" si="427"/>
        <v>-1246</v>
      </c>
      <c r="X213" s="496">
        <f t="shared" si="427"/>
        <v>-93</v>
      </c>
      <c r="Y213" s="496">
        <f t="shared" si="427"/>
        <v>-104</v>
      </c>
      <c r="Z213" s="496">
        <f t="shared" si="427"/>
        <v>-1722</v>
      </c>
      <c r="AA213" s="496">
        <f t="shared" si="427"/>
        <v>58</v>
      </c>
      <c r="AB213" s="496">
        <f t="shared" si="427"/>
        <v>-1861</v>
      </c>
      <c r="AC213" s="496">
        <f t="shared" si="427"/>
        <v>-19</v>
      </c>
      <c r="AD213" s="496">
        <f t="shared" si="427"/>
        <v>-59</v>
      </c>
      <c r="AE213" s="496">
        <f t="shared" si="427"/>
        <v>-59</v>
      </c>
      <c r="AF213" s="496">
        <f t="shared" si="427"/>
        <v>-191</v>
      </c>
      <c r="AG213" s="496">
        <f t="shared" si="427"/>
        <v>-328</v>
      </c>
      <c r="AH213" s="496">
        <f t="shared" si="427"/>
        <v>-3732</v>
      </c>
      <c r="AI213" s="496">
        <f t="shared" si="427"/>
        <v>2</v>
      </c>
      <c r="AJ213" s="496">
        <f t="shared" si="427"/>
        <v>8</v>
      </c>
      <c r="AK213" s="496">
        <f t="shared" si="427"/>
        <v>-464</v>
      </c>
      <c r="AL213" s="496">
        <f t="shared" si="427"/>
        <v>-4186</v>
      </c>
      <c r="AM213" s="496">
        <f t="shared" si="427"/>
        <v>-2608</v>
      </c>
      <c r="AN213" s="496">
        <f t="shared" si="427"/>
        <v>-11</v>
      </c>
      <c r="AO213" s="496">
        <f t="shared" si="427"/>
        <v>-77</v>
      </c>
      <c r="AP213" s="496">
        <f t="shared" si="427"/>
        <v>367</v>
      </c>
      <c r="AQ213" s="496">
        <f t="shared" si="427"/>
        <v>-2329</v>
      </c>
      <c r="AR213" s="496">
        <f t="shared" si="427"/>
        <v>-6</v>
      </c>
      <c r="AS213" s="496">
        <f t="shared" si="427"/>
        <v>-285</v>
      </c>
      <c r="AT213" s="496">
        <f t="shared" si="427"/>
        <v>-18</v>
      </c>
      <c r="AU213" s="496">
        <f t="shared" si="427"/>
        <v>-55</v>
      </c>
      <c r="AV213" s="496">
        <f t="shared" si="427"/>
        <v>-364</v>
      </c>
      <c r="AW213" s="496">
        <f t="shared" si="427"/>
        <v>-22</v>
      </c>
      <c r="AX213" s="496">
        <f t="shared" si="427"/>
        <v>167</v>
      </c>
      <c r="AY213" s="496">
        <f t="shared" si="427"/>
        <v>-2</v>
      </c>
      <c r="AZ213" s="496">
        <f t="shared" si="427"/>
        <v>-13</v>
      </c>
      <c r="BA213" s="496">
        <f>+BA133+BA131</f>
        <v>130</v>
      </c>
      <c r="BB213" s="496">
        <f>+BB133+BB131</f>
        <v>68</v>
      </c>
      <c r="BC213" s="496">
        <f t="shared" ref="BC213:CT213" si="428">+BC133+BC131</f>
        <v>66</v>
      </c>
      <c r="BD213" s="496">
        <f t="shared" si="428"/>
        <v>31</v>
      </c>
      <c r="BE213" s="496">
        <f t="shared" si="428"/>
        <v>65</v>
      </c>
      <c r="BF213" s="496">
        <f t="shared" si="428"/>
        <v>230</v>
      </c>
      <c r="BG213" s="496">
        <f t="shared" si="428"/>
        <v>70</v>
      </c>
      <c r="BH213" s="496">
        <f t="shared" si="428"/>
        <v>14</v>
      </c>
      <c r="BI213" s="496">
        <f t="shared" si="428"/>
        <v>30</v>
      </c>
      <c r="BJ213" s="496">
        <f t="shared" si="428"/>
        <v>-38</v>
      </c>
      <c r="BK213" s="496">
        <f t="shared" si="428"/>
        <v>76</v>
      </c>
      <c r="BL213" s="496">
        <f t="shared" si="428"/>
        <v>80</v>
      </c>
      <c r="BM213" s="496">
        <f t="shared" si="428"/>
        <v>38</v>
      </c>
      <c r="BN213" s="496">
        <f t="shared" si="428"/>
        <v>17</v>
      </c>
      <c r="BO213" s="496">
        <f t="shared" si="428"/>
        <v>49</v>
      </c>
      <c r="BP213" s="496">
        <f t="shared" si="428"/>
        <v>184</v>
      </c>
      <c r="BQ213" s="622">
        <f t="shared" si="428"/>
        <v>17</v>
      </c>
      <c r="BR213" s="496">
        <f t="shared" si="428"/>
        <v>116</v>
      </c>
      <c r="BS213" s="496">
        <f t="shared" si="428"/>
        <v>47</v>
      </c>
      <c r="BT213" s="496">
        <f t="shared" si="428"/>
        <v>206</v>
      </c>
      <c r="BU213" s="496">
        <f t="shared" si="428"/>
        <v>386</v>
      </c>
      <c r="BV213" s="496">
        <f t="shared" si="428"/>
        <v>0</v>
      </c>
      <c r="BW213" s="496">
        <f t="shared" si="428"/>
        <v>0</v>
      </c>
      <c r="BX213" s="496">
        <f t="shared" si="428"/>
        <v>0</v>
      </c>
      <c r="BY213" s="496">
        <f t="shared" si="428"/>
        <v>0</v>
      </c>
      <c r="BZ213" s="496">
        <f t="shared" si="428"/>
        <v>0</v>
      </c>
      <c r="CA213" s="496">
        <f t="shared" si="428"/>
        <v>0</v>
      </c>
      <c r="CB213" s="496">
        <f t="shared" si="428"/>
        <v>0</v>
      </c>
      <c r="CC213" s="496">
        <f t="shared" si="428"/>
        <v>0</v>
      </c>
      <c r="CD213" s="496">
        <f t="shared" si="428"/>
        <v>0</v>
      </c>
      <c r="CE213" s="496">
        <f t="shared" si="428"/>
        <v>0</v>
      </c>
      <c r="CF213" s="496">
        <f t="shared" si="428"/>
        <v>0</v>
      </c>
      <c r="CG213" s="496">
        <f t="shared" si="428"/>
        <v>0</v>
      </c>
      <c r="CH213" s="496">
        <f t="shared" si="428"/>
        <v>0</v>
      </c>
      <c r="CI213" s="496">
        <f t="shared" si="428"/>
        <v>0</v>
      </c>
      <c r="CJ213" s="496">
        <f t="shared" si="428"/>
        <v>0</v>
      </c>
      <c r="CK213" s="496">
        <f t="shared" si="428"/>
        <v>0</v>
      </c>
      <c r="CL213" s="496">
        <f t="shared" si="428"/>
        <v>0</v>
      </c>
      <c r="CM213" s="496">
        <f t="shared" si="428"/>
        <v>0</v>
      </c>
      <c r="CN213" s="496">
        <f t="shared" si="428"/>
        <v>0</v>
      </c>
      <c r="CO213" s="496">
        <f t="shared" si="428"/>
        <v>0</v>
      </c>
      <c r="CP213" s="496">
        <f t="shared" si="428"/>
        <v>0</v>
      </c>
      <c r="CQ213" s="496">
        <f t="shared" si="428"/>
        <v>0</v>
      </c>
      <c r="CR213" s="496">
        <f t="shared" si="428"/>
        <v>0</v>
      </c>
      <c r="CS213" s="496">
        <f t="shared" si="428"/>
        <v>0</v>
      </c>
      <c r="CT213" s="496">
        <f t="shared" si="428"/>
        <v>0</v>
      </c>
      <c r="CU213" s="496"/>
      <c r="CV213" s="496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</row>
    <row r="214" spans="1:121" s="304" customFormat="1" hidden="1" outlineLevel="1" x14ac:dyDescent="0.2">
      <c r="A214" s="495" t="s">
        <v>40</v>
      </c>
      <c r="B214" s="497"/>
      <c r="C214" s="497"/>
      <c r="D214" s="497"/>
      <c r="E214" s="497"/>
      <c r="F214" s="497"/>
      <c r="G214" s="497"/>
      <c r="H214" s="497"/>
      <c r="I214" s="497"/>
      <c r="J214" s="497"/>
      <c r="K214" s="497"/>
      <c r="L214" s="497"/>
      <c r="M214" s="497"/>
      <c r="N214" s="418">
        <f>+Segments!E20</f>
        <v>2393</v>
      </c>
      <c r="O214" s="418">
        <f>+Segments!F20</f>
        <v>2567</v>
      </c>
      <c r="P214" s="418">
        <f>+Segments!G20</f>
        <v>2642</v>
      </c>
      <c r="Q214" s="418">
        <f>+Segments!H20</f>
        <v>3242</v>
      </c>
      <c r="R214" s="418">
        <f>+Segments!I20</f>
        <v>10844</v>
      </c>
      <c r="S214" s="418">
        <f>+Segments!J20</f>
        <v>2553</v>
      </c>
      <c r="T214" s="418">
        <f>+Segments!K20</f>
        <v>2723</v>
      </c>
      <c r="U214" s="418">
        <f>+Segments!L20</f>
        <v>2800</v>
      </c>
      <c r="V214" s="418">
        <f>+Segments!M20</f>
        <v>3510</v>
      </c>
      <c r="W214" s="418">
        <f>+Segments!N20</f>
        <v>11586</v>
      </c>
      <c r="X214" s="418">
        <f>+Segments!O20</f>
        <v>2730</v>
      </c>
      <c r="Y214" s="418">
        <f>+Segments!P20</f>
        <v>2950</v>
      </c>
      <c r="Z214" s="418">
        <f>+Segments!Q20</f>
        <v>3057</v>
      </c>
      <c r="AA214" s="418">
        <f>+Segments!R20</f>
        <v>3770</v>
      </c>
      <c r="AB214" s="418">
        <f>+Segments!S20</f>
        <v>12507</v>
      </c>
      <c r="AC214" s="418">
        <f>+Segments!T20</f>
        <v>3000</v>
      </c>
      <c r="AD214" s="418">
        <f>+Segments!U20</f>
        <v>3138</v>
      </c>
      <c r="AE214" s="418">
        <f>+Segments!V20</f>
        <v>3198</v>
      </c>
      <c r="AF214" s="418">
        <f>+Segments!W20</f>
        <v>3888</v>
      </c>
      <c r="AG214" s="418">
        <f>+Segments!X20</f>
        <v>12421</v>
      </c>
      <c r="AH214" s="418">
        <f>+Segments!Y20</f>
        <v>2864</v>
      </c>
      <c r="AI214" s="418">
        <f>+Segments!Z20</f>
        <v>2992</v>
      </c>
      <c r="AJ214" s="418">
        <f>+Segments!AA20</f>
        <v>3050</v>
      </c>
      <c r="AK214" s="418">
        <f>+Segments!AB20</f>
        <v>3667</v>
      </c>
      <c r="AL214" s="418">
        <f>+Segments!AC20</f>
        <v>12573</v>
      </c>
      <c r="AM214" s="418">
        <f>+Segments!AD20</f>
        <v>2904</v>
      </c>
      <c r="AN214" s="418">
        <f>+Segments!AE20</f>
        <v>3090</v>
      </c>
      <c r="AO214" s="418">
        <f>+Segments!AF20</f>
        <v>3173</v>
      </c>
      <c r="AP214" s="418">
        <f>+Segments!AG20</f>
        <v>3895</v>
      </c>
      <c r="AQ214" s="418">
        <f>+Segments!AH20</f>
        <v>13062</v>
      </c>
      <c r="AR214" s="418">
        <f>+Segments!AI20</f>
        <v>3010</v>
      </c>
      <c r="AS214" s="418">
        <f>+Segments!AJ20</f>
        <v>3193</v>
      </c>
      <c r="AT214" s="418">
        <f>+Segments!AK20</f>
        <v>3269</v>
      </c>
      <c r="AU214" s="418">
        <f>+Segments!AL20</f>
        <v>4102</v>
      </c>
      <c r="AV214" s="418">
        <f>+Segments!AM20</f>
        <v>13574</v>
      </c>
      <c r="AW214" s="418">
        <f>+Segments!AN20</f>
        <v>3123</v>
      </c>
      <c r="AX214" s="418">
        <f>+Segments!AO20</f>
        <v>3332</v>
      </c>
      <c r="AY214" s="418">
        <f>+Segments!AP20</f>
        <v>3424</v>
      </c>
      <c r="AZ214" s="418">
        <f>+Segments!AQ20</f>
        <v>4247</v>
      </c>
      <c r="BA214" s="418">
        <f>+Segments!AR20</f>
        <v>14126</v>
      </c>
      <c r="BB214" s="418">
        <f>+Segments!AS20</f>
        <v>3219</v>
      </c>
      <c r="BC214" s="418">
        <f>+Segments!AT20</f>
        <v>3387</v>
      </c>
      <c r="BD214" s="418">
        <f>+Segments!AU20</f>
        <v>3526</v>
      </c>
      <c r="BE214" s="418">
        <f>+Segments!AV20</f>
        <v>4370</v>
      </c>
      <c r="BF214" s="418">
        <f>+Segments!AW20</f>
        <v>14502</v>
      </c>
      <c r="BG214" s="497">
        <f>+Segments!AX20</f>
        <v>3319</v>
      </c>
      <c r="BH214" s="497">
        <f>+Segments!AY20</f>
        <v>3452</v>
      </c>
      <c r="BI214" s="497">
        <f>+Segments!AZ20</f>
        <v>3555</v>
      </c>
      <c r="BJ214" s="497">
        <f>+Segments!BA20</f>
        <v>4456</v>
      </c>
      <c r="BK214" s="418">
        <f>+Segments!BB20</f>
        <v>14782</v>
      </c>
      <c r="BL214" s="418">
        <f>+Segments!BC20</f>
        <v>3418</v>
      </c>
      <c r="BM214" s="418">
        <f>+Segments!BD20</f>
        <v>3564</v>
      </c>
      <c r="BN214" s="418">
        <f>+Segments!BE20</f>
        <v>3676</v>
      </c>
      <c r="BO214" s="418">
        <f>+Segments!BF20</f>
        <v>4891</v>
      </c>
      <c r="BP214" s="418">
        <f>+Segments!BG20</f>
        <v>15549</v>
      </c>
      <c r="BQ214" s="623">
        <f>+Segments!BH20</f>
        <v>3499</v>
      </c>
      <c r="BR214" s="497">
        <f>+Segments!BI20</f>
        <v>3678</v>
      </c>
      <c r="BS214" s="497">
        <f>+Segments!BJ20</f>
        <v>3792</v>
      </c>
      <c r="BT214" s="497">
        <f>+Segments!BK20</f>
        <v>4829</v>
      </c>
      <c r="BU214" s="497">
        <f>+Segments!BL20</f>
        <v>15798</v>
      </c>
      <c r="BV214" s="497">
        <f>+Segments!BM20</f>
        <v>3668.3608757639163</v>
      </c>
      <c r="BW214" s="497">
        <f>+Segments!BN20</f>
        <v>3817.6899047407082</v>
      </c>
      <c r="BX214" s="497">
        <f>+Segments!BO20</f>
        <v>3916.4685566215344</v>
      </c>
      <c r="BY214" s="497">
        <f>+Segments!BP20</f>
        <v>4968.2813905767262</v>
      </c>
      <c r="BZ214" s="497">
        <f>+Segments!BQ20</f>
        <v>16370.800727702885</v>
      </c>
      <c r="CA214" s="497">
        <f>+Segments!BR20</f>
        <v>3791.0274106890906</v>
      </c>
      <c r="CB214" s="497">
        <f>+Segments!BS20</f>
        <v>3951.3090514066325</v>
      </c>
      <c r="CC214" s="497">
        <f>+Segments!BT20</f>
        <v>4053.5449561032879</v>
      </c>
      <c r="CD214" s="497">
        <f>+Segments!BU20</f>
        <v>5142.1712392469108</v>
      </c>
      <c r="CE214" s="497">
        <f>+Segments!BV20</f>
        <v>16938.052657445922</v>
      </c>
      <c r="CF214" s="497">
        <f>+Segments!BW20</f>
        <v>3923.7133700632085</v>
      </c>
      <c r="CG214" s="497">
        <f>+Segments!BX20</f>
        <v>4089.6048682058645</v>
      </c>
      <c r="CH214" s="497">
        <f>+Segments!BY20</f>
        <v>4195.4190295669023</v>
      </c>
      <c r="CI214" s="497">
        <f>+Segments!BZ20</f>
        <v>5322.1472326205521</v>
      </c>
      <c r="CJ214" s="497">
        <f>+Segments!CA20</f>
        <v>17530.884500456526</v>
      </c>
      <c r="CK214" s="497">
        <f>+Segments!CB20</f>
        <v>4061.0433380154204</v>
      </c>
      <c r="CL214" s="497">
        <f>+Segments!CC20</f>
        <v>4232.7410385930698</v>
      </c>
      <c r="CM214" s="497">
        <f>+Segments!CD20</f>
        <v>4342.258695601744</v>
      </c>
      <c r="CN214" s="497">
        <f>+Segments!CE20</f>
        <v>5508.422385762271</v>
      </c>
      <c r="CO214" s="497">
        <f>+Segments!CF20</f>
        <v>18144.465457972503</v>
      </c>
      <c r="CP214" s="497">
        <f>+Segments!CG20</f>
        <v>4203.1798548459601</v>
      </c>
      <c r="CQ214" s="497">
        <f>+Segments!CH20</f>
        <v>4380.8869749438272</v>
      </c>
      <c r="CR214" s="497">
        <f>+Segments!CI20</f>
        <v>4494.2377499478043</v>
      </c>
      <c r="CS214" s="497">
        <f>+Segments!CJ20</f>
        <v>5701.2171692639504</v>
      </c>
      <c r="CT214" s="497">
        <f>+Segments!CK20</f>
        <v>18779.521749001542</v>
      </c>
      <c r="CU214" s="497"/>
      <c r="CV214" s="497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</row>
    <row r="215" spans="1:121" s="304" customFormat="1" hidden="1" outlineLevel="1" x14ac:dyDescent="0.2">
      <c r="A215" s="495" t="s">
        <v>41</v>
      </c>
      <c r="B215" s="497"/>
      <c r="C215" s="497"/>
      <c r="D215" s="497"/>
      <c r="E215" s="497"/>
      <c r="F215" s="497"/>
      <c r="G215" s="497"/>
      <c r="H215" s="497"/>
      <c r="I215" s="497"/>
      <c r="J215" s="497"/>
      <c r="K215" s="497"/>
      <c r="L215" s="497"/>
      <c r="M215" s="497"/>
      <c r="N215" s="418">
        <f>+Segments!E27+Segments!E69</f>
        <v>1022</v>
      </c>
      <c r="O215" s="418">
        <f>+Segments!F27+Segments!F69</f>
        <v>1252.5</v>
      </c>
      <c r="P215" s="418">
        <f>+Segments!G27+Segments!G69</f>
        <v>1422.5</v>
      </c>
      <c r="Q215" s="418">
        <f>+Segments!H27+Segments!H69</f>
        <v>2044</v>
      </c>
      <c r="R215" s="418">
        <f>+Segments!I27+Segments!I69</f>
        <v>5741</v>
      </c>
      <c r="S215" s="418">
        <f>+Segments!J27+Segments!J69</f>
        <v>1173</v>
      </c>
      <c r="T215" s="418">
        <f>+Segments!K27+Segments!K69</f>
        <v>1469</v>
      </c>
      <c r="U215" s="418">
        <f>+Segments!L27+Segments!L69</f>
        <v>1663</v>
      </c>
      <c r="V215" s="418">
        <f>+Segments!M27+Segments!M69</f>
        <v>2427</v>
      </c>
      <c r="W215" s="418">
        <f>+Segments!N27+Segments!N69</f>
        <v>6732</v>
      </c>
      <c r="X215" s="418">
        <f>+Segments!O27+Segments!O69</f>
        <v>1466</v>
      </c>
      <c r="Y215" s="418">
        <f>+Segments!P27+Segments!P69</f>
        <v>1929</v>
      </c>
      <c r="Z215" s="418">
        <f>+Segments!Q27+Segments!Q69</f>
        <v>1935</v>
      </c>
      <c r="AA215" s="418">
        <f>+Segments!R27+Segments!R69</f>
        <v>2467</v>
      </c>
      <c r="AB215" s="418">
        <f>+Segments!S27+Segments!S69</f>
        <v>7797</v>
      </c>
      <c r="AC215" s="418">
        <f>+Segments!T27+Segments!T69</f>
        <v>1352</v>
      </c>
      <c r="AD215" s="418">
        <f>+Segments!U27+Segments!U69</f>
        <v>1774</v>
      </c>
      <c r="AE215" s="418">
        <f>+Segments!V27+Segments!V69</f>
        <v>1814</v>
      </c>
      <c r="AF215" s="418">
        <f>+Segments!W27+Segments!W69</f>
        <v>2647</v>
      </c>
      <c r="AG215" s="418">
        <f>+Segments!X27+Segments!X69</f>
        <v>8390</v>
      </c>
      <c r="AH215" s="418">
        <f>+Segments!Y27+Segments!Y69</f>
        <v>1666</v>
      </c>
      <c r="AI215" s="418">
        <f>+Segments!Z27+Segments!Z69</f>
        <v>2120</v>
      </c>
      <c r="AJ215" s="418">
        <f>+Segments!AA27+Segments!AA69</f>
        <v>2143</v>
      </c>
      <c r="AK215" s="418">
        <f>+Segments!AB27+Segments!AB69</f>
        <v>3042</v>
      </c>
      <c r="AL215" s="418">
        <f>+Segments!AC27+Segments!AC69</f>
        <v>8971</v>
      </c>
      <c r="AM215" s="418">
        <f>+Segments!AD27+Segments!AD69</f>
        <v>1748</v>
      </c>
      <c r="AN215" s="418">
        <f>+Segments!AE27+Segments!AE69</f>
        <v>2391</v>
      </c>
      <c r="AO215" s="418">
        <f>+Segments!AF27+Segments!AF69</f>
        <v>2455</v>
      </c>
      <c r="AP215" s="418">
        <f>+Segments!AG27+Segments!AG69</f>
        <v>3176</v>
      </c>
      <c r="AQ215" s="418">
        <f>+Segments!AH27+Segments!AH69</f>
        <v>9770</v>
      </c>
      <c r="AR215" s="418">
        <f>+Segments!AI27+Segments!AI69</f>
        <v>1858</v>
      </c>
      <c r="AS215" s="418">
        <f>+Segments!AJ27+Segments!AJ69</f>
        <v>2531</v>
      </c>
      <c r="AT215" s="418">
        <f>+Segments!AK27+Segments!AK69</f>
        <v>2498</v>
      </c>
      <c r="AU215" s="418">
        <f>+Segments!AL27+Segments!AL69</f>
        <v>3529</v>
      </c>
      <c r="AV215" s="418">
        <f>+Segments!AM27+Segments!AM69</f>
        <v>10416</v>
      </c>
      <c r="AW215" s="418">
        <f>+Segments!AN27+Segments!AN69</f>
        <v>2001</v>
      </c>
      <c r="AX215" s="418">
        <f>+Segments!AO27+Segments!AO69</f>
        <v>2693</v>
      </c>
      <c r="AY215" s="418">
        <f>+Segments!AP27+Segments!AP69</f>
        <v>2653</v>
      </c>
      <c r="AZ215" s="418">
        <f>+Segments!AQ27+Segments!AQ69</f>
        <v>3615</v>
      </c>
      <c r="BA215" s="418">
        <f>+Segments!AR27+Segments!AR69</f>
        <v>10962</v>
      </c>
      <c r="BB215" s="418">
        <f>+Segments!AS27+Segments!AS69</f>
        <v>1972</v>
      </c>
      <c r="BC215" s="418">
        <f>+Segments!AT27+Segments!AT69</f>
        <v>2686</v>
      </c>
      <c r="BD215" s="418">
        <f>+Segments!AU27+Segments!AU69</f>
        <v>2764</v>
      </c>
      <c r="BE215" s="418">
        <f>+Segments!AV27+Segments!AV69</f>
        <v>3588</v>
      </c>
      <c r="BF215" s="418">
        <f>+Segments!AW27+Segments!AW69</f>
        <v>11010</v>
      </c>
      <c r="BG215" s="497">
        <f>+Segments!AX27+Segments!AX69</f>
        <v>1918</v>
      </c>
      <c r="BH215" s="497">
        <f>+Segments!AY27+Segments!AY69</f>
        <v>2546</v>
      </c>
      <c r="BI215" s="497">
        <f>+Segments!AZ27+Segments!AZ69</f>
        <v>583</v>
      </c>
      <c r="BJ215" s="497">
        <f>+Segments!BA27+Segments!BA69</f>
        <v>775</v>
      </c>
      <c r="BK215" s="418">
        <f>+Segments!BB27+Segments!BB69</f>
        <v>2543</v>
      </c>
      <c r="BL215" s="418">
        <f>+Segments!BC27+Segments!BC69</f>
        <v>617</v>
      </c>
      <c r="BM215" s="418">
        <f>+Segments!BD27+Segments!BD69</f>
        <v>561</v>
      </c>
      <c r="BN215" s="418">
        <f>+Segments!BE27+Segments!BE69</f>
        <v>571</v>
      </c>
      <c r="BO215" s="418">
        <f>+Segments!BF27+Segments!BF69</f>
        <v>815</v>
      </c>
      <c r="BP215" s="418">
        <f>+Segments!BG27+Segments!BG69</f>
        <v>2564</v>
      </c>
      <c r="BQ215" s="623">
        <f>+Segments!BH27+Segments!BH69</f>
        <v>598</v>
      </c>
      <c r="BR215" s="497">
        <f>+Segments!BI27+Segments!BI69</f>
        <v>553</v>
      </c>
      <c r="BS215" s="497">
        <f>+Segments!BJ27+Segments!BJ69</f>
        <v>578</v>
      </c>
      <c r="BT215" s="497">
        <f>+Segments!BK27+Segments!BK69</f>
        <v>774</v>
      </c>
      <c r="BU215" s="497">
        <f>+Segments!BL27+Segments!BL69</f>
        <v>2503</v>
      </c>
      <c r="BV215" s="497">
        <f>+Segments!BM27+Segments!BM69</f>
        <v>608.51095407880689</v>
      </c>
      <c r="BW215" s="497">
        <f>+Segments!BN27+Segments!BN69</f>
        <v>554.24793307295943</v>
      </c>
      <c r="BX215" s="497">
        <f>+Segments!BO27+Segments!BO69</f>
        <v>571.26750974206118</v>
      </c>
      <c r="BY215" s="497">
        <f>+Segments!BP27+Segments!BP69</f>
        <v>773.32164251282506</v>
      </c>
      <c r="BZ215" s="497">
        <f>+Segments!BQ27+Segments!BQ69</f>
        <v>2507.3480394066528</v>
      </c>
      <c r="CA215" s="497">
        <f>+Segments!BR27+Segments!BR69</f>
        <v>616.91929188911445</v>
      </c>
      <c r="CB215" s="497">
        <f>+Segments!BS27+Segments!BS69</f>
        <v>554.24793307295943</v>
      </c>
      <c r="CC215" s="497">
        <f>+Segments!BT27+Segments!BT69</f>
        <v>565.55483464464055</v>
      </c>
      <c r="CD215" s="497">
        <f>+Segments!BU27+Segments!BU69</f>
        <v>773.32164251282506</v>
      </c>
      <c r="CE215" s="497">
        <f>+Segments!BV27+Segments!BV69</f>
        <v>2510.0437021195394</v>
      </c>
      <c r="CF215" s="497">
        <f>+Segments!BW27+Segments!BW69</f>
        <v>626.17308126745115</v>
      </c>
      <c r="CG215" s="497">
        <f>+Segments!BX27+Segments!BX69</f>
        <v>554.24793307295943</v>
      </c>
      <c r="CH215" s="497">
        <f>+Segments!BY27+Segments!BY69</f>
        <v>559.89928629819417</v>
      </c>
      <c r="CI215" s="497">
        <f>+Segments!BZ27+Segments!BZ69</f>
        <v>773.32164251282506</v>
      </c>
      <c r="CJ215" s="497">
        <f>+Segments!CA27+Segments!CA69</f>
        <v>2513.6419431514296</v>
      </c>
      <c r="CK215" s="497">
        <f>+Segments!CB27+Segments!CB69</f>
        <v>635.56567748646285</v>
      </c>
      <c r="CL215" s="497">
        <f>+Segments!CC27+Segments!CC69</f>
        <v>554.24793307295943</v>
      </c>
      <c r="CM215" s="497">
        <f>+Segments!CD27+Segments!CD69</f>
        <v>554.30029343521221</v>
      </c>
      <c r="CN215" s="497">
        <f>+Segments!CE27+Segments!CE69</f>
        <v>773.32164251282506</v>
      </c>
      <c r="CO215" s="497">
        <f>+Segments!CF27+Segments!CF69</f>
        <v>2517.4355465074595</v>
      </c>
      <c r="CP215" s="497">
        <f>+Segments!CG27+Segments!CG69</f>
        <v>645.09916264875972</v>
      </c>
      <c r="CQ215" s="497">
        <f>+Segments!CH27+Segments!CH69</f>
        <v>554.24793307295943</v>
      </c>
      <c r="CR215" s="497">
        <f>+Segments!CI27+Segments!CI69</f>
        <v>548.75729050086011</v>
      </c>
      <c r="CS215" s="497">
        <f>+Segments!CJ27+Segments!CJ69</f>
        <v>773.32164251282506</v>
      </c>
      <c r="CT215" s="497">
        <f>+Segments!CK27+Segments!CK69</f>
        <v>2521.4260287354045</v>
      </c>
      <c r="CU215" s="497"/>
      <c r="CV215" s="497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</row>
    <row r="216" spans="1:121" s="304" customFormat="1" hidden="1" outlineLevel="1" x14ac:dyDescent="0.2">
      <c r="A216" s="495" t="s">
        <v>196</v>
      </c>
      <c r="B216" s="496"/>
      <c r="C216" s="497"/>
      <c r="D216" s="496"/>
      <c r="E216" s="496"/>
      <c r="F216" s="496"/>
      <c r="G216" s="496"/>
      <c r="H216" s="496"/>
      <c r="I216" s="496"/>
      <c r="J216" s="496"/>
      <c r="K216" s="496"/>
      <c r="L216" s="496"/>
      <c r="M216" s="496"/>
      <c r="N216" s="496">
        <f>+SUM('Financial Statements'!N122:N126)+SUM(N115:N120)</f>
        <v>-1054</v>
      </c>
      <c r="O216" s="496">
        <f>+SUM('Financial Statements'!O122:O126)+SUM(O115:O120)</f>
        <v>-176</v>
      </c>
      <c r="P216" s="496">
        <f>+SUM('Financial Statements'!P122:P126)+SUM(P115:P120)</f>
        <v>575</v>
      </c>
      <c r="Q216" s="496">
        <f>+SUM('Financial Statements'!Q122:Q126)+SUM(Q115:Q120)</f>
        <v>-2</v>
      </c>
      <c r="R216" s="496">
        <f>+SUM('Financial Statements'!R122:R126)+SUM(R115:R120)</f>
        <v>-657</v>
      </c>
      <c r="S216" s="496">
        <f>+SUM('Financial Statements'!S122:S126)+SUM(S115:S120)</f>
        <v>-797.02930000000015</v>
      </c>
      <c r="T216" s="496">
        <f>+SUM('Financial Statements'!T122:T126)+SUM(T115:T120)</f>
        <v>-547</v>
      </c>
      <c r="U216" s="496">
        <f>+SUM('Financial Statements'!U122:U126)+SUM(U115:U120)</f>
        <v>1103.0293000000001</v>
      </c>
      <c r="V216" s="496">
        <f>+SUM('Financial Statements'!V122:V126)+SUM(V115:V120)</f>
        <v>-98</v>
      </c>
      <c r="W216" s="496">
        <f>+SUM('Financial Statements'!W122:W126)+SUM(W115:W120)</f>
        <v>-339</v>
      </c>
      <c r="X216" s="496">
        <f>+SUM('Financial Statements'!X122:X126)+SUM(X115:X120)</f>
        <v>-1006</v>
      </c>
      <c r="Y216" s="496">
        <f>+SUM('Financial Statements'!Y122:Y126)+SUM(Y115:Y120)</f>
        <v>-402</v>
      </c>
      <c r="Z216" s="496">
        <f>+SUM('Financial Statements'!Z122:Z126)+SUM(Z115:Z120)</f>
        <v>343</v>
      </c>
      <c r="AA216" s="496">
        <f>+SUM('Financial Statements'!AA122:AA126)+SUM(AA115:AA120)</f>
        <v>396</v>
      </c>
      <c r="AB216" s="496">
        <f>+SUM('Financial Statements'!AB122:AB126)+SUM(AB115:AB120)</f>
        <v>-669</v>
      </c>
      <c r="AC216" s="496">
        <f>+SUM('Financial Statements'!AC122:AC126)+SUM(AC115:AC120)</f>
        <v>-1748</v>
      </c>
      <c r="AD216" s="496">
        <f>+SUM('Financial Statements'!AD122:AD126)+SUM(AD115:AD120)</f>
        <v>-272</v>
      </c>
      <c r="AE216" s="496">
        <f>+SUM('Financial Statements'!AE122:AE126)+SUM(AE115:AE120)</f>
        <v>757</v>
      </c>
      <c r="AF216" s="496">
        <f>+SUM('Financial Statements'!AF122:AF126)+SUM(AF115:AF120)</f>
        <v>351</v>
      </c>
      <c r="AG216" s="496">
        <f>+SUM('Financial Statements'!AG122:AG126)+SUM(AG115:AG120)</f>
        <v>-912</v>
      </c>
      <c r="AH216" s="496">
        <f>+SUM('Financial Statements'!AH122:AH126)+SUM(AH115:AH120)</f>
        <v>-1402</v>
      </c>
      <c r="AI216" s="496">
        <f>+SUM('Financial Statements'!AI122:AI126)+SUM(AI115:AI120)</f>
        <v>-257</v>
      </c>
      <c r="AJ216" s="496">
        <f>+SUM('Financial Statements'!AJ122:AJ126)+SUM(AJ115:AJ120)</f>
        <v>689</v>
      </c>
      <c r="AK216" s="496">
        <f>+SUM('Financial Statements'!AK122:AK126)+SUM(AK115:AK120)</f>
        <v>117</v>
      </c>
      <c r="AL216" s="496">
        <f>+SUM('Financial Statements'!AL122:AL126)+SUM(AL115:AL120)</f>
        <v>-853</v>
      </c>
      <c r="AM216" s="496">
        <f>+SUM('Financial Statements'!AM122:AM126)+SUM(AM115:AM120)</f>
        <v>-1409</v>
      </c>
      <c r="AN216" s="496">
        <f>+SUM('Financial Statements'!AN122:AN126)+SUM(AN115:AN120)</f>
        <v>-702</v>
      </c>
      <c r="AO216" s="496">
        <f>+SUM('Financial Statements'!AO122:AO126)+SUM(AO115:AO120)</f>
        <v>626</v>
      </c>
      <c r="AP216" s="496">
        <f>+SUM('Financial Statements'!AP122:AP126)+SUM(AP115:AP120)</f>
        <v>333</v>
      </c>
      <c r="AQ216" s="496">
        <f>+SUM('Financial Statements'!AQ122:AQ126)+SUM(AQ115:AQ120)</f>
        <v>-1154</v>
      </c>
      <c r="AR216" s="496">
        <f>+SUM('Financial Statements'!AR122:AR126)+SUM(AR115:AR120)</f>
        <v>-2393</v>
      </c>
      <c r="AS216" s="496">
        <f>+SUM('Financial Statements'!AS122:AS126)+SUM(AS115:AS120)</f>
        <v>-543</v>
      </c>
      <c r="AT216" s="496">
        <f>+SUM('Financial Statements'!AT122:AT126)+SUM(AT115:AT120)</f>
        <v>1274</v>
      </c>
      <c r="AU216" s="496">
        <f>+SUM('Financial Statements'!AU122:AU126)+SUM(AU115:AU120)</f>
        <v>720</v>
      </c>
      <c r="AV216" s="496">
        <f>+SUM('Financial Statements'!AV122:AV126)+SUM(AV115:AV120)</f>
        <v>-942</v>
      </c>
      <c r="AW216" s="496">
        <f>+SUM('Financial Statements'!AW122:AW126)+SUM(AW115:AW120)</f>
        <v>-1132</v>
      </c>
      <c r="AX216" s="496">
        <f>+SUM('Financial Statements'!AX122:AX126)+SUM(AX115:AX120)</f>
        <v>-443</v>
      </c>
      <c r="AY216" s="496">
        <f>+SUM('Financial Statements'!AY122:AY126)+SUM(AY115:AY120)</f>
        <v>1011</v>
      </c>
      <c r="AZ216" s="496">
        <f>+SUM('Financial Statements'!AZ122:AZ126)+SUM(AZ115:AZ120)</f>
        <v>463</v>
      </c>
      <c r="BA216" s="496">
        <f>+SUM('Financial Statements'!BA122:BA126)+SUM(BA115:BA120)</f>
        <v>-101</v>
      </c>
      <c r="BB216" s="496">
        <f>+SUM('Financial Statements'!BB122:BB126)+SUM(BB115:BB120)</f>
        <v>-1694</v>
      </c>
      <c r="BC216" s="496">
        <f>+SUM('Financial Statements'!BC122:BC126)+SUM(BC115:BC120)</f>
        <v>-234</v>
      </c>
      <c r="BD216" s="496">
        <f>+SUM('Financial Statements'!BD122:BD126)+SUM(BD115:BD120)</f>
        <v>1243</v>
      </c>
      <c r="BE216" s="496">
        <f>+SUM('Financial Statements'!BE122:BE126)+SUM(BE115:BE120)</f>
        <v>1203</v>
      </c>
      <c r="BF216" s="496">
        <f>+SUM('Financial Statements'!BF122:BF126)+SUM(BF115:BF120)</f>
        <v>518</v>
      </c>
      <c r="BG216" s="496">
        <f>+SUM('Financial Statements'!BG122:BG126)+SUM(BG115:BG120)</f>
        <v>-1553</v>
      </c>
      <c r="BH216" s="496">
        <f>+SUM('Financial Statements'!BH122:BH126)+SUM(BH115:BH120)</f>
        <v>-128</v>
      </c>
      <c r="BI216" s="496">
        <f>+SUM('Financial Statements'!BI122:BI126)+SUM(BI115:BI120)</f>
        <v>1380</v>
      </c>
      <c r="BJ216" s="496">
        <f>+SUM('Financial Statements'!BJ122:BJ126)+SUM(BJ115:BJ120)</f>
        <v>1382</v>
      </c>
      <c r="BK216" s="496">
        <f>+SUM('Financial Statements'!BK122:BK126)+SUM(BK115:BK120)</f>
        <v>1081</v>
      </c>
      <c r="BL216" s="496">
        <f>+SUM('Financial Statements'!BL122:BL126)+SUM(BL115:BL120)</f>
        <v>-1719</v>
      </c>
      <c r="BM216" s="496">
        <f>+SUM('Financial Statements'!BM122:BM126)+SUM(BM115:BM120)</f>
        <v>202</v>
      </c>
      <c r="BN216" s="496">
        <f>+SUM('Financial Statements'!BN122:BN126)+SUM(BN115:BN120)</f>
        <v>1004</v>
      </c>
      <c r="BO216" s="496">
        <f>+SUM('Financial Statements'!BO122:BO126)+SUM(BO115:BO120)</f>
        <v>1225</v>
      </c>
      <c r="BP216" s="496">
        <f>+SUM('Financial Statements'!BP122:BP126)+SUM(BP115:BP120)</f>
        <v>712</v>
      </c>
      <c r="BQ216" s="622">
        <f>+SUM('Financial Statements'!BQ122:BQ126)+SUM(BQ115:BQ120)</f>
        <v>-2102</v>
      </c>
      <c r="BR216" s="496">
        <f>+SUM('Financial Statements'!BR122:BR126)+SUM(BR115:BR120)</f>
        <v>-340</v>
      </c>
      <c r="BS216" s="496">
        <f>+SUM('Financial Statements'!BS122:BS126)+SUM(BS115:BS120)</f>
        <v>1051</v>
      </c>
      <c r="BT216" s="496">
        <f>+SUM('Financial Statements'!BT122:BT126)+SUM(BT115:BT120)</f>
        <v>1200</v>
      </c>
      <c r="BU216" s="496">
        <f>+SUM('Financial Statements'!BU122:BU126)+SUM(BU115:BU120)</f>
        <v>-191</v>
      </c>
      <c r="BV216" s="496">
        <f>+SUM('Financial Statements'!BV122:BV126)+SUM(BV115:BV120)</f>
        <v>-1950.3595199682482</v>
      </c>
      <c r="BW216" s="496">
        <f ca="1">+SUM('Financial Statements'!BW122:BW126)+SUM(BW115:BW120)</f>
        <v>-433.83221169519356</v>
      </c>
      <c r="BX216" s="496">
        <f ca="1">+SUM('Financial Statements'!BX122:BX126)+SUM(BX115:BX120)</f>
        <v>568.34290916741702</v>
      </c>
      <c r="BY216" s="496">
        <f>+SUM('Financial Statements'!BY122:BY126)+SUM(BY115:BY120)</f>
        <v>637.34526477310169</v>
      </c>
      <c r="BZ216" s="496">
        <f ca="1">+SUM('Financial Statements'!BZ122:BZ126)+SUM(BZ115:BZ120)</f>
        <v>-1178.503557722923</v>
      </c>
      <c r="CA216" s="496">
        <f>+SUM('Financial Statements'!CA122:CA126)+SUM(CA115:CA120)</f>
        <v>-1645.9447767397917</v>
      </c>
      <c r="CB216" s="496">
        <f ca="1">+SUM('Financial Statements'!CB122:CB126)+SUM(CB115:CB120)</f>
        <v>-135.1377982847649</v>
      </c>
      <c r="CC216" s="496">
        <f ca="1">+SUM('Financial Statements'!CC122:CC126)+SUM(CC115:CC120)</f>
        <v>888.01742012583429</v>
      </c>
      <c r="CD216" s="496">
        <f>+SUM('Financial Statements'!CD122:CD126)+SUM(CD115:CD120)</f>
        <v>934.36046348934178</v>
      </c>
      <c r="CE216" s="496">
        <f ca="1">+SUM('Financial Statements'!CE122:CE126)+SUM(CE115:CE120)</f>
        <v>41.295308590619555</v>
      </c>
      <c r="CF216" s="496">
        <f>+SUM('Financial Statements'!CF122:CF126)+SUM(CF115:CF120)</f>
        <v>-1694.638675612154</v>
      </c>
      <c r="CG216" s="496">
        <f ca="1">+SUM('Financial Statements'!CG122:CG126)+SUM(CG115:CG120)</f>
        <v>-137.81483066721077</v>
      </c>
      <c r="CH216" s="496">
        <f ca="1">+SUM('Financial Statements'!CH122:CH126)+SUM(CH115:CH120)</f>
        <v>908.43882027791028</v>
      </c>
      <c r="CI216" s="496">
        <f>+SUM('Financial Statements'!CI122:CI126)+SUM(CI115:CI120)</f>
        <v>963.98897926175914</v>
      </c>
      <c r="CJ216" s="496">
        <f ca="1">+SUM('Financial Statements'!CJ122:CJ126)+SUM(CJ115:CJ120)</f>
        <v>39.974293260304734</v>
      </c>
      <c r="CK216" s="496">
        <f>+SUM('Financial Statements'!CK122:CK126)+SUM(CK115:CK120)</f>
        <v>-1729.2881286630407</v>
      </c>
      <c r="CL216" s="496">
        <f ca="1">+SUM('Financial Statements'!CL122:CL126)+SUM(CL115:CL120)</f>
        <v>-140.17778708708175</v>
      </c>
      <c r="CM216" s="496">
        <f ca="1">+SUM('Financial Statements'!CM122:CM126)+SUM(CM115:CM120)</f>
        <v>930.92898498117972</v>
      </c>
      <c r="CN216" s="496">
        <f>+SUM('Financial Statements'!CN122:CN126)+SUM(CN115:CN120)</f>
        <v>995.14244331332475</v>
      </c>
      <c r="CO216" s="496">
        <f ca="1">+SUM('Financial Statements'!CO122:CO126)+SUM(CO115:CO120)</f>
        <v>56.605512544382208</v>
      </c>
      <c r="CP216" s="496">
        <f>+SUM('Financial Statements'!CP122:CP126)+SUM(CP115:CP120)</f>
        <v>-1779.3580980549593</v>
      </c>
      <c r="CQ216" s="496">
        <f ca="1">+SUM('Financial Statements'!CQ122:CQ126)+SUM(CQ115:CQ120)</f>
        <v>-142.65627442095209</v>
      </c>
      <c r="CR216" s="496">
        <f ca="1">+SUM('Financial Statements'!CR122:CR126)+SUM(CR115:CR120)</f>
        <v>954.29509575009047</v>
      </c>
      <c r="CS216" s="496">
        <f>+SUM('Financial Statements'!CS122:CS126)+SUM(CS115:CS120)</f>
        <v>1027.3974304873498</v>
      </c>
      <c r="CT216" s="496">
        <f ca="1">+SUM('Financial Statements'!CT122:CT126)+SUM(CT115:CT120)</f>
        <v>59.678153761528819</v>
      </c>
      <c r="CU216" s="497"/>
      <c r="CV216" s="497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</row>
    <row r="217" spans="1:121" s="304" customFormat="1" hidden="1" outlineLevel="1" x14ac:dyDescent="0.2">
      <c r="A217" s="495" t="s">
        <v>197</v>
      </c>
      <c r="B217" s="496"/>
      <c r="C217" s="497"/>
      <c r="D217" s="497"/>
      <c r="E217" s="497"/>
      <c r="F217" s="497"/>
      <c r="G217" s="497"/>
      <c r="H217" s="500"/>
      <c r="I217" s="497"/>
      <c r="J217" s="497"/>
      <c r="K217" s="497"/>
      <c r="L217" s="497"/>
      <c r="M217" s="500"/>
      <c r="N217" s="497"/>
      <c r="O217" s="497"/>
      <c r="P217" s="497"/>
      <c r="Q217" s="497"/>
      <c r="R217" s="500"/>
      <c r="S217" s="497"/>
      <c r="T217" s="497"/>
      <c r="U217" s="497"/>
      <c r="V217" s="497"/>
      <c r="W217" s="500"/>
      <c r="X217" s="497"/>
      <c r="Y217" s="497"/>
      <c r="Z217" s="497"/>
      <c r="AA217" s="497"/>
      <c r="AB217" s="497"/>
      <c r="AC217" s="497"/>
      <c r="AD217" s="497"/>
      <c r="AE217" s="497"/>
      <c r="AF217" s="497"/>
      <c r="AG217" s="497"/>
      <c r="AH217" s="497"/>
      <c r="AI217" s="497"/>
      <c r="AJ217" s="497"/>
      <c r="AK217" s="497"/>
      <c r="AL217" s="497"/>
      <c r="AM217" s="497"/>
      <c r="AN217" s="497"/>
      <c r="AO217" s="497"/>
      <c r="AP217" s="497"/>
      <c r="AQ217" s="497"/>
      <c r="AR217" s="497"/>
      <c r="AS217" s="497"/>
      <c r="AT217" s="497"/>
      <c r="AU217" s="497"/>
      <c r="AV217" s="497"/>
      <c r="AW217" s="497"/>
      <c r="AX217" s="497"/>
      <c r="AY217" s="497"/>
      <c r="AZ217" s="497"/>
      <c r="BA217" s="497"/>
      <c r="BB217" s="497"/>
      <c r="BC217" s="497"/>
      <c r="BD217" s="497"/>
      <c r="BE217" s="497"/>
      <c r="BF217" s="497"/>
      <c r="BG217" s="497"/>
      <c r="BH217" s="497"/>
      <c r="BI217" s="497"/>
      <c r="BJ217" s="497"/>
      <c r="BK217" s="497"/>
      <c r="BL217" s="497"/>
      <c r="BM217" s="497"/>
      <c r="BN217" s="497"/>
      <c r="BO217" s="497"/>
      <c r="BP217" s="497"/>
      <c r="BQ217" s="623"/>
      <c r="BR217" s="497"/>
      <c r="BS217" s="497"/>
      <c r="BT217" s="497"/>
      <c r="BU217" s="497"/>
      <c r="BV217" s="497"/>
      <c r="BW217" s="497"/>
      <c r="BX217" s="497"/>
      <c r="BY217" s="497"/>
      <c r="BZ217" s="497"/>
      <c r="CA217" s="497"/>
      <c r="CB217" s="497"/>
      <c r="CC217" s="497"/>
      <c r="CD217" s="497"/>
      <c r="CE217" s="497"/>
      <c r="CF217" s="497"/>
      <c r="CG217" s="497"/>
      <c r="CH217" s="497"/>
      <c r="CI217" s="497"/>
      <c r="CJ217" s="497"/>
      <c r="CK217" s="497"/>
      <c r="CL217" s="497"/>
      <c r="CM217" s="497"/>
      <c r="CN217" s="497"/>
      <c r="CO217" s="497"/>
      <c r="CP217" s="497"/>
      <c r="CQ217" s="497"/>
      <c r="CR217" s="497"/>
      <c r="CS217" s="497"/>
      <c r="CT217" s="497"/>
      <c r="CU217" s="497"/>
      <c r="CV217" s="49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</row>
    <row r="218" spans="1:121" s="304" customFormat="1" hidden="1" outlineLevel="1" x14ac:dyDescent="0.2">
      <c r="A218" s="495" t="s">
        <v>198</v>
      </c>
      <c r="B218" s="496"/>
      <c r="C218" s="497"/>
      <c r="D218" s="497"/>
      <c r="E218" s="497"/>
      <c r="F218" s="497"/>
      <c r="G218" s="497"/>
      <c r="H218" s="500"/>
      <c r="I218" s="497"/>
      <c r="J218" s="497"/>
      <c r="K218" s="497"/>
      <c r="L218" s="497"/>
      <c r="M218" s="500"/>
      <c r="N218" s="497"/>
      <c r="O218" s="497"/>
      <c r="P218" s="497"/>
      <c r="Q218" s="497"/>
      <c r="R218" s="500"/>
      <c r="S218" s="497"/>
      <c r="T218" s="497"/>
      <c r="U218" s="497"/>
      <c r="V218" s="497"/>
      <c r="W218" s="500"/>
      <c r="X218" s="497"/>
      <c r="Y218" s="497"/>
      <c r="Z218" s="497"/>
      <c r="AA218" s="497"/>
      <c r="AB218" s="497"/>
      <c r="AC218" s="497"/>
      <c r="AD218" s="497"/>
      <c r="AE218" s="497"/>
      <c r="AF218" s="497"/>
      <c r="AG218" s="497"/>
      <c r="AH218" s="497"/>
      <c r="AI218" s="497"/>
      <c r="AJ218" s="497"/>
      <c r="AK218" s="497"/>
      <c r="AL218" s="497"/>
      <c r="AM218" s="497"/>
      <c r="AN218" s="497"/>
      <c r="AO218" s="497"/>
      <c r="AP218" s="497"/>
      <c r="AQ218" s="497"/>
      <c r="AR218" s="497"/>
      <c r="AS218" s="497"/>
      <c r="AT218" s="497"/>
      <c r="AU218" s="497"/>
      <c r="AV218" s="497"/>
      <c r="AW218" s="497"/>
      <c r="AX218" s="497"/>
      <c r="AY218" s="497"/>
      <c r="AZ218" s="497"/>
      <c r="BA218" s="497"/>
      <c r="BB218" s="497"/>
      <c r="BC218" s="497"/>
      <c r="BD218" s="497"/>
      <c r="BE218" s="497"/>
      <c r="BF218" s="497"/>
      <c r="BG218" s="497"/>
      <c r="BH218" s="497"/>
      <c r="BI218" s="497"/>
      <c r="BJ218" s="497"/>
      <c r="BK218" s="497"/>
      <c r="BL218" s="497"/>
      <c r="BM218" s="497"/>
      <c r="BN218" s="497"/>
      <c r="BO218" s="497"/>
      <c r="BP218" s="497"/>
      <c r="BQ218" s="623"/>
      <c r="BR218" s="497"/>
      <c r="BS218" s="497"/>
      <c r="BT218" s="497"/>
      <c r="BU218" s="497"/>
      <c r="BV218" s="497"/>
      <c r="BW218" s="497"/>
      <c r="BX218" s="497"/>
      <c r="BY218" s="497"/>
      <c r="BZ218" s="497"/>
      <c r="CA218" s="497"/>
      <c r="CB218" s="497"/>
      <c r="CC218" s="497"/>
      <c r="CD218" s="497"/>
      <c r="CE218" s="497"/>
      <c r="CF218" s="497"/>
      <c r="CG218" s="497"/>
      <c r="CH218" s="497"/>
      <c r="CI218" s="497"/>
      <c r="CJ218" s="497"/>
      <c r="CK218" s="497"/>
      <c r="CL218" s="497"/>
      <c r="CM218" s="497"/>
      <c r="CN218" s="497"/>
      <c r="CO218" s="497"/>
      <c r="CP218" s="497"/>
      <c r="CQ218" s="497"/>
      <c r="CR218" s="497"/>
      <c r="CS218" s="497"/>
      <c r="CT218" s="497"/>
      <c r="CU218" s="497"/>
      <c r="CV218" s="497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</row>
    <row r="219" spans="1:121" s="304" customFormat="1" hidden="1" outlineLevel="1" collapsed="1" x14ac:dyDescent="0.2">
      <c r="BQ219" s="545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</row>
    <row r="220" spans="1:121" s="304" customFormat="1" hidden="1" outlineLevel="1" x14ac:dyDescent="0.2">
      <c r="BQ220" s="545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</row>
    <row r="221" spans="1:121" s="304" customFormat="1" hidden="1" outlineLevel="1" x14ac:dyDescent="0.2">
      <c r="BQ221" s="545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</row>
    <row r="222" spans="1:121" s="304" customFormat="1" hidden="1" outlineLevel="1" x14ac:dyDescent="0.2">
      <c r="AV222" s="501">
        <f>AV225-AQ225</f>
        <v>300</v>
      </c>
      <c r="BQ222" s="545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</row>
    <row r="223" spans="1:121" s="304" customFormat="1" hidden="1" outlineLevel="1" x14ac:dyDescent="0.2">
      <c r="A223" s="304" t="s">
        <v>227</v>
      </c>
      <c r="H223" s="496"/>
      <c r="M223" s="496">
        <v>2800</v>
      </c>
      <c r="R223" s="496">
        <v>2700</v>
      </c>
      <c r="W223" s="496">
        <v>2900</v>
      </c>
      <c r="AB223" s="496">
        <v>2900</v>
      </c>
      <c r="AG223" s="496">
        <v>2800</v>
      </c>
      <c r="AL223" s="496">
        <v>3400</v>
      </c>
      <c r="AQ223" s="496">
        <v>3500</v>
      </c>
      <c r="AV223" s="496">
        <v>3730</v>
      </c>
      <c r="AW223" s="304">
        <f>AV223/AQ223-1</f>
        <v>6.5714285714285614E-2</v>
      </c>
      <c r="BA223" s="496">
        <v>3900</v>
      </c>
      <c r="BB223" s="501"/>
      <c r="BF223" s="304">
        <v>3900</v>
      </c>
      <c r="BK223" s="304">
        <v>3900</v>
      </c>
      <c r="BP223" s="304">
        <v>4200</v>
      </c>
      <c r="BQ223" s="545"/>
      <c r="BU223" s="304">
        <v>4100</v>
      </c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</row>
    <row r="224" spans="1:121" s="304" customFormat="1" hidden="1" outlineLevel="1" x14ac:dyDescent="0.2">
      <c r="A224" s="304" t="s">
        <v>237</v>
      </c>
      <c r="H224" s="496"/>
      <c r="M224" s="335">
        <f>M223/M5</f>
        <v>8.7108013937282236E-2</v>
      </c>
      <c r="R224" s="335">
        <f>R223/R5</f>
        <v>7.6842075305233792E-2</v>
      </c>
      <c r="W224" s="335">
        <f>W223/W5</f>
        <v>7.3466078938035168E-2</v>
      </c>
      <c r="AB224" s="335">
        <f>AB223/AB5</f>
        <v>6.7050472821437654E-2</v>
      </c>
      <c r="AC224" s="335"/>
      <c r="AD224" s="335"/>
      <c r="AE224" s="335"/>
      <c r="AF224" s="335"/>
      <c r="AG224" s="335">
        <f>AG223/AG5</f>
        <v>6.4766839378238336E-2</v>
      </c>
      <c r="AL224" s="335">
        <f>AL223/AL5</f>
        <v>5.8784881911546044E-2</v>
      </c>
      <c r="AQ224" s="335">
        <f>AQ223/AQ5</f>
        <v>5.3126090982225531E-2</v>
      </c>
      <c r="AV224" s="502">
        <f>AV223/AV5</f>
        <v>5.6953521040737802E-2</v>
      </c>
      <c r="BA224" s="335">
        <f>BA223/BA5</f>
        <v>5.8721674320560115E-2</v>
      </c>
      <c r="BF224" s="335">
        <f>BF223/BF5</f>
        <v>5.8485671010602404E-2</v>
      </c>
      <c r="BK224" s="335">
        <f>BK223/BK5</f>
        <v>6.1849784318700834E-2</v>
      </c>
      <c r="BP224" s="335">
        <f>BP223/BP5</f>
        <v>6.688004586060288E-2</v>
      </c>
      <c r="BQ224" s="545"/>
      <c r="BU224" s="335">
        <f>BU223/BU5</f>
        <v>6.4541519086973628E-2</v>
      </c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</row>
    <row r="225" spans="1:121" s="304" customFormat="1" hidden="1" outlineLevel="1" x14ac:dyDescent="0.2">
      <c r="A225" s="304" t="s">
        <v>228</v>
      </c>
      <c r="H225" s="496">
        <v>1700</v>
      </c>
      <c r="M225" s="496">
        <v>1800</v>
      </c>
      <c r="R225" s="496">
        <v>1700</v>
      </c>
      <c r="W225" s="496">
        <v>1800</v>
      </c>
      <c r="AB225" s="496">
        <v>1700</v>
      </c>
      <c r="AG225" s="496">
        <v>1700</v>
      </c>
      <c r="AL225" s="496">
        <v>1900</v>
      </c>
      <c r="AQ225" s="496">
        <v>1900</v>
      </c>
      <c r="AV225" s="496">
        <v>2200</v>
      </c>
      <c r="BA225" s="496">
        <v>2400</v>
      </c>
      <c r="BF225" s="304">
        <v>2300</v>
      </c>
      <c r="BK225" s="304">
        <v>2400</v>
      </c>
      <c r="BP225" s="304">
        <v>2500</v>
      </c>
      <c r="BQ225" s="545"/>
      <c r="BU225" s="304">
        <v>2400</v>
      </c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</row>
    <row r="226" spans="1:121" s="304" customFormat="1" hidden="1" outlineLevel="1" x14ac:dyDescent="0.2">
      <c r="A226" s="304" t="s">
        <v>237</v>
      </c>
      <c r="H226" s="335">
        <f>H225/H5</f>
        <v>5.8097809370834898E-2</v>
      </c>
      <c r="M226" s="335">
        <f>M225/M5</f>
        <v>5.5998008959681433E-2</v>
      </c>
      <c r="R226" s="335">
        <f>R225/R5</f>
        <v>4.8382047414406465E-2</v>
      </c>
      <c r="W226" s="335">
        <f>W225/W5</f>
        <v>4.5599635202918376E-2</v>
      </c>
      <c r="AB226" s="335">
        <f>AB225/AB5</f>
        <v>3.9305449584980695E-2</v>
      </c>
      <c r="AC226" s="335"/>
      <c r="AD226" s="335"/>
      <c r="AE226" s="335"/>
      <c r="AF226" s="335"/>
      <c r="AG226" s="335">
        <f>AG225/AG5</f>
        <v>3.9322723908216138E-2</v>
      </c>
      <c r="AL226" s="335">
        <f>AL225/AL5</f>
        <v>3.2850375185863964E-2</v>
      </c>
      <c r="AQ226" s="335">
        <f>AQ225/AQ5</f>
        <v>2.8839877961779573E-2</v>
      </c>
      <c r="AV226" s="335">
        <f>AV225/AV5</f>
        <v>3.3591889085689858E-2</v>
      </c>
      <c r="BA226" s="335">
        <f>BA225/BA5</f>
        <v>3.6136414966498533E-2</v>
      </c>
      <c r="BF226" s="335">
        <f>BF225/BF5</f>
        <v>3.4491549570355266E-2</v>
      </c>
      <c r="BK226" s="335">
        <f>BK225/BK5</f>
        <v>3.8061405734585128E-2</v>
      </c>
      <c r="BP226" s="335">
        <f>BP225/BP5</f>
        <v>3.9809551107501714E-2</v>
      </c>
      <c r="BQ226" s="545"/>
      <c r="BU226" s="335">
        <f>BU225/BU5</f>
        <v>3.7780401416765051E-2</v>
      </c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</row>
    <row r="227" spans="1:121" s="304" customFormat="1" hidden="1" outlineLevel="1" x14ac:dyDescent="0.2">
      <c r="A227" s="304" t="s">
        <v>247</v>
      </c>
      <c r="H227" s="496">
        <v>7800</v>
      </c>
      <c r="M227" s="496">
        <v>8900</v>
      </c>
      <c r="R227" s="496">
        <v>10100</v>
      </c>
      <c r="W227" s="496">
        <v>11300</v>
      </c>
      <c r="AB227" s="496">
        <v>12500</v>
      </c>
      <c r="AG227" s="496">
        <v>12900</v>
      </c>
      <c r="AL227" s="496">
        <v>29100</v>
      </c>
      <c r="AQ227" s="496">
        <v>34600</v>
      </c>
      <c r="AR227" s="503"/>
      <c r="AV227" s="496">
        <v>34700</v>
      </c>
      <c r="BA227" s="496">
        <v>34700</v>
      </c>
      <c r="BF227" s="304">
        <v>35800</v>
      </c>
      <c r="BQ227" s="545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</row>
    <row r="228" spans="1:121" s="304" customFormat="1" hidden="1" outlineLevel="1" x14ac:dyDescent="0.2">
      <c r="A228" s="304" t="s">
        <v>237</v>
      </c>
      <c r="H228" s="335">
        <f>H227/H5</f>
        <v>0.26656641946618365</v>
      </c>
      <c r="M228" s="335">
        <f>M227/M5</f>
        <v>0.27687904430064708</v>
      </c>
      <c r="R228" s="335">
        <f>R227/R5</f>
        <v>0.28744628169735609</v>
      </c>
      <c r="W228" s="335">
        <f>W227/W5</f>
        <v>0.28626437655165426</v>
      </c>
      <c r="AB228" s="335">
        <f>AB227/AB5</f>
        <v>0.28901065871309334</v>
      </c>
      <c r="AG228" s="335">
        <f>AG227/AG5</f>
        <v>0.29839008142116952</v>
      </c>
      <c r="AL228" s="335">
        <f>AL227/AL5</f>
        <v>0.50312943047823233</v>
      </c>
      <c r="AQ228" s="335">
        <f>AQ227/AQ5</f>
        <v>0.52518935656714383</v>
      </c>
      <c r="AR228" s="503"/>
      <c r="AV228" s="335">
        <f>AV227/AV5</f>
        <v>0.52983570512429001</v>
      </c>
      <c r="BA228" s="335">
        <f>BA227/BA5</f>
        <v>0.52247233305729124</v>
      </c>
      <c r="BF228" s="335">
        <f>BF227/BF5</f>
        <v>0.53686846722552972</v>
      </c>
      <c r="BQ228" s="545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</row>
    <row r="229" spans="1:121" s="304" customFormat="1" collapsed="1" x14ac:dyDescent="0.2">
      <c r="M229" s="503"/>
      <c r="N229" s="503"/>
      <c r="O229" s="503"/>
      <c r="P229" s="503"/>
      <c r="Q229" s="503"/>
      <c r="R229" s="503"/>
      <c r="S229" s="503"/>
      <c r="T229" s="503"/>
      <c r="U229" s="503"/>
      <c r="V229" s="503"/>
      <c r="W229" s="503"/>
      <c r="X229" s="503"/>
      <c r="Y229" s="503"/>
      <c r="Z229" s="503"/>
      <c r="AA229" s="503"/>
      <c r="AB229" s="503"/>
      <c r="AC229" s="503"/>
      <c r="AD229" s="503"/>
      <c r="AE229" s="503"/>
      <c r="AF229" s="503"/>
      <c r="AG229" s="503"/>
      <c r="AH229" s="503"/>
      <c r="AI229" s="503"/>
      <c r="AJ229" s="503"/>
      <c r="AK229" s="503"/>
      <c r="AL229" s="503"/>
      <c r="AM229" s="503"/>
      <c r="AN229" s="503"/>
      <c r="AO229" s="503"/>
      <c r="AP229" s="503"/>
      <c r="AQ229" s="503"/>
      <c r="BQ229" s="545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</row>
    <row r="230" spans="1:121" x14ac:dyDescent="0.2">
      <c r="M230" s="504"/>
      <c r="N230" s="504"/>
      <c r="O230" s="504"/>
      <c r="P230" s="504"/>
      <c r="Q230" s="504"/>
      <c r="R230" s="504"/>
      <c r="S230" s="504"/>
      <c r="T230" s="504"/>
      <c r="U230" s="504"/>
      <c r="V230" s="504"/>
      <c r="W230" s="504"/>
      <c r="X230" s="504"/>
      <c r="Y230" s="504"/>
      <c r="Z230" s="504"/>
      <c r="AA230" s="504"/>
      <c r="AB230" s="504"/>
      <c r="AC230" s="504"/>
      <c r="AD230" s="504"/>
      <c r="AE230" s="504"/>
      <c r="AF230" s="504"/>
      <c r="AG230" s="504"/>
      <c r="AH230" s="504"/>
      <c r="AI230" s="504"/>
      <c r="AJ230" s="504"/>
      <c r="AK230" s="504"/>
      <c r="AL230" s="504"/>
      <c r="AM230" s="504"/>
      <c r="AN230" s="504"/>
      <c r="AO230" s="504"/>
      <c r="AP230" s="504"/>
      <c r="AQ230" s="504"/>
      <c r="BF230" s="510"/>
      <c r="BQ230" s="545"/>
    </row>
    <row r="231" spans="1:121" x14ac:dyDescent="0.2">
      <c r="AL231" s="314"/>
      <c r="BQ231" s="545"/>
    </row>
    <row r="232" spans="1:121" hidden="1" outlineLevel="1" x14ac:dyDescent="0.2">
      <c r="A232" s="291" t="s">
        <v>264</v>
      </c>
      <c r="AL232" s="314"/>
      <c r="BQ232" s="545"/>
    </row>
    <row r="233" spans="1:121" hidden="1" outlineLevel="1" x14ac:dyDescent="0.2">
      <c r="A233" s="505" t="s">
        <v>233</v>
      </c>
      <c r="AL233" s="465">
        <f>AL5</f>
        <v>57838</v>
      </c>
      <c r="AM233" s="464">
        <f t="shared" ref="AM233:CT233" si="429">AM5</f>
        <v>11937</v>
      </c>
      <c r="AN233" s="464">
        <f t="shared" si="429"/>
        <v>16827</v>
      </c>
      <c r="AO233" s="464">
        <f t="shared" si="429"/>
        <v>17582</v>
      </c>
      <c r="AP233" s="464">
        <f t="shared" si="429"/>
        <v>19535</v>
      </c>
      <c r="AQ233" s="465">
        <f t="shared" si="429"/>
        <v>65881</v>
      </c>
      <c r="AR233" s="464">
        <f t="shared" si="429"/>
        <v>12428</v>
      </c>
      <c r="AS233" s="464">
        <f t="shared" si="429"/>
        <v>16458</v>
      </c>
      <c r="AT233" s="464">
        <f t="shared" si="429"/>
        <v>16652</v>
      </c>
      <c r="AU233" s="464">
        <f t="shared" si="429"/>
        <v>19954</v>
      </c>
      <c r="AV233" s="465">
        <f t="shared" si="429"/>
        <v>65492</v>
      </c>
      <c r="AW233" s="464">
        <f t="shared" si="429"/>
        <v>12581</v>
      </c>
      <c r="AX233" s="464">
        <f t="shared" si="429"/>
        <v>16807</v>
      </c>
      <c r="AY233" s="464">
        <f t="shared" si="429"/>
        <v>16909</v>
      </c>
      <c r="AZ233" s="464">
        <f t="shared" si="429"/>
        <v>20118</v>
      </c>
      <c r="BA233" s="465">
        <f t="shared" si="429"/>
        <v>66415</v>
      </c>
      <c r="BB233" s="464">
        <f t="shared" si="429"/>
        <v>12623</v>
      </c>
      <c r="BC233" s="464">
        <f t="shared" si="429"/>
        <v>16894</v>
      </c>
      <c r="BD233" s="464">
        <f t="shared" si="429"/>
        <v>17218</v>
      </c>
      <c r="BE233" s="464">
        <f t="shared" si="429"/>
        <v>19948</v>
      </c>
      <c r="BF233" s="465">
        <f t="shared" si="429"/>
        <v>66683</v>
      </c>
      <c r="BG233" s="464">
        <f t="shared" si="429"/>
        <v>12217</v>
      </c>
      <c r="BH233" s="464">
        <f t="shared" si="429"/>
        <v>15923</v>
      </c>
      <c r="BI233" s="464">
        <f t="shared" si="429"/>
        <v>16331</v>
      </c>
      <c r="BJ233" s="464">
        <f t="shared" si="429"/>
        <v>18585</v>
      </c>
      <c r="BK233" s="465">
        <f t="shared" si="429"/>
        <v>63056</v>
      </c>
      <c r="BL233" s="464">
        <f t="shared" si="429"/>
        <v>11862</v>
      </c>
      <c r="BM233" s="464">
        <f t="shared" si="429"/>
        <v>15395</v>
      </c>
      <c r="BN233" s="464">
        <f t="shared" si="429"/>
        <v>16027</v>
      </c>
      <c r="BO233" s="464">
        <f t="shared" si="429"/>
        <v>19515</v>
      </c>
      <c r="BP233" s="465">
        <f t="shared" si="429"/>
        <v>62799</v>
      </c>
      <c r="BQ233" s="615">
        <f t="shared" si="429"/>
        <v>12049</v>
      </c>
      <c r="BR233" s="464">
        <f t="shared" si="429"/>
        <v>15710</v>
      </c>
      <c r="BS233" s="464">
        <f t="shared" si="429"/>
        <v>16240</v>
      </c>
      <c r="BT233" s="464">
        <f t="shared" si="429"/>
        <v>19526</v>
      </c>
      <c r="BU233" s="465">
        <f t="shared" si="429"/>
        <v>63525</v>
      </c>
      <c r="BV233" s="464">
        <f t="shared" si="429"/>
        <v>12499.640607370404</v>
      </c>
      <c r="BW233" s="464">
        <f t="shared" si="429"/>
        <v>16260.326449841918</v>
      </c>
      <c r="BX233" s="464">
        <f t="shared" si="429"/>
        <v>16820.435015380965</v>
      </c>
      <c r="BY233" s="464">
        <f t="shared" si="429"/>
        <v>20271.001662037925</v>
      </c>
      <c r="BZ233" s="465">
        <f t="shared" si="429"/>
        <v>65851.403734631211</v>
      </c>
      <c r="CA233" s="464">
        <f t="shared" si="429"/>
        <v>12862.039073265883</v>
      </c>
      <c r="CB233" s="464">
        <f t="shared" si="429"/>
        <v>16763.944789429159</v>
      </c>
      <c r="CC233" s="464">
        <f t="shared" si="429"/>
        <v>17328.039149069722</v>
      </c>
      <c r="CD233" s="464">
        <f t="shared" si="429"/>
        <v>20905.767839802389</v>
      </c>
      <c r="CE233" s="465">
        <f t="shared" si="429"/>
        <v>67859.790851567159</v>
      </c>
      <c r="CF233" s="464">
        <f t="shared" si="429"/>
        <v>13230.267124586364</v>
      </c>
      <c r="CG233" s="464">
        <f t="shared" si="429"/>
        <v>17269.252964810548</v>
      </c>
      <c r="CH233" s="464">
        <f t="shared" si="429"/>
        <v>17838.858708797405</v>
      </c>
      <c r="CI233" s="464">
        <f t="shared" si="429"/>
        <v>21545.038721982091</v>
      </c>
      <c r="CJ233" s="465">
        <f t="shared" si="429"/>
        <v>69883.417520176416</v>
      </c>
      <c r="CK233" s="464">
        <f t="shared" si="429"/>
        <v>13612.086578576782</v>
      </c>
      <c r="CL233" s="464">
        <f t="shared" si="429"/>
        <v>17794.271655825458</v>
      </c>
      <c r="CM233" s="464">
        <f t="shared" si="429"/>
        <v>18369.714407733911</v>
      </c>
      <c r="CN233" s="464">
        <f t="shared" si="429"/>
        <v>22209.340056409041</v>
      </c>
      <c r="CO233" s="465">
        <f t="shared" si="429"/>
        <v>71985.412698545188</v>
      </c>
      <c r="CP233" s="464">
        <f t="shared" si="429"/>
        <v>14008.05719446152</v>
      </c>
      <c r="CQ233" s="464">
        <f t="shared" si="429"/>
        <v>18339.840701425015</v>
      </c>
      <c r="CR233" s="464">
        <f t="shared" si="429"/>
        <v>18921.451228950114</v>
      </c>
      <c r="CS233" s="464">
        <f t="shared" si="429"/>
        <v>22899.736164087662</v>
      </c>
      <c r="CT233" s="465">
        <f t="shared" si="429"/>
        <v>74169.085288924311</v>
      </c>
    </row>
    <row r="234" spans="1:121" hidden="1" outlineLevel="1" x14ac:dyDescent="0.2">
      <c r="A234" s="505" t="s">
        <v>208</v>
      </c>
      <c r="AL234" s="465">
        <f>AL23</f>
        <v>9773</v>
      </c>
      <c r="AM234" s="464">
        <f t="shared" ref="AM234:CT234" si="430">AM23</f>
        <v>1784</v>
      </c>
      <c r="AN234" s="464">
        <f t="shared" si="430"/>
        <v>2825</v>
      </c>
      <c r="AO234" s="464">
        <f t="shared" si="430"/>
        <v>3007</v>
      </c>
      <c r="AP234" s="464">
        <f t="shared" si="430"/>
        <v>2752</v>
      </c>
      <c r="AQ234" s="465">
        <f t="shared" si="430"/>
        <v>10368</v>
      </c>
      <c r="AR234" s="464">
        <f t="shared" si="430"/>
        <v>1673</v>
      </c>
      <c r="AS234" s="464">
        <f t="shared" si="430"/>
        <v>2673</v>
      </c>
      <c r="AT234" s="464">
        <f t="shared" si="430"/>
        <v>2764</v>
      </c>
      <c r="AU234" s="464">
        <f t="shared" si="430"/>
        <v>2572</v>
      </c>
      <c r="AV234" s="465">
        <f t="shared" si="430"/>
        <v>9682</v>
      </c>
      <c r="AW234" s="464">
        <f t="shared" si="430"/>
        <v>1797</v>
      </c>
      <c r="AX234" s="464">
        <f t="shared" si="430"/>
        <v>2926</v>
      </c>
      <c r="AY234" s="464">
        <f t="shared" si="430"/>
        <v>2815</v>
      </c>
      <c r="AZ234" s="464">
        <f t="shared" si="430"/>
        <v>2523</v>
      </c>
      <c r="BA234" s="465">
        <f t="shared" si="430"/>
        <v>10061</v>
      </c>
      <c r="BB234" s="464">
        <f t="shared" si="430"/>
        <v>1871</v>
      </c>
      <c r="BC234" s="464">
        <f t="shared" si="430"/>
        <v>2957</v>
      </c>
      <c r="BD234" s="464">
        <f t="shared" si="430"/>
        <v>2948</v>
      </c>
      <c r="BE234" s="464">
        <f t="shared" si="430"/>
        <v>2537</v>
      </c>
      <c r="BF234" s="465">
        <f t="shared" si="430"/>
        <v>10313</v>
      </c>
      <c r="BG234" s="464">
        <f t="shared" si="430"/>
        <v>1834</v>
      </c>
      <c r="BH234" s="464">
        <f t="shared" si="430"/>
        <v>2886</v>
      </c>
      <c r="BI234" s="464">
        <f t="shared" si="430"/>
        <v>2891</v>
      </c>
      <c r="BJ234" s="464">
        <f t="shared" si="430"/>
        <v>2326</v>
      </c>
      <c r="BK234" s="465">
        <f t="shared" si="430"/>
        <v>9937</v>
      </c>
      <c r="BL234" s="464">
        <f t="shared" si="430"/>
        <v>1919</v>
      </c>
      <c r="BM234" s="464">
        <f t="shared" si="430"/>
        <v>2856</v>
      </c>
      <c r="BN234" s="464">
        <f t="shared" si="430"/>
        <v>2830</v>
      </c>
      <c r="BO234" s="464">
        <f t="shared" si="430"/>
        <v>2560</v>
      </c>
      <c r="BP234" s="465">
        <f t="shared" si="430"/>
        <v>10165</v>
      </c>
      <c r="BQ234" s="615">
        <f t="shared" si="430"/>
        <v>1903</v>
      </c>
      <c r="BR234" s="464">
        <f t="shared" si="430"/>
        <v>2978</v>
      </c>
      <c r="BS234" s="464">
        <f t="shared" si="430"/>
        <v>2903</v>
      </c>
      <c r="BT234" s="464">
        <f t="shared" si="430"/>
        <v>2706</v>
      </c>
      <c r="BU234" s="465">
        <f t="shared" si="430"/>
        <v>10490</v>
      </c>
      <c r="BV234" s="464">
        <f t="shared" si="430"/>
        <v>1810.1385938033688</v>
      </c>
      <c r="BW234" s="464">
        <f t="shared" si="430"/>
        <v>3025.8072214013041</v>
      </c>
      <c r="BX234" s="464">
        <f t="shared" si="430"/>
        <v>3207.2564683688406</v>
      </c>
      <c r="BY234" s="464">
        <f t="shared" si="430"/>
        <v>2937.0564504928266</v>
      </c>
      <c r="BZ234" s="465">
        <f t="shared" si="430"/>
        <v>10980.258734066339</v>
      </c>
      <c r="CA234" s="464">
        <f t="shared" si="430"/>
        <v>1940.6465506209504</v>
      </c>
      <c r="CB234" s="464">
        <f t="shared" si="430"/>
        <v>3212.047139335803</v>
      </c>
      <c r="CC234" s="464">
        <f t="shared" si="430"/>
        <v>3394.7485526676228</v>
      </c>
      <c r="CD234" s="464">
        <f t="shared" si="430"/>
        <v>3147.1534961321249</v>
      </c>
      <c r="CE234" s="465">
        <f t="shared" si="430"/>
        <v>11694.595738756501</v>
      </c>
      <c r="CF234" s="464">
        <f t="shared" si="430"/>
        <v>2075.0015872512149</v>
      </c>
      <c r="CG234" s="464">
        <f t="shared" si="430"/>
        <v>3401.9941063627966</v>
      </c>
      <c r="CH234" s="464">
        <f t="shared" si="430"/>
        <v>3586.9313545064224</v>
      </c>
      <c r="CI234" s="464">
        <f t="shared" si="430"/>
        <v>3362.9125067519744</v>
      </c>
      <c r="CJ234" s="465">
        <f t="shared" si="430"/>
        <v>12426.839554872411</v>
      </c>
      <c r="CK234" s="464">
        <f t="shared" si="430"/>
        <v>2214.4009726006416</v>
      </c>
      <c r="CL234" s="464">
        <f t="shared" si="430"/>
        <v>3599.6573231374491</v>
      </c>
      <c r="CM234" s="464">
        <f t="shared" si="430"/>
        <v>3786.9794168319618</v>
      </c>
      <c r="CN234" s="464">
        <f t="shared" si="430"/>
        <v>3586.8384321285025</v>
      </c>
      <c r="CO234" s="465">
        <f t="shared" si="430"/>
        <v>13187.876144698554</v>
      </c>
      <c r="CP234" s="464">
        <f t="shared" si="430"/>
        <v>2360.2612286286508</v>
      </c>
      <c r="CQ234" s="464">
        <f t="shared" si="430"/>
        <v>3806.712186808657</v>
      </c>
      <c r="CR234" s="464">
        <f t="shared" si="430"/>
        <v>3996.4641461937399</v>
      </c>
      <c r="CS234" s="464">
        <f t="shared" si="430"/>
        <v>3821.5116629513141</v>
      </c>
      <c r="CT234" s="465">
        <f t="shared" si="430"/>
        <v>13984.949224582359</v>
      </c>
    </row>
    <row r="235" spans="1:121" hidden="1" outlineLevel="1" x14ac:dyDescent="0.2">
      <c r="A235" s="505" t="s">
        <v>265</v>
      </c>
      <c r="AL235" s="465"/>
      <c r="AM235" s="464"/>
      <c r="AN235" s="464"/>
      <c r="AO235" s="464"/>
      <c r="AP235" s="464"/>
      <c r="AQ235" s="465"/>
      <c r="AR235" s="464"/>
      <c r="AS235" s="464"/>
      <c r="AT235" s="464"/>
      <c r="AU235" s="464"/>
      <c r="AV235" s="465"/>
      <c r="AW235" s="464"/>
      <c r="AX235" s="464"/>
      <c r="AY235" s="464"/>
      <c r="AZ235" s="464"/>
      <c r="BA235" s="465"/>
      <c r="BB235" s="464"/>
      <c r="BC235" s="464"/>
      <c r="BD235" s="464"/>
      <c r="BE235" s="464"/>
      <c r="BF235" s="465"/>
      <c r="BG235" s="464"/>
      <c r="BH235" s="464"/>
      <c r="BI235" s="464"/>
      <c r="BJ235" s="464"/>
      <c r="BK235" s="465"/>
      <c r="BL235" s="464"/>
      <c r="BM235" s="464"/>
      <c r="BN235" s="464"/>
      <c r="BO235" s="464"/>
      <c r="BP235" s="465"/>
      <c r="BQ235" s="615"/>
      <c r="BR235" s="464"/>
      <c r="BS235" s="464"/>
      <c r="BT235" s="464"/>
      <c r="BU235" s="465"/>
      <c r="BV235" s="464"/>
      <c r="BW235" s="464"/>
      <c r="BX235" s="464"/>
      <c r="BY235" s="464"/>
      <c r="BZ235" s="465"/>
      <c r="CA235" s="464"/>
      <c r="CB235" s="464"/>
      <c r="CC235" s="464"/>
      <c r="CD235" s="464"/>
      <c r="CE235" s="465"/>
      <c r="CF235" s="464"/>
      <c r="CG235" s="464"/>
      <c r="CH235" s="464"/>
      <c r="CI235" s="464"/>
      <c r="CJ235" s="465"/>
      <c r="CK235" s="464"/>
      <c r="CL235" s="464"/>
      <c r="CM235" s="464"/>
      <c r="CN235" s="464"/>
      <c r="CO235" s="465"/>
      <c r="CP235" s="464"/>
      <c r="CQ235" s="464"/>
      <c r="CR235" s="464"/>
      <c r="CS235" s="464"/>
      <c r="CT235" s="465"/>
    </row>
    <row r="236" spans="1:121" hidden="1" outlineLevel="1" x14ac:dyDescent="0.2">
      <c r="A236" s="505" t="s">
        <v>266</v>
      </c>
      <c r="AL236" s="465">
        <f>AL29</f>
        <v>12100</v>
      </c>
      <c r="AM236" s="464">
        <f t="shared" ref="AM236:CT236" si="431">AM29</f>
        <v>2307</v>
      </c>
      <c r="AN236" s="464">
        <f t="shared" si="431"/>
        <v>3489</v>
      </c>
      <c r="AO236" s="464">
        <f t="shared" si="431"/>
        <v>3697</v>
      </c>
      <c r="AP236" s="464">
        <f t="shared" si="431"/>
        <v>3612</v>
      </c>
      <c r="AQ236" s="465">
        <f t="shared" si="431"/>
        <v>13105</v>
      </c>
      <c r="AR236" s="464">
        <f t="shared" si="431"/>
        <v>2228</v>
      </c>
      <c r="AS236" s="464">
        <f t="shared" si="431"/>
        <v>3319</v>
      </c>
      <c r="AT236" s="464">
        <f t="shared" si="431"/>
        <v>3400</v>
      </c>
      <c r="AU236" s="464">
        <f t="shared" si="431"/>
        <v>3424</v>
      </c>
      <c r="AV236" s="465">
        <f t="shared" si="431"/>
        <v>12371</v>
      </c>
      <c r="AW236" s="464">
        <f t="shared" si="431"/>
        <v>2348</v>
      </c>
      <c r="AX236" s="464">
        <f t="shared" si="431"/>
        <v>3560</v>
      </c>
      <c r="AY236" s="464">
        <f t="shared" si="431"/>
        <v>3445</v>
      </c>
      <c r="AZ236" s="464">
        <f t="shared" si="431"/>
        <v>3371</v>
      </c>
      <c r="BA236" s="465">
        <f t="shared" si="431"/>
        <v>12724</v>
      </c>
      <c r="BB236" s="464">
        <f t="shared" si="431"/>
        <v>2403</v>
      </c>
      <c r="BC236" s="464">
        <f t="shared" si="431"/>
        <v>3587</v>
      </c>
      <c r="BD236" s="464">
        <f t="shared" si="431"/>
        <v>3580</v>
      </c>
      <c r="BE236" s="464">
        <f t="shared" si="431"/>
        <v>3368</v>
      </c>
      <c r="BF236" s="465">
        <f t="shared" si="431"/>
        <v>12938</v>
      </c>
      <c r="BG236" s="464">
        <f t="shared" si="431"/>
        <v>2330</v>
      </c>
      <c r="BH236" s="464">
        <f t="shared" si="431"/>
        <v>3465</v>
      </c>
      <c r="BI236" s="464">
        <f t="shared" si="431"/>
        <v>3460</v>
      </c>
      <c r="BJ236" s="464">
        <f t="shared" si="431"/>
        <v>3098</v>
      </c>
      <c r="BK236" s="465">
        <f t="shared" si="431"/>
        <v>12353</v>
      </c>
      <c r="BL236" s="464">
        <f t="shared" si="431"/>
        <v>2400</v>
      </c>
      <c r="BM236" s="464">
        <f t="shared" si="431"/>
        <v>3419</v>
      </c>
      <c r="BN236" s="464">
        <f t="shared" si="431"/>
        <v>3397</v>
      </c>
      <c r="BO236" s="464">
        <f t="shared" si="431"/>
        <v>3317</v>
      </c>
      <c r="BP236" s="465">
        <f t="shared" si="431"/>
        <v>12533</v>
      </c>
      <c r="BQ236" s="615">
        <f t="shared" si="431"/>
        <v>2380</v>
      </c>
      <c r="BR236" s="464">
        <f t="shared" si="431"/>
        <v>3532</v>
      </c>
      <c r="BS236" s="464">
        <f t="shared" si="431"/>
        <v>3476</v>
      </c>
      <c r="BT236" s="464">
        <f t="shared" si="431"/>
        <v>3471</v>
      </c>
      <c r="BU236" s="465">
        <f t="shared" si="431"/>
        <v>12859</v>
      </c>
      <c r="BV236" s="464">
        <f t="shared" si="431"/>
        <v>2305.7976860823151</v>
      </c>
      <c r="BW236" s="464">
        <f t="shared" si="431"/>
        <v>3597.6658495985398</v>
      </c>
      <c r="BX236" s="464">
        <f t="shared" si="431"/>
        <v>3800.7516060082066</v>
      </c>
      <c r="BY236" s="464">
        <f t="shared" si="431"/>
        <v>3727.1363829895467</v>
      </c>
      <c r="BZ236" s="465">
        <f t="shared" si="431"/>
        <v>13431.351524678608</v>
      </c>
      <c r="CA236" s="464">
        <f t="shared" si="431"/>
        <v>2469.644963812983</v>
      </c>
      <c r="CB236" s="464">
        <f t="shared" si="431"/>
        <v>3817.9565402385733</v>
      </c>
      <c r="CC236" s="464">
        <f t="shared" si="431"/>
        <v>4017.7081152785759</v>
      </c>
      <c r="CD236" s="464">
        <f t="shared" si="431"/>
        <v>3968.7480218799519</v>
      </c>
      <c r="CE236" s="465">
        <f t="shared" si="431"/>
        <v>14274.057641210084</v>
      </c>
      <c r="CF236" s="464">
        <f t="shared" si="431"/>
        <v>2621.0817374589706</v>
      </c>
      <c r="CG236" s="464">
        <f t="shared" si="431"/>
        <v>4026.9872839424429</v>
      </c>
      <c r="CH236" s="464">
        <f t="shared" si="431"/>
        <v>4228.8929299872234</v>
      </c>
      <c r="CI236" s="464">
        <f t="shared" si="431"/>
        <v>4208.7339698962533</v>
      </c>
      <c r="CJ236" s="465">
        <f t="shared" si="431"/>
        <v>15085.695921284892</v>
      </c>
      <c r="CK236" s="464">
        <f t="shared" si="431"/>
        <v>2776.0145482976282</v>
      </c>
      <c r="CL236" s="464">
        <f t="shared" si="431"/>
        <v>4241.9803020798799</v>
      </c>
      <c r="CM236" s="464">
        <f t="shared" si="431"/>
        <v>4446.1871349936864</v>
      </c>
      <c r="CN236" s="464">
        <f t="shared" si="431"/>
        <v>4454.6372183021904</v>
      </c>
      <c r="CO236" s="465">
        <f t="shared" si="431"/>
        <v>15918.819203673384</v>
      </c>
      <c r="CP236" s="464">
        <f t="shared" si="431"/>
        <v>2936.0559100690593</v>
      </c>
      <c r="CQ236" s="464">
        <f t="shared" si="431"/>
        <v>4464.8303843826452</v>
      </c>
      <c r="CR236" s="464">
        <f t="shared" si="431"/>
        <v>4671.3792008538931</v>
      </c>
      <c r="CS236" s="464">
        <f t="shared" si="431"/>
        <v>4709.313012535762</v>
      </c>
      <c r="CT236" s="465">
        <f t="shared" si="431"/>
        <v>16781.578507841357</v>
      </c>
    </row>
    <row r="237" spans="1:121" hidden="1" outlineLevel="1" x14ac:dyDescent="0.2">
      <c r="A237" s="505" t="s">
        <v>267</v>
      </c>
      <c r="AL237" s="465">
        <f>SUM(AL113:AL120)</f>
        <v>1010</v>
      </c>
      <c r="AM237" s="464">
        <f t="shared" ref="AM237:CT237" si="432">SUM(AM113:AM120)</f>
        <v>337</v>
      </c>
      <c r="AN237" s="464">
        <f t="shared" si="432"/>
        <v>478</v>
      </c>
      <c r="AO237" s="464">
        <f t="shared" si="432"/>
        <v>884</v>
      </c>
      <c r="AP237" s="464">
        <f t="shared" si="432"/>
        <v>1056</v>
      </c>
      <c r="AQ237" s="465">
        <f t="shared" si="432"/>
        <v>2753</v>
      </c>
      <c r="AR237" s="464">
        <f t="shared" si="432"/>
        <v>-378</v>
      </c>
      <c r="AS237" s="464">
        <f t="shared" si="432"/>
        <v>452</v>
      </c>
      <c r="AT237" s="464">
        <f t="shared" si="432"/>
        <v>894</v>
      </c>
      <c r="AU237" s="464">
        <f t="shared" si="432"/>
        <v>623</v>
      </c>
      <c r="AV237" s="465">
        <f t="shared" si="432"/>
        <v>1591</v>
      </c>
      <c r="AW237" s="464">
        <f t="shared" si="432"/>
        <v>557</v>
      </c>
      <c r="AX237" s="464">
        <f t="shared" si="432"/>
        <v>247</v>
      </c>
      <c r="AY237" s="464">
        <f t="shared" si="432"/>
        <v>876</v>
      </c>
      <c r="AZ237" s="464">
        <f t="shared" si="432"/>
        <v>227</v>
      </c>
      <c r="BA237" s="465">
        <f t="shared" si="432"/>
        <v>1907</v>
      </c>
      <c r="BB237" s="464">
        <f t="shared" si="432"/>
        <v>546</v>
      </c>
      <c r="BC237" s="464">
        <f t="shared" si="432"/>
        <v>600</v>
      </c>
      <c r="BD237" s="464">
        <f t="shared" si="432"/>
        <v>599</v>
      </c>
      <c r="BE237" s="464">
        <f t="shared" si="432"/>
        <v>536</v>
      </c>
      <c r="BF237" s="465">
        <f t="shared" si="432"/>
        <v>2281</v>
      </c>
      <c r="BG237" s="464">
        <f t="shared" si="432"/>
        <v>525</v>
      </c>
      <c r="BH237" s="464">
        <f t="shared" si="432"/>
        <v>603</v>
      </c>
      <c r="BI237" s="464">
        <f t="shared" si="432"/>
        <v>691</v>
      </c>
      <c r="BJ237" s="464">
        <f t="shared" si="432"/>
        <v>848</v>
      </c>
      <c r="BK237" s="465">
        <f t="shared" si="432"/>
        <v>2667</v>
      </c>
      <c r="BL237" s="464">
        <f t="shared" si="432"/>
        <v>308</v>
      </c>
      <c r="BM237" s="464">
        <f t="shared" si="432"/>
        <v>717</v>
      </c>
      <c r="BN237" s="464">
        <f t="shared" si="432"/>
        <v>750</v>
      </c>
      <c r="BO237" s="464">
        <f t="shared" si="432"/>
        <v>677</v>
      </c>
      <c r="BP237" s="465">
        <f t="shared" si="432"/>
        <v>2452</v>
      </c>
      <c r="BQ237" s="615">
        <f t="shared" si="432"/>
        <v>601</v>
      </c>
      <c r="BR237" s="464">
        <f t="shared" si="432"/>
        <v>468</v>
      </c>
      <c r="BS237" s="464">
        <f t="shared" si="432"/>
        <v>755</v>
      </c>
      <c r="BT237" s="464">
        <f t="shared" si="432"/>
        <v>1133</v>
      </c>
      <c r="BU237" s="465">
        <f t="shared" si="432"/>
        <v>2957</v>
      </c>
      <c r="BV237" s="464">
        <f t="shared" si="432"/>
        <v>261.98409227894592</v>
      </c>
      <c r="BW237" s="464">
        <f t="shared" si="432"/>
        <v>340.29967819723561</v>
      </c>
      <c r="BX237" s="464">
        <f t="shared" si="432"/>
        <v>356.67264288936536</v>
      </c>
      <c r="BY237" s="464">
        <f t="shared" si="432"/>
        <v>612.30930027296972</v>
      </c>
      <c r="BZ237" s="465">
        <f t="shared" si="432"/>
        <v>1571.2657136385167</v>
      </c>
      <c r="CA237" s="464">
        <f t="shared" si="432"/>
        <v>603.86252780716336</v>
      </c>
      <c r="CB237" s="464">
        <f t="shared" si="432"/>
        <v>678.72347371597664</v>
      </c>
      <c r="CC237" s="464">
        <f t="shared" si="432"/>
        <v>689.09718203822547</v>
      </c>
      <c r="CD237" s="464">
        <f t="shared" si="432"/>
        <v>916.26383227223619</v>
      </c>
      <c r="CE237" s="465">
        <f t="shared" si="432"/>
        <v>2887.9470158336017</v>
      </c>
      <c r="CF237" s="464">
        <f t="shared" si="432"/>
        <v>625.16541013978656</v>
      </c>
      <c r="CG237" s="464">
        <f t="shared" si="432"/>
        <v>701.92342556758717</v>
      </c>
      <c r="CH237" s="464">
        <f t="shared" si="432"/>
        <v>711.87906702118153</v>
      </c>
      <c r="CI237" s="464">
        <f t="shared" si="432"/>
        <v>945.69473334236136</v>
      </c>
      <c r="CJ237" s="465">
        <f t="shared" si="432"/>
        <v>2984.6626360709165</v>
      </c>
      <c r="CK237" s="464">
        <f t="shared" si="432"/>
        <v>645.14052271480966</v>
      </c>
      <c r="CL237" s="464">
        <f t="shared" si="432"/>
        <v>723.58464563440566</v>
      </c>
      <c r="CM237" s="464">
        <f t="shared" si="432"/>
        <v>733.10346021028431</v>
      </c>
      <c r="CN237" s="464">
        <f t="shared" si="432"/>
        <v>973.14555278749003</v>
      </c>
      <c r="CO237" s="465">
        <f t="shared" si="432"/>
        <v>3074.97418134699</v>
      </c>
      <c r="CP237" s="464">
        <f t="shared" si="432"/>
        <v>663.9950725944675</v>
      </c>
      <c r="CQ237" s="464">
        <f t="shared" si="432"/>
        <v>743.93747586673317</v>
      </c>
      <c r="CR237" s="464">
        <f t="shared" si="432"/>
        <v>752.99753071554323</v>
      </c>
      <c r="CS237" s="464">
        <f t="shared" si="432"/>
        <v>998.90480716476429</v>
      </c>
      <c r="CT237" s="465">
        <f t="shared" si="432"/>
        <v>3159.8348863415081</v>
      </c>
    </row>
    <row r="238" spans="1:121" hidden="1" outlineLevel="1" x14ac:dyDescent="0.2">
      <c r="A238" s="505" t="s">
        <v>268</v>
      </c>
      <c r="AL238" s="465">
        <f>SUM(AL122:AL126)</f>
        <v>763</v>
      </c>
      <c r="AM238" s="464">
        <f t="shared" ref="AM238:CT238" si="433">SUM(AM122:AM126)</f>
        <v>-1151</v>
      </c>
      <c r="AN238" s="464">
        <f t="shared" si="433"/>
        <v>-442</v>
      </c>
      <c r="AO238" s="464">
        <f t="shared" si="433"/>
        <v>508</v>
      </c>
      <c r="AP238" s="464">
        <f t="shared" si="433"/>
        <v>241</v>
      </c>
      <c r="AQ238" s="465">
        <f t="shared" si="433"/>
        <v>-844</v>
      </c>
      <c r="AR238" s="464">
        <f t="shared" si="433"/>
        <v>-1404</v>
      </c>
      <c r="AS238" s="464">
        <f t="shared" si="433"/>
        <v>-280</v>
      </c>
      <c r="AT238" s="464">
        <f t="shared" si="433"/>
        <v>1084</v>
      </c>
      <c r="AU238" s="464">
        <f t="shared" si="433"/>
        <v>1034</v>
      </c>
      <c r="AV238" s="465">
        <f t="shared" si="433"/>
        <v>434</v>
      </c>
      <c r="AW238" s="464">
        <f t="shared" si="433"/>
        <v>-1061</v>
      </c>
      <c r="AX238" s="464">
        <f t="shared" si="433"/>
        <v>16</v>
      </c>
      <c r="AY238" s="464">
        <f t="shared" si="433"/>
        <v>835</v>
      </c>
      <c r="AZ238" s="464">
        <f t="shared" si="433"/>
        <v>1168</v>
      </c>
      <c r="BA238" s="465">
        <f t="shared" si="433"/>
        <v>958</v>
      </c>
      <c r="BB238" s="464">
        <f t="shared" si="433"/>
        <v>-1636</v>
      </c>
      <c r="BC238" s="464">
        <f t="shared" si="433"/>
        <v>-136</v>
      </c>
      <c r="BD238" s="464">
        <f t="shared" si="433"/>
        <v>1343</v>
      </c>
      <c r="BE238" s="464">
        <f t="shared" si="433"/>
        <v>1588</v>
      </c>
      <c r="BF238" s="465">
        <f t="shared" si="433"/>
        <v>1159</v>
      </c>
      <c r="BG238" s="464">
        <f t="shared" si="433"/>
        <v>-1506</v>
      </c>
      <c r="BH238" s="464">
        <f t="shared" si="433"/>
        <v>-84</v>
      </c>
      <c r="BI238" s="464">
        <f t="shared" si="433"/>
        <v>1322</v>
      </c>
      <c r="BJ238" s="464">
        <f t="shared" si="433"/>
        <v>1393</v>
      </c>
      <c r="BK238" s="465">
        <f t="shared" si="433"/>
        <v>1125</v>
      </c>
      <c r="BL238" s="464">
        <f t="shared" si="433"/>
        <v>-1477</v>
      </c>
      <c r="BM238" s="464">
        <f t="shared" si="433"/>
        <v>102</v>
      </c>
      <c r="BN238" s="464">
        <f t="shared" si="433"/>
        <v>888</v>
      </c>
      <c r="BO238" s="464">
        <f t="shared" si="433"/>
        <v>1399</v>
      </c>
      <c r="BP238" s="465">
        <f t="shared" si="433"/>
        <v>912</v>
      </c>
      <c r="BQ238" s="615">
        <f t="shared" si="433"/>
        <v>-2154</v>
      </c>
      <c r="BR238" s="464">
        <f t="shared" si="433"/>
        <v>-183</v>
      </c>
      <c r="BS238" s="464">
        <f t="shared" si="433"/>
        <v>932</v>
      </c>
      <c r="BT238" s="464">
        <f t="shared" si="433"/>
        <v>918</v>
      </c>
      <c r="BU238" s="465">
        <f t="shared" si="433"/>
        <v>-487</v>
      </c>
      <c r="BV238" s="464">
        <f t="shared" si="433"/>
        <v>-1641.0845199682478</v>
      </c>
      <c r="BW238" s="464">
        <f t="shared" ca="1" si="433"/>
        <v>-127.7232616951934</v>
      </c>
      <c r="BX238" s="464">
        <f t="shared" ca="1" si="433"/>
        <v>871.3154039174176</v>
      </c>
      <c r="BY238" s="464">
        <f t="shared" si="433"/>
        <v>905.41589699685221</v>
      </c>
      <c r="BZ238" s="465">
        <f t="shared" ca="1" si="433"/>
        <v>7.9235192508285763</v>
      </c>
      <c r="CA238" s="464">
        <f t="shared" si="433"/>
        <v>-1641.4288913549224</v>
      </c>
      <c r="CB238" s="464">
        <f t="shared" ca="1" si="433"/>
        <v>-129.6743710979714</v>
      </c>
      <c r="CC238" s="464">
        <f t="shared" ca="1" si="433"/>
        <v>891.33730069856165</v>
      </c>
      <c r="CD238" s="464">
        <f t="shared" si="433"/>
        <v>934.50615696493276</v>
      </c>
      <c r="CE238" s="465">
        <f t="shared" ca="1" si="433"/>
        <v>54.740195210600632</v>
      </c>
      <c r="CF238" s="464">
        <f t="shared" si="433"/>
        <v>-1690.3749355441848</v>
      </c>
      <c r="CG238" s="464">
        <f t="shared" ca="1" si="433"/>
        <v>-132.55370365515182</v>
      </c>
      <c r="CH238" s="464">
        <f t="shared" ca="1" si="433"/>
        <v>911.45170373752933</v>
      </c>
      <c r="CI238" s="464">
        <f t="shared" si="433"/>
        <v>963.67145906367625</v>
      </c>
      <c r="CJ238" s="465">
        <f t="shared" ca="1" si="433"/>
        <v>52.194523601868923</v>
      </c>
      <c r="CK238" s="464">
        <f t="shared" si="433"/>
        <v>-1725.2986256808636</v>
      </c>
      <c r="CL238" s="464">
        <f t="shared" ca="1" si="433"/>
        <v>-135.13851002905653</v>
      </c>
      <c r="CM238" s="464">
        <f t="shared" ca="1" si="433"/>
        <v>933.61013668262024</v>
      </c>
      <c r="CN238" s="464">
        <f t="shared" si="433"/>
        <v>994.3292141995222</v>
      </c>
      <c r="CO238" s="465">
        <f t="shared" ca="1" si="433"/>
        <v>67.50221517222235</v>
      </c>
      <c r="CP238" s="464">
        <f t="shared" si="433"/>
        <v>-1775.6662167090183</v>
      </c>
      <c r="CQ238" s="464">
        <f t="shared" ca="1" si="433"/>
        <v>-137.85956177619687</v>
      </c>
      <c r="CR238" s="464">
        <f t="shared" ca="1" si="433"/>
        <v>956.61835813220068</v>
      </c>
      <c r="CS238" s="464">
        <f t="shared" si="433"/>
        <v>1026.0541872820331</v>
      </c>
      <c r="CT238" s="465">
        <f t="shared" ca="1" si="433"/>
        <v>69.146766929018668</v>
      </c>
    </row>
    <row r="239" spans="1:121" hidden="1" outlineLevel="1" x14ac:dyDescent="0.2">
      <c r="A239" s="505" t="s">
        <v>37</v>
      </c>
      <c r="AL239" s="465">
        <f>AL130</f>
        <v>-3253</v>
      </c>
      <c r="AM239" s="464">
        <f t="shared" ref="AM239:CT239" si="434">AM130</f>
        <v>-433</v>
      </c>
      <c r="AN239" s="464">
        <f t="shared" si="434"/>
        <v>-798</v>
      </c>
      <c r="AO239" s="464">
        <f t="shared" si="434"/>
        <v>-731</v>
      </c>
      <c r="AP239" s="464">
        <f t="shared" si="434"/>
        <v>-1377</v>
      </c>
      <c r="AQ239" s="465">
        <f t="shared" si="434"/>
        <v>-3339</v>
      </c>
      <c r="AR239" s="464">
        <f t="shared" si="434"/>
        <v>-316</v>
      </c>
      <c r="AS239" s="464">
        <f t="shared" si="434"/>
        <v>-585</v>
      </c>
      <c r="AT239" s="464">
        <f t="shared" si="434"/>
        <v>-508</v>
      </c>
      <c r="AU239" s="464">
        <f t="shared" si="434"/>
        <v>-1305</v>
      </c>
      <c r="AV239" s="465">
        <f t="shared" si="434"/>
        <v>-2714</v>
      </c>
      <c r="AW239" s="464">
        <f t="shared" si="434"/>
        <v>-303</v>
      </c>
      <c r="AX239" s="464">
        <f t="shared" si="434"/>
        <v>-608</v>
      </c>
      <c r="AY239" s="464">
        <f t="shared" si="434"/>
        <v>-586</v>
      </c>
      <c r="AZ239" s="464">
        <f t="shared" si="434"/>
        <v>-1298</v>
      </c>
      <c r="BA239" s="465">
        <f t="shared" si="434"/>
        <v>-2795</v>
      </c>
      <c r="BB239" s="464">
        <f t="shared" si="434"/>
        <v>-355</v>
      </c>
      <c r="BC239" s="464">
        <f t="shared" si="434"/>
        <v>-566</v>
      </c>
      <c r="BD239" s="464">
        <f t="shared" si="434"/>
        <v>-619</v>
      </c>
      <c r="BE239" s="464">
        <f t="shared" si="434"/>
        <v>-1319</v>
      </c>
      <c r="BF239" s="465">
        <f t="shared" si="434"/>
        <v>-2859</v>
      </c>
      <c r="BG239" s="464">
        <f t="shared" si="434"/>
        <v>-270</v>
      </c>
      <c r="BH239" s="464">
        <f t="shared" si="434"/>
        <v>-562</v>
      </c>
      <c r="BI239" s="464">
        <f t="shared" si="434"/>
        <v>-631</v>
      </c>
      <c r="BJ239" s="464">
        <f t="shared" si="434"/>
        <v>-1295</v>
      </c>
      <c r="BK239" s="465">
        <f t="shared" si="434"/>
        <v>-2758</v>
      </c>
      <c r="BL239" s="464">
        <f t="shared" si="434"/>
        <v>-389</v>
      </c>
      <c r="BM239" s="464">
        <f t="shared" si="434"/>
        <v>-530</v>
      </c>
      <c r="BN239" s="464">
        <f t="shared" si="434"/>
        <v>-647</v>
      </c>
      <c r="BO239" s="464">
        <f t="shared" si="434"/>
        <v>-1474</v>
      </c>
      <c r="BP239" s="465">
        <f t="shared" si="434"/>
        <v>-3040</v>
      </c>
      <c r="BQ239" s="615">
        <f t="shared" si="434"/>
        <v>-317</v>
      </c>
      <c r="BR239" s="464">
        <f t="shared" si="434"/>
        <v>-561</v>
      </c>
      <c r="BS239" s="464">
        <f t="shared" si="434"/>
        <v>-596</v>
      </c>
      <c r="BT239" s="464">
        <f t="shared" si="434"/>
        <v>-1495</v>
      </c>
      <c r="BU239" s="465">
        <f t="shared" si="434"/>
        <v>-2969</v>
      </c>
      <c r="BV239" s="464">
        <f t="shared" si="434"/>
        <v>-441.35277613414155</v>
      </c>
      <c r="BW239" s="464">
        <f t="shared" si="434"/>
        <v>-726.99495194808821</v>
      </c>
      <c r="BX239" s="464">
        <f t="shared" si="434"/>
        <v>-768.68559427433115</v>
      </c>
      <c r="BY239" s="464">
        <f t="shared" si="434"/>
        <v>-1673.6667497421088</v>
      </c>
      <c r="BZ239" s="465">
        <f t="shared" si="434"/>
        <v>-3610.7000720986698</v>
      </c>
      <c r="CA239" s="464">
        <f t="shared" si="434"/>
        <v>-338.3904378973595</v>
      </c>
      <c r="CB239" s="464">
        <f t="shared" si="434"/>
        <v>-598.63609337172238</v>
      </c>
      <c r="CC239" s="464">
        <f t="shared" si="434"/>
        <v>-635.93050079098248</v>
      </c>
      <c r="CD239" s="464">
        <f t="shared" si="434"/>
        <v>-1600.6413459236185</v>
      </c>
      <c r="CE239" s="465">
        <f t="shared" si="434"/>
        <v>-3173.5983779836829</v>
      </c>
      <c r="CF239" s="464">
        <f t="shared" si="434"/>
        <v>-334.84796994852155</v>
      </c>
      <c r="CG239" s="464">
        <f t="shared" si="434"/>
        <v>-599.4112634743185</v>
      </c>
      <c r="CH239" s="464">
        <f t="shared" si="434"/>
        <v>-636.83846828893991</v>
      </c>
      <c r="CI239" s="464">
        <f t="shared" si="434"/>
        <v>-1628.0418141594696</v>
      </c>
      <c r="CJ239" s="465">
        <f t="shared" si="434"/>
        <v>-3199.1395158712494</v>
      </c>
      <c r="CK239" s="464">
        <f t="shared" si="434"/>
        <v>-330.8994425295291</v>
      </c>
      <c r="CL239" s="464">
        <f t="shared" si="434"/>
        <v>-599.84025356410223</v>
      </c>
      <c r="CM239" s="464">
        <f t="shared" si="434"/>
        <v>-637.42004082796882</v>
      </c>
      <c r="CN239" s="464">
        <f t="shared" si="434"/>
        <v>-1656.030125803986</v>
      </c>
      <c r="CO239" s="465">
        <f t="shared" si="434"/>
        <v>-3224.189862725586</v>
      </c>
      <c r="CP239" s="464">
        <f t="shared" si="434"/>
        <v>-326.51712899295381</v>
      </c>
      <c r="CQ239" s="464">
        <f t="shared" si="434"/>
        <v>-599.89140300708289</v>
      </c>
      <c r="CR239" s="464">
        <f t="shared" si="434"/>
        <v>-637.64358550368343</v>
      </c>
      <c r="CS239" s="464">
        <f t="shared" si="434"/>
        <v>-1684.6094858286965</v>
      </c>
      <c r="CT239" s="465">
        <f t="shared" si="434"/>
        <v>-3248.6616033324167</v>
      </c>
    </row>
    <row r="240" spans="1:121" hidden="1" outlineLevel="1" x14ac:dyDescent="0.2">
      <c r="A240" s="505" t="s">
        <v>168</v>
      </c>
      <c r="AL240" s="465">
        <f>AL185</f>
        <v>18954</v>
      </c>
      <c r="AM240" s="464">
        <f t="shared" ref="AM240:CT240" si="435">AM185</f>
        <v>23536</v>
      </c>
      <c r="AN240" s="464">
        <f t="shared" si="435"/>
        <v>24409</v>
      </c>
      <c r="AO240" s="464">
        <f t="shared" si="435"/>
        <v>23768</v>
      </c>
      <c r="AP240" s="464">
        <f t="shared" si="435"/>
        <v>22706</v>
      </c>
      <c r="AQ240" s="465">
        <f t="shared" si="435"/>
        <v>22706</v>
      </c>
      <c r="AR240" s="464">
        <f t="shared" si="435"/>
        <v>24225</v>
      </c>
      <c r="AS240" s="464">
        <f t="shared" si="435"/>
        <v>24469</v>
      </c>
      <c r="AT240" s="464">
        <f t="shared" si="435"/>
        <v>22634</v>
      </c>
      <c r="AU240" s="464">
        <f t="shared" si="435"/>
        <v>22062</v>
      </c>
      <c r="AV240" s="465">
        <f t="shared" si="435"/>
        <v>22062</v>
      </c>
      <c r="AW240" s="464">
        <f t="shared" si="435"/>
        <v>22685</v>
      </c>
      <c r="AX240" s="464">
        <f t="shared" si="435"/>
        <v>21717</v>
      </c>
      <c r="AY240" s="464">
        <f t="shared" si="435"/>
        <v>20345</v>
      </c>
      <c r="AZ240" s="464">
        <f t="shared" si="435"/>
        <v>20264</v>
      </c>
      <c r="BA240" s="465">
        <f t="shared" si="435"/>
        <v>20264</v>
      </c>
      <c r="BB240" s="464">
        <f t="shared" si="435"/>
        <v>22233</v>
      </c>
      <c r="BC240" s="464">
        <f t="shared" si="435"/>
        <v>25241</v>
      </c>
      <c r="BD240" s="464">
        <f t="shared" si="435"/>
        <v>25460</v>
      </c>
      <c r="BE240" s="464">
        <f t="shared" si="435"/>
        <v>22763</v>
      </c>
      <c r="BF240" s="465">
        <f t="shared" si="435"/>
        <v>22763</v>
      </c>
      <c r="BG240" s="464">
        <f t="shared" si="435"/>
        <v>23955</v>
      </c>
      <c r="BH240" s="464">
        <f t="shared" ca="1" si="435"/>
        <v>23896</v>
      </c>
      <c r="BI240" s="464">
        <f t="shared" ca="1" si="435"/>
        <v>23145</v>
      </c>
      <c r="BJ240" s="464">
        <f t="shared" ca="1" si="435"/>
        <v>24188</v>
      </c>
      <c r="BK240" s="465">
        <f t="shared" ca="1" si="435"/>
        <v>24188</v>
      </c>
      <c r="BL240" s="464">
        <f t="shared" ca="1" si="435"/>
        <v>26962</v>
      </c>
      <c r="BM240" s="464">
        <f t="shared" si="435"/>
        <v>25975</v>
      </c>
      <c r="BN240" s="464">
        <f t="shared" si="435"/>
        <v>25350</v>
      </c>
      <c r="BO240" s="464">
        <f t="shared" si="435"/>
        <v>27787</v>
      </c>
      <c r="BP240" s="465">
        <f t="shared" si="435"/>
        <v>27787</v>
      </c>
      <c r="BQ240" s="615">
        <f t="shared" si="435"/>
        <v>29130</v>
      </c>
      <c r="BR240" s="464">
        <f t="shared" si="435"/>
        <v>29202</v>
      </c>
      <c r="BS240" s="464">
        <f t="shared" si="435"/>
        <v>28926</v>
      </c>
      <c r="BT240" s="464">
        <f t="shared" si="435"/>
        <v>28671</v>
      </c>
      <c r="BU240" s="465">
        <f t="shared" si="435"/>
        <v>28671</v>
      </c>
      <c r="BV240" s="464">
        <f t="shared" ca="1" si="435"/>
        <v>30888.141913001207</v>
      </c>
      <c r="BW240" s="464">
        <f t="shared" ca="1" si="435"/>
        <v>31007.106417948191</v>
      </c>
      <c r="BX240" s="464">
        <f t="shared" ca="1" si="435"/>
        <v>30007.518791244889</v>
      </c>
      <c r="BY240" s="464">
        <f t="shared" ca="1" si="435"/>
        <v>29877.987284164759</v>
      </c>
      <c r="BZ240" s="465">
        <f t="shared" ca="1" si="435"/>
        <v>29877.987284164759</v>
      </c>
      <c r="CA240" s="464">
        <f t="shared" ca="1" si="435"/>
        <v>31714.507850799811</v>
      </c>
      <c r="CB240" s="464">
        <f t="shared" ca="1" si="435"/>
        <v>31299.586077186847</v>
      </c>
      <c r="CC240" s="464">
        <f t="shared" ca="1" si="435"/>
        <v>29741.907478969966</v>
      </c>
      <c r="CD240" s="464">
        <f t="shared" ca="1" si="435"/>
        <v>29111.933577601594</v>
      </c>
      <c r="CE240" s="465">
        <f t="shared" ca="1" si="435"/>
        <v>29111.933577601594</v>
      </c>
      <c r="CF240" s="464">
        <f t="shared" ca="1" si="435"/>
        <v>30938.0587038011</v>
      </c>
      <c r="CG240" s="464">
        <f t="shared" ca="1" si="435"/>
        <v>30429.144298358413</v>
      </c>
      <c r="CH240" s="464">
        <f t="shared" ca="1" si="435"/>
        <v>28752.776365699174</v>
      </c>
      <c r="CI240" s="464">
        <f t="shared" ca="1" si="435"/>
        <v>27993.941862358566</v>
      </c>
      <c r="CJ240" s="465">
        <f t="shared" ca="1" si="435"/>
        <v>27993.941862358566</v>
      </c>
      <c r="CK240" s="464">
        <f t="shared" ca="1" si="435"/>
        <v>29795.11909417031</v>
      </c>
      <c r="CL240" s="464">
        <f t="shared" ca="1" si="435"/>
        <v>29189.756406312124</v>
      </c>
      <c r="CM240" s="464">
        <f t="shared" ca="1" si="435"/>
        <v>27390.403714317668</v>
      </c>
      <c r="CN240" s="464">
        <f t="shared" ca="1" si="435"/>
        <v>26499.404008127924</v>
      </c>
      <c r="CO240" s="465">
        <f t="shared" ca="1" si="435"/>
        <v>26499.404008127924</v>
      </c>
      <c r="CP240" s="464">
        <f t="shared" ca="1" si="435"/>
        <v>28289.410070454644</v>
      </c>
      <c r="CQ240" s="464">
        <f t="shared" ca="1" si="435"/>
        <v>27584.292820614253</v>
      </c>
      <c r="CR240" s="464">
        <f t="shared" ca="1" si="435"/>
        <v>25657.656389158932</v>
      </c>
      <c r="CS240" s="464">
        <f t="shared" ca="1" si="435"/>
        <v>24629.590780318627</v>
      </c>
      <c r="CT240" s="465">
        <f t="shared" ca="1" si="435"/>
        <v>24629.590780318627</v>
      </c>
    </row>
    <row r="241" spans="1:98" hidden="1" outlineLevel="1" x14ac:dyDescent="0.2">
      <c r="A241" s="505" t="s">
        <v>234</v>
      </c>
      <c r="AL241" s="465">
        <f>AL61</f>
        <v>1614.75</v>
      </c>
      <c r="AM241" s="464">
        <f t="shared" ref="AM241:CT241" si="436">AM61</f>
        <v>1605</v>
      </c>
      <c r="AN241" s="464">
        <f t="shared" si="436"/>
        <v>1605</v>
      </c>
      <c r="AO241" s="464">
        <f t="shared" si="436"/>
        <v>1599</v>
      </c>
      <c r="AP241" s="464">
        <f t="shared" si="436"/>
        <v>1584</v>
      </c>
      <c r="AQ241" s="465">
        <f t="shared" si="436"/>
        <v>1598.25</v>
      </c>
      <c r="AR241" s="464">
        <f t="shared" si="436"/>
        <v>1584</v>
      </c>
      <c r="AS241" s="464">
        <f t="shared" si="436"/>
        <v>1581</v>
      </c>
      <c r="AT241" s="464">
        <f t="shared" si="436"/>
        <v>1575</v>
      </c>
      <c r="AU241" s="464">
        <f t="shared" si="436"/>
        <v>1564</v>
      </c>
      <c r="AV241" s="465">
        <f t="shared" si="436"/>
        <v>1576</v>
      </c>
      <c r="AW241" s="464">
        <f t="shared" si="436"/>
        <v>1563</v>
      </c>
      <c r="AX241" s="464">
        <f t="shared" si="436"/>
        <v>1567</v>
      </c>
      <c r="AY241" s="464">
        <f t="shared" si="436"/>
        <v>1561</v>
      </c>
      <c r="AZ241" s="464">
        <f t="shared" si="436"/>
        <v>1552</v>
      </c>
      <c r="BA241" s="465">
        <f t="shared" si="436"/>
        <v>1560.75</v>
      </c>
      <c r="BB241" s="464">
        <f t="shared" si="436"/>
        <v>1540</v>
      </c>
      <c r="BC241" s="464">
        <f t="shared" si="436"/>
        <v>1532</v>
      </c>
      <c r="BD241" s="464">
        <f t="shared" si="436"/>
        <v>1525</v>
      </c>
      <c r="BE241" s="464">
        <f t="shared" si="436"/>
        <v>1514</v>
      </c>
      <c r="BF241" s="465">
        <f t="shared" si="436"/>
        <v>1527.75</v>
      </c>
      <c r="BG241" s="464">
        <f t="shared" si="436"/>
        <v>1503</v>
      </c>
      <c r="BH241" s="464">
        <f t="shared" si="436"/>
        <v>1491</v>
      </c>
      <c r="BI241" s="464">
        <f t="shared" si="436"/>
        <v>1483</v>
      </c>
      <c r="BJ241" s="464">
        <f t="shared" si="436"/>
        <v>1470</v>
      </c>
      <c r="BK241" s="465">
        <f t="shared" si="436"/>
        <v>1486.75</v>
      </c>
      <c r="BL241" s="464">
        <f t="shared" si="436"/>
        <v>1459</v>
      </c>
      <c r="BM241" s="464">
        <f t="shared" si="436"/>
        <v>1456</v>
      </c>
      <c r="BN241" s="464">
        <f t="shared" si="436"/>
        <v>1452</v>
      </c>
      <c r="BO241" s="464">
        <f t="shared" si="436"/>
        <v>1444</v>
      </c>
      <c r="BP241" s="465">
        <f t="shared" si="436"/>
        <v>1452</v>
      </c>
      <c r="BQ241" s="615">
        <f t="shared" si="436"/>
        <v>1440</v>
      </c>
      <c r="BR241" s="464">
        <f t="shared" si="436"/>
        <v>1441</v>
      </c>
      <c r="BS241" s="464">
        <f t="shared" si="436"/>
        <v>1438</v>
      </c>
      <c r="BT241" s="464">
        <f t="shared" si="436"/>
        <v>1434</v>
      </c>
      <c r="BU241" s="465">
        <f t="shared" si="436"/>
        <v>1438</v>
      </c>
      <c r="BV241" s="464">
        <f t="shared" ca="1" si="436"/>
        <v>1431.8652180998185</v>
      </c>
      <c r="BW241" s="464">
        <f t="shared" ca="1" si="436"/>
        <v>1429.9120375738767</v>
      </c>
      <c r="BX241" s="464">
        <f t="shared" ca="1" si="436"/>
        <v>1427.6810121749299</v>
      </c>
      <c r="BY241" s="464">
        <f t="shared" ca="1" si="436"/>
        <v>1425.6720316784654</v>
      </c>
      <c r="BZ241" s="465">
        <f t="shared" ca="1" si="436"/>
        <v>1428.7825748817727</v>
      </c>
      <c r="CA241" s="464">
        <f t="shared" ca="1" si="436"/>
        <v>1423.9849864083512</v>
      </c>
      <c r="CB241" s="464">
        <f t="shared" ca="1" si="436"/>
        <v>1422.1197672341084</v>
      </c>
      <c r="CC241" s="464">
        <f t="shared" ca="1" si="436"/>
        <v>1419.9762655681952</v>
      </c>
      <c r="CD241" s="464">
        <f t="shared" ca="1" si="436"/>
        <v>1418.0543733633062</v>
      </c>
      <c r="CE241" s="465">
        <f t="shared" ca="1" si="436"/>
        <v>1421.0338481434901</v>
      </c>
      <c r="CF241" s="464">
        <f t="shared" ca="1" si="436"/>
        <v>1416.4539831096856</v>
      </c>
      <c r="CG241" s="464">
        <f t="shared" ca="1" si="436"/>
        <v>1414.6749878324511</v>
      </c>
      <c r="CH241" s="464">
        <f t="shared" ca="1" si="436"/>
        <v>1412.6172810889343</v>
      </c>
      <c r="CI241" s="464">
        <f t="shared" ca="1" si="436"/>
        <v>1410.7807569660317</v>
      </c>
      <c r="CJ241" s="465">
        <f t="shared" ca="1" si="436"/>
        <v>1413.6317522492757</v>
      </c>
      <c r="CK241" s="464">
        <f t="shared" ca="1" si="436"/>
        <v>1409.2653100775717</v>
      </c>
      <c r="CL241" s="464">
        <f t="shared" ca="1" si="436"/>
        <v>1407.570835561691</v>
      </c>
      <c r="CM241" s="464">
        <f t="shared" ca="1" si="436"/>
        <v>1405.5972290782274</v>
      </c>
      <c r="CN241" s="464">
        <f t="shared" ca="1" si="436"/>
        <v>1403.8443868061247</v>
      </c>
      <c r="CO241" s="465">
        <f t="shared" ca="1" si="436"/>
        <v>1406.5694403809036</v>
      </c>
      <c r="CP241" s="464">
        <f t="shared" ca="1" si="436"/>
        <v>1402.4122054408481</v>
      </c>
      <c r="CQ241" s="464">
        <f t="shared" ca="1" si="436"/>
        <v>1400.8005821918168</v>
      </c>
      <c r="CR241" s="464">
        <f t="shared" ca="1" si="436"/>
        <v>1398.9094147798451</v>
      </c>
      <c r="CS241" s="464">
        <f t="shared" ca="1" si="436"/>
        <v>1397.2386014346</v>
      </c>
      <c r="CT241" s="465">
        <f t="shared" ca="1" si="436"/>
        <v>1399.8402009617776</v>
      </c>
    </row>
    <row r="242" spans="1:98" hidden="1" outlineLevel="1" x14ac:dyDescent="0.2">
      <c r="A242" s="506" t="s">
        <v>269</v>
      </c>
      <c r="AL242" s="465">
        <f>SUM(AG66:AG67)</f>
        <v>3943</v>
      </c>
      <c r="AM242" s="464">
        <f>SUM(AM66:AM67)</f>
        <v>3662</v>
      </c>
      <c r="AN242" s="464">
        <f>SUM(AN66:AN67)</f>
        <v>2913</v>
      </c>
      <c r="AO242" s="464">
        <f>SUM(AO66:AO67)</f>
        <v>3083</v>
      </c>
      <c r="AP242" s="464">
        <f>SUM(AP66:AP67)</f>
        <v>4067</v>
      </c>
      <c r="AQ242" s="465">
        <f>SUM(AL66:AL67)</f>
        <v>5943</v>
      </c>
      <c r="AR242" s="464"/>
      <c r="AS242" s="464"/>
      <c r="AT242" s="464"/>
      <c r="AU242" s="464"/>
      <c r="AV242" s="465">
        <f>SUM(AQ66:AQ67)</f>
        <v>4067</v>
      </c>
      <c r="AW242" s="464"/>
      <c r="AX242" s="464"/>
      <c r="AY242" s="464"/>
      <c r="AZ242" s="464"/>
      <c r="BA242" s="465">
        <f>SUM(AV66:AV67)</f>
        <v>6297</v>
      </c>
      <c r="BB242" s="464"/>
      <c r="BC242" s="464"/>
      <c r="BD242" s="464"/>
      <c r="BE242" s="464"/>
      <c r="BF242" s="465">
        <f>SUM(BA66:BA67)</f>
        <v>9375</v>
      </c>
      <c r="BG242" s="464"/>
      <c r="BH242" s="464"/>
      <c r="BI242" s="464"/>
      <c r="BJ242" s="464"/>
      <c r="BK242" s="465">
        <f>SUM(BF66:BF67)</f>
        <v>6134</v>
      </c>
      <c r="BL242" s="464"/>
      <c r="BM242" s="464"/>
      <c r="BN242" s="464"/>
      <c r="BO242" s="464"/>
      <c r="BP242" s="465">
        <f>SUM(BK66:BK67)</f>
        <v>9096</v>
      </c>
      <c r="BQ242" s="615"/>
      <c r="BR242" s="464"/>
      <c r="BS242" s="464"/>
      <c r="BT242" s="464"/>
      <c r="BU242" s="465">
        <f>SUM(BP66:BP67)</f>
        <v>9158</v>
      </c>
      <c r="BV242" s="464"/>
      <c r="BW242" s="464"/>
      <c r="BX242" s="464"/>
      <c r="BY242" s="464"/>
      <c r="BZ242" s="465">
        <f>SUM(BU66:BU67)</f>
        <v>10610</v>
      </c>
      <c r="CA242" s="464"/>
      <c r="CB242" s="464"/>
      <c r="CC242" s="464"/>
      <c r="CD242" s="464"/>
      <c r="CE242" s="465">
        <f ca="1">SUM(BZ66:BZ67)</f>
        <v>10610</v>
      </c>
      <c r="CF242" s="464"/>
      <c r="CG242" s="464"/>
      <c r="CH242" s="464"/>
      <c r="CI242" s="464"/>
      <c r="CJ242" s="465">
        <f ca="1">SUM(CE66:CE67)</f>
        <v>10610</v>
      </c>
      <c r="CK242" s="464"/>
      <c r="CL242" s="464"/>
      <c r="CM242" s="464"/>
      <c r="CN242" s="464"/>
      <c r="CO242" s="465">
        <f ca="1">SUM(CJ66:CJ67)</f>
        <v>10610</v>
      </c>
      <c r="CP242" s="464"/>
      <c r="CQ242" s="464"/>
      <c r="CR242" s="464"/>
      <c r="CS242" s="464"/>
      <c r="CT242" s="465">
        <f ca="1">SUM(CO66:CO67)</f>
        <v>10610</v>
      </c>
    </row>
    <row r="243" spans="1:98" hidden="1" outlineLevel="1" x14ac:dyDescent="0.2"/>
    <row r="244" spans="1:98" collapsed="1" x14ac:dyDescent="0.2"/>
    <row r="245" spans="1:98" hidden="1" x14ac:dyDescent="0.2"/>
    <row r="246" spans="1:98" hidden="1" x14ac:dyDescent="0.2">
      <c r="A246" s="560" t="s">
        <v>314</v>
      </c>
      <c r="AQ246" s="303">
        <v>4083</v>
      </c>
      <c r="AV246" s="303">
        <v>4451</v>
      </c>
      <c r="BA246" s="303">
        <v>4874</v>
      </c>
      <c r="BF246" s="303">
        <v>5127</v>
      </c>
      <c r="BK246" s="303">
        <v>5546</v>
      </c>
    </row>
    <row r="247" spans="1:98" hidden="1" x14ac:dyDescent="0.2">
      <c r="A247" s="560" t="s">
        <v>315</v>
      </c>
      <c r="AV247" s="423">
        <f>-AVERAGE(AV246,AQ246)/AV8*365</f>
        <v>49.177612882854433</v>
      </c>
      <c r="BA247" s="423">
        <f>-AVERAGE(BA246,AV246)/BA8*365</f>
        <v>54.000079327304462</v>
      </c>
      <c r="BF247" s="423">
        <f>-AVERAGE(BF246,BA246)/BF8*365</f>
        <v>58.36661763295065</v>
      </c>
      <c r="BK247" s="423">
        <f>-AVERAGE(BK246,BF246)/BK8*365</f>
        <v>67.837651934663739</v>
      </c>
    </row>
    <row r="248" spans="1:98" hidden="1" x14ac:dyDescent="0.2">
      <c r="A248" s="560" t="s">
        <v>188</v>
      </c>
      <c r="AV248" s="423">
        <f>AV201+AV202-AV247</f>
        <v>32.392795490550455</v>
      </c>
      <c r="BA248" s="423">
        <f>BA201+BA202-BA247</f>
        <v>24.934750052222967</v>
      </c>
      <c r="BF248" s="423">
        <f>BF201+BF202-BF247</f>
        <v>17.105931473318421</v>
      </c>
      <c r="BK248" s="423">
        <f>BK201+BK202-BK247</f>
        <v>7.3075908871541486</v>
      </c>
    </row>
    <row r="249" spans="1:98" hidden="1" x14ac:dyDescent="0.2">
      <c r="BK249" s="314">
        <f>BK248/AV248-1</f>
        <v>-0.77440690818778202</v>
      </c>
    </row>
    <row r="250" spans="1:98" hidden="1" x14ac:dyDescent="0.2">
      <c r="BK250" s="423">
        <f>BK248-AV248</f>
        <v>-25.085204603396306</v>
      </c>
    </row>
    <row r="251" spans="1:98" hidden="1" x14ac:dyDescent="0.2"/>
    <row r="252" spans="1:98" hidden="1" x14ac:dyDescent="0.2">
      <c r="A252" s="560" t="s">
        <v>316</v>
      </c>
      <c r="M252" s="303">
        <v>340</v>
      </c>
      <c r="R252" s="303">
        <v>344</v>
      </c>
      <c r="W252" s="303">
        <v>364</v>
      </c>
      <c r="AB252" s="303">
        <v>388</v>
      </c>
      <c r="AG252" s="303">
        <v>414</v>
      </c>
      <c r="AL252" s="303">
        <v>488</v>
      </c>
      <c r="AQ252" s="303">
        <v>525</v>
      </c>
      <c r="AV252" s="303">
        <v>552</v>
      </c>
      <c r="BA252" s="303">
        <v>665</v>
      </c>
      <c r="BF252" s="303">
        <v>718</v>
      </c>
      <c r="BK252" s="303">
        <v>754</v>
      </c>
      <c r="BP252" s="303">
        <v>760</v>
      </c>
      <c r="BU252" s="303">
        <v>737</v>
      </c>
    </row>
    <row r="253" spans="1:98" hidden="1" x14ac:dyDescent="0.2">
      <c r="B253" s="560" t="s">
        <v>317</v>
      </c>
      <c r="M253" s="292">
        <f>M252/M5</f>
        <v>1.0577401692384272E-2</v>
      </c>
      <c r="N253" s="292">
        <f t="shared" ref="N253:BK253" si="437">N252/N5</f>
        <v>0</v>
      </c>
      <c r="O253" s="292">
        <f t="shared" si="437"/>
        <v>0</v>
      </c>
      <c r="P253" s="292">
        <f t="shared" si="437"/>
        <v>0</v>
      </c>
      <c r="Q253" s="292">
        <f t="shared" si="437"/>
        <v>0</v>
      </c>
      <c r="R253" s="292">
        <f t="shared" si="437"/>
        <v>9.790249594444602E-3</v>
      </c>
      <c r="S253" s="292">
        <f t="shared" si="437"/>
        <v>0</v>
      </c>
      <c r="T253" s="292">
        <f t="shared" si="437"/>
        <v>0</v>
      </c>
      <c r="U253" s="292">
        <f t="shared" si="437"/>
        <v>0</v>
      </c>
      <c r="V253" s="292">
        <f t="shared" si="437"/>
        <v>0</v>
      </c>
      <c r="W253" s="292">
        <f t="shared" si="437"/>
        <v>9.2212595632568273E-3</v>
      </c>
      <c r="X253" s="292">
        <f t="shared" si="437"/>
        <v>0</v>
      </c>
      <c r="Y253" s="292">
        <f t="shared" si="437"/>
        <v>0</v>
      </c>
      <c r="Z253" s="292">
        <f t="shared" si="437"/>
        <v>0</v>
      </c>
      <c r="AA253" s="292">
        <f t="shared" si="437"/>
        <v>0</v>
      </c>
      <c r="AB253" s="292">
        <f t="shared" si="437"/>
        <v>8.9708908464544174E-3</v>
      </c>
      <c r="AC253" s="292">
        <f t="shared" si="437"/>
        <v>0</v>
      </c>
      <c r="AD253" s="292">
        <f t="shared" si="437"/>
        <v>0</v>
      </c>
      <c r="AE253" s="292">
        <f t="shared" si="437"/>
        <v>0</v>
      </c>
      <c r="AF253" s="292">
        <f t="shared" si="437"/>
        <v>0</v>
      </c>
      <c r="AG253" s="292">
        <f t="shared" si="437"/>
        <v>9.5762398223538121E-3</v>
      </c>
      <c r="AH253" s="292">
        <f t="shared" si="437"/>
        <v>0</v>
      </c>
      <c r="AI253" s="292">
        <f t="shared" si="437"/>
        <v>0</v>
      </c>
      <c r="AJ253" s="292">
        <f t="shared" si="437"/>
        <v>0</v>
      </c>
      <c r="AK253" s="292">
        <f t="shared" si="437"/>
        <v>0</v>
      </c>
      <c r="AL253" s="292">
        <f t="shared" si="437"/>
        <v>8.4373595214219024E-3</v>
      </c>
      <c r="AM253" s="292">
        <f t="shared" si="437"/>
        <v>0</v>
      </c>
      <c r="AN253" s="292">
        <f t="shared" si="437"/>
        <v>0</v>
      </c>
      <c r="AO253" s="292">
        <f t="shared" si="437"/>
        <v>0</v>
      </c>
      <c r="AP253" s="292">
        <f t="shared" si="437"/>
        <v>0</v>
      </c>
      <c r="AQ253" s="292">
        <f t="shared" si="437"/>
        <v>7.96891364733383E-3</v>
      </c>
      <c r="AR253" s="292">
        <f t="shared" si="437"/>
        <v>0</v>
      </c>
      <c r="AS253" s="292">
        <f t="shared" si="437"/>
        <v>0</v>
      </c>
      <c r="AT253" s="292">
        <f t="shared" si="437"/>
        <v>0</v>
      </c>
      <c r="AU253" s="292">
        <f t="shared" si="437"/>
        <v>0</v>
      </c>
      <c r="AV253" s="292">
        <f t="shared" si="437"/>
        <v>8.4285103524094542E-3</v>
      </c>
      <c r="AW253" s="292">
        <f t="shared" si="437"/>
        <v>0</v>
      </c>
      <c r="AX253" s="292">
        <f t="shared" si="437"/>
        <v>0</v>
      </c>
      <c r="AY253" s="292">
        <f t="shared" si="437"/>
        <v>0</v>
      </c>
      <c r="AZ253" s="292">
        <f t="shared" si="437"/>
        <v>0</v>
      </c>
      <c r="BA253" s="292">
        <f t="shared" si="437"/>
        <v>1.0012798313633968E-2</v>
      </c>
      <c r="BB253" s="292">
        <f t="shared" si="437"/>
        <v>0</v>
      </c>
      <c r="BC253" s="292">
        <f t="shared" si="437"/>
        <v>0</v>
      </c>
      <c r="BD253" s="292">
        <f t="shared" si="437"/>
        <v>0</v>
      </c>
      <c r="BE253" s="292">
        <f t="shared" si="437"/>
        <v>0</v>
      </c>
      <c r="BF253" s="292">
        <f t="shared" si="437"/>
        <v>1.0767361996310903E-2</v>
      </c>
      <c r="BG253" s="292">
        <f t="shared" si="437"/>
        <v>0</v>
      </c>
      <c r="BH253" s="292">
        <f t="shared" si="437"/>
        <v>0</v>
      </c>
      <c r="BI253" s="292">
        <f t="shared" si="437"/>
        <v>0</v>
      </c>
      <c r="BJ253" s="292">
        <f t="shared" si="437"/>
        <v>0</v>
      </c>
      <c r="BK253" s="292">
        <f t="shared" si="437"/>
        <v>1.1957624968282161E-2</v>
      </c>
      <c r="BP253" s="292">
        <f t="shared" ref="BP253" si="438">BP252/BP5</f>
        <v>1.2102103536680521E-2</v>
      </c>
      <c r="BQ253" s="315"/>
      <c r="BR253" s="315"/>
      <c r="BS253" s="315"/>
      <c r="BT253" s="315"/>
      <c r="BU253" s="292">
        <f t="shared" ref="BU253" si="439">BU252/BU5</f>
        <v>1.1601731601731603E-2</v>
      </c>
    </row>
    <row r="254" spans="1:98" hidden="1" x14ac:dyDescent="0.2"/>
    <row r="255" spans="1:98" hidden="1" x14ac:dyDescent="0.2"/>
    <row r="256" spans="1:98" hidden="1" x14ac:dyDescent="0.2">
      <c r="A256" s="567" t="str">
        <f>A75</f>
        <v>Amortizable Intangible Assets</v>
      </c>
      <c r="BL256" s="567">
        <f>BL75</f>
        <v>1266</v>
      </c>
      <c r="BM256" s="567">
        <f t="shared" ref="BM256:BO256" si="440">BM75</f>
        <v>1274</v>
      </c>
      <c r="BN256" s="567">
        <f t="shared" si="440"/>
        <v>1257</v>
      </c>
      <c r="BO256" s="567">
        <f t="shared" si="440"/>
        <v>1237</v>
      </c>
      <c r="BP256" s="567"/>
    </row>
    <row r="257" spans="1:68" hidden="1" x14ac:dyDescent="0.2">
      <c r="A257" s="567" t="str">
        <f t="shared" ref="A257:A258" si="441">A76</f>
        <v>Goodwill</v>
      </c>
      <c r="BL257" s="567">
        <f t="shared" ref="BL257:BO258" si="442">BL76</f>
        <v>14132</v>
      </c>
      <c r="BM257" s="567">
        <f t="shared" si="442"/>
        <v>14398</v>
      </c>
      <c r="BN257" s="567">
        <f t="shared" si="442"/>
        <v>14394</v>
      </c>
      <c r="BO257" s="567">
        <f t="shared" si="442"/>
        <v>14430</v>
      </c>
      <c r="BP257" s="567"/>
    </row>
    <row r="258" spans="1:68" hidden="1" x14ac:dyDescent="0.2">
      <c r="A258" s="567" t="str">
        <f t="shared" si="441"/>
        <v>Nonamortizable Intangible Assets</v>
      </c>
      <c r="BL258" s="567">
        <f t="shared" si="442"/>
        <v>11783</v>
      </c>
      <c r="BM258" s="567">
        <f t="shared" si="442"/>
        <v>12073</v>
      </c>
      <c r="BN258" s="567">
        <f t="shared" si="442"/>
        <v>12024</v>
      </c>
      <c r="BO258" s="567">
        <f t="shared" si="442"/>
        <v>12196</v>
      </c>
      <c r="BP258" s="567"/>
    </row>
    <row r="259" spans="1:68" hidden="1" x14ac:dyDescent="0.2">
      <c r="A259" s="303" t="s">
        <v>318</v>
      </c>
      <c r="BL259" s="567">
        <f>SUM(BL256:BL258)</f>
        <v>27181</v>
      </c>
      <c r="BM259" s="567">
        <f t="shared" ref="BM259:BO259" si="443">SUM(BM256:BM258)</f>
        <v>27745</v>
      </c>
      <c r="BN259" s="567">
        <f t="shared" si="443"/>
        <v>27675</v>
      </c>
      <c r="BO259" s="567">
        <f t="shared" si="443"/>
        <v>27863</v>
      </c>
      <c r="BP259" s="567"/>
    </row>
    <row r="260" spans="1:68" hidden="1" x14ac:dyDescent="0.2">
      <c r="A260" s="303" t="s">
        <v>319</v>
      </c>
      <c r="BL260" s="567">
        <f ca="1">BL192-BL259</f>
        <v>15935</v>
      </c>
      <c r="BM260" s="567">
        <f t="shared" ref="BM260:BO260" si="444">BM192-BM259</f>
        <v>15900</v>
      </c>
      <c r="BN260" s="567">
        <f t="shared" ca="1" si="444"/>
        <v>15162</v>
      </c>
      <c r="BO260" s="567">
        <f t="shared" si="444"/>
        <v>13948</v>
      </c>
      <c r="BP260" s="567"/>
    </row>
    <row r="261" spans="1:68" hidden="1" x14ac:dyDescent="0.2">
      <c r="A261" s="1" t="s">
        <v>320</v>
      </c>
      <c r="BP261" s="314">
        <f ca="1">BP197/AVERAGE(BL260:BO260)</f>
        <v>0.50374262033255834</v>
      </c>
    </row>
    <row r="262" spans="1:68" hidden="1" x14ac:dyDescent="0.2"/>
  </sheetData>
  <phoneticPr fontId="0" type="noConversion"/>
  <printOptions horizontalCentered="1"/>
  <pageMargins left="0.17" right="0.17" top="0.18" bottom="0.18" header="0.48" footer="0.18"/>
  <pageSetup scale="33" orientation="portrait" r:id="rId1"/>
  <headerFooter alignWithMargins="0"/>
  <rowBreaks count="3" manualBreakCount="3">
    <brk id="54" max="77" man="1"/>
    <brk id="108" max="77" man="1"/>
    <brk id="158" max="77" man="1"/>
  </rowBreaks>
  <ignoredErrors>
    <ignoredError sqref="AU50:AU51 AV79:AV102 AV45:AV47 AQ53:AQ54 AU45:AU47 AS50:AS51 AQ163:AQ175 AT45:AT47 AR50:AR51 BA40:BA42 AQ12 AV50:AV51 AR45:AR47 AQ22:AQ23 AS45:AS47 AX50:AX51 AQ46 AY58 AV55:AV61 AW58 AW55 AX58 AX55 AV53:AV54 AY55 BA58:BA61 AZ55 AW50:AW51 AZ58 AW45:AW47 BA53 AX45:AX47 BA46:BA47 AY45:AY47 AZ46:AZ51 BA55 AQ48:AQ51" formula="1"/>
    <ignoredError sqref="AU118:AU120 BT118" formulaRange="1"/>
  </ignoredErrors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A304"/>
  <sheetViews>
    <sheetView showGridLines="0" zoomScale="85" zoomScaleNormal="85" zoomScaleSheetLayoutView="55" workbookViewId="0">
      <pane xSplit="4" ySplit="5" topLeftCell="AW6" activePane="bottomRight" state="frozen"/>
      <selection activeCell="AS6" sqref="AS6"/>
      <selection pane="topRight" activeCell="AS6" sqref="AS6"/>
      <selection pane="bottomLeft" activeCell="AS6" sqref="AS6"/>
      <selection pane="bottomRight" activeCell="AW6" sqref="AW6"/>
    </sheetView>
  </sheetViews>
  <sheetFormatPr defaultColWidth="9.140625" defaultRowHeight="12.75" outlineLevelRow="1" outlineLevelCol="2" x14ac:dyDescent="0.2"/>
  <cols>
    <col min="1" max="1" width="3.28515625" style="25" customWidth="1"/>
    <col min="2" max="2" width="31.28515625" style="25" customWidth="1"/>
    <col min="3" max="3" width="5.140625" style="25" bestFit="1" customWidth="1"/>
    <col min="4" max="4" width="7" style="25" customWidth="1"/>
    <col min="5" max="7" width="9.7109375" style="25" hidden="1" customWidth="1" outlineLevel="1"/>
    <col min="8" max="8" width="7.85546875" style="25" hidden="1" customWidth="1" outlineLevel="1"/>
    <col min="9" max="9" width="9.7109375" style="25" hidden="1" customWidth="1" collapsed="1"/>
    <col min="10" max="13" width="9.7109375" style="25" hidden="1" customWidth="1" outlineLevel="1"/>
    <col min="14" max="14" width="9.7109375" style="25" hidden="1" customWidth="1" collapsed="1"/>
    <col min="15" max="18" width="9.7109375" style="25" hidden="1" customWidth="1" outlineLevel="1"/>
    <col min="19" max="19" width="9.7109375" style="25" hidden="1" customWidth="1" collapsed="1"/>
    <col min="20" max="23" width="9.7109375" style="25" hidden="1" customWidth="1" outlineLevel="1"/>
    <col min="24" max="24" width="9.7109375" style="25" hidden="1" customWidth="1" collapsed="1"/>
    <col min="25" max="28" width="9.7109375" style="25" hidden="1" customWidth="1" outlineLevel="1"/>
    <col min="29" max="29" width="9.7109375" style="25" hidden="1" customWidth="1" collapsed="1"/>
    <col min="30" max="33" width="9.7109375" style="25" hidden="1" customWidth="1" outlineLevel="1"/>
    <col min="34" max="34" width="9.7109375" style="25" hidden="1" customWidth="1" collapsed="1"/>
    <col min="35" max="38" width="9.7109375" style="25" hidden="1" customWidth="1" outlineLevel="1"/>
    <col min="39" max="39" width="9.7109375" style="25" hidden="1" customWidth="1" collapsed="1"/>
    <col min="40" max="43" width="9.7109375" style="25" hidden="1" customWidth="1" outlineLevel="1"/>
    <col min="44" max="44" width="9.7109375" style="25" hidden="1" customWidth="1" collapsed="1"/>
    <col min="45" max="48" width="9.7109375" style="25" hidden="1" customWidth="1" outlineLevel="1"/>
    <col min="49" max="49" width="9.7109375" style="25" customWidth="1" collapsed="1"/>
    <col min="50" max="53" width="9.7109375" style="25" hidden="1" customWidth="1" outlineLevel="1"/>
    <col min="54" max="54" width="9.7109375" style="25" customWidth="1" collapsed="1"/>
    <col min="55" max="58" width="9.7109375" style="25" hidden="1" customWidth="1" outlineLevel="1"/>
    <col min="59" max="59" width="9.7109375" style="25" customWidth="1" collapsed="1"/>
    <col min="60" max="63" width="9.7109375" style="25" customWidth="1" outlineLevel="1"/>
    <col min="64" max="64" width="9.7109375" style="25" customWidth="1"/>
    <col min="65" max="68" width="9.7109375" style="25" customWidth="1" outlineLevel="1"/>
    <col min="69" max="69" width="9.7109375" style="25" customWidth="1"/>
    <col min="70" max="73" width="9.7109375" style="25" hidden="1" customWidth="1" outlineLevel="2"/>
    <col min="74" max="74" width="9.7109375" style="25" customWidth="1" collapsed="1"/>
    <col min="75" max="78" width="9.7109375" style="25" hidden="1" customWidth="1" outlineLevel="1"/>
    <col min="79" max="79" width="9.7109375" style="25" hidden="1" customWidth="1" outlineLevel="1" collapsed="1"/>
    <col min="80" max="83" width="9.7109375" style="25" hidden="1" customWidth="1" outlineLevel="2"/>
    <col min="84" max="84" width="9.7109375" style="25" hidden="1" customWidth="1" outlineLevel="1" collapsed="1"/>
    <col min="85" max="88" width="9.7109375" style="25" hidden="1" customWidth="1" outlineLevel="2"/>
    <col min="89" max="89" width="9.7109375" style="25" hidden="1" customWidth="1" outlineLevel="1" collapsed="1"/>
    <col min="90" max="90" width="9.140625" style="25" collapsed="1"/>
    <col min="91" max="16384" width="9.140625" style="25"/>
  </cols>
  <sheetData>
    <row r="1" spans="1:105" ht="18" x14ac:dyDescent="0.25">
      <c r="A1" s="38" t="str">
        <f>'Financial Statements'!A1</f>
        <v>PepsiCo (PEP)</v>
      </c>
      <c r="B1" s="13"/>
      <c r="E1" s="285"/>
      <c r="F1" s="285"/>
      <c r="G1" s="285"/>
      <c r="H1" s="285"/>
      <c r="I1" s="285"/>
      <c r="J1" s="285"/>
      <c r="K1" s="285"/>
      <c r="L1" s="285"/>
      <c r="M1" s="285"/>
      <c r="N1" s="285"/>
      <c r="O1" s="285"/>
      <c r="P1" s="285"/>
      <c r="Q1" s="285"/>
      <c r="R1" s="285"/>
      <c r="S1" s="285"/>
      <c r="T1" s="285"/>
      <c r="U1" s="285"/>
      <c r="V1" s="285"/>
      <c r="W1" s="285"/>
      <c r="X1" s="285"/>
      <c r="Y1" s="285"/>
      <c r="Z1" s="285"/>
      <c r="AA1" s="285"/>
      <c r="AB1" s="285"/>
      <c r="AC1" s="285"/>
      <c r="AD1" s="285"/>
      <c r="AE1" s="285"/>
      <c r="AF1" s="285"/>
      <c r="AG1" s="285"/>
      <c r="AH1" s="285"/>
      <c r="AI1" s="285"/>
      <c r="AJ1" s="285"/>
      <c r="AK1" s="285"/>
      <c r="AL1" s="285"/>
      <c r="AM1" s="285"/>
      <c r="AN1" s="285"/>
      <c r="AO1" s="285"/>
      <c r="AP1" s="285"/>
      <c r="AQ1" s="285"/>
      <c r="AR1" s="285"/>
      <c r="AS1" s="285"/>
      <c r="AT1" s="285"/>
      <c r="AU1" s="285"/>
      <c r="AV1" s="285"/>
      <c r="AW1" s="285"/>
      <c r="AX1" s="285"/>
      <c r="AY1" s="285"/>
      <c r="AZ1" s="285"/>
      <c r="BA1" s="285"/>
      <c r="BB1" s="285"/>
      <c r="BC1" s="285"/>
      <c r="BD1" s="285"/>
      <c r="BE1" s="285"/>
      <c r="BF1" s="285"/>
      <c r="BG1" s="285"/>
      <c r="BH1" s="285"/>
      <c r="BI1" s="285"/>
      <c r="BJ1" s="285"/>
      <c r="BK1" s="285"/>
      <c r="BL1" s="285"/>
      <c r="BM1" s="285"/>
      <c r="BN1" s="285"/>
      <c r="BO1" s="285"/>
      <c r="BP1" s="285"/>
      <c r="BQ1" s="285"/>
      <c r="BR1" s="285"/>
      <c r="BS1" s="285"/>
      <c r="BT1" s="285"/>
      <c r="BU1" s="285"/>
      <c r="BV1" s="285"/>
      <c r="BW1" s="285"/>
      <c r="BX1" s="285"/>
      <c r="BY1" s="285"/>
      <c r="BZ1" s="285"/>
      <c r="CA1" s="285"/>
      <c r="CB1" s="285"/>
      <c r="CC1" s="285"/>
      <c r="CD1" s="285"/>
      <c r="CE1" s="285"/>
      <c r="CF1" s="285"/>
      <c r="CG1" s="285"/>
      <c r="CH1" s="285"/>
      <c r="CI1" s="285"/>
      <c r="CJ1" s="285"/>
      <c r="CK1" s="285"/>
      <c r="CL1"/>
      <c r="CM1"/>
      <c r="CN1"/>
      <c r="CO1"/>
      <c r="CP1"/>
      <c r="CQ1"/>
      <c r="CR1"/>
      <c r="CS1"/>
      <c r="CT1" s="43"/>
    </row>
    <row r="2" spans="1:105" x14ac:dyDescent="0.2">
      <c r="A2" s="63"/>
      <c r="B2" s="63"/>
      <c r="CL2"/>
      <c r="CM2"/>
      <c r="CN2"/>
      <c r="CO2"/>
      <c r="CP2"/>
      <c r="CQ2"/>
      <c r="CR2"/>
      <c r="CS2"/>
      <c r="CT2" s="3"/>
    </row>
    <row r="3" spans="1:105" x14ac:dyDescent="0.2">
      <c r="A3" s="59" t="s">
        <v>199</v>
      </c>
      <c r="B3" s="59"/>
      <c r="CL3"/>
      <c r="CM3"/>
      <c r="CN3"/>
      <c r="CO3"/>
      <c r="CP3"/>
      <c r="CQ3"/>
      <c r="CR3"/>
      <c r="CS3"/>
      <c r="CT3" s="116"/>
    </row>
    <row r="4" spans="1:105" x14ac:dyDescent="0.2"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3"/>
      <c r="BH4" s="33"/>
      <c r="BI4" s="33"/>
      <c r="BJ4" s="33"/>
      <c r="BK4" s="33"/>
      <c r="BL4" s="33"/>
      <c r="BM4" s="33"/>
      <c r="BN4" s="33"/>
      <c r="BO4" s="33"/>
      <c r="BP4" s="33"/>
      <c r="BQ4" s="33"/>
      <c r="BR4" s="33"/>
      <c r="BS4" s="33"/>
      <c r="BT4" s="33"/>
      <c r="BU4" s="33"/>
      <c r="BV4" s="33"/>
      <c r="BW4" s="33"/>
      <c r="BX4" s="33"/>
      <c r="BY4" s="33"/>
      <c r="BZ4" s="33"/>
      <c r="CA4" s="33"/>
      <c r="CB4" s="33"/>
      <c r="CC4" s="33"/>
      <c r="CD4" s="33"/>
      <c r="CE4" s="33"/>
      <c r="CF4" s="33"/>
      <c r="CG4" s="33"/>
      <c r="CH4" s="33"/>
      <c r="CI4" s="33"/>
      <c r="CJ4" s="33"/>
      <c r="CK4" s="33"/>
      <c r="CL4"/>
      <c r="CM4"/>
      <c r="CO4"/>
      <c r="CP4"/>
      <c r="CQ4"/>
      <c r="CR4"/>
    </row>
    <row r="5" spans="1:105" x14ac:dyDescent="0.2">
      <c r="A5" s="118"/>
      <c r="B5" s="118"/>
      <c r="C5" s="118"/>
      <c r="D5" s="118"/>
      <c r="E5" s="119">
        <f>'Financial Statements'!N4</f>
        <v>38802</v>
      </c>
      <c r="F5" s="119">
        <f>'Financial Statements'!O4</f>
        <v>38892</v>
      </c>
      <c r="G5" s="119">
        <f>'Financial Statements'!P4</f>
        <v>38987</v>
      </c>
      <c r="H5" s="119">
        <f>'Financial Statements'!Q4</f>
        <v>39077</v>
      </c>
      <c r="I5" s="120">
        <f>'Financial Statements'!R4</f>
        <v>2006</v>
      </c>
      <c r="J5" s="119">
        <f>'Financial Statements'!S4</f>
        <v>39157</v>
      </c>
      <c r="K5" s="119">
        <f>'Financial Statements'!T4</f>
        <v>39242</v>
      </c>
      <c r="L5" s="119">
        <f>'Financial Statements'!U4</f>
        <v>39332</v>
      </c>
      <c r="M5" s="119">
        <f>'Financial Statements'!V4</f>
        <v>39422</v>
      </c>
      <c r="N5" s="120">
        <f>'Financial Statements'!W4</f>
        <v>2007</v>
      </c>
      <c r="O5" s="119">
        <f>'Financial Statements'!X4</f>
        <v>39517</v>
      </c>
      <c r="P5" s="119">
        <f>'Financial Statements'!Y4</f>
        <v>39607</v>
      </c>
      <c r="Q5" s="119">
        <f>'Financial Statements'!Z4</f>
        <v>39707</v>
      </c>
      <c r="R5" s="119">
        <f>'Financial Statements'!AA4</f>
        <v>39797</v>
      </c>
      <c r="S5" s="120">
        <f>'Financial Statements'!AB4</f>
        <v>2008</v>
      </c>
      <c r="T5" s="119">
        <f>'Financial Statements'!AC4</f>
        <v>39887</v>
      </c>
      <c r="U5" s="119">
        <f>'Financial Statements'!AD4</f>
        <v>39977</v>
      </c>
      <c r="V5" s="119">
        <f>'Financial Statements'!AE4</f>
        <v>40077</v>
      </c>
      <c r="W5" s="119">
        <f>'Financial Statements'!AF4</f>
        <v>40167</v>
      </c>
      <c r="X5" s="120">
        <f>'Financial Statements'!AG4</f>
        <v>2009</v>
      </c>
      <c r="Y5" s="119">
        <f>'Financial Statements'!AH4</f>
        <v>40247</v>
      </c>
      <c r="Z5" s="119">
        <f>'Financial Statements'!AI4</f>
        <v>40339</v>
      </c>
      <c r="AA5" s="119">
        <f>'Financial Statements'!AJ4</f>
        <v>40429</v>
      </c>
      <c r="AB5" s="119">
        <f>'Financial Statements'!AK4</f>
        <v>40543</v>
      </c>
      <c r="AC5" s="120">
        <f>'Financial Statements'!AL4</f>
        <v>2010</v>
      </c>
      <c r="AD5" s="121">
        <f>'Financial Statements'!AM4</f>
        <v>40613</v>
      </c>
      <c r="AE5" s="119">
        <f>'Financial Statements'!AN4</f>
        <v>40705</v>
      </c>
      <c r="AF5" s="119">
        <f>'Financial Statements'!AO4</f>
        <v>40797</v>
      </c>
      <c r="AG5" s="119">
        <f>'Financial Statements'!AP4</f>
        <v>40887</v>
      </c>
      <c r="AH5" s="120">
        <v>2011</v>
      </c>
      <c r="AI5" s="119">
        <f>'Financial Statements'!AR4</f>
        <v>40980</v>
      </c>
      <c r="AJ5" s="119">
        <f>'Financial Statements'!AS4</f>
        <v>41072</v>
      </c>
      <c r="AK5" s="119">
        <f>'Financial Statements'!AT4</f>
        <v>41164</v>
      </c>
      <c r="AL5" s="119">
        <f>'Financial Statements'!AU4</f>
        <v>41274</v>
      </c>
      <c r="AM5" s="120">
        <f>'Financial Statements'!AV4</f>
        <v>2012</v>
      </c>
      <c r="AN5" s="119">
        <f>'Financial Statements'!AW4</f>
        <v>41346</v>
      </c>
      <c r="AO5" s="119">
        <f>'Financial Statements'!AX4</f>
        <v>41438</v>
      </c>
      <c r="AP5" s="119">
        <f>'Financial Statements'!AY4</f>
        <v>41530</v>
      </c>
      <c r="AQ5" s="119">
        <f>'Financial Statements'!AZ4</f>
        <v>41621</v>
      </c>
      <c r="AR5" s="120">
        <f>'Financial Statements'!BA4</f>
        <v>2013</v>
      </c>
      <c r="AS5" s="119">
        <f>'Financial Statements'!BB4</f>
        <v>41712</v>
      </c>
      <c r="AT5" s="119">
        <f>'Financial Statements'!BC4</f>
        <v>41804</v>
      </c>
      <c r="AU5" s="119">
        <f>'Financial Statements'!BD4</f>
        <v>41896</v>
      </c>
      <c r="AV5" s="119">
        <f>'Financial Statements'!BE4</f>
        <v>41987</v>
      </c>
      <c r="AW5" s="120">
        <f>'Financial Statements'!BF4</f>
        <v>2014</v>
      </c>
      <c r="AX5" s="119">
        <f>'Financial Statements'!BG4</f>
        <v>42078</v>
      </c>
      <c r="AY5" s="119">
        <f>'Financial Statements'!BH4</f>
        <v>42170</v>
      </c>
      <c r="AZ5" s="119">
        <f>'Financial Statements'!BI4</f>
        <v>42262</v>
      </c>
      <c r="BA5" s="119">
        <f>'Financial Statements'!BJ4</f>
        <v>42353</v>
      </c>
      <c r="BB5" s="120">
        <f>'Financial Statements'!BK4</f>
        <v>2015</v>
      </c>
      <c r="BC5" s="119">
        <f>'Financial Statements'!BL4</f>
        <v>42445</v>
      </c>
      <c r="BD5" s="119">
        <f>'Financial Statements'!BM4</f>
        <v>42537</v>
      </c>
      <c r="BE5" s="119">
        <f>'Financial Statements'!BN4</f>
        <v>42629</v>
      </c>
      <c r="BF5" s="119">
        <f>'Financial Statements'!BO4</f>
        <v>42720</v>
      </c>
      <c r="BG5" s="120">
        <f>'Financial Statements'!BP4</f>
        <v>2016</v>
      </c>
      <c r="BH5" s="119">
        <f>'Financial Statements'!BQ4</f>
        <v>42811</v>
      </c>
      <c r="BI5" s="119">
        <f>'Financial Statements'!BR4</f>
        <v>42903</v>
      </c>
      <c r="BJ5" s="119">
        <f>'Financial Statements'!BS4</f>
        <v>42995</v>
      </c>
      <c r="BK5" s="119">
        <f>'Financial Statements'!BT4</f>
        <v>43086</v>
      </c>
      <c r="BL5" s="120">
        <f>'Financial Statements'!BU4</f>
        <v>2017</v>
      </c>
      <c r="BM5" s="119" t="str">
        <f>'Financial Statements'!BV4</f>
        <v>Mar-18 E</v>
      </c>
      <c r="BN5" s="119" t="str">
        <f>'Financial Statements'!BW4</f>
        <v>Jun-18 E</v>
      </c>
      <c r="BO5" s="119" t="str">
        <f>'Financial Statements'!BX4</f>
        <v>Sep-18 E</v>
      </c>
      <c r="BP5" s="119" t="str">
        <f>'Financial Statements'!BY4</f>
        <v>Dec-18 E</v>
      </c>
      <c r="BQ5" s="120" t="str">
        <f>'Financial Statements'!BZ4</f>
        <v>2018E</v>
      </c>
      <c r="BR5" s="119" t="str">
        <f>'Financial Statements'!CA4</f>
        <v>Mar-19 E</v>
      </c>
      <c r="BS5" s="119" t="str">
        <f>'Financial Statements'!CB4</f>
        <v>Jun-19 E</v>
      </c>
      <c r="BT5" s="119" t="str">
        <f>'Financial Statements'!CC4</f>
        <v>Sep-19 E</v>
      </c>
      <c r="BU5" s="119" t="str">
        <f>'Financial Statements'!CD4</f>
        <v>Dec-19 E</v>
      </c>
      <c r="BV5" s="120" t="str">
        <f>'Financial Statements'!CE4</f>
        <v>2019E</v>
      </c>
      <c r="BW5" s="119" t="str">
        <f>'Financial Statements'!CF4</f>
        <v>Mar-20 E</v>
      </c>
      <c r="BX5" s="119" t="str">
        <f>'Financial Statements'!CG4</f>
        <v>Jun-20 E</v>
      </c>
      <c r="BY5" s="119" t="str">
        <f>'Financial Statements'!CH4</f>
        <v>Sep-20 E</v>
      </c>
      <c r="BZ5" s="119" t="str">
        <f>'Financial Statements'!CI4</f>
        <v>Dec-20 E</v>
      </c>
      <c r="CA5" s="120" t="str">
        <f>'Financial Statements'!CJ4</f>
        <v>2020E</v>
      </c>
      <c r="CB5" s="119" t="str">
        <f>'Financial Statements'!CK4</f>
        <v>Mar-21 E</v>
      </c>
      <c r="CC5" s="119" t="str">
        <f>'Financial Statements'!CL4</f>
        <v>Jun-21 E</v>
      </c>
      <c r="CD5" s="119" t="str">
        <f>'Financial Statements'!CM4</f>
        <v>Sep-21 E</v>
      </c>
      <c r="CE5" s="119" t="str">
        <f>'Financial Statements'!CN4</f>
        <v>Dec-21 E</v>
      </c>
      <c r="CF5" s="120" t="str">
        <f>'Financial Statements'!CO4</f>
        <v>2021E</v>
      </c>
      <c r="CG5" s="119" t="str">
        <f>'Financial Statements'!CP4</f>
        <v>Mar-22 E</v>
      </c>
      <c r="CH5" s="119" t="str">
        <f>'Financial Statements'!CQ4</f>
        <v>Jun-22 E</v>
      </c>
      <c r="CI5" s="119" t="str">
        <f>'Financial Statements'!CR4</f>
        <v>Sep-22 E</v>
      </c>
      <c r="CJ5" s="119" t="str">
        <f>'Financial Statements'!CS4</f>
        <v>Dec-22 E</v>
      </c>
      <c r="CK5" s="120" t="str">
        <f>'Financial Statements'!CT4</f>
        <v>2022E</v>
      </c>
      <c r="CL5"/>
      <c r="CM5"/>
    </row>
    <row r="6" spans="1:105" x14ac:dyDescent="0.2">
      <c r="A6" s="18" t="s">
        <v>47</v>
      </c>
      <c r="B6" s="18"/>
      <c r="C6" s="18"/>
      <c r="D6" s="18"/>
      <c r="E6" s="31">
        <f>+'Financial Statements'!N5</f>
        <v>6719</v>
      </c>
      <c r="F6" s="31">
        <f>+'Financial Statements'!O5</f>
        <v>8714</v>
      </c>
      <c r="G6" s="31">
        <f>+'Financial Statements'!P5</f>
        <v>9134</v>
      </c>
      <c r="H6" s="31">
        <f>+'Financial Statements'!Q5</f>
        <v>10570</v>
      </c>
      <c r="I6" s="122">
        <f t="shared" ref="I6:AB6" si="0">+I13+I76+I83+I92</f>
        <v>35137</v>
      </c>
      <c r="J6" s="31">
        <f t="shared" si="0"/>
        <v>7350</v>
      </c>
      <c r="K6" s="31">
        <f t="shared" si="0"/>
        <v>9607</v>
      </c>
      <c r="L6" s="31">
        <f t="shared" si="0"/>
        <v>10171</v>
      </c>
      <c r="M6" s="31">
        <f t="shared" si="0"/>
        <v>12346</v>
      </c>
      <c r="N6" s="122">
        <f t="shared" si="0"/>
        <v>39474</v>
      </c>
      <c r="O6" s="31">
        <f t="shared" si="0"/>
        <v>8333</v>
      </c>
      <c r="P6" s="31">
        <f t="shared" si="0"/>
        <v>10945</v>
      </c>
      <c r="Q6" s="31">
        <f t="shared" si="0"/>
        <v>11244</v>
      </c>
      <c r="R6" s="31">
        <f t="shared" si="0"/>
        <v>12729</v>
      </c>
      <c r="S6" s="122">
        <f t="shared" si="0"/>
        <v>43251</v>
      </c>
      <c r="T6" s="31">
        <f t="shared" si="0"/>
        <v>8263</v>
      </c>
      <c r="U6" s="31">
        <f t="shared" si="0"/>
        <v>10592</v>
      </c>
      <c r="V6" s="31">
        <f t="shared" si="0"/>
        <v>11080</v>
      </c>
      <c r="W6" s="31">
        <f t="shared" si="0"/>
        <v>13297</v>
      </c>
      <c r="X6" s="122">
        <f t="shared" si="0"/>
        <v>43232</v>
      </c>
      <c r="Y6" s="123">
        <f t="shared" si="0"/>
        <v>9368</v>
      </c>
      <c r="Z6" s="123">
        <f t="shared" si="0"/>
        <v>14801</v>
      </c>
      <c r="AA6" s="123">
        <f t="shared" si="0"/>
        <v>15514</v>
      </c>
      <c r="AB6" s="123">
        <f t="shared" si="0"/>
        <v>18155</v>
      </c>
      <c r="AC6" s="122">
        <f>+Y6+Z6+AA6+AB6</f>
        <v>57838</v>
      </c>
      <c r="AD6" s="123">
        <f>+AD13+AD76+AD83+AD92</f>
        <v>11937</v>
      </c>
      <c r="AE6" s="123">
        <f>+AE13+AE76+AE83+AE92</f>
        <v>16827</v>
      </c>
      <c r="AF6" s="123">
        <f>+AF13+AF76+AF83+AF92</f>
        <v>17582</v>
      </c>
      <c r="AG6" s="31">
        <f>+AG13+AG76+AG83+AG92</f>
        <v>19535</v>
      </c>
      <c r="AH6" s="122">
        <f>+AD6+AE6+AF6+AG6</f>
        <v>65881</v>
      </c>
      <c r="AI6" s="123">
        <f>+AI13+AI76+AI83+AI92</f>
        <v>12428</v>
      </c>
      <c r="AJ6" s="123">
        <f>+AJ13+AJ76+AJ83+AJ92</f>
        <v>16458</v>
      </c>
      <c r="AK6" s="123">
        <f>+AK13+AK76+AK83+AK92</f>
        <v>16652</v>
      </c>
      <c r="AL6" s="123">
        <f>+AL13+AL76+AL83+AL92</f>
        <v>19954</v>
      </c>
      <c r="AM6" s="122">
        <f>+AI6+AJ6+AK6+AL6</f>
        <v>65492</v>
      </c>
      <c r="AN6" s="31">
        <f>+AN13+AN76+AN83+AN92</f>
        <v>12581</v>
      </c>
      <c r="AO6" s="31">
        <f>+AO13+AO76+AO83+AO92</f>
        <v>16807</v>
      </c>
      <c r="AP6" s="31">
        <f>+AP13+AP76+AP83+AP92</f>
        <v>16909</v>
      </c>
      <c r="AQ6" s="31">
        <f>+AQ13+AQ76+AQ83+AQ92</f>
        <v>20118</v>
      </c>
      <c r="AR6" s="122">
        <f>+AN6+AO6+AP6+AQ6</f>
        <v>66415</v>
      </c>
      <c r="AS6" s="31">
        <f>+AS13+AS76+AS83+AS92</f>
        <v>12623</v>
      </c>
      <c r="AT6" s="31">
        <f>+AT13+AT76+AT83+AT92</f>
        <v>16894</v>
      </c>
      <c r="AU6" s="31">
        <f>+AU13+AU76+AU83+AU92</f>
        <v>17218</v>
      </c>
      <c r="AV6" s="31">
        <f>+AV13+AV76+AV83+AV92</f>
        <v>19948</v>
      </c>
      <c r="AW6" s="122">
        <f>+AS6+AT6+AU6+AV6</f>
        <v>66683</v>
      </c>
      <c r="AX6" s="31">
        <f>+AX20+AX27+AX34+AX41+AX50+AX59</f>
        <v>12217</v>
      </c>
      <c r="AY6" s="31">
        <f>+AY20+AY27+AY34+AY41+AY50+AY59</f>
        <v>15923</v>
      </c>
      <c r="AZ6" s="31">
        <f>+AZ20+AZ27+AZ34+AZ41+AZ50+AZ59</f>
        <v>16331</v>
      </c>
      <c r="BA6" s="31">
        <f>+BA20+BA27+BA34+BA41+BA50+BA59</f>
        <v>18585</v>
      </c>
      <c r="BB6" s="122">
        <f>+AX6+AY6+AZ6+BA6</f>
        <v>63056</v>
      </c>
      <c r="BC6" s="31">
        <f>+BC20+BC27+BC34+BC41+BC50+BC59</f>
        <v>11862</v>
      </c>
      <c r="BD6" s="31">
        <f>+BD20+BD27+BD34+BD41+BD50+BD59</f>
        <v>15395</v>
      </c>
      <c r="BE6" s="31">
        <f>+BE20+BE27+BE34+BE41+BE50+BE59</f>
        <v>16027</v>
      </c>
      <c r="BF6" s="31">
        <f>+BF20+BF27+BF34+BF41+BF50+BF59</f>
        <v>19515</v>
      </c>
      <c r="BG6" s="122">
        <f>+BC6+BD6+BE6+BF6</f>
        <v>62799</v>
      </c>
      <c r="BH6" s="31">
        <f>+BH20+BH27+BH34+BH41+BH50+BH59</f>
        <v>12049</v>
      </c>
      <c r="BI6" s="31">
        <f>+BI20+BI27+BI34+BI41+BI50+BI59</f>
        <v>15710</v>
      </c>
      <c r="BJ6" s="31">
        <f>+BJ20+BJ27+BJ34+BJ41+BJ50+BJ59</f>
        <v>16240</v>
      </c>
      <c r="BK6" s="31">
        <f>+BK20+BK27+BK34+BK41+BK50+BK59</f>
        <v>19526</v>
      </c>
      <c r="BL6" s="122">
        <f>+BH6+BI6+BJ6+BK6</f>
        <v>63525</v>
      </c>
      <c r="BM6" s="31">
        <f>+BM20+BM27+BM34+BM41+BM50+BM59</f>
        <v>12499.640607370404</v>
      </c>
      <c r="BN6" s="31">
        <f>+BN20+BN27+BN34+BN41+BN50+BN59</f>
        <v>16260.326449841918</v>
      </c>
      <c r="BO6" s="31">
        <f>+BO20+BO27+BO34+BO41+BO50+BO59</f>
        <v>16820.435015380965</v>
      </c>
      <c r="BP6" s="31">
        <f>+BP20+BP27+BP34+BP41+BP50+BP59</f>
        <v>20271.001662037925</v>
      </c>
      <c r="BQ6" s="122">
        <f>+BM6+BN6+BO6+BP6</f>
        <v>65851.403734631211</v>
      </c>
      <c r="BR6" s="31">
        <f>+BR20+BR27+BR34+BR41+BR50+BR59</f>
        <v>12862.039073265883</v>
      </c>
      <c r="BS6" s="31">
        <f>+BS20+BS27+BS34+BS41+BS50+BS59</f>
        <v>16763.944789429159</v>
      </c>
      <c r="BT6" s="31">
        <f>+BT20+BT27+BT34+BT41+BT50+BT59</f>
        <v>17328.039149069722</v>
      </c>
      <c r="BU6" s="31">
        <f>+BU20+BU27+BU34+BU41+BU50+BU59</f>
        <v>20905.767839802389</v>
      </c>
      <c r="BV6" s="122">
        <f>+BR6+BS6+BT6+BU6</f>
        <v>67859.790851567159</v>
      </c>
      <c r="BW6" s="31">
        <f>+BW20+BW27+BW34+BW41+BW50+BW59</f>
        <v>13230.267124586364</v>
      </c>
      <c r="BX6" s="31">
        <f>+BX20+BX27+BX34+BX41+BX50+BX59</f>
        <v>17269.252964810548</v>
      </c>
      <c r="BY6" s="31">
        <f>+BY20+BY27+BY34+BY41+BY50+BY59</f>
        <v>17838.858708797405</v>
      </c>
      <c r="BZ6" s="31">
        <f>+BZ20+BZ27+BZ34+BZ41+BZ50+BZ59</f>
        <v>21545.038721982091</v>
      </c>
      <c r="CA6" s="122">
        <f>+BW6+BX6+BY6+BZ6</f>
        <v>69883.417520176416</v>
      </c>
      <c r="CB6" s="31">
        <f>+CB20+CB27+CB34+CB41+CB50+CB59</f>
        <v>13612.086578576782</v>
      </c>
      <c r="CC6" s="31">
        <f>+CC20+CC27+CC34+CC41+CC50+CC59</f>
        <v>17794.271655825458</v>
      </c>
      <c r="CD6" s="31">
        <f>+CD20+CD27+CD34+CD41+CD50+CD59</f>
        <v>18369.714407733911</v>
      </c>
      <c r="CE6" s="31">
        <f>+CE20+CE27+CE34+CE41+CE50+CE59</f>
        <v>22209.340056409041</v>
      </c>
      <c r="CF6" s="122">
        <f>+CB6+CC6+CD6+CE6</f>
        <v>71985.412698545188</v>
      </c>
      <c r="CG6" s="31">
        <f>+CG20+CG27+CG34+CG41+CG50+CG59</f>
        <v>14008.05719446152</v>
      </c>
      <c r="CH6" s="31">
        <f>+CH20+CH27+CH34+CH41+CH50+CH59</f>
        <v>18339.840701425015</v>
      </c>
      <c r="CI6" s="31">
        <f>+CI20+CI27+CI34+CI41+CI50+CI59</f>
        <v>18921.451228950114</v>
      </c>
      <c r="CJ6" s="31">
        <f>+CJ20+CJ27+CJ34+CJ41+CJ50+CJ59</f>
        <v>22899.736164087662</v>
      </c>
      <c r="CK6" s="122">
        <f>+CG6+CH6+CI6+CJ6</f>
        <v>74169.085288924311</v>
      </c>
      <c r="CL6"/>
      <c r="CM6"/>
      <c r="CN6" s="27"/>
      <c r="CO6" s="27"/>
      <c r="CP6" s="27"/>
      <c r="CQ6" s="27"/>
      <c r="CR6" s="27"/>
      <c r="CS6" s="27"/>
      <c r="CT6" s="27"/>
      <c r="CU6" s="27"/>
      <c r="CV6" s="27"/>
      <c r="CW6" s="27"/>
      <c r="CX6" s="27"/>
      <c r="CY6" s="27"/>
      <c r="CZ6" s="27"/>
      <c r="DA6" s="27"/>
    </row>
    <row r="7" spans="1:105" x14ac:dyDescent="0.2">
      <c r="A7" s="124" t="s">
        <v>231</v>
      </c>
      <c r="B7" s="124"/>
      <c r="C7" s="1"/>
      <c r="D7" s="1"/>
      <c r="E7" s="32"/>
      <c r="F7" s="32"/>
      <c r="G7" s="32"/>
      <c r="H7" s="32"/>
      <c r="I7" s="125">
        <f>+I12-I11-I8</f>
        <v>7.9527049656539367E-2</v>
      </c>
      <c r="J7" s="126">
        <f>+J12-J11-J8</f>
        <v>5.3136800695466752E-2</v>
      </c>
      <c r="K7" s="126">
        <f>+K12-K11-K8</f>
        <v>6.1693371316572931E-2</v>
      </c>
      <c r="L7" s="126">
        <f>+L12-L11-L8</f>
        <v>7.1627431404462233E-2</v>
      </c>
      <c r="M7" s="126">
        <f>+M12-M11-M8</f>
        <v>0.11751655629139074</v>
      </c>
      <c r="N7" s="127">
        <f>12%-2%-N11</f>
        <v>7.0897913879955587E-2</v>
      </c>
      <c r="O7" s="128">
        <f>13%-3%-O11</f>
        <v>6.9219047619047624E-2</v>
      </c>
      <c r="P7" s="128">
        <f>14%-4%-P11</f>
        <v>6.8355365879046531E-2</v>
      </c>
      <c r="Q7" s="128">
        <f>10.5%-3%-Q11</f>
        <v>6.2860584013371343E-2</v>
      </c>
      <c r="R7" s="128">
        <f>3%+5.5%-R11</f>
        <v>6.29677628381662E-2</v>
      </c>
      <c r="S7" s="127">
        <f>10%-1%-S11</f>
        <v>6.5444089780615097E-2</v>
      </c>
      <c r="T7" s="128">
        <f>6%-T11</f>
        <v>4.2269890795631822E-2</v>
      </c>
      <c r="U7" s="128">
        <f>5.5%-U11</f>
        <v>3.69835541343079E-2</v>
      </c>
      <c r="V7" s="128">
        <f>5%-V11</f>
        <v>3.1727143365350416E-2</v>
      </c>
      <c r="W7" s="128">
        <f>3%-W11</f>
        <v>2.6610888522271975E-2</v>
      </c>
      <c r="X7" s="127">
        <f>5%-X11</f>
        <v>3.6070379875609813E-2</v>
      </c>
      <c r="Y7" s="128">
        <f>11%-Y11</f>
        <v>1.4373714147404126E-2</v>
      </c>
      <c r="Z7" s="128">
        <f>37%-Z11</f>
        <v>3.0356268882175297E-2</v>
      </c>
      <c r="AA7" s="128">
        <f>41%-AA11</f>
        <v>4.6451010830324879E-2</v>
      </c>
      <c r="AB7" s="126">
        <f>37%-AB11</f>
        <v>4.2536000601639423E-2</v>
      </c>
      <c r="AC7" s="127">
        <f>33%-AC11</f>
        <v>3.294926999386133E-2</v>
      </c>
      <c r="AD7" s="43">
        <v>0.04</v>
      </c>
      <c r="AE7" s="43">
        <f>AE9+AE10</f>
        <v>5.1187757583946933E-2</v>
      </c>
      <c r="AF7" s="43">
        <v>5.5E-2</v>
      </c>
      <c r="AG7" s="32">
        <f>+AG12-AG11-AG8</f>
        <v>4.9883778573395793E-2</v>
      </c>
      <c r="AH7" s="125">
        <f ca="1">+AH12-AH11-AH8</f>
        <v>4.7099194301324476E-2</v>
      </c>
      <c r="AI7" s="43">
        <f>+AI12-AI11-AI8</f>
        <v>4.3419619669933782E-2</v>
      </c>
      <c r="AJ7" s="43">
        <f>AJ10+AJ9</f>
        <v>0.05</v>
      </c>
      <c r="AK7" s="43">
        <v>0.05</v>
      </c>
      <c r="AL7" s="43">
        <v>0.05</v>
      </c>
      <c r="AM7" s="125">
        <v>0.05</v>
      </c>
      <c r="AN7" s="43">
        <v>4.3999999999999997E-2</v>
      </c>
      <c r="AO7" s="32">
        <v>4.2000000000000003E-2</v>
      </c>
      <c r="AP7" s="32">
        <v>3.3000000000000002E-2</v>
      </c>
      <c r="AQ7" s="32">
        <v>4.1000000000000002E-2</v>
      </c>
      <c r="AR7" s="125">
        <v>0.04</v>
      </c>
      <c r="AS7" s="32">
        <v>0.04</v>
      </c>
      <c r="AT7" s="32">
        <v>3.5999999999999997E-2</v>
      </c>
      <c r="AU7" s="32">
        <v>3.1E-2</v>
      </c>
      <c r="AV7" s="32">
        <v>0.05</v>
      </c>
      <c r="AW7" s="125">
        <v>0.04</v>
      </c>
      <c r="AX7" s="32">
        <v>4.3999999999999997E-2</v>
      </c>
      <c r="AY7" s="32">
        <v>5.0999999999999997E-2</v>
      </c>
      <c r="AZ7" s="32">
        <v>7.3999999999999996E-2</v>
      </c>
      <c r="BA7" s="32">
        <v>0.04</v>
      </c>
      <c r="BB7" s="125">
        <v>0.05</v>
      </c>
      <c r="BC7" s="32">
        <v>3.5000000000000003E-2</v>
      </c>
      <c r="BD7" s="565">
        <v>3.3000000000000002E-2</v>
      </c>
      <c r="BE7" s="565">
        <v>4.2000000000000003E-2</v>
      </c>
      <c r="BF7" s="565">
        <v>3.6999999999999998E-2</v>
      </c>
      <c r="BG7" s="125">
        <v>3.6999999999999998E-2</v>
      </c>
      <c r="BH7" s="32">
        <v>2.1000000000000001E-2</v>
      </c>
      <c r="BI7" s="24">
        <v>3.1E-2</v>
      </c>
      <c r="BJ7" s="639">
        <v>1.7000000000000001E-2</v>
      </c>
      <c r="BK7" s="639">
        <v>2.3E-2</v>
      </c>
      <c r="BL7" s="125">
        <v>2.3E-2</v>
      </c>
      <c r="BM7" s="32">
        <f t="shared" ref="BM7:CK7" si="1">+BM12-BM11-BM8</f>
        <v>1.9764533173890101E-2</v>
      </c>
      <c r="BN7" s="32">
        <f t="shared" si="1"/>
        <v>2.1306204195067353E-2</v>
      </c>
      <c r="BO7" s="32">
        <f t="shared" si="1"/>
        <v>3.2808856607126319E-2</v>
      </c>
      <c r="BP7" s="32">
        <f t="shared" si="1"/>
        <v>3.0822082506599836E-2</v>
      </c>
      <c r="BQ7" s="125">
        <f t="shared" si="1"/>
        <v>2.6879356827080807E-2</v>
      </c>
      <c r="BR7" s="32">
        <f t="shared" si="1"/>
        <v>2.9228850021822406E-2</v>
      </c>
      <c r="BS7" s="32">
        <f t="shared" si="1"/>
        <v>3.0972215787963941E-2</v>
      </c>
      <c r="BT7" s="32">
        <f t="shared" si="1"/>
        <v>3.0177824368073258E-2</v>
      </c>
      <c r="BU7" s="32">
        <f t="shared" si="1"/>
        <v>3.1314001564767713E-2</v>
      </c>
      <c r="BV7" s="125">
        <f t="shared" si="1"/>
        <v>3.0543597518213842E-2</v>
      </c>
      <c r="BW7" s="32">
        <f t="shared" si="1"/>
        <v>2.8629057120954648E-2</v>
      </c>
      <c r="BX7" s="32">
        <f t="shared" si="1"/>
        <v>3.0142557836388306E-2</v>
      </c>
      <c r="BY7" s="32">
        <f t="shared" si="1"/>
        <v>2.9479363206257991E-2</v>
      </c>
      <c r="BZ7" s="32">
        <f t="shared" si="1"/>
        <v>3.057868465192648E-2</v>
      </c>
      <c r="CA7" s="125">
        <f t="shared" si="1"/>
        <v>2.9820702999743043E-2</v>
      </c>
      <c r="CB7" s="32">
        <f t="shared" si="1"/>
        <v>2.8859542320265552E-2</v>
      </c>
      <c r="CC7" s="32">
        <f t="shared" si="1"/>
        <v>3.0401934124465901E-2</v>
      </c>
      <c r="CD7" s="32">
        <f t="shared" si="1"/>
        <v>2.9758389121312456E-2</v>
      </c>
      <c r="CE7" s="32">
        <f t="shared" si="1"/>
        <v>3.0833146461193062E-2</v>
      </c>
      <c r="CF7" s="125">
        <f t="shared" si="1"/>
        <v>3.0078597369138205E-2</v>
      </c>
      <c r="CG7" s="32">
        <f t="shared" si="1"/>
        <v>2.9089633951339344E-2</v>
      </c>
      <c r="CH7" s="32">
        <f t="shared" si="1"/>
        <v>3.0659813233825162E-2</v>
      </c>
      <c r="CI7" s="32">
        <f t="shared" si="1"/>
        <v>3.0035133316167029E-2</v>
      </c>
      <c r="CJ7" s="32">
        <f t="shared" si="1"/>
        <v>3.1085845231110021E-2</v>
      </c>
      <c r="CK7" s="125">
        <f t="shared" si="1"/>
        <v>3.0334931877431082E-2</v>
      </c>
      <c r="CL7"/>
      <c r="CM7"/>
    </row>
    <row r="8" spans="1:105" x14ac:dyDescent="0.2">
      <c r="A8" s="129" t="s">
        <v>201</v>
      </c>
      <c r="B8" s="129"/>
      <c r="C8" s="1"/>
      <c r="D8" s="1"/>
      <c r="E8" s="32"/>
      <c r="F8" s="32"/>
      <c r="G8" s="32"/>
      <c r="H8" s="32"/>
      <c r="I8" s="125">
        <v>8.9999999999999993E-3</v>
      </c>
      <c r="J8" s="130">
        <f>+N8</f>
        <v>2.3431140962518179E-2</v>
      </c>
      <c r="K8" s="130">
        <f>+J8</f>
        <v>2.3431140962518179E-2</v>
      </c>
      <c r="L8" s="130">
        <f>+K8</f>
        <v>2.3431140962518179E-2</v>
      </c>
      <c r="M8" s="130">
        <f>7%*4316/H6</f>
        <v>2.8582781456953643E-2</v>
      </c>
      <c r="N8" s="131">
        <f>+N12-N11-N7</f>
        <v>2.3431140962518179E-2</v>
      </c>
      <c r="O8" s="132">
        <f t="shared" ref="O8:X8" si="2">+O12-O11-O7</f>
        <v>3.3741496598639426E-2</v>
      </c>
      <c r="P8" s="132">
        <f t="shared" si="2"/>
        <v>3.9273446445300259E-2</v>
      </c>
      <c r="Q8" s="132">
        <f t="shared" si="2"/>
        <v>3.0496018090649904E-2</v>
      </c>
      <c r="R8" s="132">
        <f t="shared" si="2"/>
        <v>-5.3977806577028914E-2</v>
      </c>
      <c r="S8" s="131">
        <f t="shared" si="2"/>
        <v>5.6832345341236296E-3</v>
      </c>
      <c r="T8" s="132">
        <f t="shared" si="2"/>
        <v>-6.8400336013440588E-2</v>
      </c>
      <c r="U8" s="132">
        <f t="shared" si="2"/>
        <v>-8.725216994061219E-2</v>
      </c>
      <c r="V8" s="132">
        <f t="shared" si="2"/>
        <v>-6.4585556741373187E-2</v>
      </c>
      <c r="W8" s="132">
        <f t="shared" si="2"/>
        <v>1.4622515515751361E-2</v>
      </c>
      <c r="X8" s="131">
        <f t="shared" si="2"/>
        <v>-5.0439296201243947E-2</v>
      </c>
      <c r="Y8" s="132">
        <f t="shared" ref="Y8:AB9" si="3">(Y15*T$13+Y78*T$76+Y85*T$83+Y94*T$92)/T$6</f>
        <v>2.8145951833474576E-2</v>
      </c>
      <c r="Z8" s="132">
        <f t="shared" si="3"/>
        <v>2.4493957703927507E-2</v>
      </c>
      <c r="AA8" s="132">
        <f t="shared" si="3"/>
        <v>-1.2666064981949421E-2</v>
      </c>
      <c r="AB8" s="126">
        <f t="shared" si="3"/>
        <v>-7.9393848236444606E-3</v>
      </c>
      <c r="AC8" s="131">
        <f>+AC12-AC11-AC7</f>
        <v>7.8515914137676224E-3</v>
      </c>
      <c r="AD8" s="116">
        <v>0.01</v>
      </c>
      <c r="AE8" s="116">
        <v>0.03</v>
      </c>
      <c r="AF8" s="116">
        <v>3.5000000000000003E-2</v>
      </c>
      <c r="AG8" s="34">
        <v>-1.4999999999999999E-2</v>
      </c>
      <c r="AH8" s="133">
        <f ca="1">(AH15*AC$13+AH78*AC$76+AH85*AC$83+AH94*AC$92)/AC$6</f>
        <v>1.3959939831944395E-2</v>
      </c>
      <c r="AI8" s="116">
        <v>-0.01</v>
      </c>
      <c r="AJ8" s="116">
        <v>-0.03</v>
      </c>
      <c r="AK8" s="116">
        <v>-0.05</v>
      </c>
      <c r="AL8" s="116">
        <v>-5.0000000000000001E-3</v>
      </c>
      <c r="AM8" s="133">
        <v>-2.5000000000000001E-2</v>
      </c>
      <c r="AN8" s="116">
        <v>-5.0000000000000001E-3</v>
      </c>
      <c r="AO8" s="34">
        <v>-1.4999999999999999E-2</v>
      </c>
      <c r="AP8" s="34">
        <v>-1.2999999999999999E-2</v>
      </c>
      <c r="AQ8" s="34">
        <v>-0.03</v>
      </c>
      <c r="AR8" s="133">
        <v>-1.7000000000000001E-2</v>
      </c>
      <c r="AS8" s="34">
        <v>-0.03</v>
      </c>
      <c r="AT8" s="34">
        <v>-0.03</v>
      </c>
      <c r="AU8" s="34">
        <v>-0.01</v>
      </c>
      <c r="AV8" s="117">
        <v>-0.06</v>
      </c>
      <c r="AW8" s="133">
        <v>-0.03</v>
      </c>
      <c r="AX8" s="117">
        <v>-0.08</v>
      </c>
      <c r="AY8" s="117">
        <v>-0.1</v>
      </c>
      <c r="AZ8" s="117">
        <v>-0.12</v>
      </c>
      <c r="BA8" s="117">
        <v>-0.08</v>
      </c>
      <c r="BB8" s="133">
        <v>-0.1</v>
      </c>
      <c r="BC8" s="34">
        <v>-4.4999999999999998E-2</v>
      </c>
      <c r="BD8" s="34">
        <v>-0.04</v>
      </c>
      <c r="BE8" s="34">
        <v>-0.03</v>
      </c>
      <c r="BF8" s="34">
        <v>-0.02</v>
      </c>
      <c r="BG8" s="133">
        <v>-0.03</v>
      </c>
      <c r="BH8" s="34">
        <v>-0.01</v>
      </c>
      <c r="BI8" s="576">
        <v>-1.4999999999999999E-2</v>
      </c>
      <c r="BJ8" s="586">
        <v>-0.01</v>
      </c>
      <c r="BK8" s="34">
        <v>0.01</v>
      </c>
      <c r="BL8" s="133">
        <v>0</v>
      </c>
      <c r="BM8" s="34">
        <f t="shared" ref="BM8:CK8" si="4">(BM22*BH$20+BM29*BH27+BM36*BH34+BM43*BH41+BM52*BH50+BM61*BH59)/BH$6</f>
        <v>2.0051269579069036E-2</v>
      </c>
      <c r="BN8" s="34">
        <f t="shared" si="4"/>
        <v>1.678332157462812E-2</v>
      </c>
      <c r="BO8" s="34">
        <f t="shared" si="4"/>
        <v>5.8269202020464726E-3</v>
      </c>
      <c r="BP8" s="34">
        <f t="shared" si="4"/>
        <v>1.0237615436548917E-2</v>
      </c>
      <c r="BQ8" s="133">
        <f t="shared" si="4"/>
        <v>1.2590202159636356E-2</v>
      </c>
      <c r="BR8" s="34">
        <f t="shared" si="4"/>
        <v>-2.3613916885667534E-4</v>
      </c>
      <c r="BS8" s="34">
        <f t="shared" si="4"/>
        <v>0</v>
      </c>
      <c r="BT8" s="34">
        <f t="shared" si="4"/>
        <v>0</v>
      </c>
      <c r="BU8" s="34">
        <f t="shared" si="4"/>
        <v>0</v>
      </c>
      <c r="BV8" s="133">
        <f t="shared" si="4"/>
        <v>-4.482295861036175E-5</v>
      </c>
      <c r="BW8" s="34">
        <f t="shared" si="4"/>
        <v>0</v>
      </c>
      <c r="BX8" s="34">
        <f t="shared" si="4"/>
        <v>0</v>
      </c>
      <c r="BY8" s="34">
        <f t="shared" si="4"/>
        <v>0</v>
      </c>
      <c r="BZ8" s="34">
        <f t="shared" si="4"/>
        <v>0</v>
      </c>
      <c r="CA8" s="133">
        <f t="shared" si="4"/>
        <v>0</v>
      </c>
      <c r="CB8" s="34">
        <f t="shared" si="4"/>
        <v>0</v>
      </c>
      <c r="CC8" s="34">
        <f t="shared" si="4"/>
        <v>0</v>
      </c>
      <c r="CD8" s="34">
        <f t="shared" si="4"/>
        <v>0</v>
      </c>
      <c r="CE8" s="34">
        <f t="shared" si="4"/>
        <v>0</v>
      </c>
      <c r="CF8" s="133">
        <f t="shared" si="4"/>
        <v>0</v>
      </c>
      <c r="CG8" s="34">
        <f t="shared" si="4"/>
        <v>0</v>
      </c>
      <c r="CH8" s="34">
        <f t="shared" si="4"/>
        <v>0</v>
      </c>
      <c r="CI8" s="34">
        <f t="shared" si="4"/>
        <v>0</v>
      </c>
      <c r="CJ8" s="34">
        <f t="shared" si="4"/>
        <v>0</v>
      </c>
      <c r="CK8" s="133">
        <f t="shared" si="4"/>
        <v>0</v>
      </c>
      <c r="CL8"/>
      <c r="CM8"/>
    </row>
    <row r="9" spans="1:105" x14ac:dyDescent="0.2">
      <c r="A9" s="124" t="s">
        <v>34</v>
      </c>
      <c r="B9" s="124"/>
      <c r="C9" s="1"/>
      <c r="D9" s="1"/>
      <c r="E9" s="32"/>
      <c r="F9" s="32"/>
      <c r="G9" s="32"/>
      <c r="H9" s="32"/>
      <c r="I9" s="125">
        <v>0.04</v>
      </c>
      <c r="J9" s="128">
        <f t="shared" ref="J9:X9" si="5">(J16*E$13+J79*E$76+J86*E$83+J95*E$92)/E$6</f>
        <v>2.4529691918440247E-2</v>
      </c>
      <c r="K9" s="128">
        <f t="shared" si="5"/>
        <v>8.4272435161808594E-3</v>
      </c>
      <c r="L9" s="128">
        <f t="shared" si="5"/>
        <v>4.3075322969126353E-3</v>
      </c>
      <c r="M9" s="128">
        <f t="shared" si="5"/>
        <v>1.3996215704824976E-2</v>
      </c>
      <c r="N9" s="127">
        <f t="shared" si="5"/>
        <v>3.3518285567919859E-2</v>
      </c>
      <c r="O9" s="126">
        <f t="shared" si="5"/>
        <v>2.8387102040816323E-2</v>
      </c>
      <c r="P9" s="126">
        <f t="shared" si="5"/>
        <v>2.3875340897262416E-2</v>
      </c>
      <c r="Q9" s="126">
        <f t="shared" si="5"/>
        <v>5.4052934814669135E-3</v>
      </c>
      <c r="R9" s="126">
        <f t="shared" si="5"/>
        <v>-6.0076138020411483E-4</v>
      </c>
      <c r="S9" s="127">
        <f t="shared" si="5"/>
        <v>9.9550387596899249E-3</v>
      </c>
      <c r="T9" s="128">
        <f t="shared" si="5"/>
        <v>-2.3069866794671785E-2</v>
      </c>
      <c r="U9" s="128">
        <f t="shared" si="5"/>
        <v>-1.4464412973960712E-2</v>
      </c>
      <c r="V9" s="128">
        <f t="shared" si="5"/>
        <v>-1.7347563144788319E-3</v>
      </c>
      <c r="W9" s="128">
        <f t="shared" si="5"/>
        <v>-7.1103150286746806E-3</v>
      </c>
      <c r="X9" s="127">
        <f t="shared" si="5"/>
        <v>-1.1936736722850342E-2</v>
      </c>
      <c r="Y9" s="128">
        <f t="shared" si="3"/>
        <v>-3.8775263221590196E-3</v>
      </c>
      <c r="Z9" s="128">
        <f t="shared" si="3"/>
        <v>1.0642900302114802E-2</v>
      </c>
      <c r="AA9" s="128">
        <f t="shared" si="3"/>
        <v>2.3141064981949459E-2</v>
      </c>
      <c r="AB9" s="126">
        <f t="shared" si="3"/>
        <v>3.0992374219748813E-2</v>
      </c>
      <c r="AC9" s="127">
        <f>(AC16*X$13+AC79*X$76+AC86*X$83+AC95*X$92)/X$6</f>
        <v>1.7572145632864546E-2</v>
      </c>
      <c r="AD9" s="116">
        <f>52%*3.5%+48%*3%</f>
        <v>3.2600000000000004E-2</v>
      </c>
      <c r="AE9" s="116">
        <f>(AE16*Z$13+AE79*Z$76+AE86*Z$83+AE95*Z$92)/Z$6</f>
        <v>2.2454253091007369E-2</v>
      </c>
      <c r="AF9" s="134">
        <f>AF7-AF10</f>
        <v>2.1290073482016239E-2</v>
      </c>
      <c r="AG9" s="116">
        <f>(AG16*AB$13+AG79*AB$76+AG86*AB$83+AG95*AB$92)/AB$6</f>
        <v>9.5990526025888194E-3</v>
      </c>
      <c r="AH9" s="133">
        <f>SUMPRODUCT(Y6:AB6,AD9:AG9)/AC6</f>
        <v>1.9750115840796712E-2</v>
      </c>
      <c r="AI9" s="116">
        <f>AI12-AI11-AI10-AI8</f>
        <v>-1.158038033006622E-2</v>
      </c>
      <c r="AJ9" s="116">
        <v>0.01</v>
      </c>
      <c r="AK9" s="116">
        <f>AK12-AK11-AK10-AK8</f>
        <v>7.104993743601469E-3</v>
      </c>
      <c r="AL9" s="116">
        <v>0.03</v>
      </c>
      <c r="AM9" s="133">
        <f>(AM16*AH$13+AM79*AH$76+AM86*AH$83+AM95*AH$92)/AH$6</f>
        <v>1.3234058377984548E-2</v>
      </c>
      <c r="AN9" s="116">
        <v>0.02</v>
      </c>
      <c r="AO9" s="116">
        <v>0.02</v>
      </c>
      <c r="AP9" s="34">
        <f>AP7-AP10</f>
        <v>3.0000000000000027E-3</v>
      </c>
      <c r="AQ9" s="34">
        <f t="shared" ref="AQ9:AX9" si="6">(AQ16*AL$13+AQ79*AL$76+AQ86*AL$83+AQ95*AL$92)/AL$6</f>
        <v>1.1284459256289466E-2</v>
      </c>
      <c r="AR9" s="133">
        <f t="shared" si="6"/>
        <v>1.1363839858303304E-2</v>
      </c>
      <c r="AS9" s="34">
        <f t="shared" si="6"/>
        <v>1.0670614418567682E-2</v>
      </c>
      <c r="AT9" s="34">
        <f t="shared" si="6"/>
        <v>1.0735943356934612E-2</v>
      </c>
      <c r="AU9" s="34">
        <f t="shared" si="6"/>
        <v>5.6357561062156235E-3</v>
      </c>
      <c r="AV9" s="34">
        <f t="shared" si="6"/>
        <v>1.7597176657719454E-2</v>
      </c>
      <c r="AW9" s="133">
        <f t="shared" si="6"/>
        <v>1.014026951742829E-2</v>
      </c>
      <c r="AX9" s="34">
        <f t="shared" si="6"/>
        <v>6.8622672898677028E-3</v>
      </c>
      <c r="AY9" s="34">
        <f>(AY16*AT$13+AY79*AT$76+AY86*AT$83+AY95*AT$92)/AT$6</f>
        <v>-2.3539718243163236E-4</v>
      </c>
      <c r="AZ9" s="34">
        <f>(AZ23*AU$20+AZ30*AU27+AZ37*AU34+AZ44*AU41+AZ53*AU50+AZ62*AU59)/AU$6</f>
        <v>1.4304234603661025E-2</v>
      </c>
      <c r="BA9" s="34">
        <f>(BA23*AV$20+BA30*AV27+BA37*AV34+BA44*AV41+BA53*AV50+BA62*AV59)/AV$6</f>
        <v>6.6066472829356326E-3</v>
      </c>
      <c r="BB9" s="133">
        <v>5.0000000000000001E-3</v>
      </c>
      <c r="BC9" s="34">
        <f>(BC23*AX$20+BC30*AX27+BC37*AX34+BC44*AX41+BC53*AX50+BC62*AX59)/AX$6</f>
        <v>1.5047065564377508E-2</v>
      </c>
      <c r="BD9" s="34">
        <f>(BD23*AY$20+BD30*AY27+BD37*AY34+BD44*AY41+BD53*AY50+BD62*AY59)/AY$6</f>
        <v>1.5723603062550193E-2</v>
      </c>
      <c r="BE9" s="34">
        <f>(BE23*AZ$20+BE30*AZ27+BE37*AZ34+BE44*AZ41+BE53*AZ50+BE62*AZ59)/AZ$6</f>
        <v>2.5639742482564364E-2</v>
      </c>
      <c r="BF9" s="34">
        <f t="shared" ref="BF9:CK9" si="7">(BF23*BA$20+BF30*BA27+BF37*BA34+BF44*BA41+BF53*BA50+BF62*BA59)/BA$6</f>
        <v>1.867192166752658E-2</v>
      </c>
      <c r="BG9" s="133">
        <f t="shared" si="7"/>
        <v>1.943848611347616E-2</v>
      </c>
      <c r="BH9" s="586">
        <f t="shared" si="7"/>
        <v>-2.579143684645751E-3</v>
      </c>
      <c r="BI9" s="576">
        <f t="shared" si="7"/>
        <v>7.0707174726025463E-3</v>
      </c>
      <c r="BJ9" s="576">
        <f t="shared" si="7"/>
        <v>-1.2057121445756575E-2</v>
      </c>
      <c r="BK9" s="34">
        <f t="shared" si="7"/>
        <v>4.3864816766807299E-3</v>
      </c>
      <c r="BL9" s="133">
        <f t="shared" si="7"/>
        <v>5.3125478902564072E-4</v>
      </c>
      <c r="BM9" s="34">
        <f t="shared" si="7"/>
        <v>7.7697618235705538E-3</v>
      </c>
      <c r="BN9" s="34">
        <f t="shared" si="7"/>
        <v>6.7208445515282789E-3</v>
      </c>
      <c r="BO9" s="34">
        <f t="shared" si="7"/>
        <v>2.0675235917471353E-2</v>
      </c>
      <c r="BP9" s="34">
        <f t="shared" si="7"/>
        <v>1.092911927808423E-2</v>
      </c>
      <c r="BQ9" s="133">
        <f t="shared" si="7"/>
        <v>1.1780718495715362E-2</v>
      </c>
      <c r="BR9" s="34">
        <f t="shared" si="7"/>
        <v>1.2350215460608729E-2</v>
      </c>
      <c r="BS9" s="34">
        <f t="shared" si="7"/>
        <v>1.3307639035245252E-2</v>
      </c>
      <c r="BT9" s="34">
        <f t="shared" si="7"/>
        <v>1.2554282227469189E-2</v>
      </c>
      <c r="BU9" s="34">
        <f t="shared" si="7"/>
        <v>1.3424453321565286E-2</v>
      </c>
      <c r="BV9" s="133">
        <f t="shared" si="7"/>
        <v>1.2969433682506254E-2</v>
      </c>
      <c r="BW9" s="34">
        <f t="shared" si="7"/>
        <v>1.1221161672048629E-2</v>
      </c>
      <c r="BX9" s="34">
        <f t="shared" si="7"/>
        <v>1.1829293010644525E-2</v>
      </c>
      <c r="BY9" s="34">
        <f t="shared" si="7"/>
        <v>1.1255545921625381E-2</v>
      </c>
      <c r="BZ9" s="34">
        <f t="shared" si="7"/>
        <v>1.2090503486981064E-2</v>
      </c>
      <c r="CA9" s="133">
        <f t="shared" si="7"/>
        <v>1.164799396257965E-2</v>
      </c>
      <c r="CB9" s="34">
        <f t="shared" si="7"/>
        <v>1.1354630231951339E-2</v>
      </c>
      <c r="CC9" s="34">
        <f t="shared" si="7"/>
        <v>1.197849952397544E-2</v>
      </c>
      <c r="CD9" s="34">
        <f t="shared" si="7"/>
        <v>1.1418907970001894E-2</v>
      </c>
      <c r="CE9" s="34">
        <f t="shared" si="7"/>
        <v>1.2235797265521714E-2</v>
      </c>
      <c r="CF9" s="133">
        <f t="shared" si="7"/>
        <v>1.1796869278976069E-2</v>
      </c>
      <c r="CG9" s="34">
        <f t="shared" si="7"/>
        <v>1.1487964563170899E-2</v>
      </c>
      <c r="CH9" s="34">
        <f t="shared" si="7"/>
        <v>1.2127104286256359E-2</v>
      </c>
      <c r="CI9" s="34">
        <f t="shared" si="7"/>
        <v>1.1581162845111296E-2</v>
      </c>
      <c r="CJ9" s="34">
        <f t="shared" si="7"/>
        <v>1.2380347937448771E-2</v>
      </c>
      <c r="CK9" s="133">
        <f t="shared" si="7"/>
        <v>1.1945061303575309E-2</v>
      </c>
      <c r="CL9"/>
      <c r="CM9"/>
      <c r="CO9" s="27"/>
      <c r="CP9" s="27"/>
      <c r="CQ9" s="27"/>
      <c r="CR9" s="27"/>
      <c r="CS9" s="27"/>
      <c r="CT9" s="27"/>
      <c r="CU9" s="27"/>
      <c r="CV9" s="27"/>
      <c r="CW9" s="27"/>
      <c r="CX9" s="27"/>
      <c r="CY9" s="27"/>
      <c r="CZ9" s="27"/>
      <c r="DA9" s="27"/>
    </row>
    <row r="10" spans="1:105" x14ac:dyDescent="0.2">
      <c r="A10" s="129" t="s">
        <v>6</v>
      </c>
      <c r="B10" s="129"/>
      <c r="C10" s="1"/>
      <c r="D10" s="1"/>
      <c r="E10" s="32"/>
      <c r="F10" s="32"/>
      <c r="G10" s="32"/>
      <c r="H10" s="32"/>
      <c r="I10" s="125">
        <f t="shared" ref="I10:N10" si="8">+I7-I9</f>
        <v>3.9527049656539366E-2</v>
      </c>
      <c r="J10" s="128">
        <f t="shared" si="8"/>
        <v>2.8607108777026505E-2</v>
      </c>
      <c r="K10" s="128">
        <f t="shared" si="8"/>
        <v>5.3266127800392069E-2</v>
      </c>
      <c r="L10" s="128">
        <f t="shared" si="8"/>
        <v>6.7319899107549597E-2</v>
      </c>
      <c r="M10" s="128">
        <f t="shared" si="8"/>
        <v>0.10352034058656576</v>
      </c>
      <c r="N10" s="127">
        <f t="shared" si="8"/>
        <v>3.7379628312035729E-2</v>
      </c>
      <c r="O10" s="126">
        <f t="shared" ref="O10:AC10" si="9">+O7-O9</f>
        <v>4.0831945578231305E-2</v>
      </c>
      <c r="P10" s="126">
        <f t="shared" si="9"/>
        <v>4.4480024981784119E-2</v>
      </c>
      <c r="Q10" s="126">
        <f t="shared" si="9"/>
        <v>5.7455290531904429E-2</v>
      </c>
      <c r="R10" s="126">
        <f t="shared" si="9"/>
        <v>6.3568524218370309E-2</v>
      </c>
      <c r="S10" s="127">
        <f t="shared" si="9"/>
        <v>5.5489051020925176E-2</v>
      </c>
      <c r="T10" s="128">
        <f t="shared" si="9"/>
        <v>6.533975759030361E-2</v>
      </c>
      <c r="U10" s="128">
        <f t="shared" si="9"/>
        <v>5.1447967108268614E-2</v>
      </c>
      <c r="V10" s="128">
        <f t="shared" si="9"/>
        <v>3.3461899679829245E-2</v>
      </c>
      <c r="W10" s="128">
        <f t="shared" si="9"/>
        <v>3.3721203550946655E-2</v>
      </c>
      <c r="X10" s="127">
        <f t="shared" si="9"/>
        <v>4.8007116598460159E-2</v>
      </c>
      <c r="Y10" s="128">
        <f t="shared" si="9"/>
        <v>1.8251240469563147E-2</v>
      </c>
      <c r="Z10" s="128">
        <f t="shared" si="9"/>
        <v>1.9713368580060495E-2</v>
      </c>
      <c r="AA10" s="128">
        <f t="shared" si="9"/>
        <v>2.3309945848375421E-2</v>
      </c>
      <c r="AB10" s="126">
        <f t="shared" si="9"/>
        <v>1.1543626381890611E-2</v>
      </c>
      <c r="AC10" s="127">
        <f t="shared" si="9"/>
        <v>1.5377124360996784E-2</v>
      </c>
      <c r="AD10" s="116">
        <f>AD7-AD9</f>
        <v>7.3999999999999969E-3</v>
      </c>
      <c r="AE10" s="116">
        <f>AE12-AE11-AE9-AE8</f>
        <v>2.8733504492939564E-2</v>
      </c>
      <c r="AF10" s="128">
        <f>(AF17*AA$13+AF80*AA$76+AF89*AA$83+AF98*AA$92)/AA$6</f>
        <v>3.3709926517983761E-2</v>
      </c>
      <c r="AG10" s="34">
        <f>AG12-AG11-AG9-AG8</f>
        <v>4.028472597080697E-2</v>
      </c>
      <c r="AH10" s="133">
        <f ca="1">+AH7-AH9</f>
        <v>2.7349078460527764E-2</v>
      </c>
      <c r="AI10" s="116">
        <v>5.5E-2</v>
      </c>
      <c r="AJ10" s="116">
        <v>0.04</v>
      </c>
      <c r="AK10" s="116">
        <v>0.04</v>
      </c>
      <c r="AL10" s="116">
        <v>0.02</v>
      </c>
      <c r="AM10" s="133">
        <f>(AM17*AH$13+AM80*AH$76+AM89*AH$83+AM98*AH$92)/AH$6</f>
        <v>3.7608566961642963E-2</v>
      </c>
      <c r="AN10" s="116">
        <f>AN7-AN9</f>
        <v>2.3999999999999997E-2</v>
      </c>
      <c r="AO10" s="116">
        <f>AO7-AO9</f>
        <v>2.2000000000000002E-2</v>
      </c>
      <c r="AP10" s="34">
        <v>0.03</v>
      </c>
      <c r="AQ10" s="34">
        <f>AQ7-AQ9</f>
        <v>2.9715540743710536E-2</v>
      </c>
      <c r="AR10" s="133">
        <f>(AR17*AM$13+AR80*AM$76+AR89*AM$83+AR98*AM$92)/AM$6</f>
        <v>3.1120280339583466E-2</v>
      </c>
      <c r="AS10" s="34">
        <f>AS7-AS9</f>
        <v>2.9329385581432318E-2</v>
      </c>
      <c r="AT10" s="34">
        <f>AT7-AT9</f>
        <v>2.5264056643065386E-2</v>
      </c>
      <c r="AU10" s="34">
        <f>AU7-AU9</f>
        <v>2.5364243893784374E-2</v>
      </c>
      <c r="AV10" s="34">
        <f>AV7-AV9</f>
        <v>3.2402823342280548E-2</v>
      </c>
      <c r="AW10" s="133">
        <f>(AW17*AR$13+AW80*AR$76+AW89*AR$83+AW98*AR$92)/AR$6</f>
        <v>3.0307671459760595E-2</v>
      </c>
      <c r="AX10" s="34">
        <f>AX7-AX9</f>
        <v>3.7137732710132293E-2</v>
      </c>
      <c r="AY10" s="34">
        <f>AY7-AY9</f>
        <v>5.1235397182431627E-2</v>
      </c>
      <c r="AZ10" s="34">
        <f>AZ7-AZ9</f>
        <v>5.9695765396338973E-2</v>
      </c>
      <c r="BA10" s="34">
        <f>BA7-BA9</f>
        <v>3.3393352717064367E-2</v>
      </c>
      <c r="BB10" s="133">
        <v>0.05</v>
      </c>
      <c r="BC10" s="34">
        <f>BC7-BC9</f>
        <v>1.9952934435622495E-2</v>
      </c>
      <c r="BD10" s="34">
        <f>BD7-BD9</f>
        <v>1.7276396937449808E-2</v>
      </c>
      <c r="BE10" s="34">
        <f>BE7-BE9</f>
        <v>1.6360257517435639E-2</v>
      </c>
      <c r="BF10" s="34">
        <f>BF7-BF9</f>
        <v>1.8328078332473418E-2</v>
      </c>
      <c r="BG10" s="133">
        <f t="shared" ref="BG10:CK10" si="10">(BG24*BB$20+BG31*BB27+BG38*BB34+BG47*BB41+BG56*BB50+BG65*BB59)/BB$6</f>
        <v>1.8940148439482368E-2</v>
      </c>
      <c r="BH10" s="34">
        <f>BH7-BH9</f>
        <v>2.3579143684645754E-2</v>
      </c>
      <c r="BI10" s="576">
        <f>BI7-BI9</f>
        <v>2.3929282527397455E-2</v>
      </c>
      <c r="BJ10" s="576">
        <f>BJ7-BJ9</f>
        <v>2.9057121445756576E-2</v>
      </c>
      <c r="BK10" s="576">
        <f>BK7-BK9</f>
        <v>1.861351832331927E-2</v>
      </c>
      <c r="BL10" s="133">
        <f t="shared" si="10"/>
        <v>1.9938020199429588E-2</v>
      </c>
      <c r="BM10" s="34">
        <f t="shared" si="10"/>
        <v>1.199477135031953E-2</v>
      </c>
      <c r="BN10" s="34">
        <f t="shared" si="10"/>
        <v>1.4585359643539146E-2</v>
      </c>
      <c r="BO10" s="34">
        <f t="shared" si="10"/>
        <v>1.2133620689655173E-2</v>
      </c>
      <c r="BP10" s="34">
        <f t="shared" si="10"/>
        <v>1.9892963228515824E-2</v>
      </c>
      <c r="BQ10" s="133">
        <f t="shared" si="10"/>
        <v>1.5098638331365606E-2</v>
      </c>
      <c r="BR10" s="34">
        <f t="shared" si="10"/>
        <v>1.6878634561213701E-2</v>
      </c>
      <c r="BS10" s="34">
        <f t="shared" si="10"/>
        <v>1.7664576752718802E-2</v>
      </c>
      <c r="BT10" s="34">
        <f t="shared" si="10"/>
        <v>1.7623542140603916E-2</v>
      </c>
      <c r="BU10" s="34">
        <f t="shared" si="10"/>
        <v>1.7889548243202328E-2</v>
      </c>
      <c r="BV10" s="133">
        <f t="shared" si="10"/>
        <v>1.7574163835707455E-2</v>
      </c>
      <c r="BW10" s="34">
        <f t="shared" si="10"/>
        <v>1.7407895448906016E-2</v>
      </c>
      <c r="BX10" s="34">
        <f t="shared" si="10"/>
        <v>1.8313264825743795E-2</v>
      </c>
      <c r="BY10" s="34">
        <f t="shared" si="10"/>
        <v>1.8223817284632654E-2</v>
      </c>
      <c r="BZ10" s="34">
        <f t="shared" si="10"/>
        <v>1.8488181164945317E-2</v>
      </c>
      <c r="CA10" s="133">
        <f t="shared" si="10"/>
        <v>1.817270903716325E-2</v>
      </c>
      <c r="CB10" s="34">
        <f t="shared" si="10"/>
        <v>1.7504912088314256E-2</v>
      </c>
      <c r="CC10" s="34">
        <f t="shared" si="10"/>
        <v>1.8423434600490486E-2</v>
      </c>
      <c r="CD10" s="34">
        <f t="shared" si="10"/>
        <v>1.8339481151310334E-2</v>
      </c>
      <c r="CE10" s="34">
        <f t="shared" si="10"/>
        <v>1.859734919567145E-2</v>
      </c>
      <c r="CF10" s="133">
        <f t="shared" si="10"/>
        <v>1.8281728090162368E-2</v>
      </c>
      <c r="CG10" s="34">
        <f t="shared" si="10"/>
        <v>1.7601669388168616E-2</v>
      </c>
      <c r="CH10" s="34">
        <f t="shared" si="10"/>
        <v>1.853270894756907E-2</v>
      </c>
      <c r="CI10" s="34">
        <f t="shared" si="10"/>
        <v>1.8453970471055996E-2</v>
      </c>
      <c r="CJ10" s="34">
        <f t="shared" si="10"/>
        <v>1.8705497293661281E-2</v>
      </c>
      <c r="CK10" s="133">
        <f t="shared" si="10"/>
        <v>1.838987057385582E-2</v>
      </c>
      <c r="CL10"/>
      <c r="CM10"/>
    </row>
    <row r="11" spans="1:105" x14ac:dyDescent="0.2">
      <c r="A11" s="129" t="s">
        <v>202</v>
      </c>
      <c r="B11" s="129"/>
      <c r="C11" s="1"/>
      <c r="D11" s="1"/>
      <c r="E11" s="32"/>
      <c r="F11" s="32"/>
      <c r="G11" s="32"/>
      <c r="H11" s="32"/>
      <c r="I11" s="125">
        <v>0.01</v>
      </c>
      <c r="J11" s="128">
        <f t="shared" ref="J11:AC11" si="11">(J18*E$13+J81*E$76+J90*E$83+J99*E$92)/E$6</f>
        <v>1.7344842982586692E-2</v>
      </c>
      <c r="K11" s="128">
        <f t="shared" si="11"/>
        <v>1.7354257516639892E-2</v>
      </c>
      <c r="L11" s="128">
        <f t="shared" si="11"/>
        <v>1.8473286621414498E-2</v>
      </c>
      <c r="M11" s="128">
        <f t="shared" si="11"/>
        <v>2.192336802270577E-2</v>
      </c>
      <c r="N11" s="127">
        <f t="shared" si="11"/>
        <v>2.9102086120044401E-2</v>
      </c>
      <c r="O11" s="126">
        <f t="shared" si="11"/>
        <v>3.0780952380952381E-2</v>
      </c>
      <c r="P11" s="126">
        <f t="shared" si="11"/>
        <v>3.1644634120953467E-2</v>
      </c>
      <c r="Q11" s="126">
        <f t="shared" si="11"/>
        <v>1.2139415986628649E-2</v>
      </c>
      <c r="R11" s="126">
        <f t="shared" si="11"/>
        <v>2.2032237161833793E-2</v>
      </c>
      <c r="S11" s="127">
        <f t="shared" si="11"/>
        <v>2.455591021938491E-2</v>
      </c>
      <c r="T11" s="128">
        <f t="shared" si="11"/>
        <v>1.7730109204368176E-2</v>
      </c>
      <c r="U11" s="128">
        <f t="shared" si="11"/>
        <v>1.80164458656921E-2</v>
      </c>
      <c r="V11" s="128">
        <f t="shared" si="11"/>
        <v>1.827285663464959E-2</v>
      </c>
      <c r="W11" s="128">
        <f t="shared" si="11"/>
        <v>3.3891114777280227E-3</v>
      </c>
      <c r="X11" s="127">
        <f t="shared" si="11"/>
        <v>1.3929620124390188E-2</v>
      </c>
      <c r="Y11" s="128">
        <f t="shared" si="11"/>
        <v>9.5626285852595874E-2</v>
      </c>
      <c r="Z11" s="128">
        <f t="shared" si="11"/>
        <v>0.3396437311178247</v>
      </c>
      <c r="AA11" s="128">
        <f t="shared" si="11"/>
        <v>0.3635489891696751</v>
      </c>
      <c r="AB11" s="126">
        <f t="shared" si="11"/>
        <v>0.32746399939836057</v>
      </c>
      <c r="AC11" s="127">
        <f t="shared" si="11"/>
        <v>0.29705073000613869</v>
      </c>
      <c r="AD11" s="116">
        <f>AD12-SUM(AD8:AD10)</f>
        <v>0.22423142613151154</v>
      </c>
      <c r="AE11" s="116">
        <f>(AE18*Z$13+AE81*Z$76+AE90*Z$83+AE99*Z$92)/Z$6</f>
        <v>5.5694885480710762E-2</v>
      </c>
      <c r="AF11" s="116">
        <v>0.05</v>
      </c>
      <c r="AG11" s="34">
        <f>(AG18*AB$13+AG81*AB$76+AG90*AB$83+AG99*AB$92)/AB$6</f>
        <v>4.1128339300468178E-2</v>
      </c>
      <c r="AH11" s="133">
        <f>(AH18*AC$13+AH81*AC$76+AH90*AC$83+AH99*AC$92)/AC$6</f>
        <v>7.8001690929838483E-2</v>
      </c>
      <c r="AI11" s="34">
        <f>(AI18*AD$13+AI81*AD$76+AI90*AD$83+AI99*AD$92)/AD$6</f>
        <v>7.712993214375471E-3</v>
      </c>
      <c r="AJ11" s="116">
        <v>-0.04</v>
      </c>
      <c r="AK11" s="116">
        <v>-0.05</v>
      </c>
      <c r="AL11" s="116">
        <v>-0.03</v>
      </c>
      <c r="AM11" s="133">
        <v>-0.03</v>
      </c>
      <c r="AN11" s="116">
        <f>AN12-AN10-AN9-AN8</f>
        <v>-2.6689089153524376E-2</v>
      </c>
      <c r="AO11" s="34">
        <f>AO12-AO10-AO9-AO8</f>
        <v>-5.7945072305261927E-3</v>
      </c>
      <c r="AP11" s="34">
        <f>(AP18*AK$13+AP81*AK$76+AP90*AK$83+AP99*AK$92)/AK$6</f>
        <v>-4.9963968292097045E-3</v>
      </c>
      <c r="AQ11" s="34">
        <v>-0.01</v>
      </c>
      <c r="AR11" s="133">
        <f>(AR18*AM$13+AR81*AM$76+AR90*AM$83+AR99*AM$92)/AM$6</f>
        <v>-1.0158492640322482E-2</v>
      </c>
      <c r="AS11" s="34">
        <f>(AS18*AN$13+AS81*AN$76+AS90*AN$83+AS99*AN$92)/AN$6</f>
        <v>-4.3518003338367381E-3</v>
      </c>
      <c r="AT11" s="34">
        <f>(AT18*AO$13+AT81*AO$76+AT90*AO$83+AT99*AO$92)/AO$6</f>
        <v>-2.2240733027905041E-3</v>
      </c>
      <c r="AU11" s="34">
        <f>(AU18*AP$13+AU81*AP$76+AU90*AP$83+AU99*AP$92)/AP$6</f>
        <v>0</v>
      </c>
      <c r="AV11" s="34">
        <f>(AV18*AQ$13+AV81*AQ$76+AV90*AQ$83+AV99*AQ$92)/AQ$6</f>
        <v>-3.5391191967392385E-3</v>
      </c>
      <c r="AW11" s="133">
        <f>(AW18*AR$13+AW81*AR$76+AW90*AR$83+AW99*AR$92)/AR$6</f>
        <v>-1.6785364751938567E-3</v>
      </c>
      <c r="AX11" s="34">
        <f>(AX18*AS$13+AX81*AS$76+AX90*AS$83+AX99*AS$92)/AS$6</f>
        <v>0</v>
      </c>
      <c r="AY11" s="34">
        <f>(AY18*AT$13+AY81*AT$76+AY90*AT$83+AY99*AT$92)/AT$6</f>
        <v>-6.1302829406890023E-3</v>
      </c>
      <c r="AZ11" s="34">
        <f>(AZ25*AU$20+AZ32*AU27+AZ39*AU34+AZ48*AU41+AZ57*AU50+AZ66*AU59)/AU$6</f>
        <v>-4.0678359855964696E-3</v>
      </c>
      <c r="BA11" s="34">
        <f>(BA25*AV$20+BA32*AV27+BA39*AV34+BA48*AV41+BA57*AV50+BA66*AV59)/AV$6</f>
        <v>-2.4547323039903746E-2</v>
      </c>
      <c r="BB11" s="133">
        <f>(BB25*AW$20+BB32*AW27+BB39*AW34+BB48*AW41+BB57*AW50+BB66*AW59)/AW$6</f>
        <v>-1.1457792840754015E-2</v>
      </c>
      <c r="BC11" s="34">
        <f t="shared" ref="BC11:CK11" si="12">(BC25*AX$20+BC32*AX27+BC39*AX34+BC48*AX41+BC57*AX50+BC66*AX59)/AX$6</f>
        <v>-1.9378734550216912E-2</v>
      </c>
      <c r="BD11" s="34">
        <f t="shared" si="12"/>
        <v>-2.6537712742573636E-2</v>
      </c>
      <c r="BE11" s="34">
        <f>(BE25*AZ$20+BE32*AZ27+BE39*AZ34+BE48*AZ41+BE57*AZ50+BE66*AZ59)/AZ$6</f>
        <v>-3.4249892841834551E-2</v>
      </c>
      <c r="BF11" s="34">
        <f>(BF25*BA$20+BF32*BA27+BF39*BA34+BF48*BA41+BF57*BA50+BF66*BA59)/BA$6</f>
        <v>3.9928436911487765E-2</v>
      </c>
      <c r="BG11" s="133">
        <f>(BG25*BB$20+BG32*BB27+BG39*BB34+BG48*BB41+BG57*BB50+BG66*BB59)/BB$6</f>
        <v>-9.1732745496066991E-3</v>
      </c>
      <c r="BH11" s="34">
        <f>(BH25*BC$20+BH32*BC27+BH39*BC34+BH48*BC41+BH57*BC50+BH66*BC59)/BC$6</f>
        <v>2.7980104535491484E-3</v>
      </c>
      <c r="BI11" s="576">
        <f>(BI25*BD$20+BI32*BD27+BI39*BD34+BI48*BD41+BI57*BD50+BI66*BD59)/BD$6</f>
        <v>2.2266969795388114E-3</v>
      </c>
      <c r="BJ11" s="576">
        <f t="shared" si="12"/>
        <v>2.3435452673613278E-3</v>
      </c>
      <c r="BK11" s="34">
        <f t="shared" si="12"/>
        <v>-3.1722264924417119E-2</v>
      </c>
      <c r="BL11" s="133">
        <v>-0.01</v>
      </c>
      <c r="BM11" s="34">
        <f t="shared" si="12"/>
        <v>-2.4151381857415552E-3</v>
      </c>
      <c r="BN11" s="34">
        <f t="shared" si="12"/>
        <v>-3.0591979630808399E-3</v>
      </c>
      <c r="BO11" s="34">
        <f t="shared" si="12"/>
        <v>-2.894704433497537E-3</v>
      </c>
      <c r="BP11" s="34">
        <f t="shared" si="12"/>
        <v>-2.9053569599508345E-3</v>
      </c>
      <c r="BQ11" s="133">
        <f t="shared" si="12"/>
        <v>-2.8476977567886653E-3</v>
      </c>
      <c r="BR11" s="34">
        <f t="shared" si="12"/>
        <v>0</v>
      </c>
      <c r="BS11" s="34">
        <f t="shared" si="12"/>
        <v>0</v>
      </c>
      <c r="BT11" s="34">
        <f t="shared" si="12"/>
        <v>0</v>
      </c>
      <c r="BU11" s="34">
        <f t="shared" si="12"/>
        <v>0</v>
      </c>
      <c r="BV11" s="133">
        <f t="shared" si="12"/>
        <v>0</v>
      </c>
      <c r="BW11" s="34">
        <f t="shared" si="12"/>
        <v>0</v>
      </c>
      <c r="BX11" s="34">
        <f t="shared" si="12"/>
        <v>0</v>
      </c>
      <c r="BY11" s="34">
        <f t="shared" si="12"/>
        <v>0</v>
      </c>
      <c r="BZ11" s="34">
        <f t="shared" si="12"/>
        <v>0</v>
      </c>
      <c r="CA11" s="133">
        <f t="shared" si="12"/>
        <v>0</v>
      </c>
      <c r="CB11" s="34">
        <f t="shared" si="12"/>
        <v>0</v>
      </c>
      <c r="CC11" s="34">
        <f t="shared" si="12"/>
        <v>0</v>
      </c>
      <c r="CD11" s="34">
        <f t="shared" si="12"/>
        <v>0</v>
      </c>
      <c r="CE11" s="34">
        <f t="shared" si="12"/>
        <v>0</v>
      </c>
      <c r="CF11" s="133">
        <f t="shared" si="12"/>
        <v>0</v>
      </c>
      <c r="CG11" s="34">
        <f t="shared" si="12"/>
        <v>0</v>
      </c>
      <c r="CH11" s="34">
        <f t="shared" si="12"/>
        <v>0</v>
      </c>
      <c r="CI11" s="34">
        <f t="shared" si="12"/>
        <v>0</v>
      </c>
      <c r="CJ11" s="34">
        <f t="shared" si="12"/>
        <v>0</v>
      </c>
      <c r="CK11" s="133">
        <f t="shared" si="12"/>
        <v>0</v>
      </c>
      <c r="CL11"/>
      <c r="CM11"/>
    </row>
    <row r="12" spans="1:105" x14ac:dyDescent="0.2">
      <c r="A12" s="135" t="s">
        <v>203</v>
      </c>
      <c r="B12" s="135"/>
      <c r="C12" s="18"/>
      <c r="D12" s="18"/>
      <c r="E12" s="136"/>
      <c r="F12" s="136"/>
      <c r="G12" s="136"/>
      <c r="H12" s="136"/>
      <c r="I12" s="137">
        <f>+'Financial Statements'!M6</f>
        <v>9.8527049656539356E-2</v>
      </c>
      <c r="J12" s="138">
        <f>+J6/E6-1</f>
        <v>9.3912784640571623E-2</v>
      </c>
      <c r="K12" s="138">
        <f>+K6/F6-1</f>
        <v>0.10247876979573101</v>
      </c>
      <c r="L12" s="138">
        <f>+L6/G6-1</f>
        <v>0.11353185898839491</v>
      </c>
      <c r="M12" s="138">
        <f>+M6/H6-1</f>
        <v>0.16802270577105016</v>
      </c>
      <c r="N12" s="137">
        <f>+N6/I6-1</f>
        <v>0.12343114096251817</v>
      </c>
      <c r="O12" s="138">
        <f t="shared" ref="O12:AC12" si="13">+O6/J6-1</f>
        <v>0.13374149659863943</v>
      </c>
      <c r="P12" s="138">
        <f t="shared" si="13"/>
        <v>0.13927344644530026</v>
      </c>
      <c r="Q12" s="138">
        <f t="shared" si="13"/>
        <v>0.1054960180906499</v>
      </c>
      <c r="R12" s="138">
        <f t="shared" si="13"/>
        <v>3.1022193422971078E-2</v>
      </c>
      <c r="S12" s="137">
        <f t="shared" si="13"/>
        <v>9.568323453412364E-2</v>
      </c>
      <c r="T12" s="138">
        <f t="shared" si="13"/>
        <v>-8.4003360134405902E-3</v>
      </c>
      <c r="U12" s="138">
        <f t="shared" si="13"/>
        <v>-3.2252169940612196E-2</v>
      </c>
      <c r="V12" s="138">
        <f t="shared" si="13"/>
        <v>-1.4585556741373185E-2</v>
      </c>
      <c r="W12" s="138">
        <f t="shared" si="13"/>
        <v>4.462251551575136E-2</v>
      </c>
      <c r="X12" s="137">
        <f t="shared" si="13"/>
        <v>-4.3929620124394386E-4</v>
      </c>
      <c r="Y12" s="138">
        <f t="shared" si="13"/>
        <v>0.13372866997458543</v>
      </c>
      <c r="Z12" s="138">
        <f t="shared" si="13"/>
        <v>0.3973753776435045</v>
      </c>
      <c r="AA12" s="138">
        <f t="shared" si="13"/>
        <v>0.40018050541516237</v>
      </c>
      <c r="AB12" s="138">
        <f t="shared" si="13"/>
        <v>0.36534556666917339</v>
      </c>
      <c r="AC12" s="137">
        <f t="shared" si="13"/>
        <v>0.33785159141376764</v>
      </c>
      <c r="AD12" s="139">
        <f t="shared" ref="AD12:BG12" si="14">+AD6/Y6-1</f>
        <v>0.27423142613151152</v>
      </c>
      <c r="AE12" s="139">
        <f t="shared" si="14"/>
        <v>0.13688264306465769</v>
      </c>
      <c r="AF12" s="139">
        <f t="shared" si="14"/>
        <v>0.13329895578187445</v>
      </c>
      <c r="AG12" s="138">
        <f t="shared" si="14"/>
        <v>7.6012117873863971E-2</v>
      </c>
      <c r="AH12" s="137">
        <f t="shared" si="14"/>
        <v>0.13906082506310735</v>
      </c>
      <c r="AI12" s="139">
        <f t="shared" si="14"/>
        <v>4.113261288430925E-2</v>
      </c>
      <c r="AJ12" s="139">
        <f t="shared" si="14"/>
        <v>-2.1929042610090876E-2</v>
      </c>
      <c r="AK12" s="139">
        <f t="shared" si="14"/>
        <v>-5.2895006256398536E-2</v>
      </c>
      <c r="AL12" s="139">
        <f t="shared" si="14"/>
        <v>2.1448681853084128E-2</v>
      </c>
      <c r="AM12" s="137">
        <f t="shared" si="14"/>
        <v>-5.9045855405959191E-3</v>
      </c>
      <c r="AN12" s="139">
        <f t="shared" si="14"/>
        <v>1.231091084647562E-2</v>
      </c>
      <c r="AO12" s="138">
        <f t="shared" si="14"/>
        <v>2.120549276947381E-2</v>
      </c>
      <c r="AP12" s="138">
        <f t="shared" si="14"/>
        <v>1.5433581551765663E-2</v>
      </c>
      <c r="AQ12" s="138">
        <f t="shared" si="14"/>
        <v>8.2189034779993619E-3</v>
      </c>
      <c r="AR12" s="137">
        <f t="shared" si="14"/>
        <v>1.4093324375496152E-2</v>
      </c>
      <c r="AS12" s="138">
        <f t="shared" si="14"/>
        <v>3.338367379381646E-3</v>
      </c>
      <c r="AT12" s="138">
        <f t="shared" si="14"/>
        <v>5.176414589159295E-3</v>
      </c>
      <c r="AU12" s="138">
        <f t="shared" si="14"/>
        <v>1.8274291797267805E-2</v>
      </c>
      <c r="AV12" s="138">
        <f t="shared" si="14"/>
        <v>-8.4501441495178353E-3</v>
      </c>
      <c r="AW12" s="137">
        <f t="shared" si="14"/>
        <v>4.0352330045922979E-3</v>
      </c>
      <c r="AX12" s="138">
        <f t="shared" si="14"/>
        <v>-3.21635110512557E-2</v>
      </c>
      <c r="AY12" s="138">
        <f t="shared" si="14"/>
        <v>-5.7476026991831408E-2</v>
      </c>
      <c r="AZ12" s="138">
        <f>+AZ6/AU6-1</f>
        <v>-5.1515855500058105E-2</v>
      </c>
      <c r="BA12" s="138">
        <f t="shared" si="14"/>
        <v>-6.8327651894926844E-2</v>
      </c>
      <c r="BB12" s="137">
        <f>+BB6/AW6-1</f>
        <v>-5.4391674039860227E-2</v>
      </c>
      <c r="BC12" s="138">
        <f t="shared" si="14"/>
        <v>-2.9057870180895451E-2</v>
      </c>
      <c r="BD12" s="138">
        <f t="shared" si="14"/>
        <v>-3.3159580481065154E-2</v>
      </c>
      <c r="BE12" s="138">
        <f t="shared" si="14"/>
        <v>-1.8614904169983459E-2</v>
      </c>
      <c r="BF12" s="138">
        <f t="shared" si="14"/>
        <v>5.0040355125100966E-2</v>
      </c>
      <c r="BG12" s="137">
        <f t="shared" si="14"/>
        <v>-4.0757421974118024E-3</v>
      </c>
      <c r="BH12" s="138">
        <f>+BH6/BC6-1</f>
        <v>1.5764626538526283E-2</v>
      </c>
      <c r="BI12" s="628">
        <f>+BI6/BD6-1</f>
        <v>2.046118869762914E-2</v>
      </c>
      <c r="BJ12" s="138">
        <f t="shared" ref="BJ12:CK12" si="15">+BJ6/BE6-1</f>
        <v>1.329007300180951E-2</v>
      </c>
      <c r="BK12" s="138">
        <f t="shared" si="15"/>
        <v>5.6366897258519622E-4</v>
      </c>
      <c r="BL12" s="137">
        <f t="shared" si="15"/>
        <v>1.1560693641618602E-2</v>
      </c>
      <c r="BM12" s="138">
        <f t="shared" si="15"/>
        <v>3.7400664567217579E-2</v>
      </c>
      <c r="BN12" s="138">
        <f t="shared" si="15"/>
        <v>3.5030327806614636E-2</v>
      </c>
      <c r="BO12" s="138">
        <f t="shared" si="15"/>
        <v>3.5741072375675254E-2</v>
      </c>
      <c r="BP12" s="138">
        <f t="shared" si="15"/>
        <v>3.8154340983197921E-2</v>
      </c>
      <c r="BQ12" s="137">
        <f t="shared" si="15"/>
        <v>3.6621861229928498E-2</v>
      </c>
      <c r="BR12" s="138">
        <f t="shared" si="15"/>
        <v>2.8992710852965731E-2</v>
      </c>
      <c r="BS12" s="138">
        <f t="shared" si="15"/>
        <v>3.0972215787963941E-2</v>
      </c>
      <c r="BT12" s="138">
        <f t="shared" si="15"/>
        <v>3.0177824368073258E-2</v>
      </c>
      <c r="BU12" s="138">
        <f t="shared" si="15"/>
        <v>3.1314001564767713E-2</v>
      </c>
      <c r="BV12" s="137">
        <f t="shared" si="15"/>
        <v>3.0498774559603481E-2</v>
      </c>
      <c r="BW12" s="138">
        <f t="shared" si="15"/>
        <v>2.8629057120954648E-2</v>
      </c>
      <c r="BX12" s="138">
        <f t="shared" si="15"/>
        <v>3.0142557836388306E-2</v>
      </c>
      <c r="BY12" s="138">
        <f t="shared" si="15"/>
        <v>2.9479363206257991E-2</v>
      </c>
      <c r="BZ12" s="138">
        <f t="shared" si="15"/>
        <v>3.057868465192648E-2</v>
      </c>
      <c r="CA12" s="137">
        <f t="shared" si="15"/>
        <v>2.9820702999743043E-2</v>
      </c>
      <c r="CB12" s="138">
        <f t="shared" si="15"/>
        <v>2.8859542320265552E-2</v>
      </c>
      <c r="CC12" s="138">
        <f t="shared" si="15"/>
        <v>3.0401934124465901E-2</v>
      </c>
      <c r="CD12" s="138">
        <f t="shared" si="15"/>
        <v>2.9758389121312456E-2</v>
      </c>
      <c r="CE12" s="138">
        <f t="shared" si="15"/>
        <v>3.0833146461193062E-2</v>
      </c>
      <c r="CF12" s="137">
        <f t="shared" si="15"/>
        <v>3.0078597369138205E-2</v>
      </c>
      <c r="CG12" s="138">
        <f t="shared" si="15"/>
        <v>2.9089633951339344E-2</v>
      </c>
      <c r="CH12" s="138">
        <f t="shared" si="15"/>
        <v>3.0659813233825162E-2</v>
      </c>
      <c r="CI12" s="138">
        <f t="shared" si="15"/>
        <v>3.0035133316167029E-2</v>
      </c>
      <c r="CJ12" s="138">
        <f t="shared" si="15"/>
        <v>3.1085845231110021E-2</v>
      </c>
      <c r="CK12" s="137">
        <f t="shared" si="15"/>
        <v>3.0334931877431082E-2</v>
      </c>
      <c r="CL12"/>
      <c r="CM12"/>
    </row>
    <row r="13" spans="1:105" hidden="1" outlineLevel="1" x14ac:dyDescent="0.2">
      <c r="A13" s="22" t="s">
        <v>67</v>
      </c>
      <c r="B13" s="22"/>
      <c r="C13" s="1"/>
      <c r="D13" s="1"/>
      <c r="E13" s="64">
        <f t="shared" ref="E13:AJ13" si="16">+E20+E27+E69</f>
        <v>3415</v>
      </c>
      <c r="F13" s="64">
        <f t="shared" si="16"/>
        <v>3819.5</v>
      </c>
      <c r="G13" s="64">
        <f t="shared" si="16"/>
        <v>4064.5</v>
      </c>
      <c r="H13" s="64">
        <f t="shared" si="16"/>
        <v>5286</v>
      </c>
      <c r="I13" s="140">
        <f t="shared" si="16"/>
        <v>16585</v>
      </c>
      <c r="J13" s="64">
        <f t="shared" si="16"/>
        <v>3726</v>
      </c>
      <c r="K13" s="64">
        <f t="shared" si="16"/>
        <v>4192</v>
      </c>
      <c r="L13" s="64">
        <f t="shared" si="16"/>
        <v>4463</v>
      </c>
      <c r="M13" s="64">
        <f t="shared" si="16"/>
        <v>5937</v>
      </c>
      <c r="N13" s="140">
        <f t="shared" si="16"/>
        <v>18318</v>
      </c>
      <c r="O13" s="141">
        <f t="shared" si="16"/>
        <v>4196</v>
      </c>
      <c r="P13" s="141">
        <f t="shared" si="16"/>
        <v>4879</v>
      </c>
      <c r="Q13" s="141">
        <f t="shared" si="16"/>
        <v>4992</v>
      </c>
      <c r="R13" s="141">
        <f t="shared" si="16"/>
        <v>6237</v>
      </c>
      <c r="S13" s="140">
        <f t="shared" si="16"/>
        <v>20304</v>
      </c>
      <c r="T13" s="64">
        <f t="shared" si="16"/>
        <v>4352</v>
      </c>
      <c r="U13" s="64">
        <f t="shared" si="16"/>
        <v>4912</v>
      </c>
      <c r="V13" s="64">
        <f t="shared" si="16"/>
        <v>5012</v>
      </c>
      <c r="W13" s="64">
        <f t="shared" si="16"/>
        <v>6535</v>
      </c>
      <c r="X13" s="140">
        <f t="shared" si="16"/>
        <v>20811</v>
      </c>
      <c r="Y13" s="64">
        <f t="shared" si="16"/>
        <v>4530</v>
      </c>
      <c r="Z13" s="64">
        <f t="shared" si="16"/>
        <v>5112</v>
      </c>
      <c r="AA13" s="64">
        <f t="shared" si="16"/>
        <v>5193</v>
      </c>
      <c r="AB13" s="64">
        <f t="shared" si="16"/>
        <v>6709</v>
      </c>
      <c r="AC13" s="140">
        <f t="shared" si="16"/>
        <v>21544</v>
      </c>
      <c r="AD13" s="142">
        <f t="shared" si="16"/>
        <v>4652</v>
      </c>
      <c r="AE13" s="142">
        <f t="shared" si="16"/>
        <v>5481</v>
      </c>
      <c r="AF13" s="142">
        <f t="shared" si="16"/>
        <v>5628</v>
      </c>
      <c r="AG13" s="64">
        <f t="shared" si="16"/>
        <v>7071</v>
      </c>
      <c r="AH13" s="140">
        <f t="shared" si="16"/>
        <v>22832</v>
      </c>
      <c r="AI13" s="142">
        <f t="shared" si="16"/>
        <v>4868</v>
      </c>
      <c r="AJ13" s="142">
        <f t="shared" si="16"/>
        <v>5724</v>
      </c>
      <c r="AK13" s="142">
        <f t="shared" ref="AK13:AY13" si="17">+AK20+AK27+AK69</f>
        <v>5767</v>
      </c>
      <c r="AL13" s="142">
        <f t="shared" si="17"/>
        <v>7631</v>
      </c>
      <c r="AM13" s="140">
        <f t="shared" si="17"/>
        <v>23990</v>
      </c>
      <c r="AN13" s="142">
        <f t="shared" si="17"/>
        <v>5124</v>
      </c>
      <c r="AO13" s="64">
        <f t="shared" si="17"/>
        <v>6025</v>
      </c>
      <c r="AP13" s="64">
        <f t="shared" si="17"/>
        <v>6077</v>
      </c>
      <c r="AQ13" s="64">
        <f t="shared" si="17"/>
        <v>7862</v>
      </c>
      <c r="AR13" s="140">
        <f t="shared" si="17"/>
        <v>25088</v>
      </c>
      <c r="AS13" s="64">
        <f t="shared" si="17"/>
        <v>5191</v>
      </c>
      <c r="AT13" s="64">
        <f t="shared" si="17"/>
        <v>6073</v>
      </c>
      <c r="AU13" s="64">
        <f t="shared" si="17"/>
        <v>6290</v>
      </c>
      <c r="AV13" s="64">
        <f t="shared" si="17"/>
        <v>7958</v>
      </c>
      <c r="AW13" s="140">
        <f t="shared" si="17"/>
        <v>25512</v>
      </c>
      <c r="AX13" s="64">
        <f t="shared" si="17"/>
        <v>5237</v>
      </c>
      <c r="AY13" s="64">
        <f t="shared" si="17"/>
        <v>5998</v>
      </c>
      <c r="AZ13" s="64"/>
      <c r="BA13" s="64"/>
      <c r="BB13" s="140"/>
      <c r="BC13" s="64"/>
      <c r="BD13" s="64"/>
      <c r="BE13" s="64"/>
      <c r="BF13" s="64"/>
      <c r="BG13" s="140"/>
      <c r="BH13" s="64"/>
      <c r="BI13" s="64"/>
      <c r="BJ13" s="64"/>
      <c r="BK13" s="64"/>
      <c r="BL13" s="140"/>
      <c r="BM13" s="64"/>
      <c r="BN13" s="64"/>
      <c r="BO13" s="64"/>
      <c r="BP13" s="64"/>
      <c r="BQ13" s="140"/>
      <c r="BR13" s="64"/>
      <c r="BS13" s="64"/>
      <c r="BT13" s="64"/>
      <c r="BU13" s="64"/>
      <c r="BV13" s="140"/>
      <c r="BW13" s="64"/>
      <c r="BX13" s="64"/>
      <c r="BY13" s="64"/>
      <c r="BZ13" s="64"/>
      <c r="CA13" s="140"/>
      <c r="CB13" s="64"/>
      <c r="CC13" s="64"/>
      <c r="CD13" s="64"/>
      <c r="CE13" s="64"/>
      <c r="CF13" s="140"/>
      <c r="CG13" s="64"/>
      <c r="CH13" s="64"/>
      <c r="CI13" s="64"/>
      <c r="CJ13" s="64"/>
      <c r="CK13" s="140"/>
      <c r="CL13"/>
      <c r="CM13"/>
      <c r="CN13" s="27"/>
      <c r="CO13" s="27"/>
      <c r="CP13" s="27"/>
      <c r="CQ13" s="27"/>
      <c r="CR13" s="27"/>
      <c r="CS13" s="27"/>
      <c r="CT13" s="27"/>
      <c r="CU13" s="27"/>
      <c r="CV13" s="27"/>
      <c r="CW13" s="27"/>
      <c r="CX13" s="27"/>
      <c r="CY13" s="27"/>
      <c r="CZ13" s="27"/>
      <c r="DA13" s="27"/>
    </row>
    <row r="14" spans="1:105" hidden="1" outlineLevel="1" x14ac:dyDescent="0.2">
      <c r="A14" s="129" t="s">
        <v>200</v>
      </c>
      <c r="B14" s="129"/>
      <c r="E14" s="32"/>
      <c r="F14" s="32"/>
      <c r="G14" s="32"/>
      <c r="H14" s="32"/>
      <c r="I14" s="125"/>
      <c r="J14" s="132">
        <f t="shared" ref="J14:Q14" si="18">(E$20*J21+E$27*J28+E$69*J70)/E$13</f>
        <v>6.9536456808199129E-2</v>
      </c>
      <c r="K14" s="132">
        <f t="shared" si="18"/>
        <v>6.828210498756386E-2</v>
      </c>
      <c r="L14" s="132">
        <f t="shared" si="18"/>
        <v>6.6157337925944082E-2</v>
      </c>
      <c r="M14" s="132">
        <f t="shared" si="18"/>
        <v>8.7285092697691982E-2</v>
      </c>
      <c r="N14" s="131">
        <f t="shared" si="18"/>
        <v>7.398492613807657E-2</v>
      </c>
      <c r="O14" s="143">
        <f t="shared" si="18"/>
        <v>7.8464841653247436E-2</v>
      </c>
      <c r="P14" s="143">
        <f t="shared" si="18"/>
        <v>7.5026240458015273E-2</v>
      </c>
      <c r="Q14" s="143">
        <f t="shared" si="18"/>
        <v>8.1156172977817659E-2</v>
      </c>
      <c r="R14" s="117">
        <f>5%+5%</f>
        <v>0.1</v>
      </c>
      <c r="S14" s="131">
        <f>(N$20*S21+N$27*S28+N$69*S70)/N$13</f>
        <v>8.4808385194890257E-2</v>
      </c>
      <c r="T14" s="32">
        <v>0.1</v>
      </c>
      <c r="U14" s="32">
        <v>0.09</v>
      </c>
      <c r="V14" s="32">
        <v>7.0000000000000007E-2</v>
      </c>
      <c r="W14" s="32">
        <v>0.04</v>
      </c>
      <c r="X14" s="125">
        <v>7.0000000000000007E-2</v>
      </c>
      <c r="Y14" s="32">
        <v>0.02</v>
      </c>
      <c r="Z14" s="32">
        <v>0.02</v>
      </c>
      <c r="AA14" s="32">
        <v>0.04</v>
      </c>
      <c r="AB14" s="39">
        <v>0.03</v>
      </c>
      <c r="AC14" s="125">
        <v>0.03</v>
      </c>
      <c r="AD14" s="43">
        <v>0.01</v>
      </c>
      <c r="AE14" s="43">
        <v>0.05</v>
      </c>
      <c r="AF14" s="43">
        <v>0.06</v>
      </c>
      <c r="AG14" s="32">
        <f t="shared" ref="AG14:AP14" si="19">+AG16+AG17</f>
        <v>7.0719928454315101E-2</v>
      </c>
      <c r="AH14" s="125">
        <f t="shared" si="19"/>
        <v>4.9190958039361299E-2</v>
      </c>
      <c r="AI14" s="43">
        <f t="shared" si="19"/>
        <v>5.6049011177987967E-2</v>
      </c>
      <c r="AJ14" s="43">
        <f t="shared" si="19"/>
        <v>6.631819011129364E-2</v>
      </c>
      <c r="AK14" s="43">
        <f t="shared" si="19"/>
        <v>6.0680525941719993E-2</v>
      </c>
      <c r="AL14" s="43">
        <f t="shared" si="19"/>
        <v>0.08</v>
      </c>
      <c r="AM14" s="125">
        <f t="shared" si="19"/>
        <v>7.0000000000000007E-2</v>
      </c>
      <c r="AN14" s="43">
        <f t="shared" si="19"/>
        <v>0.06</v>
      </c>
      <c r="AO14" s="32">
        <f t="shared" si="19"/>
        <v>0.06</v>
      </c>
      <c r="AP14" s="32">
        <f t="shared" si="19"/>
        <v>7.0000000000000007E-2</v>
      </c>
      <c r="AQ14" s="32">
        <v>7.0000000000000007E-2</v>
      </c>
      <c r="AR14" s="125">
        <f>+AR16+AR17</f>
        <v>7.0000000000000007E-2</v>
      </c>
      <c r="AS14" s="32">
        <v>0.05</v>
      </c>
      <c r="AT14" s="292">
        <v>0.04</v>
      </c>
      <c r="AU14" s="39">
        <f>+AU16+AU17</f>
        <v>4.5260819483297673E-2</v>
      </c>
      <c r="AV14" s="32">
        <f>+AV16+AV17</f>
        <v>5.732065632154669E-2</v>
      </c>
      <c r="AW14" s="125">
        <f>+AW16+AW17</f>
        <v>4.9133450255102046E-2</v>
      </c>
      <c r="AX14" s="32">
        <f>+AX16+AX17</f>
        <v>7.3642843382777892E-2</v>
      </c>
      <c r="AY14" s="32">
        <f>+AY16+AY17</f>
        <v>9.5703935452000677E-2</v>
      </c>
      <c r="AZ14" s="32"/>
      <c r="BA14" s="32"/>
      <c r="BB14" s="125"/>
      <c r="BC14" s="32"/>
      <c r="BD14" s="32"/>
      <c r="BE14" s="32"/>
      <c r="BF14" s="32"/>
      <c r="BG14" s="125"/>
      <c r="BH14" s="32"/>
      <c r="BI14" s="24"/>
      <c r="BJ14" s="32"/>
      <c r="BK14" s="32"/>
      <c r="BL14" s="125"/>
      <c r="BM14" s="32"/>
      <c r="BN14" s="32"/>
      <c r="BO14" s="32"/>
      <c r="BP14" s="32"/>
      <c r="BQ14" s="125"/>
      <c r="BR14" s="32"/>
      <c r="BS14" s="32"/>
      <c r="BT14" s="32"/>
      <c r="BU14" s="32"/>
      <c r="BV14" s="125"/>
      <c r="BW14" s="32"/>
      <c r="BX14" s="32"/>
      <c r="BY14" s="32"/>
      <c r="BZ14" s="32"/>
      <c r="CA14" s="125"/>
      <c r="CB14" s="32"/>
      <c r="CC14" s="32"/>
      <c r="CD14" s="32"/>
      <c r="CE14" s="32"/>
      <c r="CF14" s="125"/>
      <c r="CG14" s="32"/>
      <c r="CH14" s="32"/>
      <c r="CI14" s="32"/>
      <c r="CJ14" s="32"/>
      <c r="CK14" s="125"/>
      <c r="CL14"/>
      <c r="CM14"/>
    </row>
    <row r="15" spans="1:105" hidden="1" outlineLevel="1" x14ac:dyDescent="0.2">
      <c r="A15" s="129" t="s">
        <v>201</v>
      </c>
      <c r="B15" s="129"/>
      <c r="E15" s="32"/>
      <c r="F15" s="32"/>
      <c r="G15" s="32"/>
      <c r="H15" s="32"/>
      <c r="I15" s="125"/>
      <c r="J15" s="132">
        <f t="shared" ref="J15:Q15" si="20">J19-J14-J18</f>
        <v>2.8822840409955322E-3</v>
      </c>
      <c r="K15" s="132">
        <f t="shared" si="20"/>
        <v>3.9145176070166481E-3</v>
      </c>
      <c r="L15" s="132">
        <f t="shared" si="20"/>
        <v>4.2682986837250178E-3</v>
      </c>
      <c r="M15" s="132">
        <f t="shared" si="20"/>
        <v>4.8015512674989894E-3</v>
      </c>
      <c r="N15" s="131">
        <f t="shared" si="20"/>
        <v>4.1627977087730118E-3</v>
      </c>
      <c r="O15" s="143">
        <f t="shared" si="20"/>
        <v>9.5652173913042537E-3</v>
      </c>
      <c r="P15" s="143">
        <f t="shared" si="20"/>
        <v>2.9656488549618214E-2</v>
      </c>
      <c r="Q15" s="143">
        <f t="shared" si="20"/>
        <v>2.6152812009858764E-2</v>
      </c>
      <c r="R15" s="143">
        <f t="shared" ref="R15:AC15" si="21">+R19-R14</f>
        <v>-4.9469429004547788E-2</v>
      </c>
      <c r="S15" s="131">
        <f>S19-S14-S18</f>
        <v>-3.275466754012954E-4</v>
      </c>
      <c r="T15" s="132">
        <f t="shared" si="21"/>
        <v>-6.2821734985700678E-2</v>
      </c>
      <c r="U15" s="132">
        <f t="shared" si="21"/>
        <v>-8.3236318917811053E-2</v>
      </c>
      <c r="V15" s="132">
        <f t="shared" si="21"/>
        <v>-6.5993589743589653E-2</v>
      </c>
      <c r="W15" s="132">
        <f t="shared" si="21"/>
        <v>7.7793811127145132E-3</v>
      </c>
      <c r="X15" s="131">
        <f t="shared" si="21"/>
        <v>-4.5029550827423159E-2</v>
      </c>
      <c r="Y15" s="132">
        <f t="shared" si="21"/>
        <v>2.0900735294117751E-2</v>
      </c>
      <c r="Z15" s="132">
        <f t="shared" si="21"/>
        <v>2.0716612377850181E-2</v>
      </c>
      <c r="AA15" s="132">
        <f t="shared" si="21"/>
        <v>-3.8866719872305486E-3</v>
      </c>
      <c r="AB15" s="143">
        <f t="shared" si="21"/>
        <v>-3.3741392501913381E-3</v>
      </c>
      <c r="AC15" s="131">
        <f t="shared" si="21"/>
        <v>5.2217577242803792E-3</v>
      </c>
      <c r="AD15" s="43">
        <f>AD19-SUM(AD16:AD18)</f>
        <v>1.6931567328918325E-2</v>
      </c>
      <c r="AE15" s="43">
        <v>0.02</v>
      </c>
      <c r="AF15" s="43">
        <v>0.03</v>
      </c>
      <c r="AG15" s="32">
        <f t="shared" ref="AG15:AH18" si="22">(AB$20*AG22+AB$27*AG29+AB$69*AG71)/AB$13</f>
        <v>-2.0140110299597558E-2</v>
      </c>
      <c r="AH15" s="125">
        <f t="shared" ca="1" si="22"/>
        <v>1.0333271444485686E-2</v>
      </c>
      <c r="AI15" s="43">
        <v>-1.4999999999999999E-2</v>
      </c>
      <c r="AJ15" s="43">
        <v>-0.03</v>
      </c>
      <c r="AK15" s="43">
        <v>-0.04</v>
      </c>
      <c r="AL15" s="43">
        <v>-6.0000000000000001E-3</v>
      </c>
      <c r="AM15" s="125">
        <v>-0.02</v>
      </c>
      <c r="AN15" s="43">
        <v>-0.01</v>
      </c>
      <c r="AO15" s="32">
        <v>-0.01</v>
      </c>
      <c r="AP15" s="32">
        <v>-0.02</v>
      </c>
      <c r="AQ15" s="32">
        <v>-3.5000000000000003E-2</v>
      </c>
      <c r="AR15" s="125">
        <v>-0.02</v>
      </c>
      <c r="AS15" s="39">
        <v>-0.04</v>
      </c>
      <c r="AT15" s="39">
        <v>-0.03</v>
      </c>
      <c r="AU15" s="39">
        <f t="shared" ref="AU15:AY18" si="23">(AP$20*AU22+AP$27*AU29+AP$69*AU71)/AP$13</f>
        <v>-1.0612144150074049E-2</v>
      </c>
      <c r="AV15" s="32">
        <f t="shared" si="23"/>
        <v>-4.5843296871025188E-2</v>
      </c>
      <c r="AW15" s="125">
        <f t="shared" si="23"/>
        <v>-3.3177614795918367E-2</v>
      </c>
      <c r="AX15" s="32">
        <f t="shared" si="23"/>
        <v>-6.4128298979002116E-2</v>
      </c>
      <c r="AY15" s="32">
        <f t="shared" si="23"/>
        <v>-0.10783632471595586</v>
      </c>
      <c r="AZ15" s="32"/>
      <c r="BA15" s="32"/>
      <c r="BB15" s="125"/>
      <c r="BC15" s="32"/>
      <c r="BD15" s="32"/>
      <c r="BE15" s="32"/>
      <c r="BF15" s="32"/>
      <c r="BG15" s="125"/>
      <c r="BH15" s="32"/>
      <c r="BI15" s="24"/>
      <c r="BJ15" s="32"/>
      <c r="BK15" s="32"/>
      <c r="BL15" s="125"/>
      <c r="BM15" s="32"/>
      <c r="BN15" s="32"/>
      <c r="BO15" s="32"/>
      <c r="BP15" s="32"/>
      <c r="BQ15" s="125"/>
      <c r="BR15" s="32"/>
      <c r="BS15" s="32"/>
      <c r="BT15" s="32"/>
      <c r="BU15" s="32"/>
      <c r="BV15" s="125"/>
      <c r="BW15" s="32"/>
      <c r="BX15" s="32"/>
      <c r="BY15" s="32"/>
      <c r="BZ15" s="32"/>
      <c r="CA15" s="125"/>
      <c r="CB15" s="32"/>
      <c r="CC15" s="32"/>
      <c r="CD15" s="32"/>
      <c r="CE15" s="32"/>
      <c r="CF15" s="125"/>
      <c r="CG15" s="32"/>
      <c r="CH15" s="32"/>
      <c r="CI15" s="32"/>
      <c r="CJ15" s="32"/>
      <c r="CK15" s="125"/>
      <c r="CL15"/>
      <c r="CM15"/>
    </row>
    <row r="16" spans="1:105" hidden="1" outlineLevel="1" x14ac:dyDescent="0.2">
      <c r="A16" s="129" t="s">
        <v>34</v>
      </c>
      <c r="B16" s="129"/>
      <c r="E16" s="32"/>
      <c r="F16" s="32"/>
      <c r="G16" s="32"/>
      <c r="H16" s="32"/>
      <c r="I16" s="125"/>
      <c r="J16" s="39">
        <f t="shared" ref="J16:S16" si="24">(E$20*J23+E$27*J30+E$69*J72)/E$13</f>
        <v>5.1357247437774527E-2</v>
      </c>
      <c r="K16" s="39">
        <f t="shared" si="24"/>
        <v>3.3489985600209451E-2</v>
      </c>
      <c r="L16" s="39">
        <f t="shared" si="24"/>
        <v>2.3576085619387382E-2</v>
      </c>
      <c r="M16" s="39">
        <f t="shared" si="24"/>
        <v>3.5648883844116533E-2</v>
      </c>
      <c r="N16" s="131">
        <f t="shared" si="24"/>
        <v>3.4920711486282785E-2</v>
      </c>
      <c r="O16" s="143">
        <f t="shared" si="24"/>
        <v>2.2278582930756845E-2</v>
      </c>
      <c r="P16" s="143">
        <f t="shared" si="24"/>
        <v>1.2278148854961831E-2</v>
      </c>
      <c r="Q16" s="143">
        <f t="shared" si="24"/>
        <v>1.1225632982298898E-3</v>
      </c>
      <c r="R16" s="143">
        <f t="shared" si="24"/>
        <v>-2.8280276233788111E-3</v>
      </c>
      <c r="S16" s="131">
        <f t="shared" si="24"/>
        <v>4.8018342613822471E-3</v>
      </c>
      <c r="T16" s="32">
        <v>-0.02</v>
      </c>
      <c r="U16" s="32">
        <v>0.01</v>
      </c>
      <c r="V16" s="32">
        <v>0.02</v>
      </c>
      <c r="W16" s="32">
        <v>0</v>
      </c>
      <c r="X16" s="125">
        <v>0</v>
      </c>
      <c r="Y16" s="32">
        <v>0.01</v>
      </c>
      <c r="Z16" s="32">
        <v>-0.01</v>
      </c>
      <c r="AA16" s="32">
        <v>0</v>
      </c>
      <c r="AB16" s="39">
        <v>0.02</v>
      </c>
      <c r="AC16" s="125">
        <v>5.0000000000000001E-3</v>
      </c>
      <c r="AD16" s="43">
        <v>0</v>
      </c>
      <c r="AE16" s="43">
        <v>0.02</v>
      </c>
      <c r="AF16" s="43">
        <v>0.01</v>
      </c>
      <c r="AG16" s="32">
        <f t="shared" si="22"/>
        <v>1.500819794306156E-2</v>
      </c>
      <c r="AH16" s="125">
        <f t="shared" si="22"/>
        <v>1.4180978462681024E-2</v>
      </c>
      <c r="AI16" s="43">
        <f t="shared" ref="AI16:AK17" si="25">(AD$20*AI23+AD$27*AI30+AD$69*AI72)/AD$13</f>
        <v>-8.6457437661220972E-3</v>
      </c>
      <c r="AJ16" s="43">
        <f t="shared" si="25"/>
        <v>7.9857690202518004E-3</v>
      </c>
      <c r="AK16" s="43">
        <f t="shared" si="25"/>
        <v>2.1824804548685139E-2</v>
      </c>
      <c r="AL16" s="43">
        <v>0.05</v>
      </c>
      <c r="AM16" s="125">
        <v>0.02</v>
      </c>
      <c r="AN16" s="43">
        <v>0.03</v>
      </c>
      <c r="AO16" s="32">
        <v>1.4999999999999999E-2</v>
      </c>
      <c r="AP16" s="32">
        <v>2.5000000000000001E-2</v>
      </c>
      <c r="AQ16" s="32">
        <v>0.03</v>
      </c>
      <c r="AR16" s="125">
        <v>0.03</v>
      </c>
      <c r="AS16" s="32">
        <v>0.01</v>
      </c>
      <c r="AT16" s="39">
        <f>(AO$20*AT23+AO$27*AT30+AO$69*AT72)/AO$13</f>
        <v>6.8016597510373459E-3</v>
      </c>
      <c r="AU16" s="39">
        <f t="shared" si="23"/>
        <v>-1.423399703801221E-4</v>
      </c>
      <c r="AV16" s="32">
        <f t="shared" si="23"/>
        <v>3.6352073263800559E-3</v>
      </c>
      <c r="AW16" s="125">
        <f t="shared" si="23"/>
        <v>4.6045918367346936E-3</v>
      </c>
      <c r="AX16" s="32">
        <f t="shared" si="23"/>
        <v>2.1046041225197456E-2</v>
      </c>
      <c r="AY16" s="32">
        <f t="shared" si="23"/>
        <v>9.5537625555738512E-3</v>
      </c>
      <c r="AZ16" s="32"/>
      <c r="BA16" s="32"/>
      <c r="BB16" s="125"/>
      <c r="BC16" s="32"/>
      <c r="BD16" s="32"/>
      <c r="BE16" s="32"/>
      <c r="BF16" s="32"/>
      <c r="BG16" s="125"/>
      <c r="BH16" s="32"/>
      <c r="BI16" s="24"/>
      <c r="BJ16" s="32"/>
      <c r="BK16" s="32"/>
      <c r="BL16" s="125"/>
      <c r="BM16" s="32"/>
      <c r="BN16" s="32"/>
      <c r="BO16" s="32"/>
      <c r="BP16" s="32"/>
      <c r="BQ16" s="125"/>
      <c r="BR16" s="32"/>
      <c r="BS16" s="32"/>
      <c r="BT16" s="32"/>
      <c r="BU16" s="32"/>
      <c r="BV16" s="125"/>
      <c r="BW16" s="32"/>
      <c r="BX16" s="32"/>
      <c r="BY16" s="32"/>
      <c r="BZ16" s="32"/>
      <c r="CA16" s="125"/>
      <c r="CB16" s="32"/>
      <c r="CC16" s="32"/>
      <c r="CD16" s="32"/>
      <c r="CE16" s="32"/>
      <c r="CF16" s="125"/>
      <c r="CG16" s="32"/>
      <c r="CH16" s="32"/>
      <c r="CI16" s="32"/>
      <c r="CJ16" s="32"/>
      <c r="CK16" s="125"/>
      <c r="CL16"/>
      <c r="CM16"/>
    </row>
    <row r="17" spans="1:105" hidden="1" outlineLevel="1" x14ac:dyDescent="0.2">
      <c r="A17" s="129" t="s">
        <v>6</v>
      </c>
      <c r="B17" s="129"/>
      <c r="E17" s="32"/>
      <c r="F17" s="32"/>
      <c r="G17" s="32"/>
      <c r="H17" s="32"/>
      <c r="I17" s="125"/>
      <c r="J17" s="143">
        <f t="shared" ref="J17:AC17" si="26">+J14-J16</f>
        <v>1.8179209370424602E-2</v>
      </c>
      <c r="K17" s="143">
        <f t="shared" si="26"/>
        <v>3.4792119387354409E-2</v>
      </c>
      <c r="L17" s="143">
        <f t="shared" si="26"/>
        <v>4.2581252306556697E-2</v>
      </c>
      <c r="M17" s="143">
        <f t="shared" si="26"/>
        <v>5.1636208853575449E-2</v>
      </c>
      <c r="N17" s="131">
        <f>+N14-N16</f>
        <v>3.9064214651793785E-2</v>
      </c>
      <c r="O17" s="143">
        <f t="shared" si="26"/>
        <v>5.6186258722490591E-2</v>
      </c>
      <c r="P17" s="143">
        <f t="shared" si="26"/>
        <v>6.2748091603053446E-2</v>
      </c>
      <c r="Q17" s="143">
        <f t="shared" si="26"/>
        <v>8.0033609679587767E-2</v>
      </c>
      <c r="R17" s="143">
        <f t="shared" si="26"/>
        <v>0.10282802762337882</v>
      </c>
      <c r="S17" s="131">
        <f t="shared" si="26"/>
        <v>8.0006550933508003E-2</v>
      </c>
      <c r="T17" s="143">
        <f t="shared" si="26"/>
        <v>0.12000000000000001</v>
      </c>
      <c r="U17" s="143">
        <f t="shared" si="26"/>
        <v>0.08</v>
      </c>
      <c r="V17" s="143">
        <f t="shared" si="26"/>
        <v>0.05</v>
      </c>
      <c r="W17" s="143">
        <f t="shared" si="26"/>
        <v>0.04</v>
      </c>
      <c r="X17" s="131">
        <f t="shared" si="26"/>
        <v>7.0000000000000007E-2</v>
      </c>
      <c r="Y17" s="143">
        <f t="shared" si="26"/>
        <v>0.01</v>
      </c>
      <c r="Z17" s="143">
        <f t="shared" si="26"/>
        <v>0.03</v>
      </c>
      <c r="AA17" s="143">
        <f t="shared" si="26"/>
        <v>0.04</v>
      </c>
      <c r="AB17" s="143">
        <f t="shared" si="26"/>
        <v>9.9999999999999985E-3</v>
      </c>
      <c r="AC17" s="131">
        <f t="shared" si="26"/>
        <v>2.4999999999999998E-2</v>
      </c>
      <c r="AD17" s="43">
        <f>AD14-AD16</f>
        <v>0.01</v>
      </c>
      <c r="AE17" s="43">
        <f>AE14-AE16</f>
        <v>3.0000000000000002E-2</v>
      </c>
      <c r="AF17" s="43">
        <f>(AA$20*AF24+AA$27*AF31+AA$69*AF73)/AA$13</f>
        <v>4.3351627190448681E-2</v>
      </c>
      <c r="AG17" s="32">
        <f t="shared" si="22"/>
        <v>5.571173051125354E-2</v>
      </c>
      <c r="AH17" s="125">
        <f t="shared" si="22"/>
        <v>3.5009979576680277E-2</v>
      </c>
      <c r="AI17" s="43">
        <f t="shared" si="25"/>
        <v>6.4694754944110061E-2</v>
      </c>
      <c r="AJ17" s="43">
        <f t="shared" si="25"/>
        <v>5.8332421091041836E-2</v>
      </c>
      <c r="AK17" s="43">
        <f t="shared" si="25"/>
        <v>3.8855721393034851E-2</v>
      </c>
      <c r="AL17" s="43">
        <v>0.03</v>
      </c>
      <c r="AM17" s="125">
        <v>0.05</v>
      </c>
      <c r="AN17" s="43">
        <v>0.03</v>
      </c>
      <c r="AO17" s="32">
        <v>4.4999999999999998E-2</v>
      </c>
      <c r="AP17" s="32">
        <v>4.4999999999999998E-2</v>
      </c>
      <c r="AQ17" s="32">
        <v>0.04</v>
      </c>
      <c r="AR17" s="125">
        <v>0.04</v>
      </c>
      <c r="AS17" s="32">
        <f>+AS14-AS16</f>
        <v>0.04</v>
      </c>
      <c r="AT17" s="39">
        <f>+AT14-AT16</f>
        <v>3.3198340248962656E-2</v>
      </c>
      <c r="AU17" s="39">
        <f t="shared" si="23"/>
        <v>4.5403159453677795E-2</v>
      </c>
      <c r="AV17" s="32">
        <f t="shared" si="23"/>
        <v>5.3685448995166633E-2</v>
      </c>
      <c r="AW17" s="125">
        <f t="shared" si="23"/>
        <v>4.4528858418367352E-2</v>
      </c>
      <c r="AX17" s="32">
        <f t="shared" si="23"/>
        <v>5.2596802157580433E-2</v>
      </c>
      <c r="AY17" s="32">
        <f t="shared" si="23"/>
        <v>8.6150172896426819E-2</v>
      </c>
      <c r="AZ17" s="32"/>
      <c r="BA17" s="32"/>
      <c r="BB17" s="125"/>
      <c r="BC17" s="32"/>
      <c r="BD17" s="32"/>
      <c r="BE17" s="32"/>
      <c r="BF17" s="32"/>
      <c r="BG17" s="125"/>
      <c r="BH17" s="32"/>
      <c r="BI17" s="24"/>
      <c r="BJ17" s="32"/>
      <c r="BK17" s="32"/>
      <c r="BL17" s="125"/>
      <c r="BM17" s="32"/>
      <c r="BN17" s="32"/>
      <c r="BO17" s="32"/>
      <c r="BP17" s="32"/>
      <c r="BQ17" s="125"/>
      <c r="BR17" s="32"/>
      <c r="BS17" s="32"/>
      <c r="BT17" s="32"/>
      <c r="BU17" s="32"/>
      <c r="BV17" s="125"/>
      <c r="BW17" s="32"/>
      <c r="BX17" s="32"/>
      <c r="BY17" s="32"/>
      <c r="BZ17" s="32"/>
      <c r="CA17" s="125"/>
      <c r="CB17" s="32"/>
      <c r="CC17" s="32"/>
      <c r="CD17" s="32"/>
      <c r="CE17" s="32"/>
      <c r="CF17" s="125"/>
      <c r="CG17" s="32"/>
      <c r="CH17" s="32"/>
      <c r="CI17" s="32"/>
      <c r="CJ17" s="32"/>
      <c r="CK17" s="125"/>
      <c r="CL17"/>
      <c r="CM17"/>
      <c r="CO17" s="27"/>
      <c r="CP17" s="27"/>
      <c r="CQ17" s="27"/>
      <c r="CR17" s="27"/>
      <c r="CS17" s="27"/>
      <c r="CT17" s="27"/>
      <c r="CU17" s="27"/>
      <c r="CV17" s="27"/>
      <c r="CW17" s="27"/>
      <c r="CX17" s="27"/>
      <c r="CY17" s="27"/>
      <c r="CZ17" s="27"/>
      <c r="DA17" s="27"/>
    </row>
    <row r="18" spans="1:105" hidden="1" outlineLevel="1" x14ac:dyDescent="0.2">
      <c r="A18" s="129" t="s">
        <v>202</v>
      </c>
      <c r="B18" s="129"/>
      <c r="E18" s="32"/>
      <c r="F18" s="32"/>
      <c r="G18" s="32"/>
      <c r="H18" s="32"/>
      <c r="I18" s="125"/>
      <c r="J18" s="126">
        <f t="shared" ref="J18:Q18" si="27">(E$20*J25+E$27*J32+E$69*J74)/E$13</f>
        <v>1.8650073206442165E-2</v>
      </c>
      <c r="K18" s="126">
        <f t="shared" si="27"/>
        <v>2.5329231574813458E-2</v>
      </c>
      <c r="L18" s="126">
        <f t="shared" si="27"/>
        <v>2.7618403247631935E-2</v>
      </c>
      <c r="M18" s="126">
        <f t="shared" si="27"/>
        <v>3.1068861142640937E-2</v>
      </c>
      <c r="N18" s="131">
        <f t="shared" si="27"/>
        <v>2.6344287006331023E-2</v>
      </c>
      <c r="O18" s="126">
        <f t="shared" si="27"/>
        <v>3.8110574342458403E-2</v>
      </c>
      <c r="P18" s="126">
        <f t="shared" si="27"/>
        <v>5.9200858778625957E-2</v>
      </c>
      <c r="Q18" s="126">
        <f t="shared" si="27"/>
        <v>1.1221151691687206E-2</v>
      </c>
      <c r="R18" s="126">
        <f t="shared" ref="R18:Z18" si="28">+R19-R14-R15</f>
        <v>0</v>
      </c>
      <c r="S18" s="131">
        <f>(N$20*S25+N$27*S32+N$69*S74)/N$13</f>
        <v>2.393711103832296E-2</v>
      </c>
      <c r="T18" s="126">
        <f t="shared" si="28"/>
        <v>0</v>
      </c>
      <c r="U18" s="126">
        <f t="shared" si="28"/>
        <v>0</v>
      </c>
      <c r="V18" s="126">
        <f t="shared" si="28"/>
        <v>0</v>
      </c>
      <c r="W18" s="126">
        <f t="shared" si="28"/>
        <v>0</v>
      </c>
      <c r="X18" s="127">
        <f t="shared" si="28"/>
        <v>0</v>
      </c>
      <c r="Y18" s="126">
        <f t="shared" si="28"/>
        <v>0</v>
      </c>
      <c r="Z18" s="126">
        <f t="shared" si="28"/>
        <v>0</v>
      </c>
      <c r="AA18" s="126">
        <f>+AA19-AA14-AA15</f>
        <v>0</v>
      </c>
      <c r="AB18" s="126">
        <f>+AB19-AB14-AB15</f>
        <v>0</v>
      </c>
      <c r="AC18" s="127">
        <f>+AC19-AC14-AC15</f>
        <v>0</v>
      </c>
      <c r="AD18" s="43">
        <v>0</v>
      </c>
      <c r="AE18" s="43">
        <f>(Z$20*AE25+Z$27*AE32+Z$69*AE74)/Z$13</f>
        <v>0</v>
      </c>
      <c r="AF18" s="43">
        <f>(AA$20*AF25+AA$27*AF32+AA$69*AF74)/AA$13</f>
        <v>0</v>
      </c>
      <c r="AG18" s="32">
        <f t="shared" si="22"/>
        <v>0</v>
      </c>
      <c r="AH18" s="125">
        <f t="shared" si="22"/>
        <v>0</v>
      </c>
      <c r="AI18" s="43">
        <f>(AD$20*AI25+AD$27*AI32+AD$69*AI74)/AD$13</f>
        <v>3.5726569217540845E-3</v>
      </c>
      <c r="AJ18" s="43">
        <f>(AE$20*AJ25+AE$27*AJ32+AE$69*AJ74)/AE$13</f>
        <v>9.8960043787629983E-3</v>
      </c>
      <c r="AK18" s="43">
        <v>0.01</v>
      </c>
      <c r="AL18" s="43">
        <f>(AG$20*AL25+AG$27*AL32+AG$69*AL74)/AG$13</f>
        <v>3.3927308725781365E-3</v>
      </c>
      <c r="AM18" s="125">
        <f>(AH$20*AM25+AH$27*AM32+AH$69*AM74)/AH$13</f>
        <v>6.2683952347582341E-3</v>
      </c>
      <c r="AN18" s="43">
        <v>0</v>
      </c>
      <c r="AO18" s="32">
        <f t="shared" ref="AO18:AT18" si="29">(AJ$20*AO25+AJ$27*AO32+AJ$69*AO74)/AJ$13</f>
        <v>0</v>
      </c>
      <c r="AP18" s="32">
        <f t="shared" si="29"/>
        <v>0</v>
      </c>
      <c r="AQ18" s="32">
        <f t="shared" si="29"/>
        <v>0</v>
      </c>
      <c r="AR18" s="125">
        <f t="shared" si="29"/>
        <v>0</v>
      </c>
      <c r="AS18" s="39">
        <f t="shared" si="29"/>
        <v>0</v>
      </c>
      <c r="AT18" s="39">
        <f t="shared" si="29"/>
        <v>0</v>
      </c>
      <c r="AU18" s="32">
        <f t="shared" si="23"/>
        <v>0</v>
      </c>
      <c r="AV18" s="32">
        <f t="shared" si="23"/>
        <v>1.0137369626049351E-3</v>
      </c>
      <c r="AW18" s="125">
        <f t="shared" si="23"/>
        <v>0</v>
      </c>
      <c r="AX18" s="32">
        <f t="shared" si="23"/>
        <v>0</v>
      </c>
      <c r="AY18" s="32">
        <f t="shared" si="23"/>
        <v>0</v>
      </c>
      <c r="AZ18" s="32"/>
      <c r="BA18" s="32"/>
      <c r="BB18" s="125"/>
      <c r="BC18" s="32"/>
      <c r="BD18" s="32"/>
      <c r="BE18" s="32"/>
      <c r="BF18" s="32"/>
      <c r="BG18" s="125"/>
      <c r="BH18" s="32"/>
      <c r="BI18" s="24"/>
      <c r="BJ18" s="32"/>
      <c r="BK18" s="32"/>
      <c r="BL18" s="125"/>
      <c r="BM18" s="32"/>
      <c r="BN18" s="32"/>
      <c r="BO18" s="32"/>
      <c r="BP18" s="32"/>
      <c r="BQ18" s="125"/>
      <c r="BR18" s="32"/>
      <c r="BS18" s="32"/>
      <c r="BT18" s="32"/>
      <c r="BU18" s="32"/>
      <c r="BV18" s="125"/>
      <c r="BW18" s="32"/>
      <c r="BX18" s="32"/>
      <c r="BY18" s="32"/>
      <c r="BZ18" s="32"/>
      <c r="CA18" s="125"/>
      <c r="CB18" s="32"/>
      <c r="CC18" s="32"/>
      <c r="CD18" s="32"/>
      <c r="CE18" s="32"/>
      <c r="CF18" s="125"/>
      <c r="CG18" s="32"/>
      <c r="CH18" s="32"/>
      <c r="CI18" s="32"/>
      <c r="CJ18" s="32"/>
      <c r="CK18" s="125"/>
      <c r="CL18"/>
      <c r="CM18"/>
    </row>
    <row r="19" spans="1:105" hidden="1" outlineLevel="1" x14ac:dyDescent="0.2">
      <c r="A19" s="135" t="s">
        <v>203</v>
      </c>
      <c r="B19" s="135"/>
      <c r="C19" s="30"/>
      <c r="D19" s="30"/>
      <c r="E19" s="136"/>
      <c r="F19" s="136"/>
      <c r="G19" s="136"/>
      <c r="H19" s="136"/>
      <c r="I19" s="137"/>
      <c r="J19" s="138">
        <f t="shared" ref="J19:P19" si="30">+J13/E13-1</f>
        <v>9.1068814055636826E-2</v>
      </c>
      <c r="K19" s="138">
        <f t="shared" si="30"/>
        <v>9.7525854169393966E-2</v>
      </c>
      <c r="L19" s="138">
        <f t="shared" si="30"/>
        <v>9.8044039857301035E-2</v>
      </c>
      <c r="M19" s="138">
        <f t="shared" si="30"/>
        <v>0.12315550510783191</v>
      </c>
      <c r="N19" s="137">
        <f t="shared" si="30"/>
        <v>0.10449201085318061</v>
      </c>
      <c r="O19" s="138">
        <f t="shared" si="30"/>
        <v>0.12614063338701009</v>
      </c>
      <c r="P19" s="138">
        <f t="shared" si="30"/>
        <v>0.16388358778625944</v>
      </c>
      <c r="Q19" s="138">
        <f t="shared" ref="Q19:AY19" si="31">+Q13/L13-1</f>
        <v>0.11853013667936363</v>
      </c>
      <c r="R19" s="138">
        <f t="shared" si="31"/>
        <v>5.0530570995452218E-2</v>
      </c>
      <c r="S19" s="137">
        <f t="shared" si="31"/>
        <v>0.10841794955781192</v>
      </c>
      <c r="T19" s="138">
        <f t="shared" si="31"/>
        <v>3.7178265014299328E-2</v>
      </c>
      <c r="U19" s="138">
        <f t="shared" si="31"/>
        <v>6.7636810821889437E-3</v>
      </c>
      <c r="V19" s="138">
        <f t="shared" si="31"/>
        <v>4.0064102564103532E-3</v>
      </c>
      <c r="W19" s="138">
        <f t="shared" si="31"/>
        <v>4.7779381112714514E-2</v>
      </c>
      <c r="X19" s="137">
        <f t="shared" si="31"/>
        <v>2.4970449172576847E-2</v>
      </c>
      <c r="Y19" s="138">
        <f t="shared" si="31"/>
        <v>4.0900735294117752E-2</v>
      </c>
      <c r="Z19" s="138">
        <f t="shared" si="31"/>
        <v>4.0716612377850181E-2</v>
      </c>
      <c r="AA19" s="138">
        <f t="shared" si="31"/>
        <v>3.6113328012769452E-2</v>
      </c>
      <c r="AB19" s="138">
        <f t="shared" si="31"/>
        <v>2.6625860749808661E-2</v>
      </c>
      <c r="AC19" s="137">
        <f t="shared" si="31"/>
        <v>3.5221757724280378E-2</v>
      </c>
      <c r="AD19" s="139">
        <f t="shared" si="31"/>
        <v>2.6931567328918327E-2</v>
      </c>
      <c r="AE19" s="139">
        <f t="shared" si="31"/>
        <v>7.2183098591549255E-2</v>
      </c>
      <c r="AF19" s="139">
        <f t="shared" si="31"/>
        <v>8.3766608896591599E-2</v>
      </c>
      <c r="AG19" s="138">
        <f t="shared" si="31"/>
        <v>5.3957370696079865E-2</v>
      </c>
      <c r="AH19" s="137">
        <f t="shared" si="31"/>
        <v>5.9784626810248875E-2</v>
      </c>
      <c r="AI19" s="139">
        <f t="shared" si="31"/>
        <v>4.6431642304385123E-2</v>
      </c>
      <c r="AJ19" s="139">
        <f t="shared" si="31"/>
        <v>4.4334975369458185E-2</v>
      </c>
      <c r="AK19" s="139">
        <f t="shared" si="31"/>
        <v>2.4697938877043413E-2</v>
      </c>
      <c r="AL19" s="139">
        <f t="shared" si="31"/>
        <v>7.9196718993070236E-2</v>
      </c>
      <c r="AM19" s="137">
        <f t="shared" si="31"/>
        <v>5.0718290119130982E-2</v>
      </c>
      <c r="AN19" s="139">
        <f t="shared" si="31"/>
        <v>5.2588331963845603E-2</v>
      </c>
      <c r="AO19" s="139">
        <f t="shared" si="31"/>
        <v>5.2585604472396907E-2</v>
      </c>
      <c r="AP19" s="138">
        <f t="shared" si="31"/>
        <v>5.375411825906018E-2</v>
      </c>
      <c r="AQ19" s="138">
        <f t="shared" si="31"/>
        <v>3.0271261957803608E-2</v>
      </c>
      <c r="AR19" s="137">
        <f t="shared" si="31"/>
        <v>4.5769070446019189E-2</v>
      </c>
      <c r="AS19" s="138">
        <f t="shared" si="31"/>
        <v>1.3075722092115605E-2</v>
      </c>
      <c r="AT19" s="138">
        <f t="shared" si="31"/>
        <v>7.9668049792531725E-3</v>
      </c>
      <c r="AU19" s="138">
        <f t="shared" si="31"/>
        <v>3.5050189238110985E-2</v>
      </c>
      <c r="AV19" s="138">
        <f t="shared" si="31"/>
        <v>1.2210633426608997E-2</v>
      </c>
      <c r="AW19" s="137">
        <f t="shared" si="31"/>
        <v>1.6900510204081565E-2</v>
      </c>
      <c r="AX19" s="138">
        <f t="shared" si="31"/>
        <v>8.8614910421884741E-3</v>
      </c>
      <c r="AY19" s="138">
        <f t="shared" si="31"/>
        <v>-1.2349744771941396E-2</v>
      </c>
      <c r="AZ19" s="138"/>
      <c r="BA19" s="138"/>
      <c r="BB19" s="137"/>
      <c r="BC19" s="138"/>
      <c r="BD19" s="138"/>
      <c r="BE19" s="138"/>
      <c r="BF19" s="138"/>
      <c r="BG19" s="137"/>
      <c r="BH19" s="138"/>
      <c r="BI19" s="628"/>
      <c r="BJ19" s="138"/>
      <c r="BK19" s="138"/>
      <c r="BL19" s="137"/>
      <c r="BM19" s="138"/>
      <c r="BN19" s="138"/>
      <c r="BO19" s="138"/>
      <c r="BP19" s="138"/>
      <c r="BQ19" s="137"/>
      <c r="BR19" s="138"/>
      <c r="BS19" s="138"/>
      <c r="BT19" s="138"/>
      <c r="BU19" s="138"/>
      <c r="BV19" s="137"/>
      <c r="BW19" s="138"/>
      <c r="BX19" s="138"/>
      <c r="BY19" s="138"/>
      <c r="BZ19" s="138"/>
      <c r="CA19" s="137"/>
      <c r="CB19" s="138"/>
      <c r="CC19" s="138"/>
      <c r="CD19" s="138"/>
      <c r="CE19" s="138"/>
      <c r="CF19" s="137"/>
      <c r="CG19" s="138"/>
      <c r="CH19" s="138"/>
      <c r="CI19" s="138"/>
      <c r="CJ19" s="138"/>
      <c r="CK19" s="137"/>
      <c r="CL19"/>
      <c r="CM19"/>
    </row>
    <row r="20" spans="1:105" collapsed="1" x14ac:dyDescent="0.2">
      <c r="A20" s="1" t="s">
        <v>68</v>
      </c>
      <c r="B20" s="1"/>
      <c r="C20" s="1"/>
      <c r="D20" s="1"/>
      <c r="E20" s="64">
        <v>2393</v>
      </c>
      <c r="F20" s="64">
        <v>2567</v>
      </c>
      <c r="G20" s="64">
        <v>2642</v>
      </c>
      <c r="H20" s="64">
        <v>3242</v>
      </c>
      <c r="I20" s="140">
        <v>10844</v>
      </c>
      <c r="J20" s="141">
        <f>5276-K20</f>
        <v>2553</v>
      </c>
      <c r="K20" s="141">
        <v>2723</v>
      </c>
      <c r="L20" s="141">
        <v>2800</v>
      </c>
      <c r="M20" s="141">
        <v>3510</v>
      </c>
      <c r="N20" s="140">
        <v>11586</v>
      </c>
      <c r="O20" s="141">
        <v>2730</v>
      </c>
      <c r="P20" s="141">
        <v>2950</v>
      </c>
      <c r="Q20" s="141">
        <v>3057</v>
      </c>
      <c r="R20" s="141">
        <v>3770</v>
      </c>
      <c r="S20" s="140">
        <v>12507</v>
      </c>
      <c r="T20" s="64">
        <v>3000</v>
      </c>
      <c r="U20" s="64">
        <v>3138</v>
      </c>
      <c r="V20" s="64">
        <v>3198</v>
      </c>
      <c r="W20" s="64">
        <v>3888</v>
      </c>
      <c r="X20" s="148">
        <v>12421</v>
      </c>
      <c r="Y20" s="64">
        <v>2864</v>
      </c>
      <c r="Z20" s="64">
        <v>2992</v>
      </c>
      <c r="AA20" s="64">
        <v>3050</v>
      </c>
      <c r="AB20" s="64">
        <v>3667</v>
      </c>
      <c r="AC20" s="148">
        <f>+Y20+Z20+AA20+AB20</f>
        <v>12573</v>
      </c>
      <c r="AD20" s="142">
        <v>2904</v>
      </c>
      <c r="AE20" s="142">
        <v>3090</v>
      </c>
      <c r="AF20" s="142">
        <v>3173</v>
      </c>
      <c r="AG20" s="64">
        <f>13062-AD20-AE20-AF20</f>
        <v>3895</v>
      </c>
      <c r="AH20" s="140">
        <f>+AD20+AE20+AF20+AG20</f>
        <v>13062</v>
      </c>
      <c r="AI20" s="142">
        <v>3010</v>
      </c>
      <c r="AJ20" s="142">
        <v>3193</v>
      </c>
      <c r="AK20" s="142">
        <v>3269</v>
      </c>
      <c r="AL20" s="142">
        <v>4102</v>
      </c>
      <c r="AM20" s="140">
        <f>+AI20+AJ20+AK20+AL20</f>
        <v>13574</v>
      </c>
      <c r="AN20" s="142">
        <v>3123</v>
      </c>
      <c r="AO20" s="64">
        <v>3332</v>
      </c>
      <c r="AP20" s="64">
        <v>3424</v>
      </c>
      <c r="AQ20" s="64">
        <v>4247</v>
      </c>
      <c r="AR20" s="140">
        <f>+AN20+AO20+AP20+AQ20</f>
        <v>14126</v>
      </c>
      <c r="AS20" s="64">
        <v>3219</v>
      </c>
      <c r="AT20" s="141">
        <v>3387</v>
      </c>
      <c r="AU20" s="64">
        <v>3526</v>
      </c>
      <c r="AV20" s="64">
        <v>4370</v>
      </c>
      <c r="AW20" s="140">
        <f>+AS20+AT20+AU20+AV20</f>
        <v>14502</v>
      </c>
      <c r="AX20" s="64">
        <v>3319</v>
      </c>
      <c r="AY20" s="64">
        <v>3452</v>
      </c>
      <c r="AZ20" s="64">
        <v>3555</v>
      </c>
      <c r="BA20" s="64">
        <v>4456</v>
      </c>
      <c r="BB20" s="140">
        <f>+AX20+AY20+AZ20+BA20</f>
        <v>14782</v>
      </c>
      <c r="BC20" s="64">
        <v>3418</v>
      </c>
      <c r="BD20" s="64">
        <v>3564</v>
      </c>
      <c r="BE20" s="64">
        <v>3676</v>
      </c>
      <c r="BF20" s="64">
        <v>4891</v>
      </c>
      <c r="BG20" s="140">
        <f>+BC20+BD20+BE20+BF20</f>
        <v>15549</v>
      </c>
      <c r="BH20" s="64">
        <v>3499</v>
      </c>
      <c r="BI20" s="64">
        <v>3678</v>
      </c>
      <c r="BJ20" s="64">
        <v>3792</v>
      </c>
      <c r="BK20" s="64">
        <v>4829</v>
      </c>
      <c r="BL20" s="140">
        <f>+BH20+BI20+BJ20+BK20</f>
        <v>15798</v>
      </c>
      <c r="BM20" s="64">
        <f>+BH20*(1+BM26)</f>
        <v>3668.3608757639163</v>
      </c>
      <c r="BN20" s="64">
        <f>+BI20*(1+BN26)</f>
        <v>3817.6899047407082</v>
      </c>
      <c r="BO20" s="64">
        <f>+BJ20*(1+BO26)</f>
        <v>3916.4685566215344</v>
      </c>
      <c r="BP20" s="64">
        <f>+BK20*(1+BP26)</f>
        <v>4968.2813905767262</v>
      </c>
      <c r="BQ20" s="140">
        <f>+BM20+BN20+BO20+BP20</f>
        <v>16370.800727702885</v>
      </c>
      <c r="BR20" s="64">
        <f>+BM20*(1+BR26)</f>
        <v>3791.0274106890906</v>
      </c>
      <c r="BS20" s="64">
        <f>+BN20*(1+BS26)</f>
        <v>3951.3090514066325</v>
      </c>
      <c r="BT20" s="64">
        <f>+BO20*(1+BT26)</f>
        <v>4053.5449561032879</v>
      </c>
      <c r="BU20" s="64">
        <f>+BP20*(1+BU26)</f>
        <v>5142.1712392469108</v>
      </c>
      <c r="BV20" s="140">
        <f>+BR20+BS20+BT20+BU20</f>
        <v>16938.052657445922</v>
      </c>
      <c r="BW20" s="64">
        <f>+BR20*(1+BW26)</f>
        <v>3923.7133700632085</v>
      </c>
      <c r="BX20" s="64">
        <f>+BS20*(1+BX26)</f>
        <v>4089.6048682058645</v>
      </c>
      <c r="BY20" s="64">
        <f>+BT20*(1+BY26)</f>
        <v>4195.4190295669023</v>
      </c>
      <c r="BZ20" s="64">
        <f>+BU20*(1+BZ26)</f>
        <v>5322.1472326205521</v>
      </c>
      <c r="CA20" s="140">
        <f>+BW20+BX20+BY20+BZ20</f>
        <v>17530.884500456526</v>
      </c>
      <c r="CB20" s="64">
        <f>+BW20*(1+CB26)</f>
        <v>4061.0433380154204</v>
      </c>
      <c r="CC20" s="64">
        <f>+BX20*(1+CC26)</f>
        <v>4232.7410385930698</v>
      </c>
      <c r="CD20" s="64">
        <f>+BY20*(1+CD26)</f>
        <v>4342.258695601744</v>
      </c>
      <c r="CE20" s="64">
        <f>+BZ20*(1+CE26)</f>
        <v>5508.422385762271</v>
      </c>
      <c r="CF20" s="140">
        <f>+CB20+CC20+CD20+CE20</f>
        <v>18144.465457972503</v>
      </c>
      <c r="CG20" s="64">
        <f>+CB20*(1+CG26)</f>
        <v>4203.1798548459601</v>
      </c>
      <c r="CH20" s="64">
        <f>+CC20*(1+CH26)</f>
        <v>4380.8869749438272</v>
      </c>
      <c r="CI20" s="64">
        <f>+CD20*(1+CI26)</f>
        <v>4494.2377499478043</v>
      </c>
      <c r="CJ20" s="64">
        <f>+CE20*(1+CJ26)</f>
        <v>5701.2171692639504</v>
      </c>
      <c r="CK20" s="140">
        <f>+CG20+CH20+CI20+CJ20</f>
        <v>18779.521749001542</v>
      </c>
      <c r="CL20"/>
      <c r="CM20"/>
      <c r="CN20" s="45"/>
      <c r="CO20" s="27"/>
      <c r="CP20" s="27"/>
      <c r="CQ20" s="27"/>
      <c r="CR20" s="27"/>
      <c r="CS20" s="27"/>
      <c r="CT20" s="27"/>
      <c r="CU20" s="27"/>
      <c r="CV20" s="27"/>
      <c r="CW20" s="27"/>
      <c r="CX20" s="27"/>
      <c r="CY20" s="27"/>
    </row>
    <row r="21" spans="1:105" x14ac:dyDescent="0.2">
      <c r="A21" s="529" t="s">
        <v>200</v>
      </c>
      <c r="B21" s="529"/>
      <c r="C21" s="303"/>
      <c r="D21" s="303"/>
      <c r="E21" s="292"/>
      <c r="F21" s="292"/>
      <c r="G21" s="292"/>
      <c r="H21" s="292"/>
      <c r="I21" s="523"/>
      <c r="J21" s="308">
        <f>+J26</f>
        <v>6.6861679899707482E-2</v>
      </c>
      <c r="K21" s="308">
        <f>+K26</f>
        <v>6.0771328398909308E-2</v>
      </c>
      <c r="L21" s="308">
        <f>+L26</f>
        <v>5.9803179409538165E-2</v>
      </c>
      <c r="M21" s="308">
        <f>+M26</f>
        <v>8.2665021591610044E-2</v>
      </c>
      <c r="N21" s="523">
        <v>7.0000000000000007E-2</v>
      </c>
      <c r="O21" s="308">
        <v>7.0000000000000007E-2</v>
      </c>
      <c r="P21" s="308">
        <f>8%-1%</f>
        <v>7.0000000000000007E-2</v>
      </c>
      <c r="Q21" s="308">
        <f>Q26</f>
        <v>9.1785714285714359E-2</v>
      </c>
      <c r="R21" s="308">
        <v>7.0000000000000007E-2</v>
      </c>
      <c r="S21" s="523">
        <v>0.08</v>
      </c>
      <c r="T21" s="371">
        <v>0.12</v>
      </c>
      <c r="U21" s="371">
        <v>0.08</v>
      </c>
      <c r="V21" s="371">
        <v>0.05</v>
      </c>
      <c r="W21" s="371">
        <v>0.02</v>
      </c>
      <c r="X21" s="178">
        <v>0.06</v>
      </c>
      <c r="Y21" s="205">
        <v>0.01</v>
      </c>
      <c r="Z21" s="180">
        <v>0.01</v>
      </c>
      <c r="AA21" s="180">
        <v>0.01</v>
      </c>
      <c r="AB21" s="181">
        <v>0</v>
      </c>
      <c r="AC21" s="178">
        <v>5.0000000000000001E-3</v>
      </c>
      <c r="AD21" s="522">
        <v>0.01</v>
      </c>
      <c r="AE21" s="522">
        <v>0.03</v>
      </c>
      <c r="AF21" s="522">
        <v>0.03</v>
      </c>
      <c r="AG21" s="292">
        <f t="shared" ref="AG21:BU21" si="32">+AG23+AG24</f>
        <v>0.06</v>
      </c>
      <c r="AH21" s="521">
        <f t="shared" si="32"/>
        <v>3.4193907579734353E-2</v>
      </c>
      <c r="AI21" s="522">
        <f t="shared" si="32"/>
        <v>3.6501377410468328E-2</v>
      </c>
      <c r="AJ21" s="522">
        <f t="shared" si="32"/>
        <v>3.5333333333333439E-2</v>
      </c>
      <c r="AK21" s="522">
        <f t="shared" si="32"/>
        <v>3.0255278915852557E-2</v>
      </c>
      <c r="AL21" s="522">
        <f t="shared" si="32"/>
        <v>0.05</v>
      </c>
      <c r="AM21" s="521">
        <f t="shared" si="32"/>
        <v>0.04</v>
      </c>
      <c r="AN21" s="522">
        <f t="shared" si="32"/>
        <v>0.04</v>
      </c>
      <c r="AO21" s="292">
        <f t="shared" si="32"/>
        <v>4.4999999999999998E-2</v>
      </c>
      <c r="AP21" s="292">
        <f t="shared" si="32"/>
        <v>0.05</v>
      </c>
      <c r="AQ21" s="292">
        <v>0.04</v>
      </c>
      <c r="AR21" s="521">
        <v>0.04</v>
      </c>
      <c r="AS21" s="310">
        <v>0.04</v>
      </c>
      <c r="AT21" s="310">
        <v>0.02</v>
      </c>
      <c r="AU21" s="310">
        <v>0.03</v>
      </c>
      <c r="AV21" s="310">
        <v>3.5000000000000003E-2</v>
      </c>
      <c r="AW21" s="521">
        <v>0.03</v>
      </c>
      <c r="AX21" s="310">
        <v>0.04</v>
      </c>
      <c r="AY21" s="310">
        <v>0.03</v>
      </c>
      <c r="AZ21" s="310">
        <v>0.02</v>
      </c>
      <c r="BA21" s="310">
        <v>0.03</v>
      </c>
      <c r="BB21" s="521">
        <v>0.03</v>
      </c>
      <c r="BC21" s="310">
        <v>0.04</v>
      </c>
      <c r="BD21" s="565">
        <v>0.04</v>
      </c>
      <c r="BE21" s="565">
        <v>3.5000000000000003E-2</v>
      </c>
      <c r="BF21" s="292">
        <v>0.03</v>
      </c>
      <c r="BG21" s="521">
        <v>3.5000000000000003E-2</v>
      </c>
      <c r="BH21" s="292">
        <v>0.02</v>
      </c>
      <c r="BI21" s="24">
        <v>3.5000000000000003E-2</v>
      </c>
      <c r="BJ21" s="24">
        <v>0.03</v>
      </c>
      <c r="BK21" s="24">
        <v>0.05</v>
      </c>
      <c r="BL21" s="521">
        <v>0.03</v>
      </c>
      <c r="BM21" s="292">
        <f t="shared" si="32"/>
        <v>4.4999999999999998E-2</v>
      </c>
      <c r="BN21" s="292">
        <f t="shared" si="32"/>
        <v>3.5000000000000003E-2</v>
      </c>
      <c r="BO21" s="292">
        <f t="shared" si="32"/>
        <v>3.5000000000000003E-2</v>
      </c>
      <c r="BP21" s="292">
        <f t="shared" si="32"/>
        <v>3.0000000000000002E-2</v>
      </c>
      <c r="BQ21" s="521">
        <f>+BQ23+BQ24</f>
        <v>3.5686479301177368E-2</v>
      </c>
      <c r="BR21" s="292">
        <f t="shared" si="32"/>
        <v>3.5000000000000003E-2</v>
      </c>
      <c r="BS21" s="292">
        <f t="shared" si="32"/>
        <v>3.5000000000000003E-2</v>
      </c>
      <c r="BT21" s="292">
        <f t="shared" si="32"/>
        <v>3.5000000000000003E-2</v>
      </c>
      <c r="BU21" s="292">
        <f t="shared" si="32"/>
        <v>3.5000000000000003E-2</v>
      </c>
      <c r="BV21" s="521">
        <f>+BV23+BV24</f>
        <v>3.5000000000000003E-2</v>
      </c>
      <c r="BW21" s="292">
        <f t="shared" ref="BW21:CF21" si="33">+BW23+BW24</f>
        <v>3.5000000000000003E-2</v>
      </c>
      <c r="BX21" s="292">
        <f t="shared" si="33"/>
        <v>3.5000000000000003E-2</v>
      </c>
      <c r="BY21" s="292">
        <f t="shared" si="33"/>
        <v>3.5000000000000003E-2</v>
      </c>
      <c r="BZ21" s="292">
        <f t="shared" si="33"/>
        <v>3.5000000000000003E-2</v>
      </c>
      <c r="CA21" s="521">
        <f t="shared" si="33"/>
        <v>3.5000000000000003E-2</v>
      </c>
      <c r="CB21" s="292">
        <f t="shared" si="33"/>
        <v>3.5000000000000003E-2</v>
      </c>
      <c r="CC21" s="292">
        <f t="shared" si="33"/>
        <v>3.5000000000000003E-2</v>
      </c>
      <c r="CD21" s="292">
        <f t="shared" si="33"/>
        <v>3.5000000000000003E-2</v>
      </c>
      <c r="CE21" s="292">
        <f t="shared" si="33"/>
        <v>3.5000000000000003E-2</v>
      </c>
      <c r="CF21" s="521">
        <f t="shared" si="33"/>
        <v>3.5000000000000003E-2</v>
      </c>
      <c r="CG21" s="292">
        <f>+CG23+CG24</f>
        <v>3.5000000000000003E-2</v>
      </c>
      <c r="CH21" s="292">
        <f>+CH23+CH24</f>
        <v>3.5000000000000003E-2</v>
      </c>
      <c r="CI21" s="292">
        <f>+CI23+CI24</f>
        <v>3.5000000000000003E-2</v>
      </c>
      <c r="CJ21" s="292">
        <f>+CJ23+CJ24</f>
        <v>3.5000000000000003E-2</v>
      </c>
      <c r="CK21" s="521">
        <f>+CK23+CK24</f>
        <v>3.5000000000000003E-2</v>
      </c>
      <c r="CL21"/>
      <c r="CM21"/>
      <c r="CN21" s="37"/>
    </row>
    <row r="22" spans="1:105" x14ac:dyDescent="0.2">
      <c r="A22" s="529" t="s">
        <v>201</v>
      </c>
      <c r="B22" s="529"/>
      <c r="C22" s="303"/>
      <c r="D22" s="303"/>
      <c r="E22" s="292"/>
      <c r="F22" s="292"/>
      <c r="G22" s="292"/>
      <c r="H22" s="292"/>
      <c r="I22" s="523"/>
      <c r="J22" s="126">
        <f t="shared" ref="J22:R22" si="34">+J26-J21</f>
        <v>0</v>
      </c>
      <c r="K22" s="126">
        <f t="shared" si="34"/>
        <v>0</v>
      </c>
      <c r="L22" s="126">
        <f t="shared" si="34"/>
        <v>0</v>
      </c>
      <c r="M22" s="126">
        <f t="shared" si="34"/>
        <v>0</v>
      </c>
      <c r="N22" s="127">
        <f t="shared" si="34"/>
        <v>-1.5750645518259332E-3</v>
      </c>
      <c r="O22" s="126">
        <f t="shared" si="34"/>
        <v>-6.6980023501755914E-4</v>
      </c>
      <c r="P22" s="126">
        <f t="shared" si="34"/>
        <v>1.3363936834373924E-2</v>
      </c>
      <c r="Q22" s="126">
        <f t="shared" si="34"/>
        <v>0</v>
      </c>
      <c r="R22" s="126">
        <f t="shared" si="34"/>
        <v>4.0740740740741743E-3</v>
      </c>
      <c r="S22" s="127">
        <f>+S26-S21</f>
        <v>-5.0750906266176787E-4</v>
      </c>
      <c r="T22" s="128">
        <f>+T26-T21</f>
        <v>-2.1098901098901002E-2</v>
      </c>
      <c r="U22" s="128">
        <f>+U26-U21</f>
        <v>-1.6271186440677862E-2</v>
      </c>
      <c r="V22" s="128">
        <f>+V26-V21</f>
        <v>-3.8763493621196271E-3</v>
      </c>
      <c r="W22" s="128">
        <f>+W26-W21</f>
        <v>1.1299734748010621E-2</v>
      </c>
      <c r="X22" s="178">
        <v>-2.6721036219716221E-3</v>
      </c>
      <c r="Y22" s="205">
        <v>1.2333333333333316E-2</v>
      </c>
      <c r="Z22" s="180">
        <v>8.1644359464627756E-3</v>
      </c>
      <c r="AA22" s="180">
        <v>4.3839899937461266E-3</v>
      </c>
      <c r="AB22" s="181">
        <v>7.7160493827155285E-4</v>
      </c>
      <c r="AC22" s="178">
        <v>8.0822746521475065E-3</v>
      </c>
      <c r="AD22" s="522">
        <f>AD26-SUM(AD23:AD25)</f>
        <v>3.9664804469272761E-3</v>
      </c>
      <c r="AE22" s="522">
        <f>AE26-SUM(AE23:AE25)</f>
        <v>2.7540106951871313E-3</v>
      </c>
      <c r="AF22" s="524">
        <v>0.01</v>
      </c>
      <c r="AG22" s="308">
        <v>0</v>
      </c>
      <c r="AH22" s="523">
        <f>SUMPRODUCT(Y20:AB20,AD22:AG22)/AC20</f>
        <v>3.984729181579545E-3</v>
      </c>
      <c r="AI22" s="524">
        <v>0</v>
      </c>
      <c r="AJ22" s="524">
        <v>-2E-3</v>
      </c>
      <c r="AK22" s="524">
        <v>0</v>
      </c>
      <c r="AL22" s="524">
        <v>0</v>
      </c>
      <c r="AM22" s="523">
        <v>0</v>
      </c>
      <c r="AN22" s="524">
        <v>0</v>
      </c>
      <c r="AO22" s="308">
        <v>-1E-3</v>
      </c>
      <c r="AP22" s="308">
        <v>0</v>
      </c>
      <c r="AQ22" s="308">
        <v>-5.0000000000000001E-3</v>
      </c>
      <c r="AR22" s="523">
        <v>0</v>
      </c>
      <c r="AS22" s="308">
        <v>-0.01</v>
      </c>
      <c r="AT22" s="308">
        <v>-0.01</v>
      </c>
      <c r="AU22" s="308">
        <v>0</v>
      </c>
      <c r="AV22" s="308">
        <v>-0.01</v>
      </c>
      <c r="AW22" s="523">
        <v>-0.01</v>
      </c>
      <c r="AX22" s="308">
        <v>-0.01</v>
      </c>
      <c r="AY22" s="308">
        <v>-0.01</v>
      </c>
      <c r="AZ22" s="308">
        <v>-0.01</v>
      </c>
      <c r="BA22" s="308">
        <v>-0.01</v>
      </c>
      <c r="BB22" s="523">
        <v>-0.01</v>
      </c>
      <c r="BC22" s="308">
        <v>-0.01</v>
      </c>
      <c r="BD22" s="308">
        <v>0</v>
      </c>
      <c r="BE22" s="308">
        <v>0</v>
      </c>
      <c r="BF22" s="308">
        <v>0</v>
      </c>
      <c r="BG22" s="523">
        <v>0</v>
      </c>
      <c r="BH22" s="308">
        <v>0</v>
      </c>
      <c r="BI22" s="581">
        <v>0</v>
      </c>
      <c r="BJ22" s="581">
        <v>0</v>
      </c>
      <c r="BK22" s="581">
        <v>0</v>
      </c>
      <c r="BL22" s="523">
        <v>0</v>
      </c>
      <c r="BM22" s="308">
        <v>3.402650975683515E-3</v>
      </c>
      <c r="BN22" s="308">
        <v>2.9798544700131036E-3</v>
      </c>
      <c r="BO22" s="308">
        <v>-2.1760135491733297E-3</v>
      </c>
      <c r="BP22" s="308">
        <v>-1.1573015993526052E-3</v>
      </c>
      <c r="BQ22" s="523">
        <f>SUMPRODUCT(BH20:BK20,BM22:BP22)/BL20</f>
        <v>5.7132090789250656E-4</v>
      </c>
      <c r="BR22" s="308">
        <v>-1.5609412270188746E-3</v>
      </c>
      <c r="BS22" s="308">
        <v>0</v>
      </c>
      <c r="BT22" s="308">
        <v>0</v>
      </c>
      <c r="BU22" s="308">
        <v>0</v>
      </c>
      <c r="BV22" s="523">
        <f>SUMPRODUCT(BM20:BP20,BR22:BU22)/BQ20</f>
        <v>-3.4977493293123933E-4</v>
      </c>
      <c r="BW22" s="544">
        <v>0</v>
      </c>
      <c r="BX22" s="544">
        <v>0</v>
      </c>
      <c r="BY22" s="544">
        <v>0</v>
      </c>
      <c r="BZ22" s="544">
        <v>0</v>
      </c>
      <c r="CA22" s="523">
        <f>SUMPRODUCT(BR20:BU20,BW22:BZ22)/BV20</f>
        <v>0</v>
      </c>
      <c r="CB22" s="544">
        <v>0</v>
      </c>
      <c r="CC22" s="544">
        <v>0</v>
      </c>
      <c r="CD22" s="544">
        <v>0</v>
      </c>
      <c r="CE22" s="544">
        <v>0</v>
      </c>
      <c r="CF22" s="523">
        <f>SUMPRODUCT(BW20:BZ20,CB22:CE22)/CA20</f>
        <v>0</v>
      </c>
      <c r="CG22" s="544">
        <v>0</v>
      </c>
      <c r="CH22" s="544">
        <v>0</v>
      </c>
      <c r="CI22" s="544">
        <v>0</v>
      </c>
      <c r="CJ22" s="544">
        <v>0</v>
      </c>
      <c r="CK22" s="523">
        <f>SUMPRODUCT(CB20:CE20,CG22:CJ22)/CF20</f>
        <v>0</v>
      </c>
      <c r="CL22"/>
      <c r="CM22"/>
      <c r="CN22" s="37"/>
      <c r="CO22" s="27"/>
      <c r="CP22" s="27"/>
      <c r="CQ22" s="27"/>
      <c r="CR22" s="27"/>
      <c r="CS22" s="27"/>
      <c r="CT22" s="27"/>
      <c r="CU22" s="27"/>
      <c r="CV22" s="27"/>
      <c r="CW22" s="27"/>
      <c r="CX22" s="27"/>
      <c r="CY22" s="27"/>
      <c r="CZ22" s="27"/>
      <c r="DA22" s="27"/>
    </row>
    <row r="23" spans="1:105" x14ac:dyDescent="0.2">
      <c r="A23" s="529" t="s">
        <v>34</v>
      </c>
      <c r="B23" s="529"/>
      <c r="C23" s="303"/>
      <c r="D23" s="303"/>
      <c r="E23" s="292"/>
      <c r="F23" s="292"/>
      <c r="G23" s="292"/>
      <c r="H23" s="292"/>
      <c r="I23" s="523"/>
      <c r="J23" s="308">
        <v>3.5000000000000003E-2</v>
      </c>
      <c r="K23" s="308">
        <v>0.03</v>
      </c>
      <c r="L23" s="308">
        <v>0.02</v>
      </c>
      <c r="M23" s="308">
        <v>0.03</v>
      </c>
      <c r="N23" s="523">
        <v>0.03</v>
      </c>
      <c r="O23" s="308">
        <v>0.02</v>
      </c>
      <c r="P23" s="308">
        <v>0.02</v>
      </c>
      <c r="Q23" s="308">
        <v>1.4999999999999999E-2</v>
      </c>
      <c r="R23" s="308">
        <v>-0.01</v>
      </c>
      <c r="S23" s="523">
        <v>0.01</v>
      </c>
      <c r="T23" s="371">
        <v>-0.01</v>
      </c>
      <c r="U23" s="371">
        <v>0.03</v>
      </c>
      <c r="V23" s="371">
        <v>0.03</v>
      </c>
      <c r="W23" s="371">
        <v>0</v>
      </c>
      <c r="X23" s="178">
        <v>0.01</v>
      </c>
      <c r="Y23" s="205">
        <v>0.01</v>
      </c>
      <c r="Z23" s="180">
        <v>-0.03</v>
      </c>
      <c r="AA23" s="180">
        <v>-0.02</v>
      </c>
      <c r="AB23" s="181">
        <v>0</v>
      </c>
      <c r="AC23" s="178">
        <v>-0.01</v>
      </c>
      <c r="AD23" s="522">
        <v>0.02</v>
      </c>
      <c r="AE23" s="522">
        <v>0.02</v>
      </c>
      <c r="AF23" s="522">
        <v>0.01</v>
      </c>
      <c r="AG23" s="308">
        <v>0.01</v>
      </c>
      <c r="AH23" s="523">
        <f>SUMPRODUCT(Y20:AB20,AD23:AG23)/AC20</f>
        <v>1.4657599618229541E-2</v>
      </c>
      <c r="AI23" s="522">
        <v>-0.02</v>
      </c>
      <c r="AJ23" s="522">
        <v>0</v>
      </c>
      <c r="AK23" s="522">
        <v>0.01</v>
      </c>
      <c r="AL23" s="522">
        <v>0.05</v>
      </c>
      <c r="AM23" s="523">
        <v>0.01</v>
      </c>
      <c r="AN23" s="522">
        <v>0.04</v>
      </c>
      <c r="AO23" s="522">
        <v>0.03</v>
      </c>
      <c r="AP23" s="522">
        <v>0.03</v>
      </c>
      <c r="AQ23" s="522">
        <v>0.03</v>
      </c>
      <c r="AR23" s="523">
        <v>2.5000000000000001E-2</v>
      </c>
      <c r="AS23" s="308">
        <v>0.03</v>
      </c>
      <c r="AT23" s="308">
        <v>2.5000000000000001E-2</v>
      </c>
      <c r="AU23" s="308">
        <v>0.02</v>
      </c>
      <c r="AV23" s="308">
        <v>0.02</v>
      </c>
      <c r="AW23" s="523">
        <v>0.02</v>
      </c>
      <c r="AX23" s="308">
        <v>0.03</v>
      </c>
      <c r="AY23" s="308">
        <v>0</v>
      </c>
      <c r="AZ23" s="308">
        <v>5.0000000000000001E-3</v>
      </c>
      <c r="BA23" s="308">
        <v>0.01</v>
      </c>
      <c r="BB23" s="523">
        <v>0.01</v>
      </c>
      <c r="BC23" s="308">
        <v>0.01</v>
      </c>
      <c r="BD23" s="308">
        <v>0.02</v>
      </c>
      <c r="BE23" s="308">
        <v>0.02</v>
      </c>
      <c r="BF23" s="308">
        <v>0.01</v>
      </c>
      <c r="BG23" s="523">
        <v>1.4999999999999999E-2</v>
      </c>
      <c r="BH23" s="308">
        <v>-1.4999999999999999E-2</v>
      </c>
      <c r="BI23" s="581">
        <v>4.0000000000000001E-3</v>
      </c>
      <c r="BJ23" s="581">
        <v>4.0000000000000001E-3</v>
      </c>
      <c r="BK23" s="581">
        <v>0.03</v>
      </c>
      <c r="BL23" s="523">
        <v>0.01</v>
      </c>
      <c r="BM23" s="530">
        <v>2.5000000000000001E-2</v>
      </c>
      <c r="BN23" s="530">
        <v>1.4999999999999999E-2</v>
      </c>
      <c r="BO23" s="530">
        <v>1.4999999999999999E-2</v>
      </c>
      <c r="BP23" s="530">
        <v>5.0000000000000001E-3</v>
      </c>
      <c r="BQ23" s="523">
        <f>SUMPRODUCT(BH20:BK20,BM23:BP23)/BL20</f>
        <v>1.4158121281174833E-2</v>
      </c>
      <c r="BR23" s="530">
        <v>1.4999999999999999E-2</v>
      </c>
      <c r="BS23" s="530">
        <v>1.4999999999999999E-2</v>
      </c>
      <c r="BT23" s="530">
        <v>1.4999999999999999E-2</v>
      </c>
      <c r="BU23" s="530">
        <v>1.4999999999999999E-2</v>
      </c>
      <c r="BV23" s="523">
        <f>SUMPRODUCT(BM20:BP20,BR23:BU23)/BQ20</f>
        <v>1.5000000000000001E-2</v>
      </c>
      <c r="BW23" s="530">
        <f t="shared" ref="BW23:BZ24" si="35">+BR23</f>
        <v>1.4999999999999999E-2</v>
      </c>
      <c r="BX23" s="530">
        <f t="shared" si="35"/>
        <v>1.4999999999999999E-2</v>
      </c>
      <c r="BY23" s="530">
        <f t="shared" si="35"/>
        <v>1.4999999999999999E-2</v>
      </c>
      <c r="BZ23" s="530">
        <f t="shared" si="35"/>
        <v>1.4999999999999999E-2</v>
      </c>
      <c r="CA23" s="523">
        <f>SUMPRODUCT(BR20:BU20,BW23:BZ23)/BV20</f>
        <v>1.5000000000000001E-2</v>
      </c>
      <c r="CB23" s="530">
        <f t="shared" ref="CB23:CE24" si="36">+BW23</f>
        <v>1.4999999999999999E-2</v>
      </c>
      <c r="CC23" s="530">
        <f t="shared" si="36"/>
        <v>1.4999999999999999E-2</v>
      </c>
      <c r="CD23" s="530">
        <f t="shared" si="36"/>
        <v>1.4999999999999999E-2</v>
      </c>
      <c r="CE23" s="530">
        <f t="shared" si="36"/>
        <v>1.4999999999999999E-2</v>
      </c>
      <c r="CF23" s="523">
        <f>SUMPRODUCT(BW20:BZ20,CB23:CE23)/CA20</f>
        <v>1.4999999999999999E-2</v>
      </c>
      <c r="CG23" s="530">
        <f t="shared" ref="CG23:CJ24" si="37">+CB23</f>
        <v>1.4999999999999999E-2</v>
      </c>
      <c r="CH23" s="530">
        <f t="shared" si="37"/>
        <v>1.4999999999999999E-2</v>
      </c>
      <c r="CI23" s="530">
        <f t="shared" si="37"/>
        <v>1.4999999999999999E-2</v>
      </c>
      <c r="CJ23" s="530">
        <f t="shared" si="37"/>
        <v>1.4999999999999999E-2</v>
      </c>
      <c r="CK23" s="523">
        <f>SUMPRODUCT(CB20:CE20,CG23:CJ23)/CF20</f>
        <v>1.5000000000000001E-2</v>
      </c>
      <c r="CL23"/>
      <c r="CM23"/>
      <c r="CN23" s="37"/>
      <c r="CO23" s="37"/>
    </row>
    <row r="24" spans="1:105" x14ac:dyDescent="0.2">
      <c r="A24" s="529" t="s">
        <v>6</v>
      </c>
      <c r="B24" s="529"/>
      <c r="C24" s="303"/>
      <c r="D24" s="303"/>
      <c r="E24" s="292"/>
      <c r="F24" s="292"/>
      <c r="G24" s="292"/>
      <c r="H24" s="292"/>
      <c r="I24" s="523"/>
      <c r="J24" s="126">
        <f t="shared" ref="J24:W24" si="38">+J21-J23</f>
        <v>3.1861679899707479E-2</v>
      </c>
      <c r="K24" s="126">
        <f t="shared" si="38"/>
        <v>3.0771328398909309E-2</v>
      </c>
      <c r="L24" s="126">
        <f t="shared" si="38"/>
        <v>3.9803179409538161E-2</v>
      </c>
      <c r="M24" s="126">
        <f t="shared" si="38"/>
        <v>5.2665021591610045E-2</v>
      </c>
      <c r="N24" s="127">
        <f>+N21-N23</f>
        <v>4.0000000000000008E-2</v>
      </c>
      <c r="O24" s="126">
        <f t="shared" si="38"/>
        <v>0.05</v>
      </c>
      <c r="P24" s="126">
        <f t="shared" si="38"/>
        <v>0.05</v>
      </c>
      <c r="Q24" s="126">
        <f t="shared" si="38"/>
        <v>7.678571428571436E-2</v>
      </c>
      <c r="R24" s="126">
        <f t="shared" si="38"/>
        <v>0.08</v>
      </c>
      <c r="S24" s="127">
        <f t="shared" si="38"/>
        <v>7.0000000000000007E-2</v>
      </c>
      <c r="T24" s="126">
        <f t="shared" si="38"/>
        <v>0.13</v>
      </c>
      <c r="U24" s="126">
        <f t="shared" si="38"/>
        <v>0.05</v>
      </c>
      <c r="V24" s="126">
        <f t="shared" si="38"/>
        <v>2.0000000000000004E-2</v>
      </c>
      <c r="W24" s="126">
        <f t="shared" si="38"/>
        <v>0.02</v>
      </c>
      <c r="X24" s="178">
        <v>0.05</v>
      </c>
      <c r="Y24" s="179">
        <v>0</v>
      </c>
      <c r="Z24" s="181">
        <v>0.04</v>
      </c>
      <c r="AA24" s="181">
        <v>0.03</v>
      </c>
      <c r="AB24" s="181">
        <v>0</v>
      </c>
      <c r="AC24" s="178">
        <v>1.4999999999999999E-2</v>
      </c>
      <c r="AD24" s="524">
        <f>AD21-AD23</f>
        <v>-0.01</v>
      </c>
      <c r="AE24" s="524">
        <f>AE21-AE23</f>
        <v>9.9999999999999985E-3</v>
      </c>
      <c r="AF24" s="524">
        <f>AF21-AF23</f>
        <v>1.9999999999999997E-2</v>
      </c>
      <c r="AG24" s="308">
        <f>6%-AG23</f>
        <v>4.9999999999999996E-2</v>
      </c>
      <c r="AH24" s="523">
        <f>SUMPRODUCT(Y20:AB20,AD24:AG24)/AC20</f>
        <v>1.9536307961504813E-2</v>
      </c>
      <c r="AI24" s="522">
        <f>AI26-AI25-AI23-AI22</f>
        <v>5.6501377410468331E-2</v>
      </c>
      <c r="AJ24" s="522">
        <f>AJ26-AJ25-AJ23-AJ22</f>
        <v>3.5333333333333439E-2</v>
      </c>
      <c r="AK24" s="522">
        <f>AK26-AK25-AK23-AK22</f>
        <v>2.0255278915852555E-2</v>
      </c>
      <c r="AL24" s="522">
        <v>0</v>
      </c>
      <c r="AM24" s="523">
        <v>0.03</v>
      </c>
      <c r="AN24" s="524">
        <v>0</v>
      </c>
      <c r="AO24" s="524">
        <v>1.4999999999999999E-2</v>
      </c>
      <c r="AP24" s="524">
        <v>0.02</v>
      </c>
      <c r="AQ24" s="524">
        <v>1.4999999999999999E-2</v>
      </c>
      <c r="AR24" s="523">
        <v>1.4999999999999999E-2</v>
      </c>
      <c r="AS24" s="308">
        <f t="shared" ref="AS24:BA24" si="39">+AS21-AS23</f>
        <v>1.0000000000000002E-2</v>
      </c>
      <c r="AT24" s="308">
        <f t="shared" si="39"/>
        <v>-5.000000000000001E-3</v>
      </c>
      <c r="AU24" s="308">
        <f t="shared" si="39"/>
        <v>9.9999999999999985E-3</v>
      </c>
      <c r="AV24" s="308">
        <f t="shared" si="39"/>
        <v>1.5000000000000003E-2</v>
      </c>
      <c r="AW24" s="523">
        <f t="shared" si="39"/>
        <v>9.9999999999999985E-3</v>
      </c>
      <c r="AX24" s="308">
        <f t="shared" si="39"/>
        <v>1.0000000000000002E-2</v>
      </c>
      <c r="AY24" s="308">
        <f t="shared" si="39"/>
        <v>0.03</v>
      </c>
      <c r="AZ24" s="308">
        <f t="shared" si="39"/>
        <v>1.4999999999999999E-2</v>
      </c>
      <c r="BA24" s="308">
        <f t="shared" si="39"/>
        <v>1.9999999999999997E-2</v>
      </c>
      <c r="BB24" s="523">
        <v>0.02</v>
      </c>
      <c r="BC24" s="308">
        <f t="shared" ref="BC24:BH24" si="40">+BC21-BC23</f>
        <v>0.03</v>
      </c>
      <c r="BD24" s="308">
        <f t="shared" si="40"/>
        <v>0.02</v>
      </c>
      <c r="BE24" s="308">
        <f t="shared" si="40"/>
        <v>1.5000000000000003E-2</v>
      </c>
      <c r="BF24" s="308">
        <f t="shared" si="40"/>
        <v>1.9999999999999997E-2</v>
      </c>
      <c r="BG24" s="523">
        <v>0.02</v>
      </c>
      <c r="BH24" s="308">
        <f t="shared" si="40"/>
        <v>3.5000000000000003E-2</v>
      </c>
      <c r="BI24" s="581">
        <f>+BI21-BI23</f>
        <v>3.1000000000000003E-2</v>
      </c>
      <c r="BJ24" s="581">
        <f>+BJ21-BJ23</f>
        <v>2.5999999999999999E-2</v>
      </c>
      <c r="BK24" s="581">
        <f>+BK21-BK23</f>
        <v>2.0000000000000004E-2</v>
      </c>
      <c r="BL24" s="523">
        <v>0.02</v>
      </c>
      <c r="BM24" s="530">
        <v>0.02</v>
      </c>
      <c r="BN24" s="530">
        <v>0.02</v>
      </c>
      <c r="BO24" s="530">
        <v>0.02</v>
      </c>
      <c r="BP24" s="530">
        <v>2.5000000000000001E-2</v>
      </c>
      <c r="BQ24" s="523">
        <f>SUMPRODUCT(BH20:BK20,BM24:BP24)/BL20</f>
        <v>2.1528358020002532E-2</v>
      </c>
      <c r="BR24" s="530">
        <v>0.02</v>
      </c>
      <c r="BS24" s="530">
        <v>0.02</v>
      </c>
      <c r="BT24" s="530">
        <v>0.02</v>
      </c>
      <c r="BU24" s="530">
        <v>0.02</v>
      </c>
      <c r="BV24" s="523">
        <f>SUMPRODUCT(BM20:BP20,BR24:BU24)/BQ20</f>
        <v>0.02</v>
      </c>
      <c r="BW24" s="530">
        <f t="shared" si="35"/>
        <v>0.02</v>
      </c>
      <c r="BX24" s="530">
        <f t="shared" si="35"/>
        <v>0.02</v>
      </c>
      <c r="BY24" s="530">
        <f t="shared" si="35"/>
        <v>0.02</v>
      </c>
      <c r="BZ24" s="530">
        <f t="shared" si="35"/>
        <v>0.02</v>
      </c>
      <c r="CA24" s="523">
        <f>SUMPRODUCT(BR20:BU20,BW24:BZ24)/BV20</f>
        <v>0.02</v>
      </c>
      <c r="CB24" s="530">
        <f t="shared" si="36"/>
        <v>0.02</v>
      </c>
      <c r="CC24" s="530">
        <f t="shared" si="36"/>
        <v>0.02</v>
      </c>
      <c r="CD24" s="530">
        <f t="shared" si="36"/>
        <v>0.02</v>
      </c>
      <c r="CE24" s="530">
        <f t="shared" si="36"/>
        <v>0.02</v>
      </c>
      <c r="CF24" s="523">
        <f>SUMPRODUCT(BW20:BZ20,CB24:CE24)/CA20</f>
        <v>2.0000000000000004E-2</v>
      </c>
      <c r="CG24" s="530">
        <f t="shared" si="37"/>
        <v>0.02</v>
      </c>
      <c r="CH24" s="530">
        <f t="shared" si="37"/>
        <v>0.02</v>
      </c>
      <c r="CI24" s="530">
        <f t="shared" si="37"/>
        <v>0.02</v>
      </c>
      <c r="CJ24" s="530">
        <f t="shared" si="37"/>
        <v>0.02</v>
      </c>
      <c r="CK24" s="523">
        <f>SUMPRODUCT(CB20:CE20,CG24:CJ24)/CF20</f>
        <v>2.0000000000000004E-2</v>
      </c>
      <c r="CL24"/>
      <c r="CM24"/>
      <c r="CN24" s="37"/>
      <c r="CO24" s="37"/>
      <c r="CP24" s="37"/>
      <c r="CQ24" s="27"/>
      <c r="CR24" s="27"/>
      <c r="CS24" s="27"/>
      <c r="CT24" s="27"/>
      <c r="CU24" s="27"/>
      <c r="CV24" s="27"/>
      <c r="CW24" s="27"/>
      <c r="CX24" s="27"/>
      <c r="CY24" s="27"/>
      <c r="CZ24" s="27"/>
      <c r="DA24" s="27"/>
    </row>
    <row r="25" spans="1:105" x14ac:dyDescent="0.2">
      <c r="A25" s="529" t="s">
        <v>202</v>
      </c>
      <c r="B25" s="529"/>
      <c r="C25" s="303"/>
      <c r="D25" s="303"/>
      <c r="E25" s="292"/>
      <c r="F25" s="292"/>
      <c r="G25" s="292"/>
      <c r="H25" s="292"/>
      <c r="I25" s="523"/>
      <c r="J25" s="126">
        <f t="shared" ref="J25:S25" si="41">+J26-J21-J22</f>
        <v>0</v>
      </c>
      <c r="K25" s="126">
        <f t="shared" si="41"/>
        <v>0</v>
      </c>
      <c r="L25" s="126">
        <f t="shared" si="41"/>
        <v>0</v>
      </c>
      <c r="M25" s="126">
        <f t="shared" si="41"/>
        <v>0</v>
      </c>
      <c r="N25" s="127">
        <f t="shared" si="41"/>
        <v>0</v>
      </c>
      <c r="O25" s="126">
        <f t="shared" si="41"/>
        <v>0</v>
      </c>
      <c r="P25" s="126">
        <f t="shared" si="41"/>
        <v>0</v>
      </c>
      <c r="Q25" s="126">
        <f t="shared" si="41"/>
        <v>0</v>
      </c>
      <c r="R25" s="126">
        <f t="shared" si="41"/>
        <v>0</v>
      </c>
      <c r="S25" s="127">
        <f t="shared" si="41"/>
        <v>0</v>
      </c>
      <c r="T25" s="126">
        <f>+T26-T21-T22</f>
        <v>0</v>
      </c>
      <c r="U25" s="126">
        <f>+U26-U21-U22</f>
        <v>0</v>
      </c>
      <c r="V25" s="126">
        <f>+V26-V21-V22</f>
        <v>0</v>
      </c>
      <c r="W25" s="126">
        <f>+W26-W21-W22</f>
        <v>0</v>
      </c>
      <c r="X25" s="178">
        <v>0</v>
      </c>
      <c r="Y25" s="179">
        <v>0</v>
      </c>
      <c r="Z25" s="179">
        <v>0</v>
      </c>
      <c r="AA25" s="179">
        <v>0</v>
      </c>
      <c r="AB25" s="179">
        <v>0</v>
      </c>
      <c r="AC25" s="178">
        <v>0</v>
      </c>
      <c r="AD25" s="524">
        <v>0</v>
      </c>
      <c r="AE25" s="524">
        <v>0</v>
      </c>
      <c r="AF25" s="524">
        <v>0</v>
      </c>
      <c r="AG25" s="308">
        <v>0</v>
      </c>
      <c r="AH25" s="531">
        <v>0</v>
      </c>
      <c r="AI25" s="524">
        <v>0</v>
      </c>
      <c r="AJ25" s="524">
        <v>0</v>
      </c>
      <c r="AK25" s="524">
        <v>0</v>
      </c>
      <c r="AL25" s="524">
        <v>0</v>
      </c>
      <c r="AM25" s="523">
        <f>SUMPRODUCT(AD20:AG20,AI25:AL25)/AH20</f>
        <v>0</v>
      </c>
      <c r="AN25" s="524">
        <v>0</v>
      </c>
      <c r="AO25" s="524">
        <v>0</v>
      </c>
      <c r="AP25" s="524">
        <v>0</v>
      </c>
      <c r="AQ25" s="524">
        <v>0</v>
      </c>
      <c r="AR25" s="523">
        <f>SUMPRODUCT(AN25:AQ25,AI20:AL20)/AM20</f>
        <v>0</v>
      </c>
      <c r="AS25" s="308">
        <v>0</v>
      </c>
      <c r="AT25" s="308">
        <v>0</v>
      </c>
      <c r="AU25" s="308">
        <v>0</v>
      </c>
      <c r="AV25" s="308">
        <v>0</v>
      </c>
      <c r="AW25" s="523">
        <v>0</v>
      </c>
      <c r="AX25" s="308">
        <v>0</v>
      </c>
      <c r="AY25" s="308">
        <v>0</v>
      </c>
      <c r="AZ25" s="308">
        <v>0</v>
      </c>
      <c r="BA25" s="308">
        <v>0</v>
      </c>
      <c r="BB25" s="523">
        <v>0</v>
      </c>
      <c r="BC25" s="308">
        <v>0</v>
      </c>
      <c r="BD25" s="308">
        <v>0</v>
      </c>
      <c r="BE25" s="308">
        <v>0</v>
      </c>
      <c r="BF25" s="581">
        <v>7.0000000000000007E-2</v>
      </c>
      <c r="BG25" s="523">
        <v>0.02</v>
      </c>
      <c r="BH25" s="308">
        <v>0</v>
      </c>
      <c r="BI25" s="581">
        <v>0</v>
      </c>
      <c r="BJ25" s="581">
        <v>0</v>
      </c>
      <c r="BK25" s="581">
        <v>-0.06</v>
      </c>
      <c r="BL25" s="523">
        <v>-0.02</v>
      </c>
      <c r="BM25" s="530">
        <v>0</v>
      </c>
      <c r="BN25" s="530">
        <v>0</v>
      </c>
      <c r="BO25" s="530">
        <v>0</v>
      </c>
      <c r="BP25" s="530">
        <v>0</v>
      </c>
      <c r="BQ25" s="523">
        <f>SUMPRODUCT(BH20:BK20,BM25:BP25)/BL20</f>
        <v>0</v>
      </c>
      <c r="BR25" s="530">
        <v>0</v>
      </c>
      <c r="BS25" s="530">
        <v>0</v>
      </c>
      <c r="BT25" s="530">
        <v>0</v>
      </c>
      <c r="BU25" s="530">
        <v>0</v>
      </c>
      <c r="BV25" s="523">
        <f>SUMPRODUCT(BM20:BP20,BR25:BU25)/BQ20</f>
        <v>0</v>
      </c>
      <c r="BW25" s="530">
        <v>0</v>
      </c>
      <c r="BX25" s="530">
        <v>0</v>
      </c>
      <c r="BY25" s="530">
        <v>0</v>
      </c>
      <c r="BZ25" s="530">
        <v>0</v>
      </c>
      <c r="CA25" s="523">
        <f>SUMPRODUCT(BR20:BU20,BW25:BZ25)/BV20</f>
        <v>0</v>
      </c>
      <c r="CB25" s="530">
        <v>0</v>
      </c>
      <c r="CC25" s="530">
        <v>0</v>
      </c>
      <c r="CD25" s="530">
        <v>0</v>
      </c>
      <c r="CE25" s="530">
        <v>0</v>
      </c>
      <c r="CF25" s="523">
        <f>SUMPRODUCT(BW20:BZ20,CB25:CE25)/CA20</f>
        <v>0</v>
      </c>
      <c r="CG25" s="530">
        <v>0</v>
      </c>
      <c r="CH25" s="530">
        <v>0</v>
      </c>
      <c r="CI25" s="530">
        <v>0</v>
      </c>
      <c r="CJ25" s="530">
        <v>0</v>
      </c>
      <c r="CK25" s="523">
        <f>SUMPRODUCT(CB20:CE20,CG25:CJ25)/CF20</f>
        <v>0</v>
      </c>
      <c r="CL25"/>
      <c r="CM25"/>
      <c r="CN25" s="37"/>
      <c r="CO25" s="37"/>
      <c r="CP25" s="37"/>
    </row>
    <row r="26" spans="1:105" x14ac:dyDescent="0.2">
      <c r="A26" s="532" t="s">
        <v>203</v>
      </c>
      <c r="B26" s="532"/>
      <c r="C26" s="533"/>
      <c r="D26" s="533"/>
      <c r="E26" s="534"/>
      <c r="F26" s="534"/>
      <c r="G26" s="534"/>
      <c r="H26" s="534"/>
      <c r="I26" s="527"/>
      <c r="J26" s="309">
        <f t="shared" ref="J26:W26" si="42">+J20/E20-1</f>
        <v>6.6861679899707482E-2</v>
      </c>
      <c r="K26" s="309">
        <f t="shared" si="42"/>
        <v>6.0771328398909308E-2</v>
      </c>
      <c r="L26" s="309">
        <f t="shared" si="42"/>
        <v>5.9803179409538165E-2</v>
      </c>
      <c r="M26" s="309">
        <f t="shared" si="42"/>
        <v>8.2665021591610044E-2</v>
      </c>
      <c r="N26" s="527">
        <f>+N20/I20-1</f>
        <v>6.8424935448174073E-2</v>
      </c>
      <c r="O26" s="309">
        <f t="shared" si="42"/>
        <v>6.9330199764982448E-2</v>
      </c>
      <c r="P26" s="309">
        <f t="shared" si="42"/>
        <v>8.3363936834373931E-2</v>
      </c>
      <c r="Q26" s="309">
        <f t="shared" si="42"/>
        <v>9.1785714285714359E-2</v>
      </c>
      <c r="R26" s="309">
        <f t="shared" si="42"/>
        <v>7.4074074074074181E-2</v>
      </c>
      <c r="S26" s="527">
        <f t="shared" si="42"/>
        <v>7.9492490937338234E-2</v>
      </c>
      <c r="T26" s="309">
        <f t="shared" si="42"/>
        <v>9.8901098901098994E-2</v>
      </c>
      <c r="U26" s="309">
        <f t="shared" si="42"/>
        <v>6.3728813559322139E-2</v>
      </c>
      <c r="V26" s="309">
        <f t="shared" si="42"/>
        <v>4.6123650637880376E-2</v>
      </c>
      <c r="W26" s="309">
        <f t="shared" si="42"/>
        <v>3.1299734748010621E-2</v>
      </c>
      <c r="X26" s="184">
        <v>5.7327896378028376E-2</v>
      </c>
      <c r="Y26" s="185">
        <v>2.2333333333333316E-2</v>
      </c>
      <c r="Z26" s="185">
        <v>1.8164435946462776E-2</v>
      </c>
      <c r="AA26" s="185">
        <v>1.4383989993746127E-2</v>
      </c>
      <c r="AB26" s="185">
        <v>7.7160493827155285E-4</v>
      </c>
      <c r="AC26" s="184">
        <v>1.3082274652147508E-2</v>
      </c>
      <c r="AD26" s="525">
        <f>AD20/Y20-1</f>
        <v>1.3966480446927276E-2</v>
      </c>
      <c r="AE26" s="525">
        <f>AE20/Z20-1</f>
        <v>3.275401069518713E-2</v>
      </c>
      <c r="AF26" s="525">
        <f>AF20/AA20-1</f>
        <v>4.0327868852459092E-2</v>
      </c>
      <c r="AG26" s="309">
        <f>AG20/AB20-1</f>
        <v>6.2176165803108807E-2</v>
      </c>
      <c r="AH26" s="527">
        <f>+AH20/AC20-1</f>
        <v>3.8892865664519105E-2</v>
      </c>
      <c r="AI26" s="525">
        <f>AI20/AD20-1</f>
        <v>3.6501377410468328E-2</v>
      </c>
      <c r="AJ26" s="525">
        <f>AJ20/AE20-1</f>
        <v>3.3333333333333437E-2</v>
      </c>
      <c r="AK26" s="525">
        <f>AK20/AF20-1</f>
        <v>3.0255278915852557E-2</v>
      </c>
      <c r="AL26" s="525">
        <f>AL20/AG20-1</f>
        <v>5.3145057766367243E-2</v>
      </c>
      <c r="AM26" s="527">
        <f>+AM20/AH20-1</f>
        <v>3.9197672638187075E-2</v>
      </c>
      <c r="AN26" s="525">
        <f>AN20/AI20-1</f>
        <v>3.7541528239202648E-2</v>
      </c>
      <c r="AO26" s="525">
        <f>AO20/AJ20-1</f>
        <v>4.3532727842154673E-2</v>
      </c>
      <c r="AP26" s="525">
        <f>AP20/AK20-1</f>
        <v>4.7415111654940389E-2</v>
      </c>
      <c r="AQ26" s="525">
        <f>AQ20/AL20-1</f>
        <v>3.5348610433934669E-2</v>
      </c>
      <c r="AR26" s="527">
        <f>+AR20/AM20-1</f>
        <v>4.0665979077648462E-2</v>
      </c>
      <c r="AS26" s="309">
        <f>AS20/AN20-1</f>
        <v>3.0739673390970168E-2</v>
      </c>
      <c r="AT26" s="309">
        <f>AT20/AO20-1</f>
        <v>1.6506602641056523E-2</v>
      </c>
      <c r="AU26" s="309">
        <f>AU20/AP20-1</f>
        <v>2.9789719626168276E-2</v>
      </c>
      <c r="AV26" s="309">
        <f>AV20/AQ20-1</f>
        <v>2.8961619967035501E-2</v>
      </c>
      <c r="AW26" s="527">
        <f>+AW20/AR20-1</f>
        <v>2.6617584595780786E-2</v>
      </c>
      <c r="AX26" s="309">
        <f>AX20/AS20-1</f>
        <v>3.1065548306927537E-2</v>
      </c>
      <c r="AY26" s="309">
        <f>AY20/AT20-1</f>
        <v>1.9191024505462062E-2</v>
      </c>
      <c r="AZ26" s="309">
        <f>AZ20/AU20-1</f>
        <v>8.2246171298923088E-3</v>
      </c>
      <c r="BA26" s="309">
        <f>BA20/AV20-1</f>
        <v>1.9679633867276891E-2</v>
      </c>
      <c r="BB26" s="527">
        <f>+BB20/AW20-1</f>
        <v>1.930768169907604E-2</v>
      </c>
      <c r="BC26" s="309">
        <f>BC20/AX20-1</f>
        <v>2.9828261524555533E-2</v>
      </c>
      <c r="BD26" s="309">
        <f>BD20/AY20-1</f>
        <v>3.2444959443800769E-2</v>
      </c>
      <c r="BE26" s="309">
        <f>BE20/AZ20-1</f>
        <v>3.4036568213783314E-2</v>
      </c>
      <c r="BF26" s="309">
        <f>BF20/BA20-1</f>
        <v>9.7621184919210124E-2</v>
      </c>
      <c r="BG26" s="527">
        <f>+BG20/BB20-1</f>
        <v>5.1887430658909439E-2</v>
      </c>
      <c r="BH26" s="309">
        <f>BH20/BC20-1</f>
        <v>2.3698069046225845E-2</v>
      </c>
      <c r="BI26" s="628">
        <f>BI20/BD20-1</f>
        <v>3.1986531986532007E-2</v>
      </c>
      <c r="BJ26" s="628">
        <f>BJ20/BE20-1</f>
        <v>3.1556039173014083E-2</v>
      </c>
      <c r="BK26" s="628">
        <f>BK20/BF20-1</f>
        <v>-1.2676344305867948E-2</v>
      </c>
      <c r="BL26" s="527">
        <f>+BL20/BG20-1</f>
        <v>1.6013891568589678E-2</v>
      </c>
      <c r="BM26" s="309">
        <f>BM21+BM22+BM25</f>
        <v>4.8402650975683512E-2</v>
      </c>
      <c r="BN26" s="309">
        <f>BN21+BN22+BN25</f>
        <v>3.7979854470013105E-2</v>
      </c>
      <c r="BO26" s="309">
        <f>BO21+BO22+BO25</f>
        <v>3.2823986450826674E-2</v>
      </c>
      <c r="BP26" s="309">
        <f>BP21+BP22+BP25</f>
        <v>2.8842698400647397E-2</v>
      </c>
      <c r="BQ26" s="527">
        <f>+BQ20/BL20-1</f>
        <v>3.6257800209069879E-2</v>
      </c>
      <c r="BR26" s="309">
        <f>BR21+BR22+BR25</f>
        <v>3.3439058772981131E-2</v>
      </c>
      <c r="BS26" s="309">
        <f>BS21+BS22+BS25</f>
        <v>3.5000000000000003E-2</v>
      </c>
      <c r="BT26" s="309">
        <f>BT21+BT22+BT25</f>
        <v>3.5000000000000003E-2</v>
      </c>
      <c r="BU26" s="309">
        <f>BU21+BU22+BU25</f>
        <v>3.5000000000000003E-2</v>
      </c>
      <c r="BV26" s="527">
        <f>+BV20/BQ20-1</f>
        <v>3.4650225067068607E-2</v>
      </c>
      <c r="BW26" s="309">
        <f>BW21+BW22+BW25</f>
        <v>3.5000000000000003E-2</v>
      </c>
      <c r="BX26" s="309">
        <f>BX21+BX22+BX25</f>
        <v>3.5000000000000003E-2</v>
      </c>
      <c r="BY26" s="309">
        <f>BY21+BY22+BY25</f>
        <v>3.5000000000000003E-2</v>
      </c>
      <c r="BZ26" s="309">
        <f>BZ21+BZ22+BZ25</f>
        <v>3.5000000000000003E-2</v>
      </c>
      <c r="CA26" s="527">
        <f>+CA20/BV20-1</f>
        <v>3.499999999999992E-2</v>
      </c>
      <c r="CB26" s="309">
        <f>CB21+CB22+CB25</f>
        <v>3.5000000000000003E-2</v>
      </c>
      <c r="CC26" s="309">
        <f>CC21+CC22+CC25</f>
        <v>3.5000000000000003E-2</v>
      </c>
      <c r="CD26" s="309">
        <f>CD21+CD22+CD25</f>
        <v>3.5000000000000003E-2</v>
      </c>
      <c r="CE26" s="309">
        <f>CE21+CE22+CE25</f>
        <v>3.5000000000000003E-2</v>
      </c>
      <c r="CF26" s="527">
        <f>+CF20/CA20-1</f>
        <v>3.499999999999992E-2</v>
      </c>
      <c r="CG26" s="309">
        <f>CG21+CG22+CG25</f>
        <v>3.5000000000000003E-2</v>
      </c>
      <c r="CH26" s="309">
        <f>CH21+CH22+CH25</f>
        <v>3.5000000000000003E-2</v>
      </c>
      <c r="CI26" s="309">
        <f>CI21+CI22+CI25</f>
        <v>3.5000000000000003E-2</v>
      </c>
      <c r="CJ26" s="309">
        <f>CJ21+CJ22+CJ25</f>
        <v>3.5000000000000003E-2</v>
      </c>
      <c r="CK26" s="527">
        <f>+CK20/CF20-1</f>
        <v>3.5000000000000142E-2</v>
      </c>
      <c r="CL26"/>
      <c r="CM26"/>
      <c r="CN26" s="37"/>
      <c r="CO26" s="37"/>
      <c r="CP26" s="37"/>
    </row>
    <row r="27" spans="1:105" x14ac:dyDescent="0.2">
      <c r="A27" s="1" t="s">
        <v>69</v>
      </c>
      <c r="B27" s="1"/>
      <c r="C27" s="1"/>
      <c r="D27" s="1"/>
      <c r="E27" s="64">
        <v>443</v>
      </c>
      <c r="F27" s="64">
        <v>373</v>
      </c>
      <c r="G27" s="64">
        <v>402</v>
      </c>
      <c r="H27" s="64">
        <v>551</v>
      </c>
      <c r="I27" s="140">
        <v>1769</v>
      </c>
      <c r="J27" s="141">
        <f>853-K27</f>
        <v>463</v>
      </c>
      <c r="K27" s="141">
        <v>390</v>
      </c>
      <c r="L27" s="141">
        <v>411</v>
      </c>
      <c r="M27" s="141">
        <v>596</v>
      </c>
      <c r="N27" s="140">
        <v>1860</v>
      </c>
      <c r="O27" s="141">
        <v>495</v>
      </c>
      <c r="P27" s="141">
        <v>406</v>
      </c>
      <c r="Q27" s="141">
        <v>391</v>
      </c>
      <c r="R27" s="141">
        <v>610</v>
      </c>
      <c r="S27" s="140">
        <v>1902</v>
      </c>
      <c r="T27" s="64">
        <v>485</v>
      </c>
      <c r="U27" s="64">
        <v>396</v>
      </c>
      <c r="V27" s="64">
        <v>418</v>
      </c>
      <c r="W27" s="64">
        <v>585</v>
      </c>
      <c r="X27" s="148">
        <v>2687</v>
      </c>
      <c r="Y27" s="64">
        <v>683</v>
      </c>
      <c r="Z27" s="64">
        <v>582</v>
      </c>
      <c r="AA27" s="64">
        <v>601</v>
      </c>
      <c r="AB27" s="64">
        <v>790</v>
      </c>
      <c r="AC27" s="148">
        <f>+Y27+Z27+AA27+AB27</f>
        <v>2656</v>
      </c>
      <c r="AD27" s="142">
        <v>640</v>
      </c>
      <c r="AE27" s="142">
        <v>583</v>
      </c>
      <c r="AF27" s="142">
        <v>614</v>
      </c>
      <c r="AG27" s="64">
        <f>2614-AD27-AE27-AF27</f>
        <v>777</v>
      </c>
      <c r="AH27" s="140">
        <f>+AD27+AE27+AF27+AG27</f>
        <v>2614</v>
      </c>
      <c r="AI27" s="142">
        <v>623</v>
      </c>
      <c r="AJ27" s="142">
        <v>583</v>
      </c>
      <c r="AK27" s="142">
        <v>615</v>
      </c>
      <c r="AL27" s="142">
        <v>815</v>
      </c>
      <c r="AM27" s="140">
        <f>+AI27+AJ27+AK27+AL27</f>
        <v>2636</v>
      </c>
      <c r="AN27" s="142">
        <v>634</v>
      </c>
      <c r="AO27" s="64">
        <v>577</v>
      </c>
      <c r="AP27" s="64">
        <v>604</v>
      </c>
      <c r="AQ27" s="64">
        <v>797</v>
      </c>
      <c r="AR27" s="140">
        <f>+AN27+AO27+AP27+AQ27</f>
        <v>2612</v>
      </c>
      <c r="AS27" s="64">
        <v>634</v>
      </c>
      <c r="AT27" s="141">
        <v>564</v>
      </c>
      <c r="AU27" s="141">
        <v>586</v>
      </c>
      <c r="AV27" s="141">
        <v>784</v>
      </c>
      <c r="AW27" s="140">
        <f>+AS27+AT27+AU27+AV27</f>
        <v>2568</v>
      </c>
      <c r="AX27" s="64">
        <v>639</v>
      </c>
      <c r="AY27" s="64">
        <v>546</v>
      </c>
      <c r="AZ27" s="64">
        <v>583</v>
      </c>
      <c r="BA27" s="64">
        <v>775</v>
      </c>
      <c r="BB27" s="140">
        <f>+AX27+AY27+AZ27+BA27</f>
        <v>2543</v>
      </c>
      <c r="BC27" s="64">
        <v>617</v>
      </c>
      <c r="BD27" s="64">
        <v>561</v>
      </c>
      <c r="BE27" s="64">
        <v>571</v>
      </c>
      <c r="BF27" s="64">
        <v>815</v>
      </c>
      <c r="BG27" s="140">
        <f>+BC27+BD27+BE27+BF27</f>
        <v>2564</v>
      </c>
      <c r="BH27" s="64">
        <v>598</v>
      </c>
      <c r="BI27" s="64">
        <v>553</v>
      </c>
      <c r="BJ27" s="64">
        <v>578</v>
      </c>
      <c r="BK27" s="64">
        <v>774</v>
      </c>
      <c r="BL27" s="140">
        <f>+BH27+BI27+BJ27+BK27</f>
        <v>2503</v>
      </c>
      <c r="BM27" s="64">
        <f>+BH27*(1+BM33)</f>
        <v>608.51095407880689</v>
      </c>
      <c r="BN27" s="64">
        <f>+BI27*(1+BN33)</f>
        <v>554.24793307295943</v>
      </c>
      <c r="BO27" s="64">
        <f>+BJ27*(1+BO33)</f>
        <v>571.26750974206118</v>
      </c>
      <c r="BP27" s="64">
        <f>+BK27*(1+BP33)</f>
        <v>773.32164251282506</v>
      </c>
      <c r="BQ27" s="140">
        <f>+BM27+BN27+BO27+BP27</f>
        <v>2507.3480394066528</v>
      </c>
      <c r="BR27" s="64">
        <f>+BM27*(1+BR33)</f>
        <v>616.91929188911445</v>
      </c>
      <c r="BS27" s="64">
        <f>+BN27*(1+BS33)</f>
        <v>554.24793307295943</v>
      </c>
      <c r="BT27" s="64">
        <f>+BO27*(1+BT33)</f>
        <v>565.55483464464055</v>
      </c>
      <c r="BU27" s="64">
        <f>+BP27*(1+BU33)</f>
        <v>773.32164251282506</v>
      </c>
      <c r="BV27" s="140">
        <f>+BR27+BS27+BT27+BU27</f>
        <v>2510.0437021195394</v>
      </c>
      <c r="BW27" s="64">
        <f>+BR27*(1+BW33)</f>
        <v>626.17308126745115</v>
      </c>
      <c r="BX27" s="64">
        <f>+BS27*(1+BX33)</f>
        <v>554.24793307295943</v>
      </c>
      <c r="BY27" s="64">
        <f>+BT27*(1+BY33)</f>
        <v>559.89928629819417</v>
      </c>
      <c r="BZ27" s="64">
        <f>+BU27*(1+BZ33)</f>
        <v>773.32164251282506</v>
      </c>
      <c r="CA27" s="140">
        <f>+BW27+BX27+BY27+BZ27</f>
        <v>2513.6419431514296</v>
      </c>
      <c r="CB27" s="64">
        <f>+BW27*(1+CB33)</f>
        <v>635.56567748646285</v>
      </c>
      <c r="CC27" s="64">
        <f>+BX27*(1+CC33)</f>
        <v>554.24793307295943</v>
      </c>
      <c r="CD27" s="64">
        <f>+BY27*(1+CD33)</f>
        <v>554.30029343521221</v>
      </c>
      <c r="CE27" s="64">
        <f>+BZ27*(1+CE33)</f>
        <v>773.32164251282506</v>
      </c>
      <c r="CF27" s="140">
        <f>+CB27+CC27+CD27+CE27</f>
        <v>2517.4355465074595</v>
      </c>
      <c r="CG27" s="64">
        <f>+CB27*(1+CG33)</f>
        <v>645.09916264875972</v>
      </c>
      <c r="CH27" s="64">
        <f>+CC27*(1+CH33)</f>
        <v>554.24793307295943</v>
      </c>
      <c r="CI27" s="64">
        <f>+CD27*(1+CI33)</f>
        <v>548.75729050086011</v>
      </c>
      <c r="CJ27" s="64">
        <f>+CE27*(1+CJ33)</f>
        <v>773.32164251282506</v>
      </c>
      <c r="CK27" s="140">
        <f>+CG27+CH27+CI27+CJ27</f>
        <v>2521.4260287354045</v>
      </c>
      <c r="CL27"/>
      <c r="CM27"/>
      <c r="CN27" s="45"/>
      <c r="CO27" s="27"/>
      <c r="CP27" s="27"/>
      <c r="CQ27" s="27"/>
      <c r="CR27" s="27"/>
      <c r="CS27" s="27"/>
      <c r="CT27" s="27"/>
      <c r="CU27" s="27"/>
      <c r="CV27" s="27"/>
      <c r="CW27" s="27"/>
      <c r="CX27" s="27"/>
      <c r="CY27" s="27"/>
    </row>
    <row r="28" spans="1:105" x14ac:dyDescent="0.2">
      <c r="A28" s="529" t="s">
        <v>200</v>
      </c>
      <c r="B28" s="529"/>
      <c r="C28" s="303"/>
      <c r="D28" s="303"/>
      <c r="E28" s="292"/>
      <c r="F28" s="292"/>
      <c r="G28" s="292"/>
      <c r="H28" s="292"/>
      <c r="I28" s="523"/>
      <c r="J28" s="308">
        <f>J33</f>
        <v>4.5146726862302478E-2</v>
      </c>
      <c r="K28" s="308">
        <f>K33</f>
        <v>4.5576407506702443E-2</v>
      </c>
      <c r="L28" s="308">
        <f>L33</f>
        <v>2.2388059701492491E-2</v>
      </c>
      <c r="M28" s="308">
        <f>M33</f>
        <v>8.166969147005454E-2</v>
      </c>
      <c r="N28" s="523">
        <f>5%-1%</f>
        <v>0.04</v>
      </c>
      <c r="O28" s="308">
        <f>O33</f>
        <v>6.9114470842332576E-2</v>
      </c>
      <c r="P28" s="308">
        <f>P33</f>
        <v>4.1025641025641102E-2</v>
      </c>
      <c r="Q28" s="308">
        <f>Q33</f>
        <v>-4.8661800486618056E-2</v>
      </c>
      <c r="R28" s="308">
        <f>R33</f>
        <v>2.3489932885905951E-2</v>
      </c>
      <c r="S28" s="523">
        <f>S33</f>
        <v>2.2580645161290214E-2</v>
      </c>
      <c r="T28" s="371">
        <v>0</v>
      </c>
      <c r="U28" s="371">
        <v>-0.01</v>
      </c>
      <c r="V28" s="371">
        <v>0.08</v>
      </c>
      <c r="W28" s="371">
        <v>-0.05</v>
      </c>
      <c r="X28" s="178">
        <v>0</v>
      </c>
      <c r="Y28" s="205">
        <v>-0.03</v>
      </c>
      <c r="Z28" s="180">
        <v>-0.06</v>
      </c>
      <c r="AA28" s="180">
        <v>-3.5000000000000003E-2</v>
      </c>
      <c r="AB28" s="181">
        <v>-0.04</v>
      </c>
      <c r="AC28" s="178">
        <v>-0.04</v>
      </c>
      <c r="AD28" s="522">
        <v>-7.0000000000000007E-2</v>
      </c>
      <c r="AE28" s="522">
        <v>-0.01</v>
      </c>
      <c r="AF28" s="522">
        <v>0.01</v>
      </c>
      <c r="AG28" s="292">
        <f>+AG31+AG30</f>
        <v>-2.0000000000000004E-2</v>
      </c>
      <c r="AH28" s="521">
        <f t="shared" ref="AH28:BU28" si="43">+AH30+AH31</f>
        <v>-2.387801204819278E-2</v>
      </c>
      <c r="AI28" s="522">
        <f t="shared" si="43"/>
        <v>-2.6562500000000044E-2</v>
      </c>
      <c r="AJ28" s="522">
        <f t="shared" si="43"/>
        <v>0.01</v>
      </c>
      <c r="AK28" s="522">
        <f t="shared" si="43"/>
        <v>1.6286644951140072E-3</v>
      </c>
      <c r="AL28" s="522">
        <v>0.05</v>
      </c>
      <c r="AM28" s="521">
        <f t="shared" si="43"/>
        <v>1.0971690895179794E-2</v>
      </c>
      <c r="AN28" s="522">
        <v>0.02</v>
      </c>
      <c r="AO28" s="292">
        <f t="shared" si="43"/>
        <v>-0.01</v>
      </c>
      <c r="AP28" s="292">
        <v>-0.01</v>
      </c>
      <c r="AQ28" s="292">
        <v>-1.4999999999999999E-2</v>
      </c>
      <c r="AR28" s="521">
        <v>-5.0000000000000001E-3</v>
      </c>
      <c r="AS28" s="310">
        <v>0.01</v>
      </c>
      <c r="AT28" s="310">
        <v>-0.01</v>
      </c>
      <c r="AU28" s="308">
        <v>-0.02</v>
      </c>
      <c r="AV28" s="310">
        <v>0</v>
      </c>
      <c r="AW28" s="521">
        <v>-0.01</v>
      </c>
      <c r="AX28" s="310">
        <v>0.02</v>
      </c>
      <c r="AY28" s="310">
        <v>-1.4999999999999999E-2</v>
      </c>
      <c r="AZ28" s="310">
        <v>0.02</v>
      </c>
      <c r="BA28" s="310">
        <v>0.01</v>
      </c>
      <c r="BB28" s="521">
        <v>0.01</v>
      </c>
      <c r="BC28" s="310">
        <v>-0.02</v>
      </c>
      <c r="BD28" s="310">
        <v>0.03</v>
      </c>
      <c r="BE28" s="310">
        <v>-0.02</v>
      </c>
      <c r="BF28" s="292">
        <v>0</v>
      </c>
      <c r="BG28" s="521">
        <v>0</v>
      </c>
      <c r="BH28" s="292">
        <v>-3.5000000000000003E-2</v>
      </c>
      <c r="BI28" s="24">
        <v>-0.01</v>
      </c>
      <c r="BJ28" s="24">
        <v>0.01</v>
      </c>
      <c r="BK28" s="24">
        <v>0</v>
      </c>
      <c r="BL28" s="521">
        <v>-0.01</v>
      </c>
      <c r="BM28" s="292">
        <f t="shared" si="43"/>
        <v>1.4999999999999999E-2</v>
      </c>
      <c r="BN28" s="292">
        <f t="shared" si="43"/>
        <v>0</v>
      </c>
      <c r="BO28" s="292">
        <f t="shared" si="43"/>
        <v>-0.01</v>
      </c>
      <c r="BP28" s="292">
        <f t="shared" si="43"/>
        <v>0</v>
      </c>
      <c r="BQ28" s="521">
        <f>+BQ30+BQ31</f>
        <v>1.2744706352377148E-3</v>
      </c>
      <c r="BR28" s="292">
        <f t="shared" si="43"/>
        <v>1.4999999999999999E-2</v>
      </c>
      <c r="BS28" s="292">
        <f t="shared" si="43"/>
        <v>0</v>
      </c>
      <c r="BT28" s="292">
        <f t="shared" si="43"/>
        <v>-0.01</v>
      </c>
      <c r="BU28" s="292">
        <f t="shared" si="43"/>
        <v>0</v>
      </c>
      <c r="BV28" s="521">
        <f>+BV30+BV31</f>
        <v>1.3619924956926304E-3</v>
      </c>
      <c r="BW28" s="292">
        <f t="shared" ref="BW28:CE28" si="44">+BW30+BW31</f>
        <v>1.4999999999999999E-2</v>
      </c>
      <c r="BX28" s="292">
        <f t="shared" si="44"/>
        <v>0</v>
      </c>
      <c r="BY28" s="292">
        <f t="shared" si="44"/>
        <v>-0.01</v>
      </c>
      <c r="BZ28" s="292">
        <f t="shared" si="44"/>
        <v>0</v>
      </c>
      <c r="CA28" s="521">
        <f>+CA30+CA31</f>
        <v>1.4335372044924446E-3</v>
      </c>
      <c r="CB28" s="292">
        <f t="shared" si="44"/>
        <v>1.4999999999999999E-2</v>
      </c>
      <c r="CC28" s="292">
        <f t="shared" si="44"/>
        <v>0</v>
      </c>
      <c r="CD28" s="292">
        <f t="shared" si="44"/>
        <v>-0.01</v>
      </c>
      <c r="CE28" s="292">
        <f t="shared" si="44"/>
        <v>0</v>
      </c>
      <c r="CF28" s="521">
        <f t="shared" ref="CF28:CK28" si="45">+CF30+CF31</f>
        <v>1.5092059417474827E-3</v>
      </c>
      <c r="CG28" s="292">
        <f t="shared" si="45"/>
        <v>1.4999999999999999E-2</v>
      </c>
      <c r="CH28" s="292">
        <f t="shared" si="45"/>
        <v>0</v>
      </c>
      <c r="CI28" s="292">
        <f t="shared" si="45"/>
        <v>-0.01</v>
      </c>
      <c r="CJ28" s="292">
        <f t="shared" si="45"/>
        <v>0</v>
      </c>
      <c r="CK28" s="521">
        <f t="shared" si="45"/>
        <v>1.5851377936888901E-3</v>
      </c>
      <c r="CL28"/>
      <c r="CM28"/>
      <c r="CN28" s="37"/>
      <c r="CO28" s="37"/>
      <c r="CP28" s="37"/>
    </row>
    <row r="29" spans="1:105" x14ac:dyDescent="0.2">
      <c r="A29" s="529" t="s">
        <v>201</v>
      </c>
      <c r="B29" s="529"/>
      <c r="C29" s="303"/>
      <c r="D29" s="303"/>
      <c r="E29" s="292"/>
      <c r="F29" s="292"/>
      <c r="G29" s="292"/>
      <c r="H29" s="292"/>
      <c r="I29" s="523"/>
      <c r="J29" s="126">
        <f t="shared" ref="J29:R29" si="46">+J33-J28</f>
        <v>0</v>
      </c>
      <c r="K29" s="126">
        <f t="shared" si="46"/>
        <v>0</v>
      </c>
      <c r="L29" s="126">
        <f t="shared" si="46"/>
        <v>0</v>
      </c>
      <c r="M29" s="126">
        <f t="shared" si="46"/>
        <v>0</v>
      </c>
      <c r="N29" s="127">
        <f t="shared" si="46"/>
        <v>1.1441492368569763E-2</v>
      </c>
      <c r="O29" s="126">
        <f t="shared" si="46"/>
        <v>0</v>
      </c>
      <c r="P29" s="126">
        <f t="shared" si="46"/>
        <v>0</v>
      </c>
      <c r="Q29" s="126">
        <f t="shared" si="46"/>
        <v>0</v>
      </c>
      <c r="R29" s="126">
        <f t="shared" si="46"/>
        <v>0</v>
      </c>
      <c r="S29" s="127">
        <f>+S33-S28</f>
        <v>0</v>
      </c>
      <c r="T29" s="128">
        <f>+T33-T28</f>
        <v>-2.0202020202020221E-2</v>
      </c>
      <c r="U29" s="128">
        <f>+U33-U28</f>
        <v>-1.4630541871921152E-2</v>
      </c>
      <c r="V29" s="128">
        <f>+V33-V28</f>
        <v>-1.0946291560102336E-2</v>
      </c>
      <c r="W29" s="128">
        <f>+W33-W28</f>
        <v>9.0163934426229081E-3</v>
      </c>
      <c r="X29" s="178">
        <v>-9.4637223974763929E-3</v>
      </c>
      <c r="Y29" s="205">
        <v>1.9690721649484572E-2</v>
      </c>
      <c r="Z29" s="205">
        <v>1.707070707070707E-2</v>
      </c>
      <c r="AA29" s="205">
        <v>8.684210526315822E-3</v>
      </c>
      <c r="AB29" s="179">
        <v>7.5213675213675266E-3</v>
      </c>
      <c r="AC29" s="178">
        <v>1.2399150743099795E-2</v>
      </c>
      <c r="AD29" s="522">
        <f>AD33-SUM(AD30:AD32)</f>
        <v>7.0424597364568409E-3</v>
      </c>
      <c r="AE29" s="522">
        <f>AE33-SUM(AE30:AE32)</f>
        <v>1.1718213058419238E-2</v>
      </c>
      <c r="AF29" s="524">
        <v>0.01</v>
      </c>
      <c r="AG29" s="308">
        <v>0</v>
      </c>
      <c r="AH29" s="523">
        <f>SUMPRODUCT(Y27:AB27,AD29:AG29)/AC27</f>
        <v>6.6415662650602496E-3</v>
      </c>
      <c r="AI29" s="522">
        <v>0</v>
      </c>
      <c r="AJ29" s="524">
        <v>-0.01</v>
      </c>
      <c r="AK29" s="524">
        <v>0</v>
      </c>
      <c r="AL29" s="524">
        <v>0</v>
      </c>
      <c r="AM29" s="523">
        <f>SUMPRODUCT(AD27:AG27,AI29:AL29)/AH27</f>
        <v>-2.2302983932670239E-3</v>
      </c>
      <c r="AN29" s="524">
        <v>3.7287645054016324E-4</v>
      </c>
      <c r="AO29" s="308">
        <v>0</v>
      </c>
      <c r="AP29" s="308">
        <v>-5.0000000000000001E-3</v>
      </c>
      <c r="AQ29" s="308">
        <v>-0.01</v>
      </c>
      <c r="AR29" s="523">
        <f>SUMPRODUCT(AI27:AL27,AN29:AQ29)/AM27</f>
        <v>-4.1702192607410773E-3</v>
      </c>
      <c r="AS29" s="308">
        <v>-0.01</v>
      </c>
      <c r="AT29" s="308">
        <v>-0.01</v>
      </c>
      <c r="AU29" s="308">
        <v>-5.0000000000000001E-3</v>
      </c>
      <c r="AV29" s="308">
        <v>-0.01</v>
      </c>
      <c r="AW29" s="523">
        <f>SUMPRODUCT(AN27:AQ27,AS29:AV29)/AR27</f>
        <v>-8.843797856049003E-3</v>
      </c>
      <c r="AX29" s="308">
        <v>-0.01</v>
      </c>
      <c r="AY29" s="308">
        <v>-0.01</v>
      </c>
      <c r="AZ29" s="308">
        <v>-0.02</v>
      </c>
      <c r="BA29" s="308">
        <v>-0.02</v>
      </c>
      <c r="BB29" s="523">
        <v>-0.02</v>
      </c>
      <c r="BC29" s="308">
        <v>-0.01</v>
      </c>
      <c r="BD29" s="308">
        <v>-5.0000000000000001E-3</v>
      </c>
      <c r="BE29" s="308">
        <v>0</v>
      </c>
      <c r="BF29" s="308">
        <v>0</v>
      </c>
      <c r="BG29" s="523">
        <v>0</v>
      </c>
      <c r="BH29" s="308">
        <v>0</v>
      </c>
      <c r="BI29" s="581">
        <v>-5.0000000000000001E-3</v>
      </c>
      <c r="BJ29" s="581">
        <v>0</v>
      </c>
      <c r="BK29" s="581">
        <v>5.0000000000000001E-3</v>
      </c>
      <c r="BL29" s="523">
        <v>0</v>
      </c>
      <c r="BM29" s="308">
        <v>2.5768462856303027E-3</v>
      </c>
      <c r="BN29" s="308">
        <v>2.2566601681001564E-3</v>
      </c>
      <c r="BO29" s="308">
        <v>-1.6479070206553107E-3</v>
      </c>
      <c r="BP29" s="308">
        <v>-8.7643086198305024E-4</v>
      </c>
      <c r="BQ29" s="523">
        <f>SUMPRODUCT(BH27:BK27,BM29:BP29)/BL27</f>
        <v>4.6266056997709026E-4</v>
      </c>
      <c r="BR29" s="308">
        <v>-1.1821093705100933E-3</v>
      </c>
      <c r="BS29" s="308">
        <v>0</v>
      </c>
      <c r="BT29" s="308">
        <v>0</v>
      </c>
      <c r="BU29" s="308">
        <v>0</v>
      </c>
      <c r="BV29" s="523">
        <f>SUMPRODUCT(BM27:BP27,BR29:BU29)/BQ27</f>
        <v>-2.8688737645086499E-4</v>
      </c>
      <c r="BW29" s="544">
        <v>0</v>
      </c>
      <c r="BX29" s="544">
        <v>0</v>
      </c>
      <c r="BY29" s="544">
        <v>0</v>
      </c>
      <c r="BZ29" s="544">
        <v>0</v>
      </c>
      <c r="CA29" s="523">
        <f>SUMPRODUCT(BR27:BU27,BW29:BZ29)/BV27</f>
        <v>0</v>
      </c>
      <c r="CB29" s="544">
        <v>0</v>
      </c>
      <c r="CC29" s="544">
        <v>0</v>
      </c>
      <c r="CD29" s="544">
        <v>0</v>
      </c>
      <c r="CE29" s="544">
        <v>0</v>
      </c>
      <c r="CF29" s="523">
        <f>SUMPRODUCT(BW27:BZ27,CB29:CE29)/CA27</f>
        <v>0</v>
      </c>
      <c r="CG29" s="544">
        <v>0</v>
      </c>
      <c r="CH29" s="544">
        <v>0</v>
      </c>
      <c r="CI29" s="544">
        <v>0</v>
      </c>
      <c r="CJ29" s="544">
        <v>0</v>
      </c>
      <c r="CK29" s="523">
        <f>SUMPRODUCT(CB27:CE27,CG29:CJ29)/CF27</f>
        <v>0</v>
      </c>
      <c r="CL29"/>
      <c r="CM29"/>
      <c r="CN29" s="37"/>
      <c r="CO29" s="37"/>
      <c r="CP29" s="37"/>
    </row>
    <row r="30" spans="1:105" x14ac:dyDescent="0.2">
      <c r="A30" s="529" t="s">
        <v>34</v>
      </c>
      <c r="B30" s="529"/>
      <c r="C30" s="303"/>
      <c r="D30" s="303"/>
      <c r="E30" s="292"/>
      <c r="F30" s="292"/>
      <c r="G30" s="292"/>
      <c r="H30" s="292"/>
      <c r="I30" s="523"/>
      <c r="J30" s="308">
        <v>0.05</v>
      </c>
      <c r="K30" s="308">
        <v>-5.0000000000000001E-3</v>
      </c>
      <c r="L30" s="308">
        <v>-0.02</v>
      </c>
      <c r="M30" s="308">
        <v>0.03</v>
      </c>
      <c r="N30" s="523">
        <v>0.02</v>
      </c>
      <c r="O30" s="308">
        <v>0</v>
      </c>
      <c r="P30" s="308">
        <v>0.02</v>
      </c>
      <c r="Q30" s="308">
        <v>-0.09</v>
      </c>
      <c r="R30" s="308">
        <v>0</v>
      </c>
      <c r="S30" s="523">
        <v>-1.4999999999999999E-2</v>
      </c>
      <c r="T30" s="371">
        <v>-0.01</v>
      </c>
      <c r="U30" s="371">
        <v>-0.04</v>
      </c>
      <c r="V30" s="371">
        <v>0.08</v>
      </c>
      <c r="W30" s="371">
        <v>-0.02</v>
      </c>
      <c r="X30" s="178">
        <v>0</v>
      </c>
      <c r="Y30" s="205">
        <v>-0.01</v>
      </c>
      <c r="Z30" s="205">
        <v>-0.02</v>
      </c>
      <c r="AA30" s="205">
        <v>-0.01</v>
      </c>
      <c r="AB30" s="179">
        <v>-0.01</v>
      </c>
      <c r="AC30" s="178">
        <v>-0.01</v>
      </c>
      <c r="AD30" s="524">
        <v>-0.08</v>
      </c>
      <c r="AE30" s="522">
        <v>-0.02</v>
      </c>
      <c r="AF30" s="522">
        <v>-4.4999999999999998E-2</v>
      </c>
      <c r="AG30" s="308">
        <v>-0.09</v>
      </c>
      <c r="AH30" s="523">
        <f>SUMPRODUCT(Y27:AB27,AD30:AG30)/AC27</f>
        <v>-6.1907003012048198E-2</v>
      </c>
      <c r="AI30" s="524">
        <v>-0.05</v>
      </c>
      <c r="AJ30" s="524">
        <v>-0.01</v>
      </c>
      <c r="AK30" s="524">
        <v>0.02</v>
      </c>
      <c r="AL30" s="524">
        <v>0.06</v>
      </c>
      <c r="AM30" s="523">
        <f>SUMPRODUCT(AD27:AG27,AI30:AL30)/AH27</f>
        <v>8.0604437643458302E-3</v>
      </c>
      <c r="AN30" s="524">
        <v>0.02</v>
      </c>
      <c r="AO30" s="524">
        <v>0.01</v>
      </c>
      <c r="AP30" s="524">
        <v>0.03</v>
      </c>
      <c r="AQ30" s="524">
        <v>1.4999999999999999E-2</v>
      </c>
      <c r="AR30" s="523">
        <f>SUMPRODUCT(AI27:AL27,AN30:AQ30)/AM27</f>
        <v>1.8575493171471925E-2</v>
      </c>
      <c r="AS30" s="308">
        <v>0.03</v>
      </c>
      <c r="AT30" s="308">
        <v>0</v>
      </c>
      <c r="AU30" s="308">
        <v>-0.03</v>
      </c>
      <c r="AV30" s="308">
        <v>0</v>
      </c>
      <c r="AW30" s="523">
        <v>0</v>
      </c>
      <c r="AX30" s="308">
        <v>0.02</v>
      </c>
      <c r="AY30" s="308">
        <v>-0.01</v>
      </c>
      <c r="AZ30" s="308">
        <v>0.02</v>
      </c>
      <c r="BA30" s="308">
        <v>-0.02</v>
      </c>
      <c r="BB30" s="523">
        <v>0.01</v>
      </c>
      <c r="BC30" s="308">
        <v>-0.02</v>
      </c>
      <c r="BD30" s="308">
        <v>0.03</v>
      </c>
      <c r="BE30" s="308">
        <v>-0.02</v>
      </c>
      <c r="BF30" s="308">
        <v>0.01</v>
      </c>
      <c r="BG30" s="523">
        <v>0</v>
      </c>
      <c r="BH30" s="308">
        <v>-0.01</v>
      </c>
      <c r="BI30" s="581">
        <v>0</v>
      </c>
      <c r="BJ30" s="581">
        <v>0.01</v>
      </c>
      <c r="BK30" s="581">
        <v>5.0000000000000001E-3</v>
      </c>
      <c r="BL30" s="523">
        <v>0</v>
      </c>
      <c r="BM30" s="530">
        <v>0.01</v>
      </c>
      <c r="BN30" s="530">
        <v>0</v>
      </c>
      <c r="BO30" s="530">
        <v>-0.01</v>
      </c>
      <c r="BP30" s="530">
        <v>0</v>
      </c>
      <c r="BQ30" s="523">
        <f>SUMPRODUCT(BH27:BK27,BM30:BP30)/BL27</f>
        <v>7.9904115061925766E-5</v>
      </c>
      <c r="BR30" s="530">
        <f t="shared" ref="BR30:BU31" si="47">+BM30</f>
        <v>0.01</v>
      </c>
      <c r="BS30" s="530">
        <f t="shared" si="47"/>
        <v>0</v>
      </c>
      <c r="BT30" s="530">
        <f t="shared" si="47"/>
        <v>-0.01</v>
      </c>
      <c r="BU30" s="530">
        <f t="shared" si="47"/>
        <v>0</v>
      </c>
      <c r="BV30" s="523">
        <f>SUMPRODUCT(BM27:BP27,BR30:BU30)/BQ27</f>
        <v>1.4853719448361497E-4</v>
      </c>
      <c r="BW30" s="530">
        <f t="shared" ref="BW30:BZ31" si="48">+BR30</f>
        <v>0.01</v>
      </c>
      <c r="BX30" s="530">
        <f t="shared" si="48"/>
        <v>0</v>
      </c>
      <c r="BY30" s="530">
        <f t="shared" si="48"/>
        <v>-0.01</v>
      </c>
      <c r="BZ30" s="530">
        <f t="shared" si="48"/>
        <v>0</v>
      </c>
      <c r="CA30" s="523">
        <f>SUMPRODUCT(BR27:BU27,BW30:BZ30)/BV27</f>
        <v>2.0463570893646413E-4</v>
      </c>
      <c r="CB30" s="530">
        <f t="shared" ref="CB30:CE31" si="49">+BW30</f>
        <v>0.01</v>
      </c>
      <c r="CC30" s="530">
        <f t="shared" si="49"/>
        <v>0</v>
      </c>
      <c r="CD30" s="530">
        <f t="shared" si="49"/>
        <v>-0.01</v>
      </c>
      <c r="CE30" s="530">
        <f t="shared" si="49"/>
        <v>0</v>
      </c>
      <c r="CF30" s="523">
        <f>SUMPRODUCT(BW27:BZ27,CB30:CE30)/CA27</f>
        <v>2.6365646527272499E-4</v>
      </c>
      <c r="CG30" s="530">
        <f t="shared" ref="CG30:CJ31" si="50">+CB30</f>
        <v>0.01</v>
      </c>
      <c r="CH30" s="530">
        <f t="shared" si="50"/>
        <v>0</v>
      </c>
      <c r="CI30" s="530">
        <f t="shared" si="50"/>
        <v>-0.01</v>
      </c>
      <c r="CJ30" s="530">
        <f t="shared" si="50"/>
        <v>0</v>
      </c>
      <c r="CK30" s="523">
        <f>SUMPRODUCT(CB27:CE27,CG30:CJ30)/CF27</f>
        <v>3.2281018739086827E-4</v>
      </c>
      <c r="CL30"/>
      <c r="CM30"/>
      <c r="CN30" s="37"/>
      <c r="CO30" s="37"/>
      <c r="CP30" s="37"/>
    </row>
    <row r="31" spans="1:105" x14ac:dyDescent="0.2">
      <c r="A31" s="529" t="s">
        <v>6</v>
      </c>
      <c r="B31" s="529"/>
      <c r="C31" s="303"/>
      <c r="D31" s="303"/>
      <c r="E31" s="292"/>
      <c r="F31" s="292"/>
      <c r="G31" s="292"/>
      <c r="H31" s="292"/>
      <c r="I31" s="521"/>
      <c r="J31" s="143">
        <f t="shared" ref="J31:W31" si="51">+J28-J30</f>
        <v>-4.8532731376975252E-3</v>
      </c>
      <c r="K31" s="143">
        <f t="shared" si="51"/>
        <v>5.0576407506702441E-2</v>
      </c>
      <c r="L31" s="143">
        <f t="shared" si="51"/>
        <v>4.2388059701492495E-2</v>
      </c>
      <c r="M31" s="143">
        <f t="shared" si="51"/>
        <v>5.1669691470054541E-2</v>
      </c>
      <c r="N31" s="131">
        <f>+N28-N30</f>
        <v>0.02</v>
      </c>
      <c r="O31" s="143">
        <f t="shared" si="51"/>
        <v>6.9114470842332576E-2</v>
      </c>
      <c r="P31" s="143">
        <f t="shared" si="51"/>
        <v>2.1025641025641102E-2</v>
      </c>
      <c r="Q31" s="143">
        <f t="shared" si="51"/>
        <v>4.133819951338194E-2</v>
      </c>
      <c r="R31" s="143">
        <f t="shared" si="51"/>
        <v>2.3489932885905951E-2</v>
      </c>
      <c r="S31" s="131">
        <f t="shared" si="51"/>
        <v>3.7580645161290213E-2</v>
      </c>
      <c r="T31" s="143">
        <f t="shared" si="51"/>
        <v>0.01</v>
      </c>
      <c r="U31" s="143">
        <f t="shared" si="51"/>
        <v>0.03</v>
      </c>
      <c r="V31" s="143">
        <f t="shared" si="51"/>
        <v>0</v>
      </c>
      <c r="W31" s="143">
        <f t="shared" si="51"/>
        <v>-3.0000000000000002E-2</v>
      </c>
      <c r="X31" s="186">
        <v>0</v>
      </c>
      <c r="Y31" s="181">
        <v>-0.02</v>
      </c>
      <c r="Z31" s="181">
        <v>-0.04</v>
      </c>
      <c r="AA31" s="181">
        <v>-2.5000000000000001E-2</v>
      </c>
      <c r="AB31" s="181">
        <v>-0.03</v>
      </c>
      <c r="AC31" s="186">
        <v>-0.03</v>
      </c>
      <c r="AD31" s="524">
        <f>AD28-AD30</f>
        <v>9.999999999999995E-3</v>
      </c>
      <c r="AE31" s="524">
        <f>AE28-AE30</f>
        <v>0.01</v>
      </c>
      <c r="AF31" s="524">
        <f>AF28-AF30</f>
        <v>5.5E-2</v>
      </c>
      <c r="AG31" s="308">
        <f>-2%-AG30</f>
        <v>6.9999999999999993E-2</v>
      </c>
      <c r="AH31" s="523">
        <f>SUMPRODUCT(Y27:AB27,AD31:AG31)/AC27</f>
        <v>3.8028990963855418E-2</v>
      </c>
      <c r="AI31" s="524">
        <f>AI33-AI32-AI30-AI29</f>
        <v>2.3437499999999958E-2</v>
      </c>
      <c r="AJ31" s="524">
        <f>AJ33-AJ32-AJ30-AJ29</f>
        <v>0.02</v>
      </c>
      <c r="AK31" s="524">
        <f>AK33-AK32-AK30-AK29</f>
        <v>-1.8371335504885993E-2</v>
      </c>
      <c r="AL31" s="524">
        <f>AL28-AL30</f>
        <v>-9.999999999999995E-3</v>
      </c>
      <c r="AM31" s="523">
        <f>SUMPRODUCT(AD27:AG27,AI31:AL31)/AH27</f>
        <v>2.9112471308339631E-3</v>
      </c>
      <c r="AN31" s="524">
        <v>0</v>
      </c>
      <c r="AO31" s="524">
        <v>-0.02</v>
      </c>
      <c r="AP31" s="524">
        <f>AP28-AP30</f>
        <v>-0.04</v>
      </c>
      <c r="AQ31" s="524">
        <f>AQ28-AQ30</f>
        <v>-0.03</v>
      </c>
      <c r="AR31" s="523">
        <f>SUMPRODUCT(AI27:AL27,AN31:AQ31)/AM27</f>
        <v>-2.3031107738998486E-2</v>
      </c>
      <c r="AS31" s="308">
        <f>AS28-AS30</f>
        <v>-1.9999999999999997E-2</v>
      </c>
      <c r="AT31" s="308">
        <f>AT28-AT30</f>
        <v>-0.01</v>
      </c>
      <c r="AU31" s="308">
        <f>AU28-AU30</f>
        <v>9.9999999999999985E-3</v>
      </c>
      <c r="AV31" s="308">
        <v>-0.01</v>
      </c>
      <c r="AW31" s="523">
        <f>AW28-AW30</f>
        <v>-0.01</v>
      </c>
      <c r="AX31" s="308">
        <f>AX28-AX30</f>
        <v>0</v>
      </c>
      <c r="AY31" s="308">
        <f>AY28-AY30</f>
        <v>-4.9999999999999992E-3</v>
      </c>
      <c r="AZ31" s="308">
        <f>AZ28-AZ30</f>
        <v>0</v>
      </c>
      <c r="BA31" s="308">
        <f>BA28-BA30</f>
        <v>0.03</v>
      </c>
      <c r="BB31" s="523">
        <v>0</v>
      </c>
      <c r="BC31" s="308">
        <f>BC28-BC30</f>
        <v>0</v>
      </c>
      <c r="BD31" s="308">
        <f>BD28-BD30</f>
        <v>0</v>
      </c>
      <c r="BE31" s="308">
        <f>BE28-BE30</f>
        <v>0</v>
      </c>
      <c r="BF31" s="308">
        <f>BF28-BF30</f>
        <v>-0.01</v>
      </c>
      <c r="BG31" s="523">
        <v>0</v>
      </c>
      <c r="BH31" s="308">
        <f>BH28-BH30</f>
        <v>-2.5000000000000001E-2</v>
      </c>
      <c r="BI31" s="581">
        <f>BI28-BI30</f>
        <v>-0.01</v>
      </c>
      <c r="BJ31" s="581">
        <f>BJ28-BJ30</f>
        <v>0</v>
      </c>
      <c r="BK31" s="581">
        <f>BK28-BK30</f>
        <v>-5.0000000000000001E-3</v>
      </c>
      <c r="BL31" s="523">
        <v>-0.01</v>
      </c>
      <c r="BM31" s="530">
        <v>5.0000000000000001E-3</v>
      </c>
      <c r="BN31" s="530">
        <v>0</v>
      </c>
      <c r="BO31" s="530">
        <v>0</v>
      </c>
      <c r="BP31" s="530">
        <v>0</v>
      </c>
      <c r="BQ31" s="523">
        <f>SUMPRODUCT(BH27:BK27,BM31:BP31)/BL27</f>
        <v>1.1945665201757891E-3</v>
      </c>
      <c r="BR31" s="530">
        <f t="shared" si="47"/>
        <v>5.0000000000000001E-3</v>
      </c>
      <c r="BS31" s="530">
        <f t="shared" si="47"/>
        <v>0</v>
      </c>
      <c r="BT31" s="530">
        <f t="shared" si="47"/>
        <v>0</v>
      </c>
      <c r="BU31" s="530">
        <f t="shared" si="47"/>
        <v>0</v>
      </c>
      <c r="BV31" s="523">
        <f>SUMPRODUCT(BM27:BP27,BR31:BU31)/BQ27</f>
        <v>1.2134553012090154E-3</v>
      </c>
      <c r="BW31" s="530">
        <f t="shared" si="48"/>
        <v>5.0000000000000001E-3</v>
      </c>
      <c r="BX31" s="530">
        <f t="shared" si="48"/>
        <v>0</v>
      </c>
      <c r="BY31" s="530">
        <f t="shared" si="48"/>
        <v>0</v>
      </c>
      <c r="BZ31" s="530">
        <f t="shared" si="48"/>
        <v>0</v>
      </c>
      <c r="CA31" s="523">
        <f>SUMPRODUCT(BR27:BU27,BW31:BZ31)/BV27</f>
        <v>1.2289014955559805E-3</v>
      </c>
      <c r="CB31" s="530">
        <f t="shared" si="49"/>
        <v>5.0000000000000001E-3</v>
      </c>
      <c r="CC31" s="530">
        <f t="shared" si="49"/>
        <v>0</v>
      </c>
      <c r="CD31" s="530">
        <f t="shared" si="49"/>
        <v>0</v>
      </c>
      <c r="CE31" s="530">
        <f t="shared" si="49"/>
        <v>0</v>
      </c>
      <c r="CF31" s="523">
        <f>SUMPRODUCT(BW27:BZ27,CB31:CE31)/CA27</f>
        <v>1.2455494764747577E-3</v>
      </c>
      <c r="CG31" s="530">
        <f t="shared" si="50"/>
        <v>5.0000000000000001E-3</v>
      </c>
      <c r="CH31" s="530">
        <f t="shared" si="50"/>
        <v>0</v>
      </c>
      <c r="CI31" s="530">
        <f t="shared" si="50"/>
        <v>0</v>
      </c>
      <c r="CJ31" s="530">
        <f t="shared" si="50"/>
        <v>0</v>
      </c>
      <c r="CK31" s="523">
        <f>SUMPRODUCT(CB27:CE27,CG31:CJ31)/CF27</f>
        <v>1.2623276062980219E-3</v>
      </c>
      <c r="CL31"/>
      <c r="CM31"/>
      <c r="CN31" s="37"/>
      <c r="CO31" s="37"/>
      <c r="CP31" s="37"/>
    </row>
    <row r="32" spans="1:105" x14ac:dyDescent="0.2">
      <c r="A32" s="529" t="s">
        <v>202</v>
      </c>
      <c r="B32" s="529"/>
      <c r="C32" s="303"/>
      <c r="D32" s="303"/>
      <c r="E32" s="292"/>
      <c r="F32" s="292"/>
      <c r="G32" s="292"/>
      <c r="H32" s="292"/>
      <c r="I32" s="521"/>
      <c r="J32" s="126">
        <f t="shared" ref="J32:S32" si="52">+J33-J28-J29</f>
        <v>0</v>
      </c>
      <c r="K32" s="126">
        <f t="shared" si="52"/>
        <v>0</v>
      </c>
      <c r="L32" s="126">
        <f t="shared" si="52"/>
        <v>0</v>
      </c>
      <c r="M32" s="126">
        <f t="shared" si="52"/>
        <v>0</v>
      </c>
      <c r="N32" s="127">
        <f t="shared" si="52"/>
        <v>0</v>
      </c>
      <c r="O32" s="126">
        <f t="shared" si="52"/>
        <v>0</v>
      </c>
      <c r="P32" s="126">
        <f t="shared" si="52"/>
        <v>0</v>
      </c>
      <c r="Q32" s="126">
        <f t="shared" si="52"/>
        <v>0</v>
      </c>
      <c r="R32" s="126">
        <f t="shared" si="52"/>
        <v>0</v>
      </c>
      <c r="S32" s="127">
        <f t="shared" si="52"/>
        <v>0</v>
      </c>
      <c r="T32" s="126">
        <f>+T33-T28-T29</f>
        <v>0</v>
      </c>
      <c r="U32" s="126">
        <f>+U33-U28-U29</f>
        <v>0</v>
      </c>
      <c r="V32" s="126">
        <f>+V33-V28-V29</f>
        <v>0</v>
      </c>
      <c r="W32" s="126">
        <f>+W33-W28-W29</f>
        <v>0</v>
      </c>
      <c r="X32" s="178">
        <v>0</v>
      </c>
      <c r="Y32" s="179">
        <v>0</v>
      </c>
      <c r="Z32" s="179">
        <v>0</v>
      </c>
      <c r="AA32" s="179">
        <v>0</v>
      </c>
      <c r="AB32" s="179">
        <v>0</v>
      </c>
      <c r="AC32" s="178">
        <v>0</v>
      </c>
      <c r="AD32" s="524">
        <v>0</v>
      </c>
      <c r="AE32" s="524">
        <v>0</v>
      </c>
      <c r="AF32" s="524">
        <v>0</v>
      </c>
      <c r="AG32" s="308">
        <v>0</v>
      </c>
      <c r="AH32" s="531">
        <v>0</v>
      </c>
      <c r="AI32" s="524">
        <v>0</v>
      </c>
      <c r="AJ32" s="524">
        <v>0</v>
      </c>
      <c r="AK32" s="524">
        <v>0</v>
      </c>
      <c r="AL32" s="524">
        <v>0</v>
      </c>
      <c r="AM32" s="523">
        <f>SUMPRODUCT(AD27:AG27,AI32:AL32)/AH27</f>
        <v>0</v>
      </c>
      <c r="AN32" s="524">
        <v>0</v>
      </c>
      <c r="AO32" s="524">
        <v>0</v>
      </c>
      <c r="AP32" s="524">
        <v>0</v>
      </c>
      <c r="AQ32" s="524">
        <v>0</v>
      </c>
      <c r="AR32" s="523">
        <f>SUMPRODUCT(AN32:AQ32,AI27:AL27)/AM27</f>
        <v>0</v>
      </c>
      <c r="AS32" s="308">
        <v>0</v>
      </c>
      <c r="AT32" s="308">
        <v>0</v>
      </c>
      <c r="AU32" s="308">
        <v>0</v>
      </c>
      <c r="AV32" s="308">
        <v>0.01</v>
      </c>
      <c r="AW32" s="523">
        <v>0</v>
      </c>
      <c r="AX32" s="308">
        <v>0</v>
      </c>
      <c r="AY32" s="308">
        <v>0</v>
      </c>
      <c r="AZ32" s="308">
        <v>0</v>
      </c>
      <c r="BA32" s="308">
        <v>0</v>
      </c>
      <c r="BB32" s="523">
        <f>SUMPRODUCT(AX32:BA32,AS27:AV27)/AW27</f>
        <v>0</v>
      </c>
      <c r="BC32" s="308">
        <v>0</v>
      </c>
      <c r="BD32" s="308">
        <v>0</v>
      </c>
      <c r="BE32" s="308">
        <v>0</v>
      </c>
      <c r="BF32" s="308">
        <v>0.06</v>
      </c>
      <c r="BG32" s="523">
        <v>0.02</v>
      </c>
      <c r="BH32" s="308">
        <v>0</v>
      </c>
      <c r="BI32" s="581">
        <v>0</v>
      </c>
      <c r="BJ32" s="581">
        <v>0</v>
      </c>
      <c r="BK32" s="581">
        <v>-0.05</v>
      </c>
      <c r="BL32" s="523">
        <v>-0.02</v>
      </c>
      <c r="BM32" s="530">
        <v>0</v>
      </c>
      <c r="BN32" s="530">
        <v>0</v>
      </c>
      <c r="BO32" s="530">
        <v>0</v>
      </c>
      <c r="BP32" s="530">
        <v>0</v>
      </c>
      <c r="BQ32" s="523">
        <f>SUMPRODUCT(BH27:BK27,BM32:BP32)/BL27</f>
        <v>0</v>
      </c>
      <c r="BR32" s="530">
        <v>0</v>
      </c>
      <c r="BS32" s="530">
        <v>0</v>
      </c>
      <c r="BT32" s="530">
        <v>0</v>
      </c>
      <c r="BU32" s="530">
        <v>0</v>
      </c>
      <c r="BV32" s="523">
        <f>SUMPRODUCT(BM27:BP27,BR32:BU32)/BQ27</f>
        <v>0</v>
      </c>
      <c r="BW32" s="530">
        <v>0</v>
      </c>
      <c r="BX32" s="530">
        <v>0</v>
      </c>
      <c r="BY32" s="530">
        <v>0</v>
      </c>
      <c r="BZ32" s="530">
        <v>0</v>
      </c>
      <c r="CA32" s="523">
        <f>SUMPRODUCT(BR27:BU27,BW32:BZ32)/BV27</f>
        <v>0</v>
      </c>
      <c r="CB32" s="530">
        <v>0</v>
      </c>
      <c r="CC32" s="530">
        <v>0</v>
      </c>
      <c r="CD32" s="530">
        <v>0</v>
      </c>
      <c r="CE32" s="530">
        <v>0</v>
      </c>
      <c r="CF32" s="523">
        <f>SUMPRODUCT(BW27:BZ27,CB32:CE32)/CA27</f>
        <v>0</v>
      </c>
      <c r="CG32" s="530">
        <v>0</v>
      </c>
      <c r="CH32" s="530">
        <v>0</v>
      </c>
      <c r="CI32" s="530">
        <v>0</v>
      </c>
      <c r="CJ32" s="530">
        <v>0</v>
      </c>
      <c r="CK32" s="523">
        <f>SUMPRODUCT(CB27:CE27,CG32:CJ32)/CF27</f>
        <v>0</v>
      </c>
      <c r="CL32"/>
      <c r="CM32"/>
      <c r="CN32" s="37"/>
      <c r="CO32" s="37"/>
      <c r="CP32" s="37"/>
    </row>
    <row r="33" spans="1:105" x14ac:dyDescent="0.2">
      <c r="A33" s="532" t="s">
        <v>203</v>
      </c>
      <c r="B33" s="532"/>
      <c r="C33" s="533"/>
      <c r="D33" s="533"/>
      <c r="E33" s="534"/>
      <c r="F33" s="534"/>
      <c r="G33" s="534"/>
      <c r="H33" s="534"/>
      <c r="I33" s="527"/>
      <c r="J33" s="309">
        <f t="shared" ref="J33:R33" si="53">+J27/E27-1</f>
        <v>4.5146726862302478E-2</v>
      </c>
      <c r="K33" s="309">
        <f t="shared" si="53"/>
        <v>4.5576407506702443E-2</v>
      </c>
      <c r="L33" s="309">
        <f t="shared" si="53"/>
        <v>2.2388059701492491E-2</v>
      </c>
      <c r="M33" s="309">
        <f t="shared" si="53"/>
        <v>8.166969147005454E-2</v>
      </c>
      <c r="N33" s="527">
        <f t="shared" si="53"/>
        <v>5.1441492368569763E-2</v>
      </c>
      <c r="O33" s="309">
        <f t="shared" si="53"/>
        <v>6.9114470842332576E-2</v>
      </c>
      <c r="P33" s="309">
        <f t="shared" si="53"/>
        <v>4.1025641025641102E-2</v>
      </c>
      <c r="Q33" s="309">
        <f t="shared" si="53"/>
        <v>-4.8661800486618056E-2</v>
      </c>
      <c r="R33" s="309">
        <f t="shared" si="53"/>
        <v>2.3489932885905951E-2</v>
      </c>
      <c r="S33" s="527">
        <f>+S27/N27-1</f>
        <v>2.2580645161290214E-2</v>
      </c>
      <c r="T33" s="309">
        <f>+T27/O27-1</f>
        <v>-2.0202020202020221E-2</v>
      </c>
      <c r="U33" s="309">
        <f>+U27/P27-1</f>
        <v>-2.4630541871921152E-2</v>
      </c>
      <c r="V33" s="309">
        <f>+V27/Q27-1</f>
        <v>6.9053708439897665E-2</v>
      </c>
      <c r="W33" s="309">
        <f>+W27/R27-1</f>
        <v>-4.0983606557377095E-2</v>
      </c>
      <c r="X33" s="184">
        <v>-9.4637223974763929E-3</v>
      </c>
      <c r="Y33" s="185">
        <v>-1.0309278350515427E-2</v>
      </c>
      <c r="Z33" s="185">
        <v>-4.2929292929292928E-2</v>
      </c>
      <c r="AA33" s="185">
        <v>-2.6315789473684181E-2</v>
      </c>
      <c r="AB33" s="185">
        <v>-3.2478632478632474E-2</v>
      </c>
      <c r="AC33" s="184">
        <v>-2.7600849256900206E-2</v>
      </c>
      <c r="AD33" s="525">
        <f t="shared" ref="AD33:AU33" si="54">+AD27/Y27-1</f>
        <v>-6.2957540263543166E-2</v>
      </c>
      <c r="AE33" s="525">
        <f t="shared" si="54"/>
        <v>1.7182130584192379E-3</v>
      </c>
      <c r="AF33" s="525">
        <f t="shared" si="54"/>
        <v>2.1630615640598982E-2</v>
      </c>
      <c r="AG33" s="309">
        <f t="shared" si="54"/>
        <v>-1.6455696202531622E-2</v>
      </c>
      <c r="AH33" s="527">
        <f t="shared" si="54"/>
        <v>-1.5813253012048167E-2</v>
      </c>
      <c r="AI33" s="525">
        <f t="shared" si="54"/>
        <v>-2.6562500000000044E-2</v>
      </c>
      <c r="AJ33" s="525">
        <f t="shared" si="54"/>
        <v>0</v>
      </c>
      <c r="AK33" s="525">
        <f t="shared" si="54"/>
        <v>1.6286644951140072E-3</v>
      </c>
      <c r="AL33" s="525">
        <f t="shared" si="54"/>
        <v>4.8906048906048882E-2</v>
      </c>
      <c r="AM33" s="527">
        <f>+AM27/AH27-1</f>
        <v>8.4162203519511092E-3</v>
      </c>
      <c r="AN33" s="525">
        <f t="shared" si="54"/>
        <v>1.7656500802568198E-2</v>
      </c>
      <c r="AO33" s="525">
        <f t="shared" si="54"/>
        <v>-1.0291595197255532E-2</v>
      </c>
      <c r="AP33" s="525">
        <f t="shared" si="54"/>
        <v>-1.7886178861788671E-2</v>
      </c>
      <c r="AQ33" s="525">
        <f t="shared" si="54"/>
        <v>-2.2085889570552131E-2</v>
      </c>
      <c r="AR33" s="527">
        <f>+AR27/AM27-1</f>
        <v>-9.1047040971168336E-3</v>
      </c>
      <c r="AS33" s="309">
        <f t="shared" si="54"/>
        <v>0</v>
      </c>
      <c r="AT33" s="309">
        <f t="shared" si="54"/>
        <v>-2.2530329289428108E-2</v>
      </c>
      <c r="AU33" s="309">
        <f t="shared" si="54"/>
        <v>-2.9801324503311299E-2</v>
      </c>
      <c r="AV33" s="309">
        <f t="shared" ref="AV33:BK33" si="55">+AV27/AQ27-1</f>
        <v>-1.6311166875784155E-2</v>
      </c>
      <c r="AW33" s="527">
        <f t="shared" si="55"/>
        <v>-1.6845329249617125E-2</v>
      </c>
      <c r="AX33" s="309">
        <f t="shared" si="55"/>
        <v>7.8864353312302349E-3</v>
      </c>
      <c r="AY33" s="309">
        <f t="shared" si="55"/>
        <v>-3.1914893617021267E-2</v>
      </c>
      <c r="AZ33" s="309">
        <f t="shared" si="55"/>
        <v>-5.1194539249146409E-3</v>
      </c>
      <c r="BA33" s="309">
        <f t="shared" si="55"/>
        <v>-1.1479591836734748E-2</v>
      </c>
      <c r="BB33" s="527">
        <f t="shared" si="55"/>
        <v>-9.7352024922118252E-3</v>
      </c>
      <c r="BC33" s="309">
        <f t="shared" si="55"/>
        <v>-3.4428794992175327E-2</v>
      </c>
      <c r="BD33" s="309">
        <f t="shared" si="55"/>
        <v>2.7472527472527375E-2</v>
      </c>
      <c r="BE33" s="309">
        <f t="shared" si="55"/>
        <v>-2.0583190394511175E-2</v>
      </c>
      <c r="BF33" s="309">
        <f t="shared" si="55"/>
        <v>5.1612903225806361E-2</v>
      </c>
      <c r="BG33" s="527">
        <f>+BG27/BB27-1</f>
        <v>8.2579630357844103E-3</v>
      </c>
      <c r="BH33" s="309">
        <f t="shared" si="55"/>
        <v>-3.0794165316045397E-2</v>
      </c>
      <c r="BI33" s="628">
        <f t="shared" si="55"/>
        <v>-1.4260249554367221E-2</v>
      </c>
      <c r="BJ33" s="628">
        <f t="shared" si="55"/>
        <v>1.2259194395796813E-2</v>
      </c>
      <c r="BK33" s="628">
        <f t="shared" si="55"/>
        <v>-5.0306748466257711E-2</v>
      </c>
      <c r="BL33" s="527">
        <f>+BL27/BG27-1</f>
        <v>-2.3790951638065549E-2</v>
      </c>
      <c r="BM33" s="309">
        <f>BM28+BM29+BM32</f>
        <v>1.7576846285630301E-2</v>
      </c>
      <c r="BN33" s="309">
        <f>BN28+BN29+BN32</f>
        <v>2.2566601681001564E-3</v>
      </c>
      <c r="BO33" s="309">
        <f>BO28+BO29+BO32</f>
        <v>-1.1647907020655312E-2</v>
      </c>
      <c r="BP33" s="309">
        <f>BP28+BP29+BP32</f>
        <v>-8.7643086198305024E-4</v>
      </c>
      <c r="BQ33" s="527">
        <f>+BQ27/BL27-1</f>
        <v>1.7371312052147925E-3</v>
      </c>
      <c r="BR33" s="309">
        <f>BR28+BR29+BR32</f>
        <v>1.3817890629489906E-2</v>
      </c>
      <c r="BS33" s="309">
        <f>BS28+BS29+BS32</f>
        <v>0</v>
      </c>
      <c r="BT33" s="309">
        <f>BT28+BT29+BT32</f>
        <v>-0.01</v>
      </c>
      <c r="BU33" s="309">
        <f>BU28+BU29+BU32</f>
        <v>0</v>
      </c>
      <c r="BV33" s="527">
        <f>+BV27/BQ27-1</f>
        <v>1.0751051192416927E-3</v>
      </c>
      <c r="BW33" s="309">
        <f>BW28+BW29+BW32</f>
        <v>1.4999999999999999E-2</v>
      </c>
      <c r="BX33" s="309">
        <f>BX28+BX29+BX32</f>
        <v>0</v>
      </c>
      <c r="BY33" s="309">
        <f>BY28+BY29+BY32</f>
        <v>-0.01</v>
      </c>
      <c r="BZ33" s="309">
        <f>BZ28+BZ29+BZ32</f>
        <v>0</v>
      </c>
      <c r="CA33" s="527">
        <f>+CA27/BV27-1</f>
        <v>1.4335372044924632E-3</v>
      </c>
      <c r="CB33" s="309">
        <f>CB28+CB29+CB32</f>
        <v>1.4999999999999999E-2</v>
      </c>
      <c r="CC33" s="309">
        <f>CC28+CC29+CC32</f>
        <v>0</v>
      </c>
      <c r="CD33" s="309">
        <f>CD28+CD29+CD32</f>
        <v>-0.01</v>
      </c>
      <c r="CE33" s="309">
        <f>CE28+CE29+CE32</f>
        <v>0</v>
      </c>
      <c r="CF33" s="527">
        <f>+CF27/CA27-1</f>
        <v>1.5092059417476378E-3</v>
      </c>
      <c r="CG33" s="309">
        <f>CG28+CG29+CG32</f>
        <v>1.4999999999999999E-2</v>
      </c>
      <c r="CH33" s="309">
        <f>CH28+CH29+CH32</f>
        <v>0</v>
      </c>
      <c r="CI33" s="309">
        <f>CI28+CI29+CI32</f>
        <v>-0.01</v>
      </c>
      <c r="CJ33" s="309">
        <f>CJ28+CJ29+CJ32</f>
        <v>0</v>
      </c>
      <c r="CK33" s="527">
        <f>+CK27/CF27-1</f>
        <v>1.5851377936888511E-3</v>
      </c>
      <c r="CL33"/>
      <c r="CM33"/>
      <c r="CN33" s="37"/>
      <c r="CO33" s="37"/>
      <c r="CP33" s="37"/>
      <c r="CQ33" s="27"/>
      <c r="CR33" s="27"/>
      <c r="CS33" s="27"/>
      <c r="CT33" s="27"/>
      <c r="CU33" s="27"/>
      <c r="CV33" s="27"/>
      <c r="CW33" s="27"/>
      <c r="CX33" s="27"/>
      <c r="CY33" s="27"/>
      <c r="CZ33" s="27"/>
      <c r="DA33" s="27"/>
    </row>
    <row r="34" spans="1:105" x14ac:dyDescent="0.2">
      <c r="A34" s="1" t="s">
        <v>309</v>
      </c>
      <c r="B34" s="1"/>
      <c r="C34" s="47"/>
      <c r="D34" s="47"/>
      <c r="E34" s="154"/>
      <c r="F34" s="154"/>
      <c r="G34" s="154"/>
      <c r="H34" s="154"/>
      <c r="I34" s="152"/>
      <c r="J34" s="153"/>
      <c r="K34" s="153"/>
      <c r="L34" s="153"/>
      <c r="M34" s="153"/>
      <c r="N34" s="152"/>
      <c r="O34" s="153"/>
      <c r="P34" s="153"/>
      <c r="Q34" s="153"/>
      <c r="R34" s="153"/>
      <c r="S34" s="152"/>
      <c r="T34" s="153"/>
      <c r="U34" s="153"/>
      <c r="V34" s="153"/>
      <c r="W34" s="153"/>
      <c r="X34" s="155"/>
      <c r="Y34" s="164"/>
      <c r="Z34" s="164"/>
      <c r="AA34" s="164"/>
      <c r="AB34" s="164"/>
      <c r="AC34" s="155"/>
      <c r="AD34" s="162"/>
      <c r="AE34" s="162"/>
      <c r="AF34" s="162"/>
      <c r="AG34" s="153"/>
      <c r="AH34" s="152"/>
      <c r="AI34" s="162"/>
      <c r="AJ34" s="162"/>
      <c r="AK34" s="162"/>
      <c r="AL34" s="162"/>
      <c r="AM34" s="152"/>
      <c r="AN34" s="142">
        <f>AS34/(1+AS40)</f>
        <v>4266</v>
      </c>
      <c r="AO34" s="142">
        <f>AT34/(1+AT40)</f>
        <v>5021</v>
      </c>
      <c r="AP34" s="142">
        <f>AU34/(1+AU40)</f>
        <v>5148</v>
      </c>
      <c r="AQ34" s="142">
        <f>AV34/(1+AV40)</f>
        <v>5623.5294117647054</v>
      </c>
      <c r="AR34" s="140">
        <v>20083</v>
      </c>
      <c r="AS34" s="64">
        <v>4266</v>
      </c>
      <c r="AT34" s="141">
        <v>5021</v>
      </c>
      <c r="AU34" s="141">
        <v>5148</v>
      </c>
      <c r="AV34" s="141">
        <v>5736</v>
      </c>
      <c r="AW34" s="140">
        <f>+AS34+AT34+AU34+AV34</f>
        <v>20171</v>
      </c>
      <c r="AX34" s="64">
        <v>4298</v>
      </c>
      <c r="AY34" s="64">
        <v>5113</v>
      </c>
      <c r="AZ34" s="64">
        <v>5360</v>
      </c>
      <c r="BA34" s="64">
        <v>5847</v>
      </c>
      <c r="BB34" s="140">
        <f>+AX34+AY34+AZ34+BA34</f>
        <v>20618</v>
      </c>
      <c r="BC34" s="64">
        <v>4361</v>
      </c>
      <c r="BD34" s="64">
        <v>5145</v>
      </c>
      <c r="BE34" s="64">
        <v>5518</v>
      </c>
      <c r="BF34" s="64">
        <v>6288</v>
      </c>
      <c r="BG34" s="140">
        <f>+BC34+BD34+BE34+BF34</f>
        <v>21312</v>
      </c>
      <c r="BH34" s="64">
        <v>4460</v>
      </c>
      <c r="BI34" s="64">
        <v>5242</v>
      </c>
      <c r="BJ34" s="64">
        <v>5332</v>
      </c>
      <c r="BK34" s="64">
        <v>5902</v>
      </c>
      <c r="BL34" s="140">
        <f>+BH34+BI34+BJ34+BK34</f>
        <v>20936</v>
      </c>
      <c r="BM34" s="64">
        <f>+BH34*(1+BM40)</f>
        <v>4387.3617048173292</v>
      </c>
      <c r="BN34" s="64">
        <f>+BI34*(1+BN40)</f>
        <v>5180.4168778156991</v>
      </c>
      <c r="BO34" s="64">
        <f>+BJ34*(1+BO40)</f>
        <v>5479.2979357427403</v>
      </c>
      <c r="BP34" s="64">
        <f>+BK34*(1+BP40)</f>
        <v>6012.5858430000299</v>
      </c>
      <c r="BQ34" s="140">
        <f>+BM34+BN34+BO34+BP34</f>
        <v>21059.662361375798</v>
      </c>
      <c r="BR34" s="64">
        <f>+BM34*(1+BR40)</f>
        <v>4423.7614995508529</v>
      </c>
      <c r="BS34" s="64">
        <f>+BN34*(1+BS40)</f>
        <v>5232.221046593856</v>
      </c>
      <c r="BT34" s="64">
        <f>+BO34*(1+BT40)</f>
        <v>5534.0909151001679</v>
      </c>
      <c r="BU34" s="64">
        <f>+BP34*(1+BU40)</f>
        <v>6072.7117014300302</v>
      </c>
      <c r="BV34" s="140">
        <f>+BR34+BS34+BT34+BU34</f>
        <v>21262.785162674907</v>
      </c>
      <c r="BW34" s="64">
        <f>+BR34*(1+BW40)</f>
        <v>4467.9991145463619</v>
      </c>
      <c r="BX34" s="64">
        <f>+BS34*(1+BX40)</f>
        <v>5284.543257059795</v>
      </c>
      <c r="BY34" s="64">
        <f>+BT34*(1+BY40)</f>
        <v>5589.4318242511699</v>
      </c>
      <c r="BZ34" s="64">
        <f>+BU34*(1+BZ40)</f>
        <v>6133.4388184443305</v>
      </c>
      <c r="CA34" s="140">
        <f>+BW34+BX34+BY34+BZ34</f>
        <v>21475.413014301655</v>
      </c>
      <c r="CB34" s="64">
        <f>+BW34*(1+CB40)</f>
        <v>4512.6791056918255</v>
      </c>
      <c r="CC34" s="64">
        <f>+BX34*(1+CC40)</f>
        <v>5337.3886896303929</v>
      </c>
      <c r="CD34" s="64">
        <f>+BY34*(1+CD40)</f>
        <v>5645.3261424936818</v>
      </c>
      <c r="CE34" s="64">
        <f>+BZ34*(1+CE40)</f>
        <v>6194.7732066287736</v>
      </c>
      <c r="CF34" s="140">
        <f>+CB34+CC34+CD34+CE34</f>
        <v>21690.167144444677</v>
      </c>
      <c r="CG34" s="64">
        <f>+CB34*(1+CG40)</f>
        <v>4557.8058967487441</v>
      </c>
      <c r="CH34" s="64">
        <f>+CC34*(1+CH40)</f>
        <v>5390.7625765266966</v>
      </c>
      <c r="CI34" s="64">
        <f>+CD34*(1+CI40)</f>
        <v>5701.7794039186183</v>
      </c>
      <c r="CJ34" s="64">
        <f>+CE34*(1+CJ40)</f>
        <v>6256.7209386950617</v>
      </c>
      <c r="CK34" s="140">
        <f>+CG34+CH34+CI34+CJ34</f>
        <v>21907.068815889121</v>
      </c>
      <c r="CL34"/>
      <c r="CM34"/>
      <c r="CN34" s="37"/>
      <c r="CO34" s="37"/>
      <c r="CP34" s="37"/>
      <c r="CQ34" s="27"/>
      <c r="CR34" s="27"/>
      <c r="CS34" s="27"/>
      <c r="CT34" s="27"/>
      <c r="CU34" s="27"/>
      <c r="CV34" s="27"/>
      <c r="CW34" s="27"/>
      <c r="CX34" s="27"/>
      <c r="CY34" s="27"/>
      <c r="CZ34" s="27"/>
      <c r="DA34" s="27"/>
    </row>
    <row r="35" spans="1:105" x14ac:dyDescent="0.2">
      <c r="A35" s="129" t="s">
        <v>200</v>
      </c>
      <c r="B35" s="129"/>
      <c r="C35" s="47"/>
      <c r="D35" s="47"/>
      <c r="E35" s="154"/>
      <c r="F35" s="154"/>
      <c r="G35" s="154"/>
      <c r="H35" s="154"/>
      <c r="I35" s="152"/>
      <c r="J35" s="153"/>
      <c r="K35" s="153"/>
      <c r="L35" s="153"/>
      <c r="M35" s="153"/>
      <c r="N35" s="152"/>
      <c r="O35" s="153"/>
      <c r="P35" s="153"/>
      <c r="Q35" s="153"/>
      <c r="R35" s="153"/>
      <c r="S35" s="152"/>
      <c r="T35" s="153"/>
      <c r="U35" s="153"/>
      <c r="V35" s="153"/>
      <c r="W35" s="153"/>
      <c r="X35" s="155"/>
      <c r="Y35" s="164"/>
      <c r="Z35" s="164"/>
      <c r="AA35" s="164"/>
      <c r="AB35" s="164"/>
      <c r="AC35" s="155"/>
      <c r="AD35" s="162"/>
      <c r="AE35" s="162"/>
      <c r="AF35" s="162"/>
      <c r="AG35" s="153"/>
      <c r="AH35" s="152"/>
      <c r="AI35" s="162"/>
      <c r="AJ35" s="162"/>
      <c r="AK35" s="162"/>
      <c r="AL35" s="162"/>
      <c r="AM35" s="152"/>
      <c r="AN35" s="522"/>
      <c r="AO35" s="162"/>
      <c r="AP35" s="162"/>
      <c r="AQ35" s="162"/>
      <c r="AR35" s="521"/>
      <c r="AS35" s="310">
        <f>AS40-AS36-AS39</f>
        <v>0.01</v>
      </c>
      <c r="AT35" s="292">
        <f>AT40-AT36</f>
        <v>0.01</v>
      </c>
      <c r="AU35" s="292">
        <f>AU40-AU36</f>
        <v>0</v>
      </c>
      <c r="AV35" s="292">
        <v>0.02</v>
      </c>
      <c r="AW35" s="521">
        <v>0.01</v>
      </c>
      <c r="AX35" s="310">
        <v>1.4999999999999999E-2</v>
      </c>
      <c r="AY35" s="310">
        <v>0.03</v>
      </c>
      <c r="AZ35" s="310">
        <v>0.05</v>
      </c>
      <c r="BA35" s="310">
        <v>0.03</v>
      </c>
      <c r="BB35" s="521">
        <v>0.03</v>
      </c>
      <c r="BC35" s="310">
        <v>0.02</v>
      </c>
      <c r="BD35" s="310">
        <v>0.01</v>
      </c>
      <c r="BE35" s="310">
        <v>0.03</v>
      </c>
      <c r="BF35" s="292">
        <v>0.02</v>
      </c>
      <c r="BG35" s="521">
        <v>0.02</v>
      </c>
      <c r="BH35" s="292">
        <v>0.01</v>
      </c>
      <c r="BI35" s="24">
        <v>0.01</v>
      </c>
      <c r="BJ35" s="292">
        <v>-0.05</v>
      </c>
      <c r="BK35" s="292">
        <v>-0.03</v>
      </c>
      <c r="BL35" s="521">
        <v>-0.02</v>
      </c>
      <c r="BM35" s="292">
        <f t="shared" ref="BM35:CJ35" si="56">+BM37+BM38</f>
        <v>-0.02</v>
      </c>
      <c r="BN35" s="292">
        <f t="shared" si="56"/>
        <v>-1.4999999999999999E-2</v>
      </c>
      <c r="BO35" s="292">
        <f t="shared" si="56"/>
        <v>0.03</v>
      </c>
      <c r="BP35" s="292">
        <f t="shared" si="56"/>
        <v>0.02</v>
      </c>
      <c r="BQ35" s="521">
        <f>+BQ37+BQ38</f>
        <v>5.2622277416889589E-3</v>
      </c>
      <c r="BR35" s="292">
        <f t="shared" si="56"/>
        <v>0.01</v>
      </c>
      <c r="BS35" s="292">
        <f t="shared" si="56"/>
        <v>0.01</v>
      </c>
      <c r="BT35" s="292">
        <f t="shared" si="56"/>
        <v>0.01</v>
      </c>
      <c r="BU35" s="292">
        <f t="shared" si="56"/>
        <v>0.01</v>
      </c>
      <c r="BV35" s="521">
        <f>+BV37+BV38</f>
        <v>0.01</v>
      </c>
      <c r="BW35" s="292">
        <f t="shared" si="56"/>
        <v>0.01</v>
      </c>
      <c r="BX35" s="292">
        <f t="shared" si="56"/>
        <v>0.01</v>
      </c>
      <c r="BY35" s="292">
        <f t="shared" si="56"/>
        <v>0.01</v>
      </c>
      <c r="BZ35" s="292">
        <f t="shared" si="56"/>
        <v>0.01</v>
      </c>
      <c r="CA35" s="521">
        <f>+CA37+CA38</f>
        <v>0.01</v>
      </c>
      <c r="CB35" s="292">
        <f t="shared" si="56"/>
        <v>0.01</v>
      </c>
      <c r="CC35" s="292">
        <f t="shared" si="56"/>
        <v>0.01</v>
      </c>
      <c r="CD35" s="292">
        <f t="shared" si="56"/>
        <v>0.01</v>
      </c>
      <c r="CE35" s="292">
        <f t="shared" si="56"/>
        <v>0.01</v>
      </c>
      <c r="CF35" s="521">
        <f>+CF37+CF38</f>
        <v>0.01</v>
      </c>
      <c r="CG35" s="292">
        <f t="shared" si="56"/>
        <v>0.01</v>
      </c>
      <c r="CH35" s="292">
        <f t="shared" si="56"/>
        <v>0.01</v>
      </c>
      <c r="CI35" s="292">
        <f t="shared" si="56"/>
        <v>0.01</v>
      </c>
      <c r="CJ35" s="292">
        <f t="shared" si="56"/>
        <v>0.01</v>
      </c>
      <c r="CK35" s="521">
        <f>+CK37+CK38</f>
        <v>9.9999999999999985E-3</v>
      </c>
      <c r="CL35"/>
      <c r="CM35"/>
      <c r="CN35" s="37"/>
      <c r="CO35" s="37"/>
      <c r="CP35" s="37"/>
      <c r="CQ35" s="27"/>
      <c r="CR35" s="27"/>
      <c r="CS35" s="27"/>
      <c r="CT35" s="27"/>
      <c r="CU35" s="27"/>
      <c r="CV35" s="27"/>
      <c r="CW35" s="27"/>
      <c r="CX35" s="27"/>
      <c r="CY35" s="27"/>
      <c r="CZ35" s="27"/>
      <c r="DA35" s="27"/>
    </row>
    <row r="36" spans="1:105" x14ac:dyDescent="0.2">
      <c r="A36" s="129" t="s">
        <v>201</v>
      </c>
      <c r="B36" s="129"/>
      <c r="C36" s="47"/>
      <c r="D36" s="47"/>
      <c r="E36" s="154"/>
      <c r="F36" s="154"/>
      <c r="G36" s="154"/>
      <c r="H36" s="154"/>
      <c r="I36" s="152"/>
      <c r="J36" s="153"/>
      <c r="K36" s="153"/>
      <c r="L36" s="153"/>
      <c r="M36" s="153"/>
      <c r="N36" s="152"/>
      <c r="O36" s="153"/>
      <c r="P36" s="153"/>
      <c r="Q36" s="153"/>
      <c r="R36" s="153"/>
      <c r="S36" s="152"/>
      <c r="T36" s="153"/>
      <c r="U36" s="153"/>
      <c r="V36" s="153"/>
      <c r="W36" s="153"/>
      <c r="X36" s="155"/>
      <c r="Y36" s="164"/>
      <c r="Z36" s="164"/>
      <c r="AA36" s="164"/>
      <c r="AB36" s="164"/>
      <c r="AC36" s="155"/>
      <c r="AD36" s="162"/>
      <c r="AE36" s="162"/>
      <c r="AF36" s="162"/>
      <c r="AG36" s="153"/>
      <c r="AH36" s="152"/>
      <c r="AI36" s="162"/>
      <c r="AJ36" s="162"/>
      <c r="AK36" s="162"/>
      <c r="AL36" s="162"/>
      <c r="AM36" s="152"/>
      <c r="AN36" s="524"/>
      <c r="AO36" s="162"/>
      <c r="AP36" s="162"/>
      <c r="AQ36" s="162"/>
      <c r="AR36" s="523"/>
      <c r="AS36" s="308">
        <v>-0.01</v>
      </c>
      <c r="AT36" s="308">
        <v>-0.01</v>
      </c>
      <c r="AU36" s="308">
        <v>0</v>
      </c>
      <c r="AV36" s="308">
        <v>-0.01</v>
      </c>
      <c r="AW36" s="523">
        <v>-5.0000000000000001E-3</v>
      </c>
      <c r="AX36" s="308">
        <v>-0.01</v>
      </c>
      <c r="AY36" s="308">
        <v>-0.01</v>
      </c>
      <c r="AZ36" s="308">
        <v>-0.01</v>
      </c>
      <c r="BA36" s="308">
        <v>-0.01</v>
      </c>
      <c r="BB36" s="523">
        <v>-0.01</v>
      </c>
      <c r="BC36" s="308">
        <v>-0.01</v>
      </c>
      <c r="BD36" s="308">
        <v>0</v>
      </c>
      <c r="BE36" s="308">
        <v>0</v>
      </c>
      <c r="BF36" s="308">
        <v>0</v>
      </c>
      <c r="BG36" s="523">
        <v>0</v>
      </c>
      <c r="BH36" s="308">
        <v>0</v>
      </c>
      <c r="BI36" s="581">
        <v>0</v>
      </c>
      <c r="BJ36" s="581">
        <v>0</v>
      </c>
      <c r="BK36" s="581">
        <v>0</v>
      </c>
      <c r="BL36" s="523">
        <v>0</v>
      </c>
      <c r="BM36" s="308">
        <v>3.7133867303429493E-3</v>
      </c>
      <c r="BN36" s="308">
        <v>3.2519797435518658E-3</v>
      </c>
      <c r="BO36" s="308">
        <v>-2.3747307309188665E-3</v>
      </c>
      <c r="BP36" s="308">
        <v>-1.2629883090425889E-3</v>
      </c>
      <c r="BQ36" s="523">
        <f>SUMPRODUCT(BH34:BK34,BM36:BP36)/BL34</f>
        <v>6.4445745967709584E-4</v>
      </c>
      <c r="BR36" s="308">
        <v>-1.703488979821908E-3</v>
      </c>
      <c r="BS36" s="308">
        <v>0</v>
      </c>
      <c r="BT36" s="308">
        <v>0</v>
      </c>
      <c r="BU36" s="308">
        <v>0</v>
      </c>
      <c r="BV36" s="523">
        <f>SUMPRODUCT(BM34:BP34,BR36:BU36)/BQ34</f>
        <v>-3.548880407672749E-4</v>
      </c>
      <c r="BW36" s="544">
        <v>0</v>
      </c>
      <c r="BX36" s="544">
        <v>0</v>
      </c>
      <c r="BY36" s="544">
        <v>0</v>
      </c>
      <c r="BZ36" s="544">
        <v>0</v>
      </c>
      <c r="CA36" s="523">
        <f>SUMPRODUCT(BR34:BU34,BW36:BZ36)/BV34</f>
        <v>0</v>
      </c>
      <c r="CB36" s="544">
        <v>0</v>
      </c>
      <c r="CC36" s="544">
        <v>0</v>
      </c>
      <c r="CD36" s="544">
        <v>0</v>
      </c>
      <c r="CE36" s="544">
        <v>0</v>
      </c>
      <c r="CF36" s="523">
        <f>SUMPRODUCT(BW34:BZ34,CB36:CE36)/CA34</f>
        <v>0</v>
      </c>
      <c r="CG36" s="544">
        <v>0</v>
      </c>
      <c r="CH36" s="544">
        <v>0</v>
      </c>
      <c r="CI36" s="544">
        <v>0</v>
      </c>
      <c r="CJ36" s="544">
        <v>0</v>
      </c>
      <c r="CK36" s="523">
        <f>SUMPRODUCT(CB34:CE34,CG36:CJ36)/CF34</f>
        <v>0</v>
      </c>
      <c r="CL36"/>
      <c r="CM36"/>
      <c r="CN36" s="37"/>
      <c r="CO36" s="37"/>
      <c r="CP36" s="37"/>
      <c r="CQ36" s="27"/>
      <c r="CR36" s="27"/>
      <c r="CS36" s="27"/>
      <c r="CT36" s="27"/>
      <c r="CU36" s="27"/>
      <c r="CV36" s="27"/>
      <c r="CW36" s="27"/>
      <c r="CX36" s="27"/>
      <c r="CY36" s="27"/>
      <c r="CZ36" s="27"/>
      <c r="DA36" s="27"/>
    </row>
    <row r="37" spans="1:105" x14ac:dyDescent="0.2">
      <c r="A37" s="129" t="s">
        <v>34</v>
      </c>
      <c r="B37" s="129"/>
      <c r="C37" s="47"/>
      <c r="D37" s="47"/>
      <c r="E37" s="154"/>
      <c r="F37" s="154"/>
      <c r="G37" s="154"/>
      <c r="H37" s="154"/>
      <c r="I37" s="152"/>
      <c r="J37" s="153"/>
      <c r="K37" s="153"/>
      <c r="L37" s="153"/>
      <c r="M37" s="153"/>
      <c r="N37" s="152"/>
      <c r="O37" s="153"/>
      <c r="P37" s="153"/>
      <c r="Q37" s="153"/>
      <c r="R37" s="153"/>
      <c r="S37" s="152"/>
      <c r="T37" s="153"/>
      <c r="U37" s="153"/>
      <c r="V37" s="153"/>
      <c r="W37" s="153"/>
      <c r="X37" s="155"/>
      <c r="Y37" s="164"/>
      <c r="Z37" s="164"/>
      <c r="AA37" s="164"/>
      <c r="AB37" s="164"/>
      <c r="AC37" s="155"/>
      <c r="AD37" s="162"/>
      <c r="AE37" s="162"/>
      <c r="AF37" s="162"/>
      <c r="AG37" s="153"/>
      <c r="AH37" s="152"/>
      <c r="AI37" s="162"/>
      <c r="AJ37" s="162"/>
      <c r="AK37" s="162"/>
      <c r="AL37" s="162"/>
      <c r="AM37" s="152"/>
      <c r="AN37" s="524"/>
      <c r="AO37" s="162"/>
      <c r="AP37" s="162"/>
      <c r="AQ37" s="162"/>
      <c r="AR37" s="523"/>
      <c r="AS37" s="308">
        <v>0</v>
      </c>
      <c r="AT37" s="308">
        <v>-0.01</v>
      </c>
      <c r="AU37" s="308">
        <v>-0.01</v>
      </c>
      <c r="AV37" s="308">
        <v>0</v>
      </c>
      <c r="AW37" s="523">
        <v>0</v>
      </c>
      <c r="AX37" s="308">
        <v>-0.01</v>
      </c>
      <c r="AY37" s="308">
        <v>0</v>
      </c>
      <c r="AZ37" s="308">
        <v>0.03</v>
      </c>
      <c r="BA37" s="308">
        <v>0.01</v>
      </c>
      <c r="BB37" s="523">
        <v>0.01</v>
      </c>
      <c r="BC37" s="308">
        <v>0.01</v>
      </c>
      <c r="BD37" s="308">
        <v>-0.01</v>
      </c>
      <c r="BE37" s="308">
        <v>0.02</v>
      </c>
      <c r="BF37" s="308">
        <v>0.01</v>
      </c>
      <c r="BG37" s="523">
        <v>0.01</v>
      </c>
      <c r="BH37" s="308">
        <v>-0.01</v>
      </c>
      <c r="BI37" s="581">
        <v>0</v>
      </c>
      <c r="BJ37" s="581">
        <v>-0.06</v>
      </c>
      <c r="BK37" s="581">
        <v>-0.02</v>
      </c>
      <c r="BL37" s="523">
        <v>-0.02</v>
      </c>
      <c r="BM37" s="530">
        <v>-1.4999999999999999E-2</v>
      </c>
      <c r="BN37" s="530">
        <v>-1.4999999999999999E-2</v>
      </c>
      <c r="BO37" s="530">
        <v>0.03</v>
      </c>
      <c r="BP37" s="530">
        <v>0.01</v>
      </c>
      <c r="BQ37" s="523">
        <f>SUMPRODUCT(BH34:BK34,BM37:BP37)/BL34</f>
        <v>3.508311043179215E-3</v>
      </c>
      <c r="BR37" s="530">
        <v>0</v>
      </c>
      <c r="BS37" s="308">
        <f t="shared" ref="BS37:BU39" si="57">BR37</f>
        <v>0</v>
      </c>
      <c r="BT37" s="308">
        <f t="shared" si="57"/>
        <v>0</v>
      </c>
      <c r="BU37" s="308">
        <f t="shared" si="57"/>
        <v>0</v>
      </c>
      <c r="BV37" s="523">
        <f>SUMPRODUCT(BM34:BP34,BR37:BU37)/BQ34</f>
        <v>0</v>
      </c>
      <c r="BW37" s="530">
        <v>0</v>
      </c>
      <c r="BX37" s="308">
        <f t="shared" ref="BX37:BZ39" si="58">BW37</f>
        <v>0</v>
      </c>
      <c r="BY37" s="308">
        <f t="shared" si="58"/>
        <v>0</v>
      </c>
      <c r="BZ37" s="308">
        <f t="shared" si="58"/>
        <v>0</v>
      </c>
      <c r="CA37" s="523">
        <f>SUMPRODUCT(BR34:BU34,BW37:BZ37)/BV34</f>
        <v>0</v>
      </c>
      <c r="CB37" s="530">
        <v>0</v>
      </c>
      <c r="CC37" s="308">
        <f t="shared" ref="CC37:CE39" si="59">CB37</f>
        <v>0</v>
      </c>
      <c r="CD37" s="308">
        <f t="shared" si="59"/>
        <v>0</v>
      </c>
      <c r="CE37" s="308">
        <f t="shared" si="59"/>
        <v>0</v>
      </c>
      <c r="CF37" s="523">
        <f>SUMPRODUCT(BW34:BZ34,CB37:CE37)/CA34</f>
        <v>0</v>
      </c>
      <c r="CG37" s="530">
        <v>0</v>
      </c>
      <c r="CH37" s="308">
        <f t="shared" ref="CH37:CJ39" si="60">CG37</f>
        <v>0</v>
      </c>
      <c r="CI37" s="308">
        <f t="shared" si="60"/>
        <v>0</v>
      </c>
      <c r="CJ37" s="308">
        <f t="shared" si="60"/>
        <v>0</v>
      </c>
      <c r="CK37" s="523">
        <f>SUMPRODUCT(CB34:CE34,CG37:CJ37)/CF34</f>
        <v>0</v>
      </c>
      <c r="CL37"/>
      <c r="CM37"/>
      <c r="CN37" s="37"/>
      <c r="CO37" s="37"/>
      <c r="CP37" s="37"/>
      <c r="CQ37" s="27"/>
      <c r="CR37" s="27"/>
      <c r="CS37" s="27"/>
      <c r="CT37" s="27"/>
      <c r="CU37" s="27"/>
      <c r="CV37" s="27"/>
      <c r="CW37" s="27"/>
      <c r="CX37" s="27"/>
      <c r="CY37" s="27"/>
      <c r="CZ37" s="27"/>
      <c r="DA37" s="27"/>
    </row>
    <row r="38" spans="1:105" x14ac:dyDescent="0.2">
      <c r="A38" s="129" t="s">
        <v>6</v>
      </c>
      <c r="B38" s="129"/>
      <c r="C38" s="47"/>
      <c r="D38" s="47"/>
      <c r="E38" s="154"/>
      <c r="F38" s="154"/>
      <c r="G38" s="154"/>
      <c r="H38" s="154"/>
      <c r="I38" s="152"/>
      <c r="J38" s="153"/>
      <c r="K38" s="153"/>
      <c r="L38" s="153"/>
      <c r="M38" s="153"/>
      <c r="N38" s="152"/>
      <c r="O38" s="153"/>
      <c r="P38" s="153"/>
      <c r="Q38" s="153"/>
      <c r="R38" s="153"/>
      <c r="S38" s="152"/>
      <c r="T38" s="153"/>
      <c r="U38" s="153"/>
      <c r="V38" s="153"/>
      <c r="W38" s="153"/>
      <c r="X38" s="155"/>
      <c r="Y38" s="164"/>
      <c r="Z38" s="164"/>
      <c r="AA38" s="164"/>
      <c r="AB38" s="164"/>
      <c r="AC38" s="155"/>
      <c r="AD38" s="162"/>
      <c r="AE38" s="162"/>
      <c r="AF38" s="162"/>
      <c r="AG38" s="153"/>
      <c r="AH38" s="152"/>
      <c r="AI38" s="162"/>
      <c r="AJ38" s="162"/>
      <c r="AK38" s="162"/>
      <c r="AL38" s="162"/>
      <c r="AM38" s="152"/>
      <c r="AN38" s="524"/>
      <c r="AO38" s="162"/>
      <c r="AP38" s="162"/>
      <c r="AQ38" s="162"/>
      <c r="AR38" s="523"/>
      <c r="AS38" s="308">
        <f t="shared" ref="AS38:AY38" si="61">AS35-AS37</f>
        <v>0.01</v>
      </c>
      <c r="AT38" s="524">
        <f t="shared" si="61"/>
        <v>0.02</v>
      </c>
      <c r="AU38" s="524">
        <f t="shared" si="61"/>
        <v>0.01</v>
      </c>
      <c r="AV38" s="524">
        <f t="shared" si="61"/>
        <v>0.02</v>
      </c>
      <c r="AW38" s="523">
        <f t="shared" si="61"/>
        <v>0.01</v>
      </c>
      <c r="AX38" s="308">
        <f t="shared" si="61"/>
        <v>2.5000000000000001E-2</v>
      </c>
      <c r="AY38" s="308">
        <f t="shared" si="61"/>
        <v>0.03</v>
      </c>
      <c r="AZ38" s="524">
        <f t="shared" ref="AZ38:BF38" si="62">AZ35-AZ37</f>
        <v>2.0000000000000004E-2</v>
      </c>
      <c r="BA38" s="524">
        <f t="shared" si="62"/>
        <v>1.9999999999999997E-2</v>
      </c>
      <c r="BB38" s="523">
        <v>0.03</v>
      </c>
      <c r="BC38" s="524">
        <f t="shared" si="62"/>
        <v>0.01</v>
      </c>
      <c r="BD38" s="524">
        <f t="shared" si="62"/>
        <v>0.02</v>
      </c>
      <c r="BE38" s="524">
        <f t="shared" si="62"/>
        <v>9.9999999999999985E-3</v>
      </c>
      <c r="BF38" s="524">
        <f t="shared" si="62"/>
        <v>0.01</v>
      </c>
      <c r="BG38" s="523">
        <v>0.01</v>
      </c>
      <c r="BH38" s="524">
        <f>BH35-BH37</f>
        <v>0.02</v>
      </c>
      <c r="BI38" s="629">
        <f>BI35-BI37</f>
        <v>0.01</v>
      </c>
      <c r="BJ38" s="629">
        <f>BJ35-BJ37</f>
        <v>9.999999999999995E-3</v>
      </c>
      <c r="BK38" s="629">
        <f>BK35-BK37</f>
        <v>-9.9999999999999985E-3</v>
      </c>
      <c r="BL38" s="523">
        <v>0</v>
      </c>
      <c r="BM38" s="530">
        <v>-5.0000000000000001E-3</v>
      </c>
      <c r="BN38" s="530">
        <v>0</v>
      </c>
      <c r="BO38" s="530">
        <v>0</v>
      </c>
      <c r="BP38" s="530">
        <v>0.01</v>
      </c>
      <c r="BQ38" s="523">
        <f>SUMPRODUCT(BH34:BK34,BM38:BP38)/BL34</f>
        <v>1.7539166985097439E-3</v>
      </c>
      <c r="BR38" s="530">
        <v>0.01</v>
      </c>
      <c r="BS38" s="308">
        <f t="shared" si="57"/>
        <v>0.01</v>
      </c>
      <c r="BT38" s="308">
        <f t="shared" si="57"/>
        <v>0.01</v>
      </c>
      <c r="BU38" s="308">
        <f t="shared" si="57"/>
        <v>0.01</v>
      </c>
      <c r="BV38" s="523">
        <f>SUMPRODUCT(BM34:BP34,BR38:BU38)/BQ34</f>
        <v>0.01</v>
      </c>
      <c r="BW38" s="530">
        <v>0.01</v>
      </c>
      <c r="BX38" s="308">
        <f t="shared" si="58"/>
        <v>0.01</v>
      </c>
      <c r="BY38" s="308">
        <f t="shared" si="58"/>
        <v>0.01</v>
      </c>
      <c r="BZ38" s="308">
        <f t="shared" si="58"/>
        <v>0.01</v>
      </c>
      <c r="CA38" s="523">
        <f>SUMPRODUCT(BR34:BU34,BW38:BZ38)/BV34</f>
        <v>0.01</v>
      </c>
      <c r="CB38" s="530">
        <v>0.01</v>
      </c>
      <c r="CC38" s="308">
        <f t="shared" si="59"/>
        <v>0.01</v>
      </c>
      <c r="CD38" s="308">
        <f t="shared" si="59"/>
        <v>0.01</v>
      </c>
      <c r="CE38" s="308">
        <f t="shared" si="59"/>
        <v>0.01</v>
      </c>
      <c r="CF38" s="523">
        <f>SUMPRODUCT(BW34:BZ34,CB38:CE38)/CA34</f>
        <v>0.01</v>
      </c>
      <c r="CG38" s="530">
        <v>0.01</v>
      </c>
      <c r="CH38" s="308">
        <f t="shared" si="60"/>
        <v>0.01</v>
      </c>
      <c r="CI38" s="308">
        <f t="shared" si="60"/>
        <v>0.01</v>
      </c>
      <c r="CJ38" s="308">
        <f t="shared" si="60"/>
        <v>0.01</v>
      </c>
      <c r="CK38" s="523">
        <f>SUMPRODUCT(CB34:CE34,CG38:CJ38)/CF34</f>
        <v>9.9999999999999985E-3</v>
      </c>
      <c r="CL38"/>
      <c r="CM38"/>
      <c r="CN38" s="37"/>
      <c r="CO38" s="37"/>
      <c r="CP38" s="37"/>
      <c r="CQ38" s="27"/>
      <c r="CR38" s="27"/>
      <c r="CS38" s="27"/>
      <c r="CT38" s="27"/>
      <c r="CU38" s="27"/>
      <c r="CV38" s="27"/>
      <c r="CW38" s="27"/>
      <c r="CX38" s="27"/>
      <c r="CY38" s="27"/>
      <c r="CZ38" s="27"/>
      <c r="DA38" s="27"/>
    </row>
    <row r="39" spans="1:105" x14ac:dyDescent="0.2">
      <c r="A39" s="129" t="s">
        <v>202</v>
      </c>
      <c r="B39" s="129"/>
      <c r="C39" s="47"/>
      <c r="D39" s="47"/>
      <c r="E39" s="154"/>
      <c r="F39" s="154"/>
      <c r="G39" s="154"/>
      <c r="H39" s="154"/>
      <c r="I39" s="152"/>
      <c r="J39" s="153"/>
      <c r="K39" s="153"/>
      <c r="L39" s="153"/>
      <c r="M39" s="153"/>
      <c r="N39" s="152"/>
      <c r="O39" s="153"/>
      <c r="P39" s="153"/>
      <c r="Q39" s="153"/>
      <c r="R39" s="153"/>
      <c r="S39" s="152"/>
      <c r="T39" s="153"/>
      <c r="U39" s="153"/>
      <c r="V39" s="153"/>
      <c r="W39" s="153"/>
      <c r="X39" s="155"/>
      <c r="Y39" s="164"/>
      <c r="Z39" s="164"/>
      <c r="AA39" s="164"/>
      <c r="AB39" s="164"/>
      <c r="AC39" s="155"/>
      <c r="AD39" s="162"/>
      <c r="AE39" s="162"/>
      <c r="AF39" s="162"/>
      <c r="AG39" s="153"/>
      <c r="AH39" s="152"/>
      <c r="AI39" s="162"/>
      <c r="AJ39" s="162"/>
      <c r="AK39" s="162"/>
      <c r="AL39" s="162"/>
      <c r="AM39" s="152"/>
      <c r="AN39" s="524"/>
      <c r="AO39" s="162"/>
      <c r="AP39" s="162"/>
      <c r="AQ39" s="162"/>
      <c r="AR39" s="523"/>
      <c r="AS39" s="308">
        <v>0</v>
      </c>
      <c r="AT39" s="308">
        <v>0</v>
      </c>
      <c r="AU39" s="308">
        <v>0</v>
      </c>
      <c r="AV39" s="308">
        <v>0</v>
      </c>
      <c r="AW39" s="523">
        <v>0</v>
      </c>
      <c r="AX39" s="308">
        <v>0</v>
      </c>
      <c r="AY39" s="308">
        <v>0</v>
      </c>
      <c r="AZ39" s="308">
        <v>0</v>
      </c>
      <c r="BA39" s="308">
        <v>0</v>
      </c>
      <c r="BB39" s="523">
        <f>SUMPRODUCT(AX39:BA39,AS34:AV34)/AW34</f>
        <v>0</v>
      </c>
      <c r="BC39" s="308">
        <v>0</v>
      </c>
      <c r="BD39" s="308">
        <v>0</v>
      </c>
      <c r="BE39" s="308">
        <v>0</v>
      </c>
      <c r="BF39" s="581">
        <f>0.05+0.01</f>
        <v>6.0000000000000005E-2</v>
      </c>
      <c r="BG39" s="523">
        <v>1.4999999999999999E-2</v>
      </c>
      <c r="BH39" s="581">
        <v>0.01</v>
      </c>
      <c r="BI39" s="581">
        <v>0.01</v>
      </c>
      <c r="BJ39" s="581">
        <v>0.01</v>
      </c>
      <c r="BK39" s="581">
        <f>-0.05+0.01</f>
        <v>-0.04</v>
      </c>
      <c r="BL39" s="523">
        <v>-0.01</v>
      </c>
      <c r="BM39" s="530">
        <v>0</v>
      </c>
      <c r="BN39" s="530">
        <v>0</v>
      </c>
      <c r="BO39" s="530">
        <v>0</v>
      </c>
      <c r="BP39" s="530">
        <v>0</v>
      </c>
      <c r="BQ39" s="523">
        <f>SUMPRODUCT(BM39:BP39,BH34:BK34)/BL34</f>
        <v>0</v>
      </c>
      <c r="BR39" s="530">
        <v>0</v>
      </c>
      <c r="BS39" s="308">
        <f t="shared" si="57"/>
        <v>0</v>
      </c>
      <c r="BT39" s="308">
        <f t="shared" si="57"/>
        <v>0</v>
      </c>
      <c r="BU39" s="308">
        <f t="shared" si="57"/>
        <v>0</v>
      </c>
      <c r="BV39" s="523">
        <f>SUMPRODUCT(BR39:BU39,BM34:BP34)/BQ34</f>
        <v>0</v>
      </c>
      <c r="BW39" s="530">
        <v>0</v>
      </c>
      <c r="BX39" s="308">
        <f t="shared" si="58"/>
        <v>0</v>
      </c>
      <c r="BY39" s="308">
        <f t="shared" si="58"/>
        <v>0</v>
      </c>
      <c r="BZ39" s="308">
        <f t="shared" si="58"/>
        <v>0</v>
      </c>
      <c r="CA39" s="523">
        <f>SUMPRODUCT(BW39:BZ39,BR34:BU34)/BV34</f>
        <v>0</v>
      </c>
      <c r="CB39" s="530">
        <v>0</v>
      </c>
      <c r="CC39" s="308">
        <f t="shared" si="59"/>
        <v>0</v>
      </c>
      <c r="CD39" s="308">
        <f t="shared" si="59"/>
        <v>0</v>
      </c>
      <c r="CE39" s="308">
        <f t="shared" si="59"/>
        <v>0</v>
      </c>
      <c r="CF39" s="523">
        <f>SUMPRODUCT(CB39:CE39,BW34:BZ34)/CA34</f>
        <v>0</v>
      </c>
      <c r="CG39" s="530">
        <v>0</v>
      </c>
      <c r="CH39" s="308">
        <f t="shared" si="60"/>
        <v>0</v>
      </c>
      <c r="CI39" s="308">
        <f t="shared" si="60"/>
        <v>0</v>
      </c>
      <c r="CJ39" s="308">
        <f t="shared" si="60"/>
        <v>0</v>
      </c>
      <c r="CK39" s="523">
        <f>SUMPRODUCT(CG39:CJ39,CB34:CE34)/CF34</f>
        <v>0</v>
      </c>
      <c r="CL39"/>
      <c r="CM39"/>
      <c r="CN39" s="37"/>
      <c r="CO39" s="37"/>
      <c r="CP39" s="37"/>
      <c r="CQ39" s="27"/>
      <c r="CR39" s="27"/>
      <c r="CS39" s="27"/>
      <c r="CT39" s="27"/>
      <c r="CU39" s="27"/>
      <c r="CV39" s="27"/>
      <c r="CW39" s="27"/>
      <c r="CX39" s="27"/>
      <c r="CY39" s="27"/>
      <c r="CZ39" s="27"/>
      <c r="DA39" s="27"/>
    </row>
    <row r="40" spans="1:105" x14ac:dyDescent="0.2">
      <c r="A40" s="135" t="s">
        <v>203</v>
      </c>
      <c r="B40" s="135"/>
      <c r="C40" s="30"/>
      <c r="D40" s="30"/>
      <c r="E40" s="136"/>
      <c r="F40" s="136"/>
      <c r="G40" s="136"/>
      <c r="H40" s="136"/>
      <c r="I40" s="137"/>
      <c r="J40" s="138"/>
      <c r="K40" s="138"/>
      <c r="L40" s="138"/>
      <c r="M40" s="138"/>
      <c r="N40" s="137"/>
      <c r="O40" s="138"/>
      <c r="P40" s="138"/>
      <c r="Q40" s="138"/>
      <c r="R40" s="138"/>
      <c r="S40" s="137"/>
      <c r="T40" s="138"/>
      <c r="U40" s="138"/>
      <c r="V40" s="138"/>
      <c r="W40" s="138"/>
      <c r="X40" s="137"/>
      <c r="Y40" s="138"/>
      <c r="Z40" s="138"/>
      <c r="AA40" s="138"/>
      <c r="AB40" s="138"/>
      <c r="AC40" s="137"/>
      <c r="AD40" s="139"/>
      <c r="AE40" s="139"/>
      <c r="AF40" s="139"/>
      <c r="AG40" s="139"/>
      <c r="AH40" s="137"/>
      <c r="AI40" s="139"/>
      <c r="AJ40" s="139"/>
      <c r="AK40" s="139"/>
      <c r="AL40" s="139"/>
      <c r="AM40" s="137"/>
      <c r="AN40" s="525"/>
      <c r="AO40" s="139"/>
      <c r="AP40" s="139"/>
      <c r="AQ40" s="139"/>
      <c r="AR40" s="137"/>
      <c r="AS40" s="309">
        <v>0</v>
      </c>
      <c r="AT40" s="138">
        <v>0</v>
      </c>
      <c r="AU40" s="309">
        <v>0</v>
      </c>
      <c r="AV40" s="138">
        <v>0.02</v>
      </c>
      <c r="AW40" s="137">
        <f t="shared" ref="AW40:BH40" si="63">+AW34/AR34-1</f>
        <v>4.3818154658168407E-3</v>
      </c>
      <c r="AX40" s="309">
        <f t="shared" si="63"/>
        <v>7.5011720581341645E-3</v>
      </c>
      <c r="AY40" s="309">
        <f t="shared" si="63"/>
        <v>1.8323043218482438E-2</v>
      </c>
      <c r="AZ40" s="309">
        <f t="shared" si="63"/>
        <v>4.1181041181041156E-2</v>
      </c>
      <c r="BA40" s="309">
        <f t="shared" si="63"/>
        <v>1.9351464435146459E-2</v>
      </c>
      <c r="BB40" s="527">
        <f t="shared" si="63"/>
        <v>2.216052748996078E-2</v>
      </c>
      <c r="BC40" s="309">
        <f t="shared" si="63"/>
        <v>1.4657980456026065E-2</v>
      </c>
      <c r="BD40" s="309">
        <f t="shared" si="63"/>
        <v>6.2585566203794407E-3</v>
      </c>
      <c r="BE40" s="309">
        <f t="shared" si="63"/>
        <v>2.9477611940298409E-2</v>
      </c>
      <c r="BF40" s="309">
        <f t="shared" si="63"/>
        <v>7.5423293996921492E-2</v>
      </c>
      <c r="BG40" s="527">
        <f>+BG34/BB34-1</f>
        <v>3.3659908817537998E-2</v>
      </c>
      <c r="BH40" s="309">
        <f t="shared" si="63"/>
        <v>2.270121531758762E-2</v>
      </c>
      <c r="BI40" s="628">
        <f>+BI34/BD34-1</f>
        <v>1.885325558794948E-2</v>
      </c>
      <c r="BJ40" s="628">
        <f>+BJ34/BE34-1</f>
        <v>-3.3707865168539297E-2</v>
      </c>
      <c r="BK40" s="628">
        <f>+BK34/BF34-1</f>
        <v>-6.1386768447837192E-2</v>
      </c>
      <c r="BL40" s="527">
        <f>+BL34/BG34-1</f>
        <v>-1.7642642642642592E-2</v>
      </c>
      <c r="BM40" s="309">
        <f>BM35+BM36+BM39</f>
        <v>-1.6286613269657052E-2</v>
      </c>
      <c r="BN40" s="309">
        <f>BN35+BN36+BN39</f>
        <v>-1.1748020256448133E-2</v>
      </c>
      <c r="BO40" s="309">
        <f>BO35+BO36+BO39</f>
        <v>2.7625269269081133E-2</v>
      </c>
      <c r="BP40" s="309">
        <f>BP35+BP36+BP39</f>
        <v>1.8737011690957411E-2</v>
      </c>
      <c r="BQ40" s="527">
        <f>+BQ34/BL34-1</f>
        <v>5.9066852013660576E-3</v>
      </c>
      <c r="BR40" s="309">
        <f>BR35+BR36+BR39</f>
        <v>8.2965110201780913E-3</v>
      </c>
      <c r="BS40" s="309">
        <f>BS35+BS36+BS39</f>
        <v>0.01</v>
      </c>
      <c r="BT40" s="309">
        <f>BT35+BT36+BT39</f>
        <v>0.01</v>
      </c>
      <c r="BU40" s="309">
        <f>BU35+BU36+BU39</f>
        <v>0.01</v>
      </c>
      <c r="BV40" s="527">
        <f>+BV34/BQ34-1</f>
        <v>9.6451119592326773E-3</v>
      </c>
      <c r="BW40" s="309">
        <f>BW35+BW36+BW39</f>
        <v>0.01</v>
      </c>
      <c r="BX40" s="309">
        <f>BX35+BX36+BX39</f>
        <v>0.01</v>
      </c>
      <c r="BY40" s="309">
        <f>BY35+BY36+BY39</f>
        <v>0.01</v>
      </c>
      <c r="BZ40" s="309">
        <f>BZ35+BZ36+BZ39</f>
        <v>0.01</v>
      </c>
      <c r="CA40" s="527">
        <f>+CA34/BV34-1</f>
        <v>1.0000000000000009E-2</v>
      </c>
      <c r="CB40" s="309">
        <f>CB35+CB36+CB39</f>
        <v>0.01</v>
      </c>
      <c r="CC40" s="309">
        <f>CC35+CC36+CC39</f>
        <v>0.01</v>
      </c>
      <c r="CD40" s="309">
        <f>CD35+CD36+CD39</f>
        <v>0.01</v>
      </c>
      <c r="CE40" s="309">
        <f>CE35+CE36+CE39</f>
        <v>0.01</v>
      </c>
      <c r="CF40" s="527">
        <f>+CF34/CA34-1</f>
        <v>1.0000000000000231E-2</v>
      </c>
      <c r="CG40" s="309">
        <f>CG35+CG36+CG39</f>
        <v>0.01</v>
      </c>
      <c r="CH40" s="309">
        <f>CH35+CH36+CH39</f>
        <v>0.01</v>
      </c>
      <c r="CI40" s="309">
        <f>CI35+CI36+CI39</f>
        <v>0.01</v>
      </c>
      <c r="CJ40" s="309">
        <f>CJ35+CJ36+CJ39</f>
        <v>0.01</v>
      </c>
      <c r="CK40" s="527">
        <f>+CK34/CF34-1</f>
        <v>9.9999999999997868E-3</v>
      </c>
      <c r="CL40"/>
      <c r="CM40"/>
      <c r="CN40" s="37"/>
      <c r="CO40" s="37"/>
      <c r="CP40" s="37"/>
      <c r="CQ40" s="27"/>
      <c r="CR40" s="27"/>
      <c r="CS40" s="27"/>
      <c r="CT40" s="27"/>
      <c r="CU40" s="27"/>
      <c r="CV40" s="27"/>
      <c r="CW40" s="27"/>
      <c r="CX40" s="27"/>
      <c r="CY40" s="27"/>
      <c r="CZ40" s="27"/>
      <c r="DA40" s="27"/>
    </row>
    <row r="41" spans="1:105" x14ac:dyDescent="0.2">
      <c r="A41" s="1" t="s">
        <v>209</v>
      </c>
      <c r="B41" s="214"/>
      <c r="C41" s="47"/>
      <c r="D41" s="47"/>
      <c r="E41" s="154"/>
      <c r="F41" s="154"/>
      <c r="G41" s="154"/>
      <c r="H41" s="154"/>
      <c r="I41" s="152"/>
      <c r="J41" s="153"/>
      <c r="K41" s="153"/>
      <c r="L41" s="153"/>
      <c r="M41" s="153"/>
      <c r="N41" s="152"/>
      <c r="O41" s="153"/>
      <c r="P41" s="153"/>
      <c r="Q41" s="153"/>
      <c r="R41" s="153"/>
      <c r="S41" s="152"/>
      <c r="T41" s="153"/>
      <c r="U41" s="153"/>
      <c r="V41" s="153"/>
      <c r="W41" s="153"/>
      <c r="X41" s="155"/>
      <c r="Y41" s="164"/>
      <c r="Z41" s="164"/>
      <c r="AA41" s="164"/>
      <c r="AB41" s="164"/>
      <c r="AC41" s="155"/>
      <c r="AD41" s="162"/>
      <c r="AE41" s="162"/>
      <c r="AF41" s="162"/>
      <c r="AG41" s="153"/>
      <c r="AH41" s="152"/>
      <c r="AI41" s="162"/>
      <c r="AJ41" s="162"/>
      <c r="AK41" s="162"/>
      <c r="AL41" s="162"/>
      <c r="AM41" s="152"/>
      <c r="AN41" s="142">
        <f>AS41/(1+AS47)</f>
        <v>1328.1153727121448</v>
      </c>
      <c r="AO41" s="142">
        <f>AT41/(1+AT47)</f>
        <v>2154.0418117463969</v>
      </c>
      <c r="AP41" s="142">
        <f>AU41/(1+AU47)</f>
        <v>2193.0250453454501</v>
      </c>
      <c r="AQ41" s="142">
        <f>AV41/(1+AV47)</f>
        <v>2784.531793870447</v>
      </c>
      <c r="AR41" s="140">
        <v>9335</v>
      </c>
      <c r="AS41" s="64">
        <v>1498</v>
      </c>
      <c r="AT41" s="141">
        <v>2382</v>
      </c>
      <c r="AU41" s="141">
        <v>2413</v>
      </c>
      <c r="AV41" s="141">
        <v>3132</v>
      </c>
      <c r="AW41" s="140">
        <f>+AS41+AT41+AU41+AV41</f>
        <v>9425</v>
      </c>
      <c r="AX41" s="64">
        <v>1414</v>
      </c>
      <c r="AY41" s="64">
        <v>2224</v>
      </c>
      <c r="AZ41" s="64">
        <v>2283</v>
      </c>
      <c r="BA41" s="64">
        <v>2307</v>
      </c>
      <c r="BB41" s="140">
        <f>+AX41+AY41+AZ41+BA41</f>
        <v>8228</v>
      </c>
      <c r="BC41" s="64">
        <v>1042</v>
      </c>
      <c r="BD41" s="64">
        <v>1717</v>
      </c>
      <c r="BE41" s="64">
        <v>1762</v>
      </c>
      <c r="BF41" s="64">
        <v>2299</v>
      </c>
      <c r="BG41" s="140">
        <f>+BC41+BD41+BE41+BF41</f>
        <v>6820</v>
      </c>
      <c r="BH41" s="64">
        <v>1077</v>
      </c>
      <c r="BI41" s="64">
        <v>1823</v>
      </c>
      <c r="BJ41" s="64">
        <v>1873</v>
      </c>
      <c r="BK41" s="64">
        <v>2435</v>
      </c>
      <c r="BL41" s="140">
        <f>+BH41+BI41+BJ41+BK41</f>
        <v>7208</v>
      </c>
      <c r="BM41" s="64">
        <f>+BH41*(1+BM49)</f>
        <v>1134.2148615266797</v>
      </c>
      <c r="BN41" s="64">
        <f>+BI41*(1+BN49)</f>
        <v>1848.2450751561507</v>
      </c>
      <c r="BO41" s="64">
        <f>+BJ41*(1+BO49)</f>
        <v>1904.953603659189</v>
      </c>
      <c r="BP41" s="64">
        <f>+BK41*(1+BP49)</f>
        <v>2591.559584833778</v>
      </c>
      <c r="BQ41" s="140">
        <f>+BM41+BN41+BO41+BP41</f>
        <v>7478.9731251757976</v>
      </c>
      <c r="BR41" s="64">
        <f>+BM41*(1+BR49)</f>
        <v>1190.4411154537017</v>
      </c>
      <c r="BS41" s="64">
        <f>+BN41*(1+BS49)</f>
        <v>1937.765830385239</v>
      </c>
      <c r="BT41" s="64">
        <f>+BO41*(1+BT49)</f>
        <v>1997.2210673025245</v>
      </c>
      <c r="BU41" s="64">
        <f>+BP41*(1+BU49)</f>
        <v>2717.0831825286896</v>
      </c>
      <c r="BV41" s="140">
        <f>+BR41+BS41+BT41+BU41</f>
        <v>7842.5111956701548</v>
      </c>
      <c r="BW41" s="64">
        <f>+BR41*(1+BW49)</f>
        <v>1248.1007782027937</v>
      </c>
      <c r="BX41" s="64">
        <f>+BS41*(1+BX49)</f>
        <v>2031.622572072243</v>
      </c>
      <c r="BY41" s="64">
        <f>+BT41*(1+BY49)</f>
        <v>2093.957555719388</v>
      </c>
      <c r="BZ41" s="64">
        <f>+BU41*(1+BZ49)</f>
        <v>2848.6865839334914</v>
      </c>
      <c r="CA41" s="140">
        <f>+BW41+BX41+BY41+BZ41</f>
        <v>8222.3674899279158</v>
      </c>
      <c r="CB41" s="64">
        <f>+BW41*(1+CB49)</f>
        <v>1308.5532180705354</v>
      </c>
      <c r="CC41" s="64">
        <f>+BX41*(1+CC49)</f>
        <v>2130.0253160790162</v>
      </c>
      <c r="CD41" s="64">
        <f>+BY41*(1+CD49)</f>
        <v>2195.3795285547917</v>
      </c>
      <c r="CE41" s="64">
        <f>+BZ41*(1+CE49)</f>
        <v>2986.6642676468664</v>
      </c>
      <c r="CF41" s="140">
        <f>+CB41+CC41+CD41+CE41</f>
        <v>8620.6223303512088</v>
      </c>
      <c r="CG41" s="64">
        <f>+CB41*(1+CG49)</f>
        <v>1371.9337047352876</v>
      </c>
      <c r="CH41" s="64">
        <f>+CC41*(1+CH49)</f>
        <v>2233.194250499881</v>
      </c>
      <c r="CI41" s="64">
        <f>+CD41*(1+CI49)</f>
        <v>2301.7139297943572</v>
      </c>
      <c r="CJ41" s="64">
        <f>+CE41*(1+CJ49)</f>
        <v>3131.3249754985513</v>
      </c>
      <c r="CK41" s="140">
        <f>+CG41+CH41+CI41+CJ41</f>
        <v>9038.1668605280774</v>
      </c>
      <c r="CL41"/>
      <c r="CM41"/>
      <c r="CN41" s="37"/>
      <c r="CO41" s="37"/>
      <c r="CP41" s="37"/>
      <c r="CQ41" s="27"/>
      <c r="CR41" s="27"/>
      <c r="CS41" s="27"/>
      <c r="CT41" s="27"/>
      <c r="CU41" s="27"/>
      <c r="CV41" s="27"/>
      <c r="CW41" s="27"/>
      <c r="CX41" s="27"/>
      <c r="CY41" s="27"/>
      <c r="CZ41" s="27"/>
      <c r="DA41" s="27"/>
    </row>
    <row r="42" spans="1:105" x14ac:dyDescent="0.2">
      <c r="A42" s="129" t="s">
        <v>200</v>
      </c>
      <c r="B42" s="214"/>
      <c r="C42" s="47"/>
      <c r="D42" s="47"/>
      <c r="E42" s="154"/>
      <c r="F42" s="154"/>
      <c r="G42" s="154"/>
      <c r="H42" s="154"/>
      <c r="I42" s="152"/>
      <c r="J42" s="153"/>
      <c r="K42" s="153"/>
      <c r="L42" s="153"/>
      <c r="M42" s="153"/>
      <c r="N42" s="152"/>
      <c r="O42" s="153"/>
      <c r="P42" s="153"/>
      <c r="Q42" s="153"/>
      <c r="R42" s="153"/>
      <c r="S42" s="152"/>
      <c r="T42" s="153"/>
      <c r="U42" s="153"/>
      <c r="V42" s="153"/>
      <c r="W42" s="153"/>
      <c r="X42" s="155"/>
      <c r="Y42" s="164"/>
      <c r="Z42" s="164"/>
      <c r="AA42" s="164"/>
      <c r="AB42" s="164"/>
      <c r="AC42" s="155"/>
      <c r="AD42" s="162"/>
      <c r="AE42" s="162"/>
      <c r="AF42" s="162"/>
      <c r="AG42" s="153"/>
      <c r="AH42" s="152"/>
      <c r="AI42" s="162"/>
      <c r="AJ42" s="162"/>
      <c r="AK42" s="162"/>
      <c r="AL42" s="162"/>
      <c r="AM42" s="152"/>
      <c r="AN42" s="162"/>
      <c r="AO42" s="162"/>
      <c r="AP42" s="162"/>
      <c r="AQ42" s="162"/>
      <c r="AR42" s="521"/>
      <c r="AS42" s="310">
        <f>AS49-AS43-AS48</f>
        <v>9.9999999999999992E-2</v>
      </c>
      <c r="AT42" s="522">
        <f>AT49-AT43</f>
        <v>0.09</v>
      </c>
      <c r="AU42" s="522">
        <f>AU49-AU43</f>
        <v>0.08</v>
      </c>
      <c r="AV42" s="522">
        <f>AV49-AV43</f>
        <v>0.11</v>
      </c>
      <c r="AW42" s="521">
        <v>0.1</v>
      </c>
      <c r="AX42" s="310">
        <v>0.17</v>
      </c>
      <c r="AY42" s="310">
        <v>0.22</v>
      </c>
      <c r="AZ42" s="310">
        <v>0.33</v>
      </c>
      <c r="BA42" s="310">
        <v>0.08</v>
      </c>
      <c r="BB42" s="523">
        <v>0.2</v>
      </c>
      <c r="BC42" s="310">
        <v>0.09</v>
      </c>
      <c r="BD42" s="565">
        <v>0.09</v>
      </c>
      <c r="BE42" s="565">
        <v>0.1</v>
      </c>
      <c r="BF42" s="308">
        <v>0.09</v>
      </c>
      <c r="BG42" s="523">
        <v>0.09</v>
      </c>
      <c r="BH42" s="308">
        <v>0.06</v>
      </c>
      <c r="BI42" s="581">
        <v>0.08</v>
      </c>
      <c r="BJ42" s="581">
        <v>0.05</v>
      </c>
      <c r="BK42" s="581">
        <v>0.03</v>
      </c>
      <c r="BL42" s="523">
        <v>0.05</v>
      </c>
      <c r="BM42" s="308">
        <f t="shared" ref="BM42:CJ42" si="64">+BM44+BM47</f>
        <v>4.4478514588859416E-2</v>
      </c>
      <c r="BN42" s="308">
        <f t="shared" si="64"/>
        <v>4.5521485411140587E-2</v>
      </c>
      <c r="BO42" s="308">
        <f t="shared" si="64"/>
        <v>5.791405835543767E-2</v>
      </c>
      <c r="BP42" s="308">
        <f t="shared" si="64"/>
        <v>6.447851458885942E-2</v>
      </c>
      <c r="BQ42" s="523">
        <f>+BQ44+BQ47</f>
        <v>5.4989905998934288E-2</v>
      </c>
      <c r="BR42" s="308">
        <f t="shared" si="64"/>
        <v>4.8435543766578257E-2</v>
      </c>
      <c r="BS42" s="308">
        <f t="shared" si="64"/>
        <v>4.8435543766578257E-2</v>
      </c>
      <c r="BT42" s="308">
        <f t="shared" si="64"/>
        <v>4.8435543766578257E-2</v>
      </c>
      <c r="BU42" s="308">
        <f t="shared" si="64"/>
        <v>4.8435543766578257E-2</v>
      </c>
      <c r="BV42" s="523">
        <f>+BV44+BV47</f>
        <v>4.8435543766578257E-2</v>
      </c>
      <c r="BW42" s="308">
        <f t="shared" si="64"/>
        <v>4.8435543766578257E-2</v>
      </c>
      <c r="BX42" s="308">
        <f t="shared" si="64"/>
        <v>4.8435543766578257E-2</v>
      </c>
      <c r="BY42" s="308">
        <f t="shared" si="64"/>
        <v>4.8435543766578257E-2</v>
      </c>
      <c r="BZ42" s="308">
        <f t="shared" si="64"/>
        <v>4.8435543766578257E-2</v>
      </c>
      <c r="CA42" s="523">
        <f>+CA44+CA47</f>
        <v>4.8435543766578257E-2</v>
      </c>
      <c r="CB42" s="308">
        <f t="shared" si="64"/>
        <v>4.8435543766578257E-2</v>
      </c>
      <c r="CC42" s="308">
        <f t="shared" si="64"/>
        <v>4.8435543766578257E-2</v>
      </c>
      <c r="CD42" s="308">
        <f t="shared" si="64"/>
        <v>4.8435543766578257E-2</v>
      </c>
      <c r="CE42" s="308">
        <f t="shared" si="64"/>
        <v>4.8435543766578257E-2</v>
      </c>
      <c r="CF42" s="523">
        <f>+CF44+CF47</f>
        <v>4.8435543766578257E-2</v>
      </c>
      <c r="CG42" s="308">
        <f t="shared" si="64"/>
        <v>4.8435543766578257E-2</v>
      </c>
      <c r="CH42" s="308">
        <f t="shared" si="64"/>
        <v>4.8435543766578257E-2</v>
      </c>
      <c r="CI42" s="308">
        <f t="shared" si="64"/>
        <v>4.8435543766578257E-2</v>
      </c>
      <c r="CJ42" s="308">
        <f t="shared" si="64"/>
        <v>4.8435543766578257E-2</v>
      </c>
      <c r="CK42" s="523">
        <f>+CK44+CK47</f>
        <v>4.8435543766578257E-2</v>
      </c>
      <c r="CL42"/>
      <c r="CM42"/>
      <c r="CN42" s="37"/>
      <c r="CO42" s="37"/>
      <c r="CP42" s="37"/>
      <c r="CQ42" s="27"/>
      <c r="CR42" s="27"/>
      <c r="CS42" s="27"/>
      <c r="CT42" s="27"/>
      <c r="CU42" s="27"/>
      <c r="CV42" s="27"/>
      <c r="CW42" s="27"/>
      <c r="CX42" s="27"/>
      <c r="CY42" s="27"/>
      <c r="CZ42" s="27"/>
      <c r="DA42" s="27"/>
    </row>
    <row r="43" spans="1:105" x14ac:dyDescent="0.2">
      <c r="A43" s="129" t="s">
        <v>201</v>
      </c>
      <c r="B43" s="214"/>
      <c r="C43" s="47"/>
      <c r="D43" s="47"/>
      <c r="E43" s="154"/>
      <c r="F43" s="154"/>
      <c r="G43" s="154"/>
      <c r="H43" s="154"/>
      <c r="I43" s="152"/>
      <c r="J43" s="153"/>
      <c r="K43" s="153"/>
      <c r="L43" s="153"/>
      <c r="M43" s="153"/>
      <c r="N43" s="152"/>
      <c r="O43" s="153"/>
      <c r="P43" s="153"/>
      <c r="Q43" s="153"/>
      <c r="R43" s="153"/>
      <c r="S43" s="152"/>
      <c r="T43" s="153"/>
      <c r="U43" s="153"/>
      <c r="V43" s="153"/>
      <c r="W43" s="153"/>
      <c r="X43" s="155"/>
      <c r="Y43" s="164"/>
      <c r="Z43" s="164"/>
      <c r="AA43" s="164"/>
      <c r="AB43" s="164"/>
      <c r="AC43" s="155"/>
      <c r="AD43" s="162"/>
      <c r="AE43" s="162"/>
      <c r="AF43" s="162"/>
      <c r="AG43" s="153"/>
      <c r="AH43" s="152"/>
      <c r="AI43" s="162"/>
      <c r="AJ43" s="162"/>
      <c r="AK43" s="162"/>
      <c r="AL43" s="162"/>
      <c r="AM43" s="152"/>
      <c r="AN43" s="162"/>
      <c r="AO43" s="162"/>
      <c r="AP43" s="162"/>
      <c r="AQ43" s="162"/>
      <c r="AR43" s="523"/>
      <c r="AS43" s="308">
        <v>-0.12</v>
      </c>
      <c r="AT43" s="308">
        <v>-0.08</v>
      </c>
      <c r="AU43" s="308">
        <v>-0.03</v>
      </c>
      <c r="AV43" s="308">
        <v>-0.12</v>
      </c>
      <c r="AW43" s="523">
        <v>-0.09</v>
      </c>
      <c r="AX43" s="308">
        <v>-0.22</v>
      </c>
      <c r="AY43" s="308">
        <v>-0.28999999999999998</v>
      </c>
      <c r="AZ43" s="308">
        <v>-0.38</v>
      </c>
      <c r="BA43" s="308">
        <v>-0.19</v>
      </c>
      <c r="BB43" s="523">
        <v>-0.27</v>
      </c>
      <c r="BC43" s="308">
        <v>-0.19</v>
      </c>
      <c r="BD43" s="308">
        <v>-0.12</v>
      </c>
      <c r="BE43" s="308">
        <v>-0.09</v>
      </c>
      <c r="BF43" s="308">
        <v>-0.08</v>
      </c>
      <c r="BG43" s="523">
        <v>-0.11</v>
      </c>
      <c r="BH43" s="308">
        <v>-0.02</v>
      </c>
      <c r="BI43" s="581">
        <v>-0.01</v>
      </c>
      <c r="BJ43" s="581">
        <v>0.02</v>
      </c>
      <c r="BK43" s="581">
        <v>0.03</v>
      </c>
      <c r="BL43" s="523">
        <v>0.01</v>
      </c>
      <c r="BM43" s="308">
        <v>8.6457765222636707E-3</v>
      </c>
      <c r="BN43" s="308">
        <v>-3.1673391524058292E-2</v>
      </c>
      <c r="BO43" s="308">
        <v>-4.0853938943163713E-2</v>
      </c>
      <c r="BP43" s="308">
        <v>-1.8299720332434294E-4</v>
      </c>
      <c r="BQ43" s="523">
        <f>SUMPRODUCT(BH41:BK41,BM43:BP43)/BL41</f>
        <v>-1.7396520153235388E-2</v>
      </c>
      <c r="BR43" s="308">
        <v>1.1372980592996998E-3</v>
      </c>
      <c r="BS43" s="308">
        <v>0</v>
      </c>
      <c r="BT43" s="308">
        <v>0</v>
      </c>
      <c r="BU43" s="308">
        <v>0</v>
      </c>
      <c r="BV43" s="523">
        <f>SUMPRODUCT(BM41:BP41,BR43:BU43)/BQ41</f>
        <v>1.7247559781983436E-4</v>
      </c>
      <c r="BW43" s="544">
        <v>0</v>
      </c>
      <c r="BX43" s="544">
        <v>0</v>
      </c>
      <c r="BY43" s="544">
        <v>0</v>
      </c>
      <c r="BZ43" s="544">
        <v>0</v>
      </c>
      <c r="CA43" s="523">
        <f>SUMPRODUCT(BR41:BU41,BW43:BZ43)/BV41</f>
        <v>0</v>
      </c>
      <c r="CB43" s="544">
        <v>0</v>
      </c>
      <c r="CC43" s="544">
        <v>0</v>
      </c>
      <c r="CD43" s="544">
        <v>0</v>
      </c>
      <c r="CE43" s="544">
        <v>0</v>
      </c>
      <c r="CF43" s="523">
        <f>SUMPRODUCT(BW41:BZ41,CB43:CE43)/CA41</f>
        <v>0</v>
      </c>
      <c r="CG43" s="544">
        <v>0</v>
      </c>
      <c r="CH43" s="544">
        <v>0</v>
      </c>
      <c r="CI43" s="544">
        <v>0</v>
      </c>
      <c r="CJ43" s="544">
        <v>0</v>
      </c>
      <c r="CK43" s="523">
        <f>SUMPRODUCT(CB41:CE41,CG43:CJ43)/CF41</f>
        <v>0</v>
      </c>
      <c r="CL43"/>
      <c r="CM43"/>
      <c r="CN43" s="37"/>
      <c r="CO43" s="37"/>
      <c r="CP43" s="37"/>
      <c r="CQ43" s="27"/>
      <c r="CR43" s="27"/>
      <c r="CS43" s="27"/>
      <c r="CT43" s="27"/>
      <c r="CU43" s="27"/>
      <c r="CV43" s="27"/>
      <c r="CW43" s="27"/>
      <c r="CX43" s="27"/>
      <c r="CY43" s="27"/>
      <c r="CZ43" s="27"/>
      <c r="DA43" s="27"/>
    </row>
    <row r="44" spans="1:105" x14ac:dyDescent="0.2">
      <c r="A44" s="129" t="s">
        <v>34</v>
      </c>
      <c r="B44" s="214"/>
      <c r="C44" s="47"/>
      <c r="D44" s="47"/>
      <c r="E44" s="154"/>
      <c r="F44" s="154"/>
      <c r="G44" s="154"/>
      <c r="H44" s="154"/>
      <c r="I44" s="152"/>
      <c r="J44" s="153"/>
      <c r="K44" s="153"/>
      <c r="L44" s="153"/>
      <c r="M44" s="153"/>
      <c r="N44" s="152"/>
      <c r="O44" s="153"/>
      <c r="P44" s="153"/>
      <c r="Q44" s="153"/>
      <c r="R44" s="153"/>
      <c r="S44" s="152"/>
      <c r="T44" s="153"/>
      <c r="U44" s="153"/>
      <c r="V44" s="153"/>
      <c r="W44" s="153"/>
      <c r="X44" s="155"/>
      <c r="Y44" s="164"/>
      <c r="Z44" s="164"/>
      <c r="AA44" s="164"/>
      <c r="AB44" s="164"/>
      <c r="AC44" s="155"/>
      <c r="AD44" s="162"/>
      <c r="AE44" s="162"/>
      <c r="AF44" s="162"/>
      <c r="AG44" s="153"/>
      <c r="AH44" s="152"/>
      <c r="AI44" s="162"/>
      <c r="AJ44" s="162"/>
      <c r="AK44" s="162"/>
      <c r="AL44" s="162"/>
      <c r="AM44" s="152"/>
      <c r="AN44" s="162"/>
      <c r="AO44" s="162"/>
      <c r="AP44" s="162"/>
      <c r="AQ44" s="162"/>
      <c r="AR44" s="523"/>
      <c r="AS44" s="308">
        <f t="shared" ref="AS44:AX44" si="65">+$C45*AS45+$C46*AS46</f>
        <v>-2.7914058355437664E-2</v>
      </c>
      <c r="AT44" s="117">
        <f t="shared" si="65"/>
        <v>-1.5828116710875331E-2</v>
      </c>
      <c r="AU44" s="117">
        <f t="shared" si="65"/>
        <v>-2.030663129973475E-2</v>
      </c>
      <c r="AV44" s="117">
        <f t="shared" si="65"/>
        <v>-1.4785145888594163E-2</v>
      </c>
      <c r="AW44" s="523">
        <f t="shared" si="65"/>
        <v>-1.5828116710875331E-2</v>
      </c>
      <c r="AX44" s="308">
        <f t="shared" si="65"/>
        <v>-2.0859416445623345E-3</v>
      </c>
      <c r="AY44" s="308">
        <f>+$C45*AY45+$C46*AY46</f>
        <v>2.7914058355437664E-2</v>
      </c>
      <c r="AZ44" s="308">
        <f>+$C45*AZ45+$C46*AZ46</f>
        <v>8.9570291777188327E-3</v>
      </c>
      <c r="BA44" s="308">
        <f>+$C45*BA45+$C46*BA46</f>
        <v>-0.01</v>
      </c>
      <c r="BB44" s="523">
        <v>0.01</v>
      </c>
      <c r="BC44" s="308">
        <v>0.03</v>
      </c>
      <c r="BD44" s="308">
        <f t="shared" ref="BD44:BL44" si="66">+$C45*BD45+$C46*BD46</f>
        <v>1.5828116710875331E-2</v>
      </c>
      <c r="BE44" s="308">
        <f t="shared" si="66"/>
        <v>2.8220689655172413E-2</v>
      </c>
      <c r="BF44" s="308">
        <f t="shared" si="66"/>
        <v>3.2699204244031832E-2</v>
      </c>
      <c r="BG44" s="523">
        <f t="shared" si="66"/>
        <v>2.4785145888594162E-2</v>
      </c>
      <c r="BH44" s="308">
        <f t="shared" si="66"/>
        <v>5.8281167108753303E-3</v>
      </c>
      <c r="BI44" s="581">
        <f>+$C45*BI45+$C46*BI46</f>
        <v>4.7851458885941637E-3</v>
      </c>
      <c r="BJ44" s="581">
        <f t="shared" si="66"/>
        <v>-8.9570291777188327E-3</v>
      </c>
      <c r="BK44" s="581">
        <f t="shared" si="66"/>
        <v>-3.895702917771883E-2</v>
      </c>
      <c r="BL44" s="523">
        <f t="shared" si="66"/>
        <v>-1.5521485411140583E-2</v>
      </c>
      <c r="BM44" s="308">
        <f>+$C45*BM45+$C46*BM46</f>
        <v>4.4785145888594164E-3</v>
      </c>
      <c r="BN44" s="308">
        <f>+$C45*BN45+$C46*BN46</f>
        <v>5.5214854111405838E-3</v>
      </c>
      <c r="BO44" s="308">
        <f>+$C45*BO45+$C46*BO46</f>
        <v>1.7914058355437665E-2</v>
      </c>
      <c r="BP44" s="308">
        <f>+$C45*BP45+$C46*BP46</f>
        <v>2.4478514588859419E-2</v>
      </c>
      <c r="BQ44" s="523">
        <f>SUMPRODUCT(BH41:BK41,BM44:BP44)/BL41</f>
        <v>1.4989905998934284E-2</v>
      </c>
      <c r="BR44" s="308">
        <f>+$C45*BR45+$C46*BR46</f>
        <v>2.3435543766578252E-2</v>
      </c>
      <c r="BS44" s="308">
        <f>+$C45*BS45+$C46*BS46</f>
        <v>2.3435543766578252E-2</v>
      </c>
      <c r="BT44" s="308">
        <f>+$C45*BT45+$C46*BT46</f>
        <v>2.3435543766578252E-2</v>
      </c>
      <c r="BU44" s="308">
        <f>+$C45*BU45+$C46*BU46</f>
        <v>2.3435543766578252E-2</v>
      </c>
      <c r="BV44" s="523">
        <f>SUMPRODUCT(BM41:BP41,BR44:BU44)/BQ41</f>
        <v>2.3435543766578252E-2</v>
      </c>
      <c r="BW44" s="308">
        <f>+$C45*BW45+$C46*BW46</f>
        <v>2.3435543766578252E-2</v>
      </c>
      <c r="BX44" s="308">
        <f>+$C45*BX45+$C46*BX46</f>
        <v>2.3435543766578252E-2</v>
      </c>
      <c r="BY44" s="308">
        <f>+$C45*BY45+$C46*BY46</f>
        <v>2.3435543766578252E-2</v>
      </c>
      <c r="BZ44" s="308">
        <f>+$C45*BZ45+$C46*BZ46</f>
        <v>2.3435543766578252E-2</v>
      </c>
      <c r="CA44" s="523">
        <f>SUMPRODUCT(BR41:BU41,BW44:BZ44)/BV41</f>
        <v>2.3435543766578252E-2</v>
      </c>
      <c r="CB44" s="308">
        <f>+$C45*CB45+$C46*CB46</f>
        <v>2.3435543766578252E-2</v>
      </c>
      <c r="CC44" s="308">
        <f>+$C45*CC45+$C46*CC46</f>
        <v>2.3435543766578252E-2</v>
      </c>
      <c r="CD44" s="308">
        <f>+$C45*CD45+$C46*CD46</f>
        <v>2.3435543766578252E-2</v>
      </c>
      <c r="CE44" s="308">
        <f>+$C45*CE45+$C46*CE46</f>
        <v>2.3435543766578252E-2</v>
      </c>
      <c r="CF44" s="523">
        <f>SUMPRODUCT(BW41:BZ41,CB44:CE44)/CA41</f>
        <v>2.3435543766578252E-2</v>
      </c>
      <c r="CG44" s="308">
        <f>+$C45*CG45+$C46*CG46</f>
        <v>2.3435543766578252E-2</v>
      </c>
      <c r="CH44" s="308">
        <f>+$C45*CH45+$C46*CH46</f>
        <v>2.3435543766578252E-2</v>
      </c>
      <c r="CI44" s="308">
        <f>+$C45*CI45+$C46*CI46</f>
        <v>2.3435543766578252E-2</v>
      </c>
      <c r="CJ44" s="308">
        <f>+$C45*CJ45+$C46*CJ46</f>
        <v>2.3435543766578252E-2</v>
      </c>
      <c r="CK44" s="523">
        <f>SUMPRODUCT(CB41:CE41,CG44:CJ44)/CF41</f>
        <v>2.3435543766578252E-2</v>
      </c>
      <c r="CL44"/>
      <c r="CM44"/>
      <c r="CN44" s="37"/>
      <c r="CO44" s="37"/>
      <c r="CP44" s="37"/>
      <c r="CQ44" s="27"/>
      <c r="CR44" s="27"/>
      <c r="CS44" s="27"/>
      <c r="CT44" s="27"/>
      <c r="CU44" s="27"/>
      <c r="CV44" s="27"/>
      <c r="CW44" s="27"/>
      <c r="CX44" s="27"/>
      <c r="CY44" s="27"/>
      <c r="CZ44" s="27"/>
      <c r="DA44" s="27"/>
    </row>
    <row r="45" spans="1:105" x14ac:dyDescent="0.2">
      <c r="A45" s="129"/>
      <c r="B45" s="129" t="s">
        <v>30</v>
      </c>
      <c r="C45" s="182">
        <f>AW69/AW41</f>
        <v>0.89570291777188327</v>
      </c>
      <c r="D45" s="182"/>
      <c r="E45" s="154"/>
      <c r="F45" s="154"/>
      <c r="G45" s="154"/>
      <c r="H45" s="154"/>
      <c r="I45" s="152"/>
      <c r="J45" s="153"/>
      <c r="K45" s="153"/>
      <c r="L45" s="153"/>
      <c r="M45" s="153"/>
      <c r="N45" s="152"/>
      <c r="O45" s="153"/>
      <c r="P45" s="153"/>
      <c r="Q45" s="153"/>
      <c r="R45" s="153"/>
      <c r="S45" s="152"/>
      <c r="T45" s="153"/>
      <c r="U45" s="153"/>
      <c r="V45" s="153"/>
      <c r="W45" s="153"/>
      <c r="X45" s="155"/>
      <c r="Y45" s="164"/>
      <c r="Z45" s="164"/>
      <c r="AA45" s="164"/>
      <c r="AB45" s="164"/>
      <c r="AC45" s="155"/>
      <c r="AD45" s="162"/>
      <c r="AE45" s="162"/>
      <c r="AF45" s="162"/>
      <c r="AG45" s="153"/>
      <c r="AH45" s="152"/>
      <c r="AI45" s="162"/>
      <c r="AJ45" s="162"/>
      <c r="AK45" s="162"/>
      <c r="AL45" s="162"/>
      <c r="AM45" s="152"/>
      <c r="AN45" s="162"/>
      <c r="AO45" s="162"/>
      <c r="AP45" s="162"/>
      <c r="AQ45" s="162"/>
      <c r="AR45" s="523"/>
      <c r="AS45" s="308">
        <v>-0.03</v>
      </c>
      <c r="AT45" s="308">
        <v>-0.02</v>
      </c>
      <c r="AU45" s="308">
        <v>-2.5000000000000001E-2</v>
      </c>
      <c r="AV45" s="308">
        <v>-0.02</v>
      </c>
      <c r="AW45" s="523">
        <v>-0.02</v>
      </c>
      <c r="AX45" s="308">
        <v>0</v>
      </c>
      <c r="AY45" s="308">
        <v>0.03</v>
      </c>
      <c r="AZ45" s="308">
        <v>0.01</v>
      </c>
      <c r="BA45" s="308">
        <v>-0.01</v>
      </c>
      <c r="BB45" s="523">
        <v>0.01</v>
      </c>
      <c r="BC45" s="308">
        <v>0.03</v>
      </c>
      <c r="BD45" s="565">
        <v>0.02</v>
      </c>
      <c r="BE45" s="565">
        <v>3.5000000000000003E-2</v>
      </c>
      <c r="BF45" s="565">
        <v>0.04</v>
      </c>
      <c r="BG45" s="523">
        <v>0.03</v>
      </c>
      <c r="BH45" s="565">
        <v>0.01</v>
      </c>
      <c r="BI45" s="581">
        <v>0.01</v>
      </c>
      <c r="BJ45" s="581">
        <v>-0.01</v>
      </c>
      <c r="BK45" s="581">
        <v>-0.04</v>
      </c>
      <c r="BL45" s="523">
        <v>-1.4999999999999999E-2</v>
      </c>
      <c r="BM45" s="530">
        <v>5.0000000000000001E-3</v>
      </c>
      <c r="BN45" s="530">
        <v>5.0000000000000001E-3</v>
      </c>
      <c r="BO45" s="530">
        <v>0.02</v>
      </c>
      <c r="BP45" s="530">
        <v>2.5000000000000001E-2</v>
      </c>
      <c r="BQ45" s="523">
        <f>SUMPRODUCT(BH41:BK41,BM45:BP45)/BL41</f>
        <v>1.5654134295227527E-2</v>
      </c>
      <c r="BR45" s="530">
        <v>2.5000000000000001E-2</v>
      </c>
      <c r="BS45" s="308">
        <f t="shared" ref="BS45:BU48" si="67">BR45</f>
        <v>2.5000000000000001E-2</v>
      </c>
      <c r="BT45" s="308">
        <f t="shared" si="67"/>
        <v>2.5000000000000001E-2</v>
      </c>
      <c r="BU45" s="308">
        <f t="shared" si="67"/>
        <v>2.5000000000000001E-2</v>
      </c>
      <c r="BV45" s="523">
        <f>SUMPRODUCT(BM41:BP41,BR45:BU45)/BQ41</f>
        <v>2.5000000000000001E-2</v>
      </c>
      <c r="BW45" s="530">
        <v>2.5000000000000001E-2</v>
      </c>
      <c r="BX45" s="308">
        <f t="shared" ref="BX45:BZ48" si="68">BW45</f>
        <v>2.5000000000000001E-2</v>
      </c>
      <c r="BY45" s="308">
        <f t="shared" si="68"/>
        <v>2.5000000000000001E-2</v>
      </c>
      <c r="BZ45" s="308">
        <f t="shared" si="68"/>
        <v>2.5000000000000001E-2</v>
      </c>
      <c r="CA45" s="523">
        <f>SUMPRODUCT(BR41:BU41,BW45:BZ45)/BV41</f>
        <v>2.5000000000000005E-2</v>
      </c>
      <c r="CB45" s="530">
        <v>2.5000000000000001E-2</v>
      </c>
      <c r="CC45" s="308">
        <f t="shared" ref="CC45:CE48" si="69">CB45</f>
        <v>2.5000000000000001E-2</v>
      </c>
      <c r="CD45" s="308">
        <f t="shared" si="69"/>
        <v>2.5000000000000001E-2</v>
      </c>
      <c r="CE45" s="308">
        <f t="shared" si="69"/>
        <v>2.5000000000000001E-2</v>
      </c>
      <c r="CF45" s="523">
        <f>SUMPRODUCT(BW41:BZ41,CB45:CE45)/CA41</f>
        <v>2.5000000000000001E-2</v>
      </c>
      <c r="CG45" s="530">
        <v>2.5000000000000001E-2</v>
      </c>
      <c r="CH45" s="308">
        <f t="shared" ref="CH45:CJ48" si="70">CG45</f>
        <v>2.5000000000000001E-2</v>
      </c>
      <c r="CI45" s="308">
        <f t="shared" si="70"/>
        <v>2.5000000000000001E-2</v>
      </c>
      <c r="CJ45" s="308">
        <f t="shared" si="70"/>
        <v>2.5000000000000001E-2</v>
      </c>
      <c r="CK45" s="523">
        <f>SUMPRODUCT(CB41:CE41,CG45:CJ45)/CF41</f>
        <v>2.5000000000000005E-2</v>
      </c>
      <c r="CL45"/>
      <c r="CM45"/>
      <c r="CN45" s="37"/>
      <c r="CO45" s="37"/>
      <c r="CP45" s="37"/>
      <c r="CQ45" s="27"/>
      <c r="CR45" s="27"/>
      <c r="CS45" s="27"/>
      <c r="CT45" s="27"/>
      <c r="CU45" s="27"/>
      <c r="CV45" s="27"/>
      <c r="CW45" s="27"/>
      <c r="CX45" s="27"/>
      <c r="CY45" s="27"/>
      <c r="CZ45" s="27"/>
      <c r="DA45" s="27"/>
    </row>
    <row r="46" spans="1:105" x14ac:dyDescent="0.2">
      <c r="A46" s="129"/>
      <c r="B46" s="129" t="s">
        <v>31</v>
      </c>
      <c r="C46" s="182">
        <f>1-C45</f>
        <v>0.10429708222811673</v>
      </c>
      <c r="D46" s="182"/>
      <c r="E46" s="154"/>
      <c r="F46" s="154"/>
      <c r="G46" s="154"/>
      <c r="H46" s="154"/>
      <c r="I46" s="152"/>
      <c r="J46" s="153"/>
      <c r="K46" s="153"/>
      <c r="L46" s="153"/>
      <c r="M46" s="153"/>
      <c r="N46" s="152"/>
      <c r="O46" s="153"/>
      <c r="P46" s="153"/>
      <c r="Q46" s="153"/>
      <c r="R46" s="153"/>
      <c r="S46" s="152"/>
      <c r="T46" s="153"/>
      <c r="U46" s="153"/>
      <c r="V46" s="153"/>
      <c r="W46" s="153"/>
      <c r="X46" s="155"/>
      <c r="Y46" s="164"/>
      <c r="Z46" s="164"/>
      <c r="AA46" s="164"/>
      <c r="AB46" s="164"/>
      <c r="AC46" s="155"/>
      <c r="AD46" s="162"/>
      <c r="AE46" s="162"/>
      <c r="AF46" s="162"/>
      <c r="AG46" s="153"/>
      <c r="AH46" s="152"/>
      <c r="AI46" s="162"/>
      <c r="AJ46" s="162"/>
      <c r="AK46" s="162"/>
      <c r="AL46" s="162"/>
      <c r="AM46" s="152"/>
      <c r="AN46" s="162"/>
      <c r="AO46" s="162"/>
      <c r="AP46" s="162"/>
      <c r="AQ46" s="162"/>
      <c r="AR46" s="523"/>
      <c r="AS46" s="308">
        <v>-0.01</v>
      </c>
      <c r="AT46" s="308">
        <v>0.02</v>
      </c>
      <c r="AU46" s="308">
        <v>0.02</v>
      </c>
      <c r="AV46" s="308">
        <v>0.03</v>
      </c>
      <c r="AW46" s="523">
        <v>0.02</v>
      </c>
      <c r="AX46" s="308">
        <v>-0.02</v>
      </c>
      <c r="AY46" s="308">
        <v>0.01</v>
      </c>
      <c r="AZ46" s="308">
        <v>0</v>
      </c>
      <c r="BA46" s="308">
        <v>-0.01</v>
      </c>
      <c r="BB46" s="523">
        <v>0</v>
      </c>
      <c r="BC46" s="308">
        <v>0.03</v>
      </c>
      <c r="BD46" s="565">
        <v>-0.02</v>
      </c>
      <c r="BE46" s="565">
        <v>-0.03</v>
      </c>
      <c r="BF46" s="565">
        <v>-0.03</v>
      </c>
      <c r="BG46" s="523">
        <v>-0.02</v>
      </c>
      <c r="BH46" s="565">
        <v>-0.03</v>
      </c>
      <c r="BI46" s="581">
        <v>-0.04</v>
      </c>
      <c r="BJ46" s="581">
        <v>0</v>
      </c>
      <c r="BK46" s="581">
        <v>-0.03</v>
      </c>
      <c r="BL46" s="523">
        <v>-0.02</v>
      </c>
      <c r="BM46" s="530">
        <v>0</v>
      </c>
      <c r="BN46" s="530">
        <v>0.01</v>
      </c>
      <c r="BO46" s="530">
        <v>0</v>
      </c>
      <c r="BP46" s="530">
        <v>0.02</v>
      </c>
      <c r="BQ46" s="523">
        <f>SUMPRODUCT(BH41:BK41,BM46:BP46)/BL41</f>
        <v>9.2855160932297457E-3</v>
      </c>
      <c r="BR46" s="530">
        <v>0.01</v>
      </c>
      <c r="BS46" s="308">
        <f t="shared" si="67"/>
        <v>0.01</v>
      </c>
      <c r="BT46" s="308">
        <f t="shared" si="67"/>
        <v>0.01</v>
      </c>
      <c r="BU46" s="308">
        <f t="shared" si="67"/>
        <v>0.01</v>
      </c>
      <c r="BV46" s="523">
        <f>SUMPRODUCT(BM41:BP41,BR46:BU46)/BQ41</f>
        <v>1.0000000000000002E-2</v>
      </c>
      <c r="BW46" s="530">
        <v>0.01</v>
      </c>
      <c r="BX46" s="308">
        <f t="shared" si="68"/>
        <v>0.01</v>
      </c>
      <c r="BY46" s="308">
        <f t="shared" si="68"/>
        <v>0.01</v>
      </c>
      <c r="BZ46" s="308">
        <f t="shared" si="68"/>
        <v>0.01</v>
      </c>
      <c r="CA46" s="523">
        <f>SUMPRODUCT(BR41:BU41,BW46:BZ46)/BV41</f>
        <v>0.01</v>
      </c>
      <c r="CB46" s="530">
        <v>0.01</v>
      </c>
      <c r="CC46" s="308">
        <f t="shared" si="69"/>
        <v>0.01</v>
      </c>
      <c r="CD46" s="308">
        <f t="shared" si="69"/>
        <v>0.01</v>
      </c>
      <c r="CE46" s="308">
        <f t="shared" si="69"/>
        <v>0.01</v>
      </c>
      <c r="CF46" s="523">
        <f>SUMPRODUCT(BW41:BZ41,CB46:CE46)/CA41</f>
        <v>0.01</v>
      </c>
      <c r="CG46" s="530">
        <v>0.01</v>
      </c>
      <c r="CH46" s="308">
        <f t="shared" si="70"/>
        <v>0.01</v>
      </c>
      <c r="CI46" s="308">
        <f t="shared" si="70"/>
        <v>0.01</v>
      </c>
      <c r="CJ46" s="308">
        <f t="shared" si="70"/>
        <v>0.01</v>
      </c>
      <c r="CK46" s="523">
        <f>SUMPRODUCT(CB41:CE41,CG46:CJ46)/CF41</f>
        <v>1.0000000000000002E-2</v>
      </c>
      <c r="CL46"/>
      <c r="CM46"/>
      <c r="CN46" s="37"/>
      <c r="CO46" s="37"/>
      <c r="CP46" s="37"/>
      <c r="CQ46" s="27"/>
      <c r="CR46" s="27"/>
      <c r="CS46" s="27"/>
      <c r="CT46" s="27"/>
      <c r="CU46" s="27"/>
      <c r="CV46" s="27"/>
      <c r="CW46" s="27"/>
      <c r="CX46" s="27"/>
      <c r="CY46" s="27"/>
      <c r="CZ46" s="27"/>
      <c r="DA46" s="27"/>
    </row>
    <row r="47" spans="1:105" x14ac:dyDescent="0.2">
      <c r="A47" s="129" t="s">
        <v>6</v>
      </c>
      <c r="B47" s="214"/>
      <c r="C47" s="47"/>
      <c r="D47" s="47"/>
      <c r="E47" s="154"/>
      <c r="F47" s="154"/>
      <c r="G47" s="154"/>
      <c r="H47" s="154"/>
      <c r="I47" s="152"/>
      <c r="J47" s="153"/>
      <c r="K47" s="153"/>
      <c r="L47" s="153"/>
      <c r="M47" s="153"/>
      <c r="N47" s="152"/>
      <c r="O47" s="153"/>
      <c r="P47" s="153"/>
      <c r="Q47" s="153"/>
      <c r="R47" s="153"/>
      <c r="S47" s="152"/>
      <c r="T47" s="153"/>
      <c r="U47" s="153"/>
      <c r="V47" s="153"/>
      <c r="W47" s="153"/>
      <c r="X47" s="155"/>
      <c r="Y47" s="164"/>
      <c r="Z47" s="164"/>
      <c r="AA47" s="164"/>
      <c r="AB47" s="164"/>
      <c r="AC47" s="155"/>
      <c r="AD47" s="162"/>
      <c r="AE47" s="162"/>
      <c r="AF47" s="162"/>
      <c r="AG47" s="153"/>
      <c r="AH47" s="152"/>
      <c r="AI47" s="162"/>
      <c r="AJ47" s="162"/>
      <c r="AK47" s="162"/>
      <c r="AL47" s="162"/>
      <c r="AM47" s="152"/>
      <c r="AN47" s="162"/>
      <c r="AO47" s="162"/>
      <c r="AP47" s="162"/>
      <c r="AQ47" s="162"/>
      <c r="AR47" s="523"/>
      <c r="AS47" s="308">
        <f t="shared" ref="AS47:AY47" si="71">AS42-AS44</f>
        <v>0.12791405835543765</v>
      </c>
      <c r="AT47" s="43">
        <f t="shared" si="71"/>
        <v>0.10582811671087533</v>
      </c>
      <c r="AU47" s="43">
        <f t="shared" si="71"/>
        <v>0.10030663129973474</v>
      </c>
      <c r="AV47" s="43">
        <f t="shared" si="71"/>
        <v>0.12478514588859416</v>
      </c>
      <c r="AW47" s="523">
        <f t="shared" si="71"/>
        <v>0.11582811671087534</v>
      </c>
      <c r="AX47" s="308">
        <f t="shared" si="71"/>
        <v>0.17208594164456234</v>
      </c>
      <c r="AY47" s="308">
        <f t="shared" si="71"/>
        <v>0.19208594164456233</v>
      </c>
      <c r="AZ47" s="43">
        <f t="shared" ref="AZ47:BC47" si="72">AZ42-AZ44</f>
        <v>0.32104297082228117</v>
      </c>
      <c r="BA47" s="43">
        <f t="shared" si="72"/>
        <v>0.09</v>
      </c>
      <c r="BB47" s="523">
        <v>0.19</v>
      </c>
      <c r="BC47" s="43">
        <f t="shared" si="72"/>
        <v>0.06</v>
      </c>
      <c r="BD47" s="43">
        <f>BD42-BD44</f>
        <v>7.4171883289124663E-2</v>
      </c>
      <c r="BE47" s="43">
        <f>BE42-BE44</f>
        <v>7.1779310344827596E-2</v>
      </c>
      <c r="BF47" s="43">
        <f>BF42-BF44</f>
        <v>5.7300795755968165E-2</v>
      </c>
      <c r="BG47" s="523">
        <v>6.5000000000000002E-2</v>
      </c>
      <c r="BH47" s="43">
        <f>BH42-BH44</f>
        <v>5.4171883289124666E-2</v>
      </c>
      <c r="BI47" s="630">
        <f>BI42-BI44</f>
        <v>7.5214854111405841E-2</v>
      </c>
      <c r="BJ47" s="630">
        <f>BJ42-BJ44</f>
        <v>5.8957029177718834E-2</v>
      </c>
      <c r="BK47" s="630">
        <f>BK42-BK44</f>
        <v>6.8957029177718829E-2</v>
      </c>
      <c r="BL47" s="523">
        <f>BL42-BL44</f>
        <v>6.5521485411140584E-2</v>
      </c>
      <c r="BM47" s="530">
        <v>0.04</v>
      </c>
      <c r="BN47" s="530">
        <v>0.04</v>
      </c>
      <c r="BO47" s="530">
        <v>0.04</v>
      </c>
      <c r="BP47" s="530">
        <v>0.04</v>
      </c>
      <c r="BQ47" s="523">
        <f>SUMPRODUCT(BH41:BK41,BM47:BP47)/BL41</f>
        <v>4.0000000000000008E-2</v>
      </c>
      <c r="BR47" s="530">
        <v>2.5000000000000001E-2</v>
      </c>
      <c r="BS47" s="308">
        <f t="shared" si="67"/>
        <v>2.5000000000000001E-2</v>
      </c>
      <c r="BT47" s="308">
        <f t="shared" si="67"/>
        <v>2.5000000000000001E-2</v>
      </c>
      <c r="BU47" s="308">
        <f t="shared" si="67"/>
        <v>2.5000000000000001E-2</v>
      </c>
      <c r="BV47" s="523">
        <f>SUMPRODUCT(BM41:BP41,BR47:BU47)/BQ41</f>
        <v>2.5000000000000001E-2</v>
      </c>
      <c r="BW47" s="530">
        <v>2.5000000000000001E-2</v>
      </c>
      <c r="BX47" s="308">
        <f t="shared" si="68"/>
        <v>2.5000000000000001E-2</v>
      </c>
      <c r="BY47" s="308">
        <f t="shared" si="68"/>
        <v>2.5000000000000001E-2</v>
      </c>
      <c r="BZ47" s="308">
        <f t="shared" si="68"/>
        <v>2.5000000000000001E-2</v>
      </c>
      <c r="CA47" s="523">
        <f>SUMPRODUCT(BR41:BU41,BW47:BZ47)/BV41</f>
        <v>2.5000000000000005E-2</v>
      </c>
      <c r="CB47" s="530">
        <v>2.5000000000000001E-2</v>
      </c>
      <c r="CC47" s="308">
        <f t="shared" si="69"/>
        <v>2.5000000000000001E-2</v>
      </c>
      <c r="CD47" s="308">
        <f t="shared" si="69"/>
        <v>2.5000000000000001E-2</v>
      </c>
      <c r="CE47" s="308">
        <f t="shared" si="69"/>
        <v>2.5000000000000001E-2</v>
      </c>
      <c r="CF47" s="523">
        <f>SUMPRODUCT(BW41:BZ41,CB47:CE47)/CA41</f>
        <v>2.5000000000000001E-2</v>
      </c>
      <c r="CG47" s="530">
        <v>2.5000000000000001E-2</v>
      </c>
      <c r="CH47" s="308">
        <f t="shared" si="70"/>
        <v>2.5000000000000001E-2</v>
      </c>
      <c r="CI47" s="308">
        <f t="shared" si="70"/>
        <v>2.5000000000000001E-2</v>
      </c>
      <c r="CJ47" s="308">
        <f t="shared" si="70"/>
        <v>2.5000000000000001E-2</v>
      </c>
      <c r="CK47" s="523">
        <f>SUMPRODUCT(CB41:CE41,CG47:CJ47)/CF41</f>
        <v>2.5000000000000005E-2</v>
      </c>
      <c r="CL47"/>
      <c r="CM47"/>
      <c r="CN47" s="37"/>
      <c r="CO47" s="37"/>
      <c r="CP47" s="37"/>
      <c r="CQ47" s="27"/>
      <c r="CR47" s="27"/>
      <c r="CS47" s="27"/>
      <c r="CT47" s="27"/>
      <c r="CU47" s="27"/>
      <c r="CV47" s="27"/>
      <c r="CW47" s="27"/>
      <c r="CX47" s="27"/>
      <c r="CY47" s="27"/>
      <c r="CZ47" s="27"/>
      <c r="DA47" s="27"/>
    </row>
    <row r="48" spans="1:105" x14ac:dyDescent="0.2">
      <c r="A48" s="129" t="s">
        <v>202</v>
      </c>
      <c r="B48" s="214"/>
      <c r="C48" s="47"/>
      <c r="D48" s="47"/>
      <c r="E48" s="154"/>
      <c r="F48" s="154"/>
      <c r="G48" s="154"/>
      <c r="H48" s="154"/>
      <c r="I48" s="152"/>
      <c r="J48" s="153"/>
      <c r="K48" s="153"/>
      <c r="L48" s="153"/>
      <c r="M48" s="153"/>
      <c r="N48" s="152"/>
      <c r="O48" s="153"/>
      <c r="P48" s="153"/>
      <c r="Q48" s="153"/>
      <c r="R48" s="153"/>
      <c r="S48" s="152"/>
      <c r="T48" s="153"/>
      <c r="U48" s="153"/>
      <c r="V48" s="153"/>
      <c r="W48" s="153"/>
      <c r="X48" s="155"/>
      <c r="Y48" s="164"/>
      <c r="Z48" s="164"/>
      <c r="AA48" s="164"/>
      <c r="AB48" s="164"/>
      <c r="AC48" s="155"/>
      <c r="AD48" s="162"/>
      <c r="AE48" s="162"/>
      <c r="AF48" s="162"/>
      <c r="AG48" s="153"/>
      <c r="AH48" s="152"/>
      <c r="AI48" s="162"/>
      <c r="AJ48" s="162"/>
      <c r="AK48" s="162"/>
      <c r="AL48" s="162"/>
      <c r="AM48" s="152"/>
      <c r="AN48" s="162"/>
      <c r="AO48" s="162"/>
      <c r="AP48" s="162"/>
      <c r="AQ48" s="162"/>
      <c r="AR48" s="523"/>
      <c r="AS48" s="308">
        <v>0</v>
      </c>
      <c r="AT48" s="308">
        <v>0</v>
      </c>
      <c r="AU48" s="308">
        <v>0</v>
      </c>
      <c r="AV48" s="308">
        <v>0</v>
      </c>
      <c r="AW48" s="523">
        <v>0</v>
      </c>
      <c r="AX48" s="308">
        <v>0</v>
      </c>
      <c r="AY48" s="308">
        <v>0</v>
      </c>
      <c r="AZ48" s="308">
        <v>0</v>
      </c>
      <c r="BA48" s="308">
        <v>-0.15</v>
      </c>
      <c r="BB48" s="523">
        <v>-0.06</v>
      </c>
      <c r="BC48" s="308">
        <v>-0.16</v>
      </c>
      <c r="BD48" s="308">
        <v>-0.19</v>
      </c>
      <c r="BE48" s="308">
        <v>-0.245</v>
      </c>
      <c r="BF48" s="581">
        <v>0</v>
      </c>
      <c r="BG48" s="523">
        <v>-0.15</v>
      </c>
      <c r="BH48" s="581">
        <v>-0.01</v>
      </c>
      <c r="BI48" s="581">
        <v>-0.01</v>
      </c>
      <c r="BJ48" s="581">
        <v>-0.01</v>
      </c>
      <c r="BK48" s="581">
        <v>0</v>
      </c>
      <c r="BL48" s="523">
        <v>-5.0000000000000001E-3</v>
      </c>
      <c r="BM48" s="530">
        <v>0</v>
      </c>
      <c r="BN48" s="530">
        <v>0</v>
      </c>
      <c r="BO48" s="530">
        <v>0</v>
      </c>
      <c r="BP48" s="530">
        <v>0</v>
      </c>
      <c r="BQ48" s="523">
        <f>SUMPRODUCT(BH41:BK41,BM48:BP48)/BL41</f>
        <v>0</v>
      </c>
      <c r="BR48" s="530">
        <v>0</v>
      </c>
      <c r="BS48" s="308">
        <f t="shared" si="67"/>
        <v>0</v>
      </c>
      <c r="BT48" s="308">
        <f t="shared" si="67"/>
        <v>0</v>
      </c>
      <c r="BU48" s="308">
        <f t="shared" si="67"/>
        <v>0</v>
      </c>
      <c r="BV48" s="523">
        <f>SUMPRODUCT(BM41:BP41,BR48:BU48)/BQ41</f>
        <v>0</v>
      </c>
      <c r="BW48" s="530">
        <v>0</v>
      </c>
      <c r="BX48" s="308">
        <f t="shared" si="68"/>
        <v>0</v>
      </c>
      <c r="BY48" s="308">
        <f t="shared" si="68"/>
        <v>0</v>
      </c>
      <c r="BZ48" s="308">
        <f t="shared" si="68"/>
        <v>0</v>
      </c>
      <c r="CA48" s="523">
        <f>SUMPRODUCT(BR41:BU41,BW48:BZ48)/BV41</f>
        <v>0</v>
      </c>
      <c r="CB48" s="530">
        <v>0</v>
      </c>
      <c r="CC48" s="308">
        <f t="shared" si="69"/>
        <v>0</v>
      </c>
      <c r="CD48" s="308">
        <f t="shared" si="69"/>
        <v>0</v>
      </c>
      <c r="CE48" s="308">
        <f t="shared" si="69"/>
        <v>0</v>
      </c>
      <c r="CF48" s="523">
        <f>SUMPRODUCT(BW41:BZ41,CB48:CE48)/CA41</f>
        <v>0</v>
      </c>
      <c r="CG48" s="530">
        <v>0</v>
      </c>
      <c r="CH48" s="308">
        <f t="shared" si="70"/>
        <v>0</v>
      </c>
      <c r="CI48" s="308">
        <f t="shared" si="70"/>
        <v>0</v>
      </c>
      <c r="CJ48" s="308">
        <f t="shared" si="70"/>
        <v>0</v>
      </c>
      <c r="CK48" s="523">
        <f>SUMPRODUCT(CB41:CE41,CG48:CJ48)/CF41</f>
        <v>0</v>
      </c>
      <c r="CL48"/>
      <c r="CM48"/>
      <c r="CN48" s="37"/>
      <c r="CO48" s="37"/>
      <c r="CP48" s="37"/>
      <c r="CQ48" s="27"/>
      <c r="CR48" s="27"/>
      <c r="CS48" s="27"/>
      <c r="CT48" s="27"/>
      <c r="CU48" s="27"/>
      <c r="CV48" s="27"/>
      <c r="CW48" s="27"/>
      <c r="CX48" s="27"/>
      <c r="CY48" s="27"/>
      <c r="CZ48" s="27"/>
      <c r="DA48" s="27"/>
    </row>
    <row r="49" spans="1:105" x14ac:dyDescent="0.2">
      <c r="A49" s="135" t="s">
        <v>203</v>
      </c>
      <c r="B49" s="135"/>
      <c r="C49" s="30"/>
      <c r="D49" s="30"/>
      <c r="E49" s="136"/>
      <c r="F49" s="136"/>
      <c r="G49" s="136"/>
      <c r="H49" s="136"/>
      <c r="I49" s="137"/>
      <c r="J49" s="138"/>
      <c r="K49" s="138"/>
      <c r="L49" s="138"/>
      <c r="M49" s="138"/>
      <c r="N49" s="137"/>
      <c r="O49" s="138"/>
      <c r="P49" s="138"/>
      <c r="Q49" s="138"/>
      <c r="R49" s="138"/>
      <c r="S49" s="137"/>
      <c r="T49" s="138"/>
      <c r="U49" s="138"/>
      <c r="V49" s="138"/>
      <c r="W49" s="138"/>
      <c r="X49" s="137"/>
      <c r="Y49" s="138"/>
      <c r="Z49" s="138"/>
      <c r="AA49" s="138"/>
      <c r="AB49" s="138"/>
      <c r="AC49" s="137"/>
      <c r="AD49" s="139"/>
      <c r="AE49" s="139"/>
      <c r="AF49" s="139"/>
      <c r="AG49" s="139"/>
      <c r="AH49" s="137"/>
      <c r="AI49" s="139"/>
      <c r="AJ49" s="139"/>
      <c r="AK49" s="139"/>
      <c r="AL49" s="139"/>
      <c r="AM49" s="137"/>
      <c r="AN49" s="139"/>
      <c r="AO49" s="139"/>
      <c r="AP49" s="139"/>
      <c r="AQ49" s="139"/>
      <c r="AR49" s="137"/>
      <c r="AS49" s="309">
        <v>-0.02</v>
      </c>
      <c r="AT49" s="138">
        <v>0.01</v>
      </c>
      <c r="AU49" s="309">
        <v>0.05</v>
      </c>
      <c r="AV49" s="309">
        <v>-0.01</v>
      </c>
      <c r="AW49" s="137">
        <f t="shared" ref="AW49:BK49" si="73">+AW41/AR41-1</f>
        <v>9.6411355115157971E-3</v>
      </c>
      <c r="AX49" s="309">
        <f t="shared" si="73"/>
        <v>-5.6074766355140193E-2</v>
      </c>
      <c r="AY49" s="309">
        <f t="shared" si="73"/>
        <v>-6.633081444164568E-2</v>
      </c>
      <c r="AZ49" s="309">
        <f t="shared" si="73"/>
        <v>-5.387484459179448E-2</v>
      </c>
      <c r="BA49" s="309">
        <f t="shared" si="73"/>
        <v>-0.26340996168582376</v>
      </c>
      <c r="BB49" s="527">
        <f t="shared" si="73"/>
        <v>-0.12700265251989384</v>
      </c>
      <c r="BC49" s="309">
        <f t="shared" si="73"/>
        <v>-0.26308345120226306</v>
      </c>
      <c r="BD49" s="309">
        <f t="shared" si="73"/>
        <v>-0.22796762589928055</v>
      </c>
      <c r="BE49" s="309">
        <f t="shared" si="73"/>
        <v>-0.22820849759088913</v>
      </c>
      <c r="BF49" s="309">
        <f t="shared" si="73"/>
        <v>-3.4677069787603099E-3</v>
      </c>
      <c r="BG49" s="527">
        <f>+BG41/BB41-1</f>
        <v>-0.17112299465240643</v>
      </c>
      <c r="BH49" s="309">
        <f t="shared" si="73"/>
        <v>3.358925143953928E-2</v>
      </c>
      <c r="BI49" s="628">
        <f t="shared" si="73"/>
        <v>6.1735585323238196E-2</v>
      </c>
      <c r="BJ49" s="628">
        <f t="shared" si="73"/>
        <v>6.2996594778660597E-2</v>
      </c>
      <c r="BK49" s="628">
        <f t="shared" si="73"/>
        <v>5.9156154849934861E-2</v>
      </c>
      <c r="BL49" s="527">
        <f>+BL41/BG41-1</f>
        <v>5.6891495601173014E-2</v>
      </c>
      <c r="BM49" s="534">
        <f>+BM48+BM42+BM43</f>
        <v>5.3124291111123087E-2</v>
      </c>
      <c r="BN49" s="534">
        <f>+BN48+BN42+BN43</f>
        <v>1.3848093887082295E-2</v>
      </c>
      <c r="BO49" s="534">
        <f>+BO48+BO42+BO43</f>
        <v>1.7060119412273957E-2</v>
      </c>
      <c r="BP49" s="534">
        <f>+BP48+BP42+BP43</f>
        <v>6.4295517385535073E-2</v>
      </c>
      <c r="BQ49" s="527">
        <f>+BQ41/BL41-1</f>
        <v>3.7593385845698934E-2</v>
      </c>
      <c r="BR49" s="534">
        <f>+BR48+BR42+BR43</f>
        <v>4.9572841825877956E-2</v>
      </c>
      <c r="BS49" s="534">
        <f>+BS48+BS42+BS43</f>
        <v>4.8435543766578257E-2</v>
      </c>
      <c r="BT49" s="534">
        <f>+BT48+BT42+BT43</f>
        <v>4.8435543766578257E-2</v>
      </c>
      <c r="BU49" s="534">
        <f>+BU48+BU42+BU43</f>
        <v>4.8435543766578257E-2</v>
      </c>
      <c r="BV49" s="527">
        <f>+BV41/BQ41-1</f>
        <v>4.860801936439807E-2</v>
      </c>
      <c r="BW49" s="534">
        <f>+BW48+BW42+BW43</f>
        <v>4.8435543766578257E-2</v>
      </c>
      <c r="BX49" s="534">
        <f>+BX48+BX42+BX43</f>
        <v>4.8435543766578257E-2</v>
      </c>
      <c r="BY49" s="534">
        <f>+BY48+BY42+BY43</f>
        <v>4.8435543766578257E-2</v>
      </c>
      <c r="BZ49" s="534">
        <f>+BZ48+BZ42+BZ43</f>
        <v>4.8435543766578257E-2</v>
      </c>
      <c r="CA49" s="527">
        <f>+CA41/BV41-1</f>
        <v>4.8435543766578215E-2</v>
      </c>
      <c r="CB49" s="534">
        <f>+CB48+CB42+CB43</f>
        <v>4.8435543766578257E-2</v>
      </c>
      <c r="CC49" s="534">
        <f>+CC48+CC42+CC43</f>
        <v>4.8435543766578257E-2</v>
      </c>
      <c r="CD49" s="534">
        <f>+CD48+CD42+CD43</f>
        <v>4.8435543766578257E-2</v>
      </c>
      <c r="CE49" s="534">
        <f>+CE48+CE42+CE43</f>
        <v>4.8435543766578257E-2</v>
      </c>
      <c r="CF49" s="527">
        <f>+CF41/CA41-1</f>
        <v>4.8435543766578215E-2</v>
      </c>
      <c r="CG49" s="534">
        <f>+CG48+CG42+CG43</f>
        <v>4.8435543766578257E-2</v>
      </c>
      <c r="CH49" s="534">
        <f>+CH48+CH42+CH43</f>
        <v>4.8435543766578257E-2</v>
      </c>
      <c r="CI49" s="534">
        <f>+CI48+CI42+CI43</f>
        <v>4.8435543766578257E-2</v>
      </c>
      <c r="CJ49" s="534">
        <f>+CJ48+CJ42+CJ43</f>
        <v>4.8435543766578257E-2</v>
      </c>
      <c r="CK49" s="527">
        <f>+CK41/CF41-1</f>
        <v>4.8435543766578437E-2</v>
      </c>
      <c r="CL49"/>
      <c r="CM49"/>
      <c r="CN49" s="37"/>
      <c r="CO49" s="37"/>
      <c r="CP49" s="37"/>
      <c r="CQ49" s="27"/>
      <c r="CR49" s="27"/>
      <c r="CS49" s="27"/>
      <c r="CT49" s="27"/>
      <c r="CU49" s="27"/>
      <c r="CV49" s="27"/>
      <c r="CW49" s="27"/>
      <c r="CX49" s="27"/>
      <c r="CY49" s="27"/>
      <c r="CZ49" s="27"/>
      <c r="DA49" s="27"/>
    </row>
    <row r="50" spans="1:105" x14ac:dyDescent="0.2">
      <c r="A50" s="1" t="s">
        <v>310</v>
      </c>
      <c r="B50" s="214"/>
      <c r="C50" s="47"/>
      <c r="D50" s="47"/>
      <c r="E50" s="154"/>
      <c r="F50" s="154"/>
      <c r="G50" s="154"/>
      <c r="H50" s="154"/>
      <c r="I50" s="152"/>
      <c r="J50" s="153"/>
      <c r="K50" s="153"/>
      <c r="L50" s="153"/>
      <c r="M50" s="153"/>
      <c r="N50" s="152"/>
      <c r="O50" s="153"/>
      <c r="P50" s="153"/>
      <c r="Q50" s="153"/>
      <c r="R50" s="153"/>
      <c r="S50" s="152"/>
      <c r="T50" s="153"/>
      <c r="U50" s="153"/>
      <c r="V50" s="153"/>
      <c r="W50" s="153"/>
      <c r="X50" s="155"/>
      <c r="Y50" s="164"/>
      <c r="Z50" s="164"/>
      <c r="AA50" s="164"/>
      <c r="AB50" s="164"/>
      <c r="AC50" s="155"/>
      <c r="AD50" s="162"/>
      <c r="AE50" s="162"/>
      <c r="AF50" s="162"/>
      <c r="AG50" s="153"/>
      <c r="AH50" s="152"/>
      <c r="AI50" s="162"/>
      <c r="AJ50" s="162"/>
      <c r="AK50" s="162"/>
      <c r="AL50" s="162"/>
      <c r="AM50" s="152"/>
      <c r="AN50" s="142">
        <f>AS50/(1+AS56)</f>
        <v>1923.8243295763702</v>
      </c>
      <c r="AO50" s="142">
        <f>AT50/(1+AT56)</f>
        <v>3572.0515553832734</v>
      </c>
      <c r="AP50" s="142">
        <f>AU50/(1+AU56)</f>
        <v>3743.4632461766155</v>
      </c>
      <c r="AQ50" s="142">
        <f>AV50/(1+AV56)</f>
        <v>3844.4270934999026</v>
      </c>
      <c r="AR50" s="140">
        <v>13828</v>
      </c>
      <c r="AS50" s="64">
        <v>1980</v>
      </c>
      <c r="AT50" s="141">
        <v>3686</v>
      </c>
      <c r="AU50" s="141">
        <v>3794</v>
      </c>
      <c r="AV50" s="141">
        <v>3939</v>
      </c>
      <c r="AW50" s="140">
        <f>+AS50+AT50+AU50+AV50</f>
        <v>13399</v>
      </c>
      <c r="AX50" s="64">
        <v>1496</v>
      </c>
      <c r="AY50" s="64">
        <v>2813</v>
      </c>
      <c r="AZ50" s="64">
        <v>2918</v>
      </c>
      <c r="BA50" s="64">
        <v>3283</v>
      </c>
      <c r="BB50" s="140">
        <f>+AX50+AY50+AZ50+BA50</f>
        <v>10510</v>
      </c>
      <c r="BC50" s="64">
        <v>1359</v>
      </c>
      <c r="BD50" s="64">
        <v>2660</v>
      </c>
      <c r="BE50" s="64">
        <v>2864</v>
      </c>
      <c r="BF50" s="64">
        <v>3333</v>
      </c>
      <c r="BG50" s="140">
        <f>+BC50+BD50+BE50+BF50</f>
        <v>10216</v>
      </c>
      <c r="BH50" s="64">
        <v>1445</v>
      </c>
      <c r="BI50" s="64">
        <v>2812</v>
      </c>
      <c r="BJ50" s="64">
        <v>3098</v>
      </c>
      <c r="BK50" s="64">
        <v>3695</v>
      </c>
      <c r="BL50" s="140">
        <f>+BH50+BI50+BJ50+BK50</f>
        <v>11050</v>
      </c>
      <c r="BM50" s="64">
        <f>+BH50*(1+BM58)</f>
        <v>1662.8521725252433</v>
      </c>
      <c r="BN50" s="64">
        <f>+BI50*(1+BN58)</f>
        <v>3134.6315328986507</v>
      </c>
      <c r="BO50" s="64">
        <f>+BJ50*(1+BO58)</f>
        <v>3344.1013086418725</v>
      </c>
      <c r="BP50" s="64">
        <f>+BK50*(1+BP58)</f>
        <v>3970.7044572782929</v>
      </c>
      <c r="BQ50" s="140">
        <f>+BM50+BN50+BO50+BP50</f>
        <v>12112.28947134406</v>
      </c>
      <c r="BR50" s="64">
        <f>+BM50*(1+BR58)</f>
        <v>1732.8846652696038</v>
      </c>
      <c r="BS50" s="64">
        <f>+BN50*(1+BS58)</f>
        <v>3255.3148469152488</v>
      </c>
      <c r="BT50" s="64">
        <f>+BO50*(1+BT58)</f>
        <v>3472.8492090245845</v>
      </c>
      <c r="BU50" s="64">
        <f>+BP50*(1+BU58)</f>
        <v>4123.576578883507</v>
      </c>
      <c r="BV50" s="140">
        <f>+BR50+BS50+BT50+BU50</f>
        <v>12584.625300092945</v>
      </c>
      <c r="BW50" s="64">
        <f>+BR50*(1+BW58)</f>
        <v>1799.6007248824835</v>
      </c>
      <c r="BX50" s="64">
        <f>+BS50*(1+BX58)</f>
        <v>3380.644468521486</v>
      </c>
      <c r="BY50" s="64">
        <f>+BT50*(1+BY58)</f>
        <v>3606.5539035720308</v>
      </c>
      <c r="BZ50" s="64">
        <f>+BU50*(1+BZ58)</f>
        <v>4282.334277170522</v>
      </c>
      <c r="CA50" s="140">
        <f>+BW50+BX50+BY50+BZ50</f>
        <v>13069.133374146521</v>
      </c>
      <c r="CB50" s="64">
        <f>+BW50*(1+CB58)</f>
        <v>1868.8853527904591</v>
      </c>
      <c r="CC50" s="64">
        <f>+BX50*(1+CC58)</f>
        <v>3510.7992805595632</v>
      </c>
      <c r="CD50" s="64">
        <f>+BY50*(1+CD58)</f>
        <v>3745.4062288595537</v>
      </c>
      <c r="CE50" s="64">
        <f>+BZ50*(1+CE58)</f>
        <v>4447.2041468415873</v>
      </c>
      <c r="CF50" s="140">
        <f>+CB50+CC50+CD50+CE50</f>
        <v>13572.295009051162</v>
      </c>
      <c r="CG50" s="64">
        <f>+CB50*(1+CG58)</f>
        <v>1940.8374388728919</v>
      </c>
      <c r="CH50" s="64">
        <f>+CC50*(1+CH58)</f>
        <v>3645.9650528611064</v>
      </c>
      <c r="CI50" s="64">
        <f>+CD50*(1+CI58)</f>
        <v>3889.6043686706466</v>
      </c>
      <c r="CJ50" s="64">
        <f>+CE50*(1+CJ58)</f>
        <v>4618.4215064949885</v>
      </c>
      <c r="CK50" s="140">
        <f>+CG50+CH50+CI50+CJ50</f>
        <v>14094.828366899634</v>
      </c>
      <c r="CL50"/>
      <c r="CM50"/>
      <c r="CN50" s="37"/>
      <c r="CO50" s="37"/>
      <c r="CP50" s="37"/>
      <c r="CQ50" s="27"/>
      <c r="CR50" s="27"/>
      <c r="CS50" s="27"/>
      <c r="CT50" s="27"/>
      <c r="CU50" s="27"/>
      <c r="CV50" s="27"/>
      <c r="CW50" s="27"/>
      <c r="CX50" s="27"/>
      <c r="CY50" s="27"/>
      <c r="CZ50" s="27"/>
      <c r="DA50" s="27"/>
    </row>
    <row r="51" spans="1:105" x14ac:dyDescent="0.2">
      <c r="A51" s="129" t="s">
        <v>200</v>
      </c>
      <c r="B51" s="214"/>
      <c r="C51" s="47"/>
      <c r="D51" s="47"/>
      <c r="E51" s="154"/>
      <c r="F51" s="154"/>
      <c r="G51" s="154"/>
      <c r="H51" s="154"/>
      <c r="I51" s="152"/>
      <c r="J51" s="153"/>
      <c r="K51" s="153"/>
      <c r="L51" s="153"/>
      <c r="M51" s="153"/>
      <c r="N51" s="152"/>
      <c r="O51" s="153"/>
      <c r="P51" s="153"/>
      <c r="Q51" s="153"/>
      <c r="R51" s="153"/>
      <c r="S51" s="152"/>
      <c r="T51" s="153"/>
      <c r="U51" s="153"/>
      <c r="V51" s="153"/>
      <c r="W51" s="153"/>
      <c r="X51" s="155"/>
      <c r="Y51" s="164"/>
      <c r="Z51" s="164"/>
      <c r="AA51" s="164"/>
      <c r="AB51" s="164"/>
      <c r="AC51" s="155"/>
      <c r="AD51" s="162"/>
      <c r="AE51" s="162"/>
      <c r="AF51" s="162"/>
      <c r="AG51" s="153"/>
      <c r="AH51" s="152"/>
      <c r="AI51" s="162"/>
      <c r="AJ51" s="162"/>
      <c r="AK51" s="162"/>
      <c r="AL51" s="162"/>
      <c r="AM51" s="152"/>
      <c r="AN51" s="162"/>
      <c r="AO51" s="162"/>
      <c r="AP51" s="162"/>
      <c r="AQ51" s="162"/>
      <c r="AR51" s="521"/>
      <c r="AS51" s="310">
        <f>AS58-AS52-AS57</f>
        <v>6.9999999999999993E-2</v>
      </c>
      <c r="AT51" s="522">
        <v>0.05</v>
      </c>
      <c r="AU51" s="522">
        <f>AU58-AU52-AU57</f>
        <v>1.9999999999999997E-2</v>
      </c>
      <c r="AV51" s="522">
        <f>AV58-AV52-AV57</f>
        <v>0.06</v>
      </c>
      <c r="AW51" s="521">
        <v>0.05</v>
      </c>
      <c r="AX51" s="310">
        <v>0.02</v>
      </c>
      <c r="AY51" s="310">
        <v>0</v>
      </c>
      <c r="AZ51" s="310">
        <v>0.02</v>
      </c>
      <c r="BA51" s="310">
        <v>3.5000000000000003E-2</v>
      </c>
      <c r="BB51" s="523">
        <v>0.02</v>
      </c>
      <c r="BC51" s="310">
        <v>0.02</v>
      </c>
      <c r="BD51" s="565">
        <v>0.03</v>
      </c>
      <c r="BE51" s="565">
        <v>0.05</v>
      </c>
      <c r="BF51" s="308">
        <v>0.05</v>
      </c>
      <c r="BG51" s="523">
        <v>0.04</v>
      </c>
      <c r="BH51" s="308">
        <v>0.04</v>
      </c>
      <c r="BI51" s="581">
        <v>0.06</v>
      </c>
      <c r="BJ51" s="581">
        <v>0.06</v>
      </c>
      <c r="BK51" s="581">
        <v>0.06</v>
      </c>
      <c r="BL51" s="523">
        <v>0.06</v>
      </c>
      <c r="BM51" s="308">
        <f t="shared" ref="BM51:CJ51" si="74">+BM53+BM56</f>
        <v>4.2700000000000002E-2</v>
      </c>
      <c r="BN51" s="308">
        <f t="shared" si="74"/>
        <v>3.5699999999999996E-2</v>
      </c>
      <c r="BO51" s="308">
        <f t="shared" si="74"/>
        <v>0.03</v>
      </c>
      <c r="BP51" s="308">
        <f t="shared" si="74"/>
        <v>3.0400000000000003E-2</v>
      </c>
      <c r="BQ51" s="523">
        <f>+BQ53+BQ56</f>
        <v>3.3245058823529412E-2</v>
      </c>
      <c r="BR51" s="308">
        <f t="shared" si="74"/>
        <v>3.8500000000000006E-2</v>
      </c>
      <c r="BS51" s="308">
        <f t="shared" si="74"/>
        <v>3.8500000000000006E-2</v>
      </c>
      <c r="BT51" s="308">
        <f t="shared" si="74"/>
        <v>3.8500000000000006E-2</v>
      </c>
      <c r="BU51" s="308">
        <f t="shared" si="74"/>
        <v>3.8500000000000006E-2</v>
      </c>
      <c r="BV51" s="523">
        <f>+BV53+BV56</f>
        <v>3.8500000000000006E-2</v>
      </c>
      <c r="BW51" s="308">
        <f t="shared" si="74"/>
        <v>3.8500000000000006E-2</v>
      </c>
      <c r="BX51" s="308">
        <f t="shared" si="74"/>
        <v>3.8500000000000006E-2</v>
      </c>
      <c r="BY51" s="308">
        <f t="shared" si="74"/>
        <v>3.8500000000000006E-2</v>
      </c>
      <c r="BZ51" s="308">
        <f t="shared" si="74"/>
        <v>3.8500000000000006E-2</v>
      </c>
      <c r="CA51" s="523">
        <f>+CA53+CA56</f>
        <v>3.8500000000000006E-2</v>
      </c>
      <c r="CB51" s="308">
        <f t="shared" si="74"/>
        <v>3.8500000000000006E-2</v>
      </c>
      <c r="CC51" s="308">
        <f t="shared" si="74"/>
        <v>3.8500000000000006E-2</v>
      </c>
      <c r="CD51" s="308">
        <f t="shared" si="74"/>
        <v>3.8500000000000006E-2</v>
      </c>
      <c r="CE51" s="308">
        <f t="shared" si="74"/>
        <v>3.8500000000000006E-2</v>
      </c>
      <c r="CF51" s="523">
        <f>+CF53+CF56</f>
        <v>3.8500000000000006E-2</v>
      </c>
      <c r="CG51" s="308">
        <f t="shared" si="74"/>
        <v>3.8500000000000006E-2</v>
      </c>
      <c r="CH51" s="308">
        <f t="shared" si="74"/>
        <v>3.8500000000000006E-2</v>
      </c>
      <c r="CI51" s="308">
        <f t="shared" si="74"/>
        <v>3.8500000000000006E-2</v>
      </c>
      <c r="CJ51" s="308">
        <f t="shared" si="74"/>
        <v>3.8500000000000006E-2</v>
      </c>
      <c r="CK51" s="523">
        <f>+CK53+CK56</f>
        <v>3.8500000000000006E-2</v>
      </c>
      <c r="CL51"/>
      <c r="CM51"/>
      <c r="CN51" s="37"/>
      <c r="CO51" s="37"/>
      <c r="CP51" s="37"/>
      <c r="CQ51" s="27"/>
      <c r="CR51" s="27"/>
      <c r="CS51" s="27"/>
      <c r="CT51" s="27"/>
      <c r="CU51" s="27"/>
      <c r="CV51" s="27"/>
      <c r="CW51" s="27"/>
      <c r="CX51" s="27"/>
      <c r="CY51" s="27"/>
      <c r="CZ51" s="27"/>
      <c r="DA51" s="27"/>
    </row>
    <row r="52" spans="1:105" x14ac:dyDescent="0.2">
      <c r="A52" s="129" t="s">
        <v>201</v>
      </c>
      <c r="B52" s="214"/>
      <c r="C52" s="47"/>
      <c r="D52" s="47"/>
      <c r="E52" s="154"/>
      <c r="F52" s="154"/>
      <c r="G52" s="154"/>
      <c r="H52" s="154"/>
      <c r="I52" s="152"/>
      <c r="J52" s="153"/>
      <c r="K52" s="153"/>
      <c r="L52" s="153"/>
      <c r="M52" s="153"/>
      <c r="N52" s="152"/>
      <c r="O52" s="153"/>
      <c r="P52" s="153"/>
      <c r="Q52" s="153"/>
      <c r="R52" s="153"/>
      <c r="S52" s="152"/>
      <c r="T52" s="153"/>
      <c r="U52" s="153"/>
      <c r="V52" s="153"/>
      <c r="W52" s="153"/>
      <c r="X52" s="155"/>
      <c r="Y52" s="164"/>
      <c r="Z52" s="164"/>
      <c r="AA52" s="164"/>
      <c r="AB52" s="164"/>
      <c r="AC52" s="155"/>
      <c r="AD52" s="162"/>
      <c r="AE52" s="162"/>
      <c r="AF52" s="162"/>
      <c r="AG52" s="153"/>
      <c r="AH52" s="152"/>
      <c r="AI52" s="162"/>
      <c r="AJ52" s="162"/>
      <c r="AK52" s="162"/>
      <c r="AL52" s="162"/>
      <c r="AM52" s="152"/>
      <c r="AN52" s="162"/>
      <c r="AO52" s="162"/>
      <c r="AP52" s="162"/>
      <c r="AQ52" s="162"/>
      <c r="AR52" s="523"/>
      <c r="AS52" s="308">
        <v>-0.06</v>
      </c>
      <c r="AT52" s="308">
        <v>-4.4999999999999998E-2</v>
      </c>
      <c r="AU52" s="308">
        <v>-0.03</v>
      </c>
      <c r="AV52" s="308">
        <v>-0.16</v>
      </c>
      <c r="AW52" s="523">
        <v>-0.08</v>
      </c>
      <c r="AX52" s="308">
        <v>-0.27</v>
      </c>
      <c r="AY52" s="308">
        <v>-0.24</v>
      </c>
      <c r="AZ52" s="308">
        <v>-0.25</v>
      </c>
      <c r="BA52" s="308">
        <v>-0.2</v>
      </c>
      <c r="BB52" s="523">
        <v>-0.24</v>
      </c>
      <c r="BC52" s="308">
        <v>-0.11</v>
      </c>
      <c r="BD52" s="308">
        <v>-0.09</v>
      </c>
      <c r="BE52" s="308">
        <v>-7.0000000000000007E-2</v>
      </c>
      <c r="BF52" s="308">
        <v>-0.04</v>
      </c>
      <c r="BG52" s="523">
        <v>-7.0000000000000007E-2</v>
      </c>
      <c r="BH52" s="308">
        <v>0.02</v>
      </c>
      <c r="BI52" s="581">
        <v>0</v>
      </c>
      <c r="BJ52" s="581">
        <v>0.02</v>
      </c>
      <c r="BK52" s="581">
        <v>0.06</v>
      </c>
      <c r="BL52" s="523">
        <v>0.03</v>
      </c>
      <c r="BM52" s="308">
        <v>0.10806274915241741</v>
      </c>
      <c r="BN52" s="308">
        <v>7.9033831045039374E-2</v>
      </c>
      <c r="BO52" s="308">
        <v>4.943876973591764E-2</v>
      </c>
      <c r="BP52" s="308">
        <v>4.4215550007657138E-2</v>
      </c>
      <c r="BQ52" s="523">
        <f>SUMPRODUCT(BH50:BK50,BM52:BP52)/BL50</f>
        <v>6.2889734963263333E-2</v>
      </c>
      <c r="BR52" s="308">
        <v>3.6158861271521014E-3</v>
      </c>
      <c r="BS52" s="308">
        <v>0</v>
      </c>
      <c r="BT52" s="308">
        <v>0</v>
      </c>
      <c r="BU52" s="308">
        <v>0</v>
      </c>
      <c r="BV52" s="523">
        <f>SUMPRODUCT(BM50:BP50,BR52:BU52)/BQ50</f>
        <v>4.9641185643423634E-4</v>
      </c>
      <c r="BW52" s="544">
        <v>0</v>
      </c>
      <c r="BX52" s="544">
        <v>0</v>
      </c>
      <c r="BY52" s="544">
        <v>0</v>
      </c>
      <c r="BZ52" s="544">
        <v>0</v>
      </c>
      <c r="CA52" s="523">
        <f>SUMPRODUCT(BR50:BU50,BW52:BZ52)/BV50</f>
        <v>0</v>
      </c>
      <c r="CB52" s="544">
        <v>0</v>
      </c>
      <c r="CC52" s="544">
        <v>0</v>
      </c>
      <c r="CD52" s="544">
        <v>0</v>
      </c>
      <c r="CE52" s="544">
        <v>0</v>
      </c>
      <c r="CF52" s="523">
        <f>SUMPRODUCT(BW50:BZ50,CB52:CE52)/CA50</f>
        <v>0</v>
      </c>
      <c r="CG52" s="544">
        <v>0</v>
      </c>
      <c r="CH52" s="544">
        <v>0</v>
      </c>
      <c r="CI52" s="544">
        <v>0</v>
      </c>
      <c r="CJ52" s="544">
        <v>0</v>
      </c>
      <c r="CK52" s="523">
        <f>SUMPRODUCT(CB50:CE50,CG52:CJ52)/CF50</f>
        <v>0</v>
      </c>
      <c r="CL52"/>
      <c r="CM52"/>
      <c r="CN52" s="37"/>
      <c r="CO52" s="37"/>
      <c r="CP52" s="37"/>
      <c r="CQ52" s="27"/>
      <c r="CR52" s="27"/>
      <c r="CS52" s="27"/>
      <c r="CT52" s="27"/>
      <c r="CU52" s="27"/>
      <c r="CV52" s="27"/>
      <c r="CW52" s="27"/>
      <c r="CX52" s="27"/>
      <c r="CY52" s="27"/>
      <c r="CZ52" s="27"/>
      <c r="DA52" s="27"/>
    </row>
    <row r="53" spans="1:105" x14ac:dyDescent="0.2">
      <c r="A53" s="129" t="s">
        <v>34</v>
      </c>
      <c r="B53" s="214"/>
      <c r="C53" s="47"/>
      <c r="D53" s="47"/>
      <c r="E53" s="154"/>
      <c r="F53" s="154"/>
      <c r="G53" s="154"/>
      <c r="H53" s="154"/>
      <c r="I53" s="152"/>
      <c r="J53" s="153"/>
      <c r="K53" s="153"/>
      <c r="L53" s="153"/>
      <c r="M53" s="153"/>
      <c r="N53" s="152"/>
      <c r="O53" s="153"/>
      <c r="P53" s="153"/>
      <c r="Q53" s="153"/>
      <c r="R53" s="153"/>
      <c r="S53" s="152"/>
      <c r="T53" s="153"/>
      <c r="U53" s="153"/>
      <c r="V53" s="153"/>
      <c r="W53" s="153"/>
      <c r="X53" s="155"/>
      <c r="Y53" s="164"/>
      <c r="Z53" s="164"/>
      <c r="AA53" s="164"/>
      <c r="AB53" s="164"/>
      <c r="AC53" s="155"/>
      <c r="AD53" s="162"/>
      <c r="AE53" s="162"/>
      <c r="AF53" s="162"/>
      <c r="AG53" s="153"/>
      <c r="AH53" s="152"/>
      <c r="AI53" s="162"/>
      <c r="AJ53" s="162"/>
      <c r="AK53" s="162"/>
      <c r="AL53" s="162"/>
      <c r="AM53" s="152"/>
      <c r="AN53" s="162"/>
      <c r="AO53" s="162"/>
      <c r="AP53" s="162"/>
      <c r="AQ53" s="162"/>
      <c r="AR53" s="523"/>
      <c r="AS53" s="308">
        <f t="shared" ref="AS53:BA53" si="75">+$C54*AS54+$C55*AS55</f>
        <v>4.0800000000000003E-2</v>
      </c>
      <c r="AT53" s="117">
        <f t="shared" si="75"/>
        <v>1.8100000000000002E-2</v>
      </c>
      <c r="AU53" s="117">
        <f t="shared" si="75"/>
        <v>6.4999999999999997E-3</v>
      </c>
      <c r="AV53" s="117">
        <f t="shared" si="75"/>
        <v>3.5400000000000001E-2</v>
      </c>
      <c r="AW53" s="523">
        <f t="shared" si="75"/>
        <v>0.02</v>
      </c>
      <c r="AX53" s="308">
        <f t="shared" si="75"/>
        <v>-2.6200000000000001E-2</v>
      </c>
      <c r="AY53" s="308">
        <f t="shared" si="75"/>
        <v>-2.7000000000000003E-2</v>
      </c>
      <c r="AZ53" s="308">
        <f t="shared" si="75"/>
        <v>6.8999999999999999E-3</v>
      </c>
      <c r="BA53" s="308">
        <f t="shared" si="75"/>
        <v>4.5999999999999999E-3</v>
      </c>
      <c r="BB53" s="523">
        <v>-0.02</v>
      </c>
      <c r="BC53" s="308">
        <v>0.01</v>
      </c>
      <c r="BD53" s="308">
        <f t="shared" ref="BD53" si="76">+$C54*BD54+$C55*BD55</f>
        <v>3.5400000000000001E-2</v>
      </c>
      <c r="BE53" s="308">
        <f t="shared" ref="BE53:BL53" si="77">+$C54*BE54+$C55*BE55</f>
        <v>2.46E-2</v>
      </c>
      <c r="BF53" s="308">
        <f t="shared" si="77"/>
        <v>1.9200000000000002E-2</v>
      </c>
      <c r="BG53" s="523">
        <f t="shared" si="77"/>
        <v>2.46E-2</v>
      </c>
      <c r="BH53" s="308">
        <f t="shared" si="77"/>
        <v>1.0700000000000003E-2</v>
      </c>
      <c r="BI53" s="581">
        <f>+$C54*BI54+$C55*BI55</f>
        <v>2.8400000000000002E-2</v>
      </c>
      <c r="BJ53" s="581">
        <f t="shared" si="77"/>
        <v>3.8400000000000004E-2</v>
      </c>
      <c r="BK53" s="581">
        <f t="shared" si="77"/>
        <v>4.300000000000001E-2</v>
      </c>
      <c r="BL53" s="523">
        <f t="shared" si="77"/>
        <v>3.0699999999999998E-2</v>
      </c>
      <c r="BM53" s="308">
        <f>+$C54*BM54+$C55*BM55</f>
        <v>2.7700000000000002E-2</v>
      </c>
      <c r="BN53" s="308">
        <f>+$C54*BN54+$C55*BN55</f>
        <v>1.77E-2</v>
      </c>
      <c r="BO53" s="308">
        <f>+$C54*BO54+$C55*BO55</f>
        <v>0.01</v>
      </c>
      <c r="BP53" s="308">
        <f>+$C54*BP54+$C55*BP55</f>
        <v>5.4000000000000003E-3</v>
      </c>
      <c r="BQ53" s="523">
        <f>SUMPRODUCT(BH50:BK50,BM53:BP53)/BL50</f>
        <v>1.2735918552036199E-2</v>
      </c>
      <c r="BR53" s="308">
        <f>+$C54*BR54+$C55*BR55</f>
        <v>1.3500000000000002E-2</v>
      </c>
      <c r="BS53" s="308">
        <f>+$C54*BS54+$C55*BS55</f>
        <v>1.3500000000000002E-2</v>
      </c>
      <c r="BT53" s="308">
        <f>+$C54*BT54+$C55*BT55</f>
        <v>1.3500000000000002E-2</v>
      </c>
      <c r="BU53" s="308">
        <f>+$C54*BU54+$C55*BU55</f>
        <v>1.3500000000000002E-2</v>
      </c>
      <c r="BV53" s="523">
        <f>SUMPRODUCT(BM50:BP50,BR53:BU53)/BQ50</f>
        <v>1.3500000000000002E-2</v>
      </c>
      <c r="BW53" s="308">
        <f>+$C54*BW54+$C55*BW55</f>
        <v>1.3500000000000002E-2</v>
      </c>
      <c r="BX53" s="308">
        <f>+$C54*BX54+$C55*BX55</f>
        <v>1.3500000000000002E-2</v>
      </c>
      <c r="BY53" s="308">
        <f>+$C54*BY54+$C55*BY55</f>
        <v>1.3500000000000002E-2</v>
      </c>
      <c r="BZ53" s="308">
        <f>+$C54*BZ54+$C55*BZ55</f>
        <v>1.3500000000000002E-2</v>
      </c>
      <c r="CA53" s="523">
        <f>SUMPRODUCT(BR50:BU50,BW53:BZ53)/BV50</f>
        <v>1.3500000000000002E-2</v>
      </c>
      <c r="CB53" s="308">
        <f>+$C54*CB54+$C55*CB55</f>
        <v>1.3500000000000002E-2</v>
      </c>
      <c r="CC53" s="308">
        <f>+$C54*CC54+$C55*CC55</f>
        <v>1.3500000000000002E-2</v>
      </c>
      <c r="CD53" s="308">
        <f>+$C54*CD54+$C55*CD55</f>
        <v>1.3500000000000002E-2</v>
      </c>
      <c r="CE53" s="308">
        <f>+$C54*CE54+$C55*CE55</f>
        <v>1.3500000000000002E-2</v>
      </c>
      <c r="CF53" s="523">
        <f>SUMPRODUCT(BW50:BZ50,CB53:CE53)/CA50</f>
        <v>1.3500000000000005E-2</v>
      </c>
      <c r="CG53" s="308">
        <f>+$C54*CG54+$C55*CG55</f>
        <v>1.3500000000000002E-2</v>
      </c>
      <c r="CH53" s="308">
        <f>+$C54*CH54+$C55*CH55</f>
        <v>1.3500000000000002E-2</v>
      </c>
      <c r="CI53" s="308">
        <f>+$C54*CI54+$C55*CI55</f>
        <v>1.3500000000000002E-2</v>
      </c>
      <c r="CJ53" s="308">
        <f>+$C54*CJ54+$C55*CJ55</f>
        <v>1.3500000000000002E-2</v>
      </c>
      <c r="CK53" s="523">
        <f>SUMPRODUCT(CB50:CE50,CG53:CJ53)/CF50</f>
        <v>1.3500000000000003E-2</v>
      </c>
      <c r="CL53"/>
      <c r="CM53"/>
      <c r="CN53" s="37"/>
      <c r="CO53" s="37"/>
      <c r="CP53" s="37"/>
      <c r="CQ53" s="27"/>
      <c r="CR53" s="27"/>
      <c r="CS53" s="27"/>
      <c r="CT53" s="27"/>
      <c r="CU53" s="27"/>
      <c r="CV53" s="27"/>
      <c r="CW53" s="27"/>
      <c r="CX53" s="27"/>
      <c r="CY53" s="27"/>
      <c r="CZ53" s="27"/>
      <c r="DA53" s="27"/>
    </row>
    <row r="54" spans="1:105" x14ac:dyDescent="0.2">
      <c r="A54" s="129"/>
      <c r="B54" s="129" t="s">
        <v>30</v>
      </c>
      <c r="C54" s="182">
        <v>0.46</v>
      </c>
      <c r="D54" s="182"/>
      <c r="E54" s="154"/>
      <c r="F54" s="154"/>
      <c r="G54" s="154"/>
      <c r="H54" s="154"/>
      <c r="I54" s="152"/>
      <c r="J54" s="153"/>
      <c r="K54" s="153"/>
      <c r="L54" s="153"/>
      <c r="M54" s="153"/>
      <c r="N54" s="152"/>
      <c r="O54" s="153"/>
      <c r="P54" s="153"/>
      <c r="Q54" s="153"/>
      <c r="R54" s="153"/>
      <c r="S54" s="152"/>
      <c r="T54" s="153"/>
      <c r="U54" s="153"/>
      <c r="V54" s="153"/>
      <c r="W54" s="153"/>
      <c r="X54" s="155"/>
      <c r="Y54" s="164"/>
      <c r="Z54" s="164"/>
      <c r="AA54" s="164"/>
      <c r="AB54" s="164"/>
      <c r="AC54" s="155"/>
      <c r="AD54" s="162"/>
      <c r="AE54" s="162"/>
      <c r="AF54" s="162"/>
      <c r="AG54" s="153"/>
      <c r="AH54" s="152"/>
      <c r="AI54" s="162"/>
      <c r="AJ54" s="162"/>
      <c r="AK54" s="162"/>
      <c r="AL54" s="162"/>
      <c r="AM54" s="152"/>
      <c r="AN54" s="162"/>
      <c r="AO54" s="162"/>
      <c r="AP54" s="162"/>
      <c r="AQ54" s="162"/>
      <c r="AR54" s="523"/>
      <c r="AS54" s="308">
        <v>0.03</v>
      </c>
      <c r="AT54" s="308">
        <v>0.01</v>
      </c>
      <c r="AU54" s="308">
        <v>0.02</v>
      </c>
      <c r="AV54" s="308">
        <v>0.03</v>
      </c>
      <c r="AW54" s="523">
        <v>0.02</v>
      </c>
      <c r="AX54" s="308">
        <v>-0.01</v>
      </c>
      <c r="AY54" s="308">
        <v>0</v>
      </c>
      <c r="AZ54" s="308">
        <v>1.4999999999999999E-2</v>
      </c>
      <c r="BA54" s="308">
        <v>0.01</v>
      </c>
      <c r="BB54" s="523">
        <v>0.01</v>
      </c>
      <c r="BC54" s="308">
        <v>0.01</v>
      </c>
      <c r="BD54" s="565">
        <v>0.03</v>
      </c>
      <c r="BE54" s="565">
        <v>0.03</v>
      </c>
      <c r="BF54" s="565">
        <v>0.03</v>
      </c>
      <c r="BG54" s="523">
        <v>0.03</v>
      </c>
      <c r="BH54" s="565">
        <v>3.5000000000000003E-2</v>
      </c>
      <c r="BI54" s="581">
        <v>0.05</v>
      </c>
      <c r="BJ54" s="581">
        <v>0.06</v>
      </c>
      <c r="BK54" s="581">
        <v>7.0000000000000007E-2</v>
      </c>
      <c r="BL54" s="523">
        <v>5.5E-2</v>
      </c>
      <c r="BM54" s="530">
        <v>2.5000000000000001E-2</v>
      </c>
      <c r="BN54" s="530">
        <v>1.4999999999999999E-2</v>
      </c>
      <c r="BO54" s="530">
        <v>0.01</v>
      </c>
      <c r="BP54" s="530">
        <v>0</v>
      </c>
      <c r="BQ54" s="523">
        <f>SUMPRODUCT(BH50:BK50,BM54:BP54)/BL50</f>
        <v>9.8900452488687798E-3</v>
      </c>
      <c r="BR54" s="530">
        <v>0</v>
      </c>
      <c r="BS54" s="308">
        <f t="shared" ref="BS54:BU57" si="78">BR54</f>
        <v>0</v>
      </c>
      <c r="BT54" s="308">
        <f t="shared" si="78"/>
        <v>0</v>
      </c>
      <c r="BU54" s="308">
        <f t="shared" si="78"/>
        <v>0</v>
      </c>
      <c r="BV54" s="523">
        <f>SUMPRODUCT(BM50:BP50,BR54:BU54)/BQ50</f>
        <v>0</v>
      </c>
      <c r="BW54" s="530">
        <v>0</v>
      </c>
      <c r="BX54" s="308">
        <f t="shared" ref="BX54:BZ57" si="79">BW54</f>
        <v>0</v>
      </c>
      <c r="BY54" s="308">
        <f t="shared" si="79"/>
        <v>0</v>
      </c>
      <c r="BZ54" s="308">
        <f t="shared" si="79"/>
        <v>0</v>
      </c>
      <c r="CA54" s="523">
        <f>SUMPRODUCT(BR50:BU50,BW54:BZ54)/BV50</f>
        <v>0</v>
      </c>
      <c r="CB54" s="530">
        <v>0</v>
      </c>
      <c r="CC54" s="308">
        <f t="shared" ref="CC54:CE57" si="80">CB54</f>
        <v>0</v>
      </c>
      <c r="CD54" s="308">
        <f t="shared" si="80"/>
        <v>0</v>
      </c>
      <c r="CE54" s="308">
        <f t="shared" si="80"/>
        <v>0</v>
      </c>
      <c r="CF54" s="523">
        <f>SUMPRODUCT(BW50:BZ50,CB54:CE54)/CA50</f>
        <v>0</v>
      </c>
      <c r="CG54" s="530">
        <v>0</v>
      </c>
      <c r="CH54" s="308">
        <f t="shared" ref="CH54:CJ57" si="81">CG54</f>
        <v>0</v>
      </c>
      <c r="CI54" s="308">
        <f t="shared" si="81"/>
        <v>0</v>
      </c>
      <c r="CJ54" s="308">
        <f t="shared" si="81"/>
        <v>0</v>
      </c>
      <c r="CK54" s="523">
        <f>SUMPRODUCT(CB50:CE50,CG54:CJ54)/CF50</f>
        <v>0</v>
      </c>
      <c r="CL54"/>
      <c r="CM54"/>
      <c r="CN54" s="37"/>
      <c r="CO54" s="37"/>
      <c r="CP54" s="37"/>
      <c r="CQ54" s="27"/>
      <c r="CR54" s="27"/>
      <c r="CS54" s="27"/>
      <c r="CT54" s="27"/>
      <c r="CU54" s="27"/>
      <c r="CV54" s="27"/>
      <c r="CW54" s="27"/>
      <c r="CX54" s="27"/>
      <c r="CY54" s="27"/>
      <c r="CZ54" s="27"/>
      <c r="DA54" s="27"/>
    </row>
    <row r="55" spans="1:105" x14ac:dyDescent="0.2">
      <c r="A55" s="129"/>
      <c r="B55" s="129" t="s">
        <v>31</v>
      </c>
      <c r="C55" s="182">
        <v>0.54</v>
      </c>
      <c r="D55" s="182"/>
      <c r="E55" s="154"/>
      <c r="F55" s="154"/>
      <c r="G55" s="154"/>
      <c r="H55" s="154"/>
      <c r="I55" s="152"/>
      <c r="J55" s="153"/>
      <c r="K55" s="153"/>
      <c r="L55" s="153"/>
      <c r="M55" s="153"/>
      <c r="N55" s="152"/>
      <c r="O55" s="153"/>
      <c r="P55" s="153"/>
      <c r="Q55" s="153"/>
      <c r="R55" s="153"/>
      <c r="S55" s="152"/>
      <c r="T55" s="153"/>
      <c r="U55" s="153"/>
      <c r="V55" s="153"/>
      <c r="W55" s="153"/>
      <c r="X55" s="155"/>
      <c r="Y55" s="164"/>
      <c r="Z55" s="164"/>
      <c r="AA55" s="164"/>
      <c r="AB55" s="164"/>
      <c r="AC55" s="155"/>
      <c r="AD55" s="162"/>
      <c r="AE55" s="162"/>
      <c r="AF55" s="162"/>
      <c r="AG55" s="153"/>
      <c r="AH55" s="152"/>
      <c r="AI55" s="162"/>
      <c r="AJ55" s="162"/>
      <c r="AK55" s="162"/>
      <c r="AL55" s="162"/>
      <c r="AM55" s="152"/>
      <c r="AN55" s="162"/>
      <c r="AO55" s="162"/>
      <c r="AP55" s="162"/>
      <c r="AQ55" s="162"/>
      <c r="AR55" s="523"/>
      <c r="AS55" s="308">
        <v>0.05</v>
      </c>
      <c r="AT55" s="308">
        <v>2.5000000000000001E-2</v>
      </c>
      <c r="AU55" s="308">
        <v>-5.0000000000000001E-3</v>
      </c>
      <c r="AV55" s="308">
        <v>0.04</v>
      </c>
      <c r="AW55" s="523">
        <v>0.02</v>
      </c>
      <c r="AX55" s="308">
        <v>-0.04</v>
      </c>
      <c r="AY55" s="308">
        <v>-0.05</v>
      </c>
      <c r="AZ55" s="308">
        <v>0</v>
      </c>
      <c r="BA55" s="308">
        <v>0</v>
      </c>
      <c r="BB55" s="523">
        <v>-0.02</v>
      </c>
      <c r="BC55" s="308">
        <v>0.02</v>
      </c>
      <c r="BD55" s="565">
        <v>0.04</v>
      </c>
      <c r="BE55" s="565">
        <v>0.02</v>
      </c>
      <c r="BF55" s="565">
        <v>0.01</v>
      </c>
      <c r="BG55" s="523">
        <v>0.02</v>
      </c>
      <c r="BH55" s="565">
        <v>-0.01</v>
      </c>
      <c r="BI55" s="581">
        <v>0.01</v>
      </c>
      <c r="BJ55" s="581">
        <v>0.02</v>
      </c>
      <c r="BK55" s="581">
        <v>0.02</v>
      </c>
      <c r="BL55" s="523">
        <v>0.01</v>
      </c>
      <c r="BM55" s="530">
        <v>0.03</v>
      </c>
      <c r="BN55" s="530">
        <v>0.02</v>
      </c>
      <c r="BO55" s="530">
        <v>0.01</v>
      </c>
      <c r="BP55" s="530">
        <v>0.01</v>
      </c>
      <c r="BQ55" s="523">
        <f>SUMPRODUCT(BH50:BK50,BM55:BP55)/BL50</f>
        <v>1.5160180995475111E-2</v>
      </c>
      <c r="BR55" s="530">
        <v>2.5000000000000001E-2</v>
      </c>
      <c r="BS55" s="308">
        <f t="shared" si="78"/>
        <v>2.5000000000000001E-2</v>
      </c>
      <c r="BT55" s="308">
        <f t="shared" si="78"/>
        <v>2.5000000000000001E-2</v>
      </c>
      <c r="BU55" s="308">
        <f t="shared" si="78"/>
        <v>2.5000000000000001E-2</v>
      </c>
      <c r="BV55" s="523">
        <f>SUMPRODUCT(BM50:BP50,BR55:BU55)/BQ50</f>
        <v>2.5000000000000001E-2</v>
      </c>
      <c r="BW55" s="530">
        <v>2.5000000000000001E-2</v>
      </c>
      <c r="BX55" s="308">
        <f t="shared" si="79"/>
        <v>2.5000000000000001E-2</v>
      </c>
      <c r="BY55" s="308">
        <f t="shared" si="79"/>
        <v>2.5000000000000001E-2</v>
      </c>
      <c r="BZ55" s="308">
        <f t="shared" si="79"/>
        <v>2.5000000000000001E-2</v>
      </c>
      <c r="CA55" s="523">
        <f>SUMPRODUCT(BR50:BU50,BW55:BZ55)/BV50</f>
        <v>2.5000000000000001E-2</v>
      </c>
      <c r="CB55" s="530">
        <v>2.5000000000000001E-2</v>
      </c>
      <c r="CC55" s="308">
        <f t="shared" si="80"/>
        <v>2.5000000000000001E-2</v>
      </c>
      <c r="CD55" s="308">
        <f t="shared" si="80"/>
        <v>2.5000000000000001E-2</v>
      </c>
      <c r="CE55" s="308">
        <f t="shared" si="80"/>
        <v>2.5000000000000001E-2</v>
      </c>
      <c r="CF55" s="523">
        <f>SUMPRODUCT(BW50:BZ50,CB55:CE55)/CA50</f>
        <v>2.5000000000000005E-2</v>
      </c>
      <c r="CG55" s="530">
        <v>2.5000000000000001E-2</v>
      </c>
      <c r="CH55" s="308">
        <f t="shared" si="81"/>
        <v>2.5000000000000001E-2</v>
      </c>
      <c r="CI55" s="308">
        <f t="shared" si="81"/>
        <v>2.5000000000000001E-2</v>
      </c>
      <c r="CJ55" s="308">
        <f t="shared" si="81"/>
        <v>2.5000000000000001E-2</v>
      </c>
      <c r="CK55" s="523">
        <f>SUMPRODUCT(CB50:CE50,CG55:CJ55)/CF50</f>
        <v>2.5000000000000001E-2</v>
      </c>
      <c r="CL55"/>
      <c r="CM55"/>
      <c r="CN55" s="37"/>
      <c r="CO55" s="37"/>
      <c r="CP55" s="37"/>
      <c r="CQ55" s="27"/>
      <c r="CR55" s="27"/>
      <c r="CS55" s="27"/>
      <c r="CT55" s="27"/>
      <c r="CU55" s="27"/>
      <c r="CV55" s="27"/>
      <c r="CW55" s="27"/>
      <c r="CX55" s="27"/>
      <c r="CY55" s="27"/>
      <c r="CZ55" s="27"/>
      <c r="DA55" s="27"/>
    </row>
    <row r="56" spans="1:105" x14ac:dyDescent="0.2">
      <c r="A56" s="129" t="s">
        <v>6</v>
      </c>
      <c r="B56" s="214"/>
      <c r="C56" s="47"/>
      <c r="D56" s="47"/>
      <c r="E56" s="154"/>
      <c r="F56" s="154"/>
      <c r="G56" s="154"/>
      <c r="H56" s="154"/>
      <c r="I56" s="152"/>
      <c r="J56" s="153"/>
      <c r="K56" s="153"/>
      <c r="L56" s="153"/>
      <c r="M56" s="153"/>
      <c r="N56" s="152"/>
      <c r="O56" s="153"/>
      <c r="P56" s="153"/>
      <c r="Q56" s="153"/>
      <c r="R56" s="153"/>
      <c r="S56" s="152"/>
      <c r="T56" s="153"/>
      <c r="U56" s="153"/>
      <c r="V56" s="153"/>
      <c r="W56" s="153"/>
      <c r="X56" s="155"/>
      <c r="Y56" s="164"/>
      <c r="Z56" s="164"/>
      <c r="AA56" s="164"/>
      <c r="AB56" s="164"/>
      <c r="AC56" s="155"/>
      <c r="AD56" s="162"/>
      <c r="AE56" s="162"/>
      <c r="AF56" s="162"/>
      <c r="AG56" s="153"/>
      <c r="AH56" s="152"/>
      <c r="AI56" s="162"/>
      <c r="AJ56" s="162"/>
      <c r="AK56" s="162"/>
      <c r="AL56" s="162"/>
      <c r="AM56" s="152"/>
      <c r="AN56" s="162"/>
      <c r="AO56" s="162"/>
      <c r="AP56" s="162"/>
      <c r="AQ56" s="162"/>
      <c r="AR56" s="523"/>
      <c r="AS56" s="308">
        <f t="shared" ref="AS56:AY56" si="82">AS51-AS53</f>
        <v>2.919999999999999E-2</v>
      </c>
      <c r="AT56" s="43">
        <f t="shared" si="82"/>
        <v>3.1899999999999998E-2</v>
      </c>
      <c r="AU56" s="43">
        <f t="shared" si="82"/>
        <v>1.3499999999999998E-2</v>
      </c>
      <c r="AV56" s="43">
        <f t="shared" si="82"/>
        <v>2.4599999999999997E-2</v>
      </c>
      <c r="AW56" s="523">
        <f t="shared" si="82"/>
        <v>3.0000000000000002E-2</v>
      </c>
      <c r="AX56" s="308">
        <f t="shared" si="82"/>
        <v>4.6200000000000005E-2</v>
      </c>
      <c r="AY56" s="308">
        <f t="shared" si="82"/>
        <v>2.7000000000000003E-2</v>
      </c>
      <c r="AZ56" s="43">
        <f t="shared" ref="AZ56:BL56" si="83">AZ51-AZ53</f>
        <v>1.3100000000000001E-2</v>
      </c>
      <c r="BA56" s="43">
        <f t="shared" si="83"/>
        <v>3.0400000000000003E-2</v>
      </c>
      <c r="BB56" s="523">
        <v>0.04</v>
      </c>
      <c r="BC56" s="43">
        <f t="shared" si="83"/>
        <v>0.01</v>
      </c>
      <c r="BD56" s="43">
        <f t="shared" si="83"/>
        <v>-5.400000000000002E-3</v>
      </c>
      <c r="BE56" s="43">
        <f t="shared" si="83"/>
        <v>2.5400000000000002E-2</v>
      </c>
      <c r="BF56" s="43">
        <f t="shared" si="83"/>
        <v>3.0800000000000001E-2</v>
      </c>
      <c r="BG56" s="523">
        <v>1.4999999999999999E-2</v>
      </c>
      <c r="BH56" s="43">
        <f t="shared" si="83"/>
        <v>2.93E-2</v>
      </c>
      <c r="BI56" s="630">
        <f t="shared" si="83"/>
        <v>3.1599999999999996E-2</v>
      </c>
      <c r="BJ56" s="630">
        <f t="shared" si="83"/>
        <v>2.1599999999999994E-2</v>
      </c>
      <c r="BK56" s="630">
        <f t="shared" si="83"/>
        <v>1.6999999999999987E-2</v>
      </c>
      <c r="BL56" s="523">
        <f t="shared" si="83"/>
        <v>2.93E-2</v>
      </c>
      <c r="BM56" s="530">
        <v>1.4999999999999999E-2</v>
      </c>
      <c r="BN56" s="530">
        <v>1.7999999999999999E-2</v>
      </c>
      <c r="BO56" s="530">
        <v>0.02</v>
      </c>
      <c r="BP56" s="530">
        <v>2.5000000000000001E-2</v>
      </c>
      <c r="BQ56" s="523">
        <f>SUMPRODUCT(BH50:BK50,BM56:BP56)/BL50</f>
        <v>2.0509140271493212E-2</v>
      </c>
      <c r="BR56" s="530">
        <v>2.5000000000000001E-2</v>
      </c>
      <c r="BS56" s="308">
        <f t="shared" si="78"/>
        <v>2.5000000000000001E-2</v>
      </c>
      <c r="BT56" s="308">
        <f t="shared" si="78"/>
        <v>2.5000000000000001E-2</v>
      </c>
      <c r="BU56" s="308">
        <f t="shared" si="78"/>
        <v>2.5000000000000001E-2</v>
      </c>
      <c r="BV56" s="523">
        <f>SUMPRODUCT(BM50:BP50,BR56:BU56)/BQ50</f>
        <v>2.5000000000000001E-2</v>
      </c>
      <c r="BW56" s="530">
        <v>2.5000000000000001E-2</v>
      </c>
      <c r="BX56" s="308">
        <f t="shared" si="79"/>
        <v>2.5000000000000001E-2</v>
      </c>
      <c r="BY56" s="308">
        <f t="shared" si="79"/>
        <v>2.5000000000000001E-2</v>
      </c>
      <c r="BZ56" s="308">
        <f t="shared" si="79"/>
        <v>2.5000000000000001E-2</v>
      </c>
      <c r="CA56" s="523">
        <f>SUMPRODUCT(BR50:BU50,BW56:BZ56)/BV50</f>
        <v>2.5000000000000001E-2</v>
      </c>
      <c r="CB56" s="530">
        <v>2.5000000000000001E-2</v>
      </c>
      <c r="CC56" s="308">
        <f t="shared" si="80"/>
        <v>2.5000000000000001E-2</v>
      </c>
      <c r="CD56" s="308">
        <f t="shared" si="80"/>
        <v>2.5000000000000001E-2</v>
      </c>
      <c r="CE56" s="308">
        <f t="shared" si="80"/>
        <v>2.5000000000000001E-2</v>
      </c>
      <c r="CF56" s="523">
        <f>SUMPRODUCT(BW50:BZ50,CB56:CE56)/CA50</f>
        <v>2.5000000000000005E-2</v>
      </c>
      <c r="CG56" s="530">
        <v>2.5000000000000001E-2</v>
      </c>
      <c r="CH56" s="308">
        <f t="shared" si="81"/>
        <v>2.5000000000000001E-2</v>
      </c>
      <c r="CI56" s="308">
        <f t="shared" si="81"/>
        <v>2.5000000000000001E-2</v>
      </c>
      <c r="CJ56" s="308">
        <f t="shared" si="81"/>
        <v>2.5000000000000001E-2</v>
      </c>
      <c r="CK56" s="523">
        <f>SUMPRODUCT(CB50:CE50,CG56:CJ56)/CF50</f>
        <v>2.5000000000000001E-2</v>
      </c>
      <c r="CL56"/>
      <c r="CM56"/>
      <c r="CN56" s="37"/>
      <c r="CO56" s="37"/>
      <c r="CP56" s="37"/>
      <c r="CQ56" s="27"/>
      <c r="CR56" s="27"/>
      <c r="CS56" s="27"/>
      <c r="CT56" s="27"/>
      <c r="CU56" s="27"/>
      <c r="CV56" s="27"/>
      <c r="CW56" s="27"/>
      <c r="CX56" s="27"/>
      <c r="CY56" s="27"/>
      <c r="CZ56" s="27"/>
      <c r="DA56" s="27"/>
    </row>
    <row r="57" spans="1:105" x14ac:dyDescent="0.2">
      <c r="A57" s="129" t="s">
        <v>202</v>
      </c>
      <c r="B57" s="214"/>
      <c r="C57" s="47"/>
      <c r="D57" s="47"/>
      <c r="E57" s="154"/>
      <c r="F57" s="154"/>
      <c r="G57" s="154"/>
      <c r="H57" s="154"/>
      <c r="I57" s="152"/>
      <c r="J57" s="153"/>
      <c r="K57" s="153"/>
      <c r="L57" s="153"/>
      <c r="M57" s="153"/>
      <c r="N57" s="152"/>
      <c r="O57" s="153"/>
      <c r="P57" s="153"/>
      <c r="Q57" s="153"/>
      <c r="R57" s="153"/>
      <c r="S57" s="152"/>
      <c r="T57" s="153"/>
      <c r="U57" s="153"/>
      <c r="V57" s="153"/>
      <c r="W57" s="153"/>
      <c r="X57" s="155"/>
      <c r="Y57" s="164"/>
      <c r="Z57" s="164"/>
      <c r="AA57" s="164"/>
      <c r="AB57" s="164"/>
      <c r="AC57" s="155"/>
      <c r="AD57" s="162"/>
      <c r="AE57" s="162"/>
      <c r="AF57" s="162"/>
      <c r="AG57" s="153"/>
      <c r="AH57" s="152"/>
      <c r="AI57" s="162"/>
      <c r="AJ57" s="162"/>
      <c r="AK57" s="162"/>
      <c r="AL57" s="162"/>
      <c r="AM57" s="152"/>
      <c r="AN57" s="162"/>
      <c r="AO57" s="162"/>
      <c r="AP57" s="162"/>
      <c r="AQ57" s="162"/>
      <c r="AR57" s="523"/>
      <c r="AS57" s="308">
        <v>0</v>
      </c>
      <c r="AT57" s="308">
        <v>0</v>
      </c>
      <c r="AU57" s="308">
        <v>0</v>
      </c>
      <c r="AV57" s="308">
        <v>0</v>
      </c>
      <c r="AW57" s="523">
        <v>0</v>
      </c>
      <c r="AX57" s="308">
        <v>0</v>
      </c>
      <c r="AY57" s="308">
        <v>0</v>
      </c>
      <c r="AZ57" s="308">
        <v>0</v>
      </c>
      <c r="BA57" s="308">
        <v>0</v>
      </c>
      <c r="BB57" s="523">
        <v>0</v>
      </c>
      <c r="BC57" s="308">
        <v>0</v>
      </c>
      <c r="BD57" s="308">
        <v>0</v>
      </c>
      <c r="BE57" s="308">
        <v>0</v>
      </c>
      <c r="BF57" s="308">
        <v>0.01</v>
      </c>
      <c r="BG57" s="523">
        <v>0</v>
      </c>
      <c r="BH57" s="308">
        <v>0</v>
      </c>
      <c r="BI57" s="581">
        <v>0</v>
      </c>
      <c r="BJ57" s="581">
        <v>0</v>
      </c>
      <c r="BK57" s="581">
        <v>-0.01</v>
      </c>
      <c r="BL57" s="523">
        <v>0</v>
      </c>
      <c r="BM57" s="530">
        <v>0</v>
      </c>
      <c r="BN57" s="530">
        <v>0</v>
      </c>
      <c r="BO57" s="530">
        <v>0</v>
      </c>
      <c r="BP57" s="530">
        <v>0</v>
      </c>
      <c r="BQ57" s="523">
        <f>SUMPRODUCT(BH50:BK50,BM57:BP57)/BL50</f>
        <v>0</v>
      </c>
      <c r="BR57" s="530">
        <v>0</v>
      </c>
      <c r="BS57" s="308">
        <f t="shared" si="78"/>
        <v>0</v>
      </c>
      <c r="BT57" s="308">
        <f t="shared" si="78"/>
        <v>0</v>
      </c>
      <c r="BU57" s="308">
        <f t="shared" si="78"/>
        <v>0</v>
      </c>
      <c r="BV57" s="523">
        <f>SUMPRODUCT(BM50:BP50,BR57:BU57)/BQ50</f>
        <v>0</v>
      </c>
      <c r="BW57" s="530">
        <v>0</v>
      </c>
      <c r="BX57" s="308">
        <f t="shared" si="79"/>
        <v>0</v>
      </c>
      <c r="BY57" s="308">
        <f t="shared" si="79"/>
        <v>0</v>
      </c>
      <c r="BZ57" s="308">
        <f t="shared" si="79"/>
        <v>0</v>
      </c>
      <c r="CA57" s="523">
        <f>SUMPRODUCT(BR50:BU50,BW57:BZ57)/BV50</f>
        <v>0</v>
      </c>
      <c r="CB57" s="530">
        <v>0</v>
      </c>
      <c r="CC57" s="308">
        <f t="shared" si="80"/>
        <v>0</v>
      </c>
      <c r="CD57" s="308">
        <f t="shared" si="80"/>
        <v>0</v>
      </c>
      <c r="CE57" s="308">
        <f t="shared" si="80"/>
        <v>0</v>
      </c>
      <c r="CF57" s="523">
        <f>SUMPRODUCT(BW50:BZ50,CB57:CE57)/CA50</f>
        <v>0</v>
      </c>
      <c r="CG57" s="530">
        <v>0</v>
      </c>
      <c r="CH57" s="308">
        <f t="shared" si="81"/>
        <v>0</v>
      </c>
      <c r="CI57" s="308">
        <f t="shared" si="81"/>
        <v>0</v>
      </c>
      <c r="CJ57" s="308">
        <f t="shared" si="81"/>
        <v>0</v>
      </c>
      <c r="CK57" s="523">
        <f>SUMPRODUCT(CB50:CE50,CG57:CJ57)/CF50</f>
        <v>0</v>
      </c>
      <c r="CL57"/>
      <c r="CM57"/>
      <c r="CN57" s="37"/>
      <c r="CO57" s="37"/>
      <c r="CP57" s="37"/>
      <c r="CQ57" s="27"/>
      <c r="CR57" s="27"/>
      <c r="CS57" s="27"/>
      <c r="CT57" s="27"/>
      <c r="CU57" s="27"/>
      <c r="CV57" s="27"/>
      <c r="CW57" s="27"/>
      <c r="CX57" s="27"/>
      <c r="CY57" s="27"/>
      <c r="CZ57" s="27"/>
      <c r="DA57" s="27"/>
    </row>
    <row r="58" spans="1:105" x14ac:dyDescent="0.2">
      <c r="A58" s="135" t="s">
        <v>203</v>
      </c>
      <c r="B58" s="135"/>
      <c r="C58" s="30"/>
      <c r="D58" s="30"/>
      <c r="E58" s="136"/>
      <c r="F58" s="136"/>
      <c r="G58" s="136"/>
      <c r="H58" s="136"/>
      <c r="I58" s="137"/>
      <c r="J58" s="138"/>
      <c r="K58" s="138"/>
      <c r="L58" s="138"/>
      <c r="M58" s="138"/>
      <c r="N58" s="137"/>
      <c r="O58" s="138"/>
      <c r="P58" s="138"/>
      <c r="Q58" s="138"/>
      <c r="R58" s="138"/>
      <c r="S58" s="137"/>
      <c r="T58" s="138"/>
      <c r="U58" s="138"/>
      <c r="V58" s="138"/>
      <c r="W58" s="138"/>
      <c r="X58" s="137"/>
      <c r="Y58" s="138"/>
      <c r="Z58" s="138"/>
      <c r="AA58" s="138"/>
      <c r="AB58" s="138"/>
      <c r="AC58" s="137"/>
      <c r="AD58" s="139"/>
      <c r="AE58" s="139"/>
      <c r="AF58" s="139"/>
      <c r="AG58" s="139"/>
      <c r="AH58" s="137"/>
      <c r="AI58" s="139"/>
      <c r="AJ58" s="139"/>
      <c r="AK58" s="139"/>
      <c r="AL58" s="139"/>
      <c r="AM58" s="137"/>
      <c r="AN58" s="139"/>
      <c r="AO58" s="139"/>
      <c r="AP58" s="139"/>
      <c r="AQ58" s="139"/>
      <c r="AR58" s="137"/>
      <c r="AS58" s="309">
        <v>0.01</v>
      </c>
      <c r="AT58" s="138">
        <v>0</v>
      </c>
      <c r="AU58" s="309">
        <v>-0.01</v>
      </c>
      <c r="AV58" s="309">
        <v>-0.1</v>
      </c>
      <c r="AW58" s="137">
        <f t="shared" ref="AW58:BK58" si="84">+AW50/AR50-1</f>
        <v>-3.1024009256580887E-2</v>
      </c>
      <c r="AX58" s="309">
        <f t="shared" si="84"/>
        <v>-0.24444444444444446</v>
      </c>
      <c r="AY58" s="309">
        <f t="shared" si="84"/>
        <v>-0.23684210526315785</v>
      </c>
      <c r="AZ58" s="309">
        <f t="shared" si="84"/>
        <v>-0.23089088033737482</v>
      </c>
      <c r="BA58" s="309">
        <f t="shared" si="84"/>
        <v>-0.16653973089616658</v>
      </c>
      <c r="BB58" s="527">
        <f t="shared" si="84"/>
        <v>-0.21561310545563106</v>
      </c>
      <c r="BC58" s="309">
        <f t="shared" si="84"/>
        <v>-9.1577540106951849E-2</v>
      </c>
      <c r="BD58" s="309">
        <f t="shared" si="84"/>
        <v>-5.439033060789189E-2</v>
      </c>
      <c r="BE58" s="309">
        <f t="shared" si="84"/>
        <v>-1.8505825908156304E-2</v>
      </c>
      <c r="BF58" s="309">
        <f t="shared" si="84"/>
        <v>1.5229972586049412E-2</v>
      </c>
      <c r="BG58" s="527">
        <f>+BG50/BB50-1</f>
        <v>-2.7973358705994267E-2</v>
      </c>
      <c r="BH58" s="309">
        <f t="shared" si="84"/>
        <v>6.3281824871228798E-2</v>
      </c>
      <c r="BI58" s="628">
        <f t="shared" si="84"/>
        <v>5.7142857142857162E-2</v>
      </c>
      <c r="BJ58" s="628">
        <f t="shared" si="84"/>
        <v>8.1703910614525199E-2</v>
      </c>
      <c r="BK58" s="628">
        <f t="shared" si="84"/>
        <v>0.10861086108610851</v>
      </c>
      <c r="BL58" s="527">
        <f>+BL50/BG50-1</f>
        <v>8.1636648394675104E-2</v>
      </c>
      <c r="BM58" s="534">
        <f>+BM57+BM51+BM52</f>
        <v>0.15076274915241741</v>
      </c>
      <c r="BN58" s="534">
        <f>+BN57+BN51+BN52</f>
        <v>0.11473383104503937</v>
      </c>
      <c r="BO58" s="534">
        <f>+BO57+BO51+BO52</f>
        <v>7.9438769735917639E-2</v>
      </c>
      <c r="BP58" s="534">
        <f>+BP57+BP51+BP52</f>
        <v>7.4615550007657142E-2</v>
      </c>
      <c r="BQ58" s="527">
        <f>+BQ50/BL50-1</f>
        <v>9.6134793786792683E-2</v>
      </c>
      <c r="BR58" s="534">
        <f>+BR57+BR51+BR52</f>
        <v>4.2115886127152106E-2</v>
      </c>
      <c r="BS58" s="534">
        <f>+BS57+BS51+BS52</f>
        <v>3.8500000000000006E-2</v>
      </c>
      <c r="BT58" s="534">
        <f>+BT57+BT51+BT52</f>
        <v>3.8500000000000006E-2</v>
      </c>
      <c r="BU58" s="534">
        <f>+BU57+BU51+BU52</f>
        <v>3.8500000000000006E-2</v>
      </c>
      <c r="BV58" s="527">
        <f>+BV50/BQ50-1</f>
        <v>3.8996411856434099E-2</v>
      </c>
      <c r="BW58" s="534">
        <f>+BW57+BW51+BW52</f>
        <v>3.8500000000000006E-2</v>
      </c>
      <c r="BX58" s="534">
        <f>+BX57+BX51+BX52</f>
        <v>3.8500000000000006E-2</v>
      </c>
      <c r="BY58" s="534">
        <f>+BY57+BY51+BY52</f>
        <v>3.8500000000000006E-2</v>
      </c>
      <c r="BZ58" s="534">
        <f>+BZ57+BZ51+BZ52</f>
        <v>3.8500000000000006E-2</v>
      </c>
      <c r="CA58" s="527">
        <f>+CA50/BV50-1</f>
        <v>3.8499999999999757E-2</v>
      </c>
      <c r="CB58" s="534">
        <f>+CB57+CB51+CB52</f>
        <v>3.8500000000000006E-2</v>
      </c>
      <c r="CC58" s="534">
        <f>+CC57+CC51+CC52</f>
        <v>3.8500000000000006E-2</v>
      </c>
      <c r="CD58" s="534">
        <f>+CD57+CD51+CD52</f>
        <v>3.8500000000000006E-2</v>
      </c>
      <c r="CE58" s="534">
        <f>+CE57+CE51+CE52</f>
        <v>3.8500000000000006E-2</v>
      </c>
      <c r="CF58" s="527">
        <f>+CF50/CA50-1</f>
        <v>3.8499999999999979E-2</v>
      </c>
      <c r="CG58" s="534">
        <f>+CG57+CG51+CG52</f>
        <v>3.8500000000000006E-2</v>
      </c>
      <c r="CH58" s="534">
        <f>+CH57+CH51+CH52</f>
        <v>3.8500000000000006E-2</v>
      </c>
      <c r="CI58" s="534">
        <f>+CI57+CI51+CI52</f>
        <v>3.8500000000000006E-2</v>
      </c>
      <c r="CJ58" s="534">
        <f>+CJ57+CJ51+CJ52</f>
        <v>3.8500000000000006E-2</v>
      </c>
      <c r="CK58" s="527">
        <f>+CK50/CF50-1</f>
        <v>3.8500000000000201E-2</v>
      </c>
      <c r="CL58"/>
      <c r="CM58"/>
      <c r="CN58" s="37"/>
      <c r="CO58" s="37"/>
      <c r="CP58" s="37"/>
      <c r="CQ58" s="27"/>
      <c r="CR58" s="27"/>
      <c r="CS58" s="27"/>
      <c r="CT58" s="27"/>
      <c r="CU58" s="27"/>
      <c r="CV58" s="27"/>
      <c r="CW58" s="27"/>
      <c r="CX58" s="27"/>
      <c r="CY58" s="27"/>
      <c r="CZ58" s="27"/>
      <c r="DA58" s="27"/>
    </row>
    <row r="59" spans="1:105" x14ac:dyDescent="0.2">
      <c r="A59" s="1" t="s">
        <v>311</v>
      </c>
      <c r="B59" s="214"/>
      <c r="C59" s="47"/>
      <c r="D59" s="47"/>
      <c r="E59" s="154"/>
      <c r="F59" s="154"/>
      <c r="G59" s="154"/>
      <c r="H59" s="154"/>
      <c r="I59" s="152"/>
      <c r="J59" s="153"/>
      <c r="K59" s="153"/>
      <c r="L59" s="153"/>
      <c r="M59" s="153"/>
      <c r="N59" s="152"/>
      <c r="O59" s="153"/>
      <c r="P59" s="153"/>
      <c r="Q59" s="153"/>
      <c r="R59" s="153"/>
      <c r="S59" s="152"/>
      <c r="T59" s="153"/>
      <c r="U59" s="153"/>
      <c r="V59" s="153"/>
      <c r="W59" s="153"/>
      <c r="X59" s="155"/>
      <c r="Y59" s="164"/>
      <c r="Z59" s="164"/>
      <c r="AA59" s="164"/>
      <c r="AB59" s="164"/>
      <c r="AC59" s="155"/>
      <c r="AD59" s="162"/>
      <c r="AE59" s="162"/>
      <c r="AF59" s="162"/>
      <c r="AG59" s="153"/>
      <c r="AH59" s="152"/>
      <c r="AI59" s="162"/>
      <c r="AJ59" s="162"/>
      <c r="AK59" s="162"/>
      <c r="AL59" s="162"/>
      <c r="AM59" s="152"/>
      <c r="AN59" s="142">
        <f>AS59/(1+AS65)</f>
        <v>982.00612557427269</v>
      </c>
      <c r="AO59" s="142">
        <f>AT59/(1+AT65)</f>
        <v>1791.6505604947818</v>
      </c>
      <c r="AP59" s="142">
        <f>AU59/(1+AU65)</f>
        <v>1673.3562691131499</v>
      </c>
      <c r="AQ59" s="142">
        <f>AV59/(1+AV65)</f>
        <v>1946.893983931021</v>
      </c>
      <c r="AR59" s="140">
        <v>6431</v>
      </c>
      <c r="AS59" s="64">
        <v>1026</v>
      </c>
      <c r="AT59" s="141">
        <v>1854</v>
      </c>
      <c r="AU59" s="141">
        <v>1751</v>
      </c>
      <c r="AV59" s="141">
        <v>1987</v>
      </c>
      <c r="AW59" s="140">
        <f>+AS59+AT59+AU59+AV59</f>
        <v>6618</v>
      </c>
      <c r="AX59" s="64">
        <v>1051</v>
      </c>
      <c r="AY59" s="64">
        <v>1775</v>
      </c>
      <c r="AZ59" s="64">
        <v>1632</v>
      </c>
      <c r="BA59" s="64">
        <v>1917</v>
      </c>
      <c r="BB59" s="140">
        <f>+AX59+AY59+AZ59+BA59</f>
        <v>6375</v>
      </c>
      <c r="BC59" s="64">
        <v>1065</v>
      </c>
      <c r="BD59" s="64">
        <v>1748</v>
      </c>
      <c r="BE59" s="64">
        <v>1636</v>
      </c>
      <c r="BF59" s="64">
        <v>1889</v>
      </c>
      <c r="BG59" s="140">
        <f>+BC59+BD59+BE59+BF59</f>
        <v>6338</v>
      </c>
      <c r="BH59" s="64">
        <v>970</v>
      </c>
      <c r="BI59" s="64">
        <v>1602</v>
      </c>
      <c r="BJ59" s="64">
        <v>1567</v>
      </c>
      <c r="BK59" s="64">
        <v>1891</v>
      </c>
      <c r="BL59" s="140">
        <f>+BH59+BI59+BJ59+BK59</f>
        <v>6030</v>
      </c>
      <c r="BM59" s="64">
        <f>+BH59*(1+BM67)</f>
        <v>1038.3400386584287</v>
      </c>
      <c r="BN59" s="64">
        <f>+BI59*(1+BN67)</f>
        <v>1725.0951261577488</v>
      </c>
      <c r="BO59" s="64">
        <f>+BJ59*(1+BO67)</f>
        <v>1604.3461009735711</v>
      </c>
      <c r="BP59" s="64">
        <f>+BK59*(1+BP67)</f>
        <v>1954.5487438362738</v>
      </c>
      <c r="BQ59" s="140">
        <f>+BM59+BN59+BO59+BP59</f>
        <v>6322.3300096260227</v>
      </c>
      <c r="BR59" s="64">
        <f>+BM59*(1+BR67)</f>
        <v>1107.0050904135194</v>
      </c>
      <c r="BS59" s="64">
        <f>+BN59*(1+BS67)</f>
        <v>1833.086081055224</v>
      </c>
      <c r="BT59" s="64">
        <f>+BO59*(1+BT67)</f>
        <v>1704.7781668945165</v>
      </c>
      <c r="BU59" s="64">
        <f>+BP59*(1+BU67)</f>
        <v>2076.9034952004245</v>
      </c>
      <c r="BV59" s="140">
        <f>+BR59+BS59+BT59+BU59</f>
        <v>6721.7728335636839</v>
      </c>
      <c r="BW59" s="64">
        <f>+BR59*(1+BW67)</f>
        <v>1164.6800556240637</v>
      </c>
      <c r="BX59" s="64">
        <f>+BS59*(1+BX67)</f>
        <v>1928.5898658782012</v>
      </c>
      <c r="BY59" s="64">
        <f>+BT59*(1+BY67)</f>
        <v>1793.5971093897208</v>
      </c>
      <c r="BZ59" s="64">
        <f>+BU59*(1+BZ67)</f>
        <v>2185.1101673003668</v>
      </c>
      <c r="CA59" s="140">
        <f>+BW59+BX59+BY59+BZ59</f>
        <v>7071.9771981923523</v>
      </c>
      <c r="CB59" s="64">
        <f>+BW59*(1+CB67)</f>
        <v>1225.3598865220774</v>
      </c>
      <c r="CC59" s="64">
        <f>+BX59*(1+CC67)</f>
        <v>2029.0693978904555</v>
      </c>
      <c r="CD59" s="64">
        <f>+BY59*(1+CD67)</f>
        <v>1887.0435187889252</v>
      </c>
      <c r="CE59" s="64">
        <f>+BZ59*(1+CE67)</f>
        <v>2298.9544070167158</v>
      </c>
      <c r="CF59" s="140">
        <f>+CB59+CC59+CD59+CE59</f>
        <v>7440.427210218174</v>
      </c>
      <c r="CG59" s="64">
        <f>+CB59*(1+CG67)</f>
        <v>1289.2011366098777</v>
      </c>
      <c r="CH59" s="64">
        <f>+CC59*(1+CH67)</f>
        <v>2134.7839135205481</v>
      </c>
      <c r="CI59" s="64">
        <f>+CD59*(1+CI67)</f>
        <v>1985.3584861178283</v>
      </c>
      <c r="CJ59" s="64">
        <f>+CE59*(1+CJ67)</f>
        <v>2418.7299316222866</v>
      </c>
      <c r="CK59" s="140">
        <f>+CG59+CH59+CI59+CJ59</f>
        <v>7828.0734678705412</v>
      </c>
      <c r="CL59"/>
      <c r="CM59"/>
      <c r="CN59" s="37"/>
      <c r="CO59" s="37"/>
      <c r="CP59" s="37"/>
      <c r="CQ59" s="27"/>
      <c r="CR59" s="27"/>
      <c r="CS59" s="27"/>
      <c r="CT59" s="27"/>
      <c r="CU59" s="27"/>
      <c r="CV59" s="27"/>
      <c r="CW59" s="27"/>
      <c r="CX59" s="27"/>
      <c r="CY59" s="27"/>
      <c r="CZ59" s="27"/>
      <c r="DA59" s="27"/>
    </row>
    <row r="60" spans="1:105" x14ac:dyDescent="0.2">
      <c r="A60" s="129" t="s">
        <v>200</v>
      </c>
      <c r="B60" s="214"/>
      <c r="C60" s="47"/>
      <c r="D60" s="47"/>
      <c r="E60" s="154"/>
      <c r="F60" s="154"/>
      <c r="G60" s="154"/>
      <c r="H60" s="154"/>
      <c r="I60" s="152"/>
      <c r="J60" s="153"/>
      <c r="K60" s="153"/>
      <c r="L60" s="153"/>
      <c r="M60" s="153"/>
      <c r="N60" s="152"/>
      <c r="O60" s="153"/>
      <c r="P60" s="153"/>
      <c r="Q60" s="153"/>
      <c r="R60" s="153"/>
      <c r="S60" s="152"/>
      <c r="T60" s="153"/>
      <c r="U60" s="153"/>
      <c r="V60" s="153"/>
      <c r="W60" s="153"/>
      <c r="X60" s="155"/>
      <c r="Y60" s="164"/>
      <c r="Z60" s="164"/>
      <c r="AA60" s="164"/>
      <c r="AB60" s="164"/>
      <c r="AC60" s="155"/>
      <c r="AD60" s="162"/>
      <c r="AE60" s="162"/>
      <c r="AF60" s="162"/>
      <c r="AG60" s="153"/>
      <c r="AH60" s="152"/>
      <c r="AI60" s="162"/>
      <c r="AJ60" s="162"/>
      <c r="AK60" s="162"/>
      <c r="AL60" s="162"/>
      <c r="AM60" s="152"/>
      <c r="AN60" s="162"/>
      <c r="AO60" s="162"/>
      <c r="AP60" s="162"/>
      <c r="AQ60" s="162"/>
      <c r="AR60" s="521"/>
      <c r="AS60" s="310">
        <f>AS67-AS61-AS66</f>
        <v>0.05</v>
      </c>
      <c r="AT60" s="522">
        <f>AT67-AT61-AT66</f>
        <v>7.0000000000000007E-2</v>
      </c>
      <c r="AU60" s="522">
        <f>AU67-AU61-AU66</f>
        <v>0.11</v>
      </c>
      <c r="AV60" s="522">
        <v>0.06</v>
      </c>
      <c r="AW60" s="521">
        <v>0.04</v>
      </c>
      <c r="AX60" s="310">
        <v>0.05</v>
      </c>
      <c r="AY60" s="310">
        <v>0.05</v>
      </c>
      <c r="AZ60" s="310">
        <v>2.5000000000000001E-2</v>
      </c>
      <c r="BA60" s="310">
        <v>0.04</v>
      </c>
      <c r="BB60" s="523">
        <v>0.04</v>
      </c>
      <c r="BC60" s="310">
        <v>0.08</v>
      </c>
      <c r="BD60" s="565">
        <v>0.04</v>
      </c>
      <c r="BE60" s="565">
        <v>0.05</v>
      </c>
      <c r="BF60" s="308">
        <v>0.05</v>
      </c>
      <c r="BG60" s="523">
        <v>0.05</v>
      </c>
      <c r="BH60" s="308">
        <v>0.02</v>
      </c>
      <c r="BI60" s="581">
        <v>0.02</v>
      </c>
      <c r="BJ60" s="581">
        <v>0.09</v>
      </c>
      <c r="BK60" s="581">
        <v>0.06</v>
      </c>
      <c r="BL60" s="523">
        <v>0.05</v>
      </c>
      <c r="BM60" s="308">
        <f t="shared" ref="BM60:CJ60" si="85">+BM62+BM65</f>
        <v>5.2899999999999996E-2</v>
      </c>
      <c r="BN60" s="308">
        <f t="shared" si="85"/>
        <v>6.3199999999999992E-2</v>
      </c>
      <c r="BO60" s="308">
        <f t="shared" si="85"/>
        <v>2.8400000000000002E-2</v>
      </c>
      <c r="BP60" s="308">
        <f t="shared" si="85"/>
        <v>3.6799999999999999E-2</v>
      </c>
      <c r="BQ60" s="523">
        <f>+BQ62+BQ65</f>
        <v>4.4220729684908783E-2</v>
      </c>
      <c r="BR60" s="308">
        <f t="shared" si="85"/>
        <v>6.2600000000000003E-2</v>
      </c>
      <c r="BS60" s="308">
        <f t="shared" si="85"/>
        <v>6.2600000000000003E-2</v>
      </c>
      <c r="BT60" s="308">
        <f t="shared" si="85"/>
        <v>6.2600000000000003E-2</v>
      </c>
      <c r="BU60" s="308">
        <f t="shared" si="85"/>
        <v>6.2600000000000003E-2</v>
      </c>
      <c r="BV60" s="523">
        <f>+BV62+BV65</f>
        <v>6.2599999999999989E-2</v>
      </c>
      <c r="BW60" s="308">
        <f t="shared" si="85"/>
        <v>5.21E-2</v>
      </c>
      <c r="BX60" s="308">
        <f t="shared" si="85"/>
        <v>5.21E-2</v>
      </c>
      <c r="BY60" s="308">
        <f t="shared" si="85"/>
        <v>5.21E-2</v>
      </c>
      <c r="BZ60" s="308">
        <f t="shared" si="85"/>
        <v>5.21E-2</v>
      </c>
      <c r="CA60" s="523">
        <f>+CA62+CA65</f>
        <v>5.2100000000000007E-2</v>
      </c>
      <c r="CB60" s="308">
        <f t="shared" si="85"/>
        <v>5.21E-2</v>
      </c>
      <c r="CC60" s="308">
        <f t="shared" si="85"/>
        <v>5.21E-2</v>
      </c>
      <c r="CD60" s="308">
        <f t="shared" si="85"/>
        <v>5.21E-2</v>
      </c>
      <c r="CE60" s="308">
        <f t="shared" si="85"/>
        <v>5.21E-2</v>
      </c>
      <c r="CF60" s="523">
        <f>+CF62+CF65</f>
        <v>5.21E-2</v>
      </c>
      <c r="CG60" s="308">
        <f t="shared" si="85"/>
        <v>5.21E-2</v>
      </c>
      <c r="CH60" s="308">
        <f t="shared" si="85"/>
        <v>5.21E-2</v>
      </c>
      <c r="CI60" s="308">
        <f t="shared" si="85"/>
        <v>5.21E-2</v>
      </c>
      <c r="CJ60" s="308">
        <f t="shared" si="85"/>
        <v>5.21E-2</v>
      </c>
      <c r="CK60" s="523">
        <f>+CK62+CK65</f>
        <v>5.2099999999999994E-2</v>
      </c>
      <c r="CL60"/>
      <c r="CM60"/>
      <c r="CN60" s="37"/>
      <c r="CO60" s="37"/>
      <c r="CP60" s="37"/>
      <c r="CQ60" s="27"/>
      <c r="CR60" s="27"/>
      <c r="CS60" s="27"/>
      <c r="CT60" s="27"/>
      <c r="CU60" s="27"/>
      <c r="CV60" s="27"/>
      <c r="CW60" s="27"/>
      <c r="CX60" s="27"/>
      <c r="CY60" s="27"/>
      <c r="CZ60" s="27"/>
      <c r="DA60" s="27"/>
    </row>
    <row r="61" spans="1:105" x14ac:dyDescent="0.2">
      <c r="A61" s="129" t="s">
        <v>201</v>
      </c>
      <c r="B61" s="214"/>
      <c r="C61" s="47"/>
      <c r="D61" s="47"/>
      <c r="E61" s="154"/>
      <c r="F61" s="154"/>
      <c r="G61" s="154"/>
      <c r="H61" s="154"/>
      <c r="I61" s="152"/>
      <c r="J61" s="153"/>
      <c r="K61" s="153"/>
      <c r="L61" s="153"/>
      <c r="M61" s="153"/>
      <c r="N61" s="152"/>
      <c r="O61" s="153"/>
      <c r="P61" s="153"/>
      <c r="Q61" s="153"/>
      <c r="R61" s="153"/>
      <c r="S61" s="152"/>
      <c r="T61" s="153"/>
      <c r="U61" s="153"/>
      <c r="V61" s="153"/>
      <c r="W61" s="153"/>
      <c r="X61" s="155"/>
      <c r="Y61" s="164"/>
      <c r="Z61" s="164"/>
      <c r="AA61" s="164"/>
      <c r="AB61" s="164"/>
      <c r="AC61" s="155"/>
      <c r="AD61" s="162"/>
      <c r="AE61" s="162"/>
      <c r="AF61" s="162"/>
      <c r="AG61" s="153"/>
      <c r="AH61" s="152"/>
      <c r="AI61" s="162"/>
      <c r="AJ61" s="162"/>
      <c r="AK61" s="162"/>
      <c r="AL61" s="162"/>
      <c r="AM61" s="152"/>
      <c r="AN61" s="162"/>
      <c r="AO61" s="162"/>
      <c r="AP61" s="162"/>
      <c r="AQ61" s="162"/>
      <c r="AR61" s="523"/>
      <c r="AS61" s="308">
        <v>-0.05</v>
      </c>
      <c r="AT61" s="308">
        <v>-0.05</v>
      </c>
      <c r="AU61" s="308">
        <v>-0.01</v>
      </c>
      <c r="AV61" s="308">
        <v>-0.02</v>
      </c>
      <c r="AW61" s="523">
        <v>-0.03</v>
      </c>
      <c r="AX61" s="308">
        <v>-2.5000000000000001E-2</v>
      </c>
      <c r="AY61" s="308">
        <v>-0.04</v>
      </c>
      <c r="AZ61" s="308">
        <v>-0.06</v>
      </c>
      <c r="BA61" s="308">
        <v>-0.06</v>
      </c>
      <c r="BB61" s="523">
        <v>-0.05</v>
      </c>
      <c r="BC61" s="308">
        <v>-0.05</v>
      </c>
      <c r="BD61" s="308">
        <v>-0.05</v>
      </c>
      <c r="BE61" s="308">
        <v>-0.04</v>
      </c>
      <c r="BF61" s="308">
        <v>-7.0000000000000007E-2</v>
      </c>
      <c r="BG61" s="523">
        <v>-0.05</v>
      </c>
      <c r="BH61" s="308">
        <v>-0.11</v>
      </c>
      <c r="BI61" s="581">
        <v>-0.1</v>
      </c>
      <c r="BJ61" s="581">
        <v>-0.13</v>
      </c>
      <c r="BK61" s="581">
        <v>-5.5E-2</v>
      </c>
      <c r="BL61" s="523">
        <v>-0.1</v>
      </c>
      <c r="BM61" s="308">
        <v>4.7553648101472792E-2</v>
      </c>
      <c r="BN61" s="308">
        <v>4.3638405841291403E-2</v>
      </c>
      <c r="BO61" s="308">
        <v>2.5432865969094411E-2</v>
      </c>
      <c r="BP61" s="308">
        <v>2.680589309163077E-2</v>
      </c>
      <c r="BQ61" s="523">
        <f>SUMPRODUCT(BH59:BK59,BM61:BP61)/BL59</f>
        <v>3.4258542226537674E-2</v>
      </c>
      <c r="BR61" s="308">
        <v>3.5296388452941397E-3</v>
      </c>
      <c r="BS61" s="308">
        <v>0</v>
      </c>
      <c r="BT61" s="308">
        <v>0</v>
      </c>
      <c r="BU61" s="308">
        <v>0</v>
      </c>
      <c r="BV61" s="523">
        <f>SUMPRODUCT(BM59:BP59,BR61:BU61)/BQ59</f>
        <v>5.7968586415023252E-4</v>
      </c>
      <c r="BW61" s="544">
        <v>0</v>
      </c>
      <c r="BX61" s="544">
        <v>0</v>
      </c>
      <c r="BY61" s="544">
        <v>0</v>
      </c>
      <c r="BZ61" s="544">
        <v>0</v>
      </c>
      <c r="CA61" s="523">
        <f>SUMPRODUCT(BR59:BU59,BW61:BZ61)/BV59</f>
        <v>0</v>
      </c>
      <c r="CB61" s="544">
        <v>0</v>
      </c>
      <c r="CC61" s="544">
        <v>0</v>
      </c>
      <c r="CD61" s="544">
        <v>0</v>
      </c>
      <c r="CE61" s="544">
        <v>0</v>
      </c>
      <c r="CF61" s="523">
        <f>SUMPRODUCT(BW59:BZ59,CB61:CE61)/CA59</f>
        <v>0</v>
      </c>
      <c r="CG61" s="544">
        <v>0</v>
      </c>
      <c r="CH61" s="544">
        <v>0</v>
      </c>
      <c r="CI61" s="544">
        <v>0</v>
      </c>
      <c r="CJ61" s="544">
        <v>0</v>
      </c>
      <c r="CK61" s="523">
        <f>SUMPRODUCT(CB59:CE59,CG61:CJ61)/CF59</f>
        <v>0</v>
      </c>
      <c r="CL61"/>
      <c r="CM61"/>
      <c r="CN61" s="37"/>
      <c r="CO61" s="37"/>
      <c r="CP61" s="37"/>
      <c r="CQ61" s="27"/>
      <c r="CR61" s="27"/>
      <c r="CS61" s="27"/>
      <c r="CT61" s="27"/>
      <c r="CU61" s="27"/>
      <c r="CV61" s="27"/>
      <c r="CW61" s="27"/>
      <c r="CX61" s="27"/>
      <c r="CY61" s="27"/>
      <c r="CZ61" s="27"/>
      <c r="DA61" s="27"/>
    </row>
    <row r="62" spans="1:105" x14ac:dyDescent="0.2">
      <c r="A62" s="129" t="s">
        <v>34</v>
      </c>
      <c r="B62" s="214"/>
      <c r="C62" s="47"/>
      <c r="D62" s="47"/>
      <c r="E62" s="154"/>
      <c r="F62" s="154"/>
      <c r="G62" s="154"/>
      <c r="H62" s="154"/>
      <c r="I62" s="152"/>
      <c r="J62" s="153"/>
      <c r="K62" s="153"/>
      <c r="L62" s="153"/>
      <c r="M62" s="153"/>
      <c r="N62" s="152"/>
      <c r="O62" s="153"/>
      <c r="P62" s="153"/>
      <c r="Q62" s="153"/>
      <c r="R62" s="153"/>
      <c r="S62" s="152"/>
      <c r="T62" s="153"/>
      <c r="U62" s="153"/>
      <c r="V62" s="153"/>
      <c r="W62" s="153"/>
      <c r="X62" s="155"/>
      <c r="Y62" s="164"/>
      <c r="Z62" s="164"/>
      <c r="AA62" s="164"/>
      <c r="AB62" s="164"/>
      <c r="AC62" s="155"/>
      <c r="AD62" s="162"/>
      <c r="AE62" s="162"/>
      <c r="AF62" s="162"/>
      <c r="AG62" s="153"/>
      <c r="AH62" s="152"/>
      <c r="AI62" s="162"/>
      <c r="AJ62" s="162"/>
      <c r="AK62" s="162"/>
      <c r="AL62" s="162"/>
      <c r="AM62" s="152"/>
      <c r="AN62" s="162"/>
      <c r="AO62" s="162"/>
      <c r="AP62" s="162"/>
      <c r="AQ62" s="162"/>
      <c r="AR62" s="523"/>
      <c r="AS62" s="308">
        <f t="shared" ref="AS62:AX62" si="86">+$C63*AS63+$C64*AS64</f>
        <v>5.1999999999999998E-3</v>
      </c>
      <c r="AT62" s="117">
        <f t="shared" si="86"/>
        <v>3.5200000000000002E-2</v>
      </c>
      <c r="AU62" s="117">
        <f t="shared" si="86"/>
        <v>6.359999999999999E-2</v>
      </c>
      <c r="AV62" s="117">
        <f t="shared" si="86"/>
        <v>3.9399999999999998E-2</v>
      </c>
      <c r="AW62" s="523">
        <f t="shared" si="86"/>
        <v>3.9399999999999998E-2</v>
      </c>
      <c r="AX62" s="308">
        <f t="shared" si="86"/>
        <v>4.36E-2</v>
      </c>
      <c r="AY62" s="308">
        <f>+$C63*AY63+$C64*AY64</f>
        <v>2.2599999999999999E-2</v>
      </c>
      <c r="AZ62" s="308">
        <f>+$C63*AZ63+$C64*AZ64</f>
        <v>8.3999999999999995E-3</v>
      </c>
      <c r="BA62" s="308">
        <f>+$C63*BA63+$C64*BA64</f>
        <v>0.03</v>
      </c>
      <c r="BB62" s="523">
        <v>0.04</v>
      </c>
      <c r="BC62" s="308">
        <v>0.06</v>
      </c>
      <c r="BD62" s="308">
        <f t="shared" ref="BD62:BL62" si="87">+$C63*BD63+$C64*BD64</f>
        <v>4.5799999999999993E-2</v>
      </c>
      <c r="BE62" s="308">
        <f t="shared" si="87"/>
        <v>7.1000000000000008E-2</v>
      </c>
      <c r="BF62" s="308">
        <f t="shared" si="87"/>
        <v>5.0999999999999997E-2</v>
      </c>
      <c r="BG62" s="523">
        <f t="shared" si="87"/>
        <v>5.2600000000000001E-2</v>
      </c>
      <c r="BH62" s="308">
        <f>+$C63*BH63+$C64*BH64</f>
        <v>4.6800000000000001E-2</v>
      </c>
      <c r="BI62" s="581">
        <f>+$C63*BI63+$C64*BI64</f>
        <v>6.2000000000000041E-3</v>
      </c>
      <c r="BJ62" s="581">
        <f t="shared" si="87"/>
        <v>1.4199999999999999E-2</v>
      </c>
      <c r="BK62" s="581">
        <f t="shared" si="87"/>
        <v>3.6000000000000025E-3</v>
      </c>
      <c r="BL62" s="523">
        <f t="shared" si="87"/>
        <v>1.5200000000000002E-2</v>
      </c>
      <c r="BM62" s="308">
        <f>+$C63*BM63+$C64*BM64</f>
        <v>2.2899999999999997E-2</v>
      </c>
      <c r="BN62" s="308">
        <f>+$C63*BN63+$C64*BN64</f>
        <v>4.3199999999999995E-2</v>
      </c>
      <c r="BO62" s="308">
        <f>+$C63*BO63+$C64*BO64</f>
        <v>3.8400000000000004E-2</v>
      </c>
      <c r="BP62" s="308">
        <f>+$C63*BP63+$C64*BP64</f>
        <v>2.6800000000000001E-2</v>
      </c>
      <c r="BQ62" s="523">
        <f>SUMPRODUCT(BH59:BK59,BM62:BP62)/BL59</f>
        <v>3.35441127694859E-2</v>
      </c>
      <c r="BR62" s="308">
        <f>+$C63*BR63+$C64*BR64</f>
        <v>4.2599999999999999E-2</v>
      </c>
      <c r="BS62" s="308">
        <f>+$C63*BS63+$C64*BS64</f>
        <v>4.2599999999999999E-2</v>
      </c>
      <c r="BT62" s="308">
        <f>+$C63*BT63+$C64*BT64</f>
        <v>4.2599999999999999E-2</v>
      </c>
      <c r="BU62" s="308">
        <f>+$C63*BU63+$C64*BU64</f>
        <v>4.2599999999999999E-2</v>
      </c>
      <c r="BV62" s="523">
        <f>SUMPRODUCT(BM59:BP59,BR62:BU62)/BQ59</f>
        <v>4.2599999999999992E-2</v>
      </c>
      <c r="BW62" s="308">
        <f>+$C63*BW63+$C64*BW64</f>
        <v>2.7099999999999999E-2</v>
      </c>
      <c r="BX62" s="308">
        <f>+$C63*BX63+$C64*BX64</f>
        <v>2.7099999999999999E-2</v>
      </c>
      <c r="BY62" s="308">
        <f>+$C63*BY63+$C64*BY64</f>
        <v>2.7099999999999999E-2</v>
      </c>
      <c r="BZ62" s="308">
        <f>+$C63*BZ63+$C64*BZ64</f>
        <v>2.7099999999999999E-2</v>
      </c>
      <c r="CA62" s="523">
        <f>SUMPRODUCT(BR59:BU59,BW62:BZ62)/BV59</f>
        <v>2.7100000000000006E-2</v>
      </c>
      <c r="CB62" s="308">
        <f>+$C63*CB63+$C64*CB64</f>
        <v>2.7099999999999999E-2</v>
      </c>
      <c r="CC62" s="308">
        <f>+$C63*CC63+$C64*CC64</f>
        <v>2.7099999999999999E-2</v>
      </c>
      <c r="CD62" s="308">
        <f>+$C63*CD63+$C64*CD64</f>
        <v>2.7099999999999999E-2</v>
      </c>
      <c r="CE62" s="308">
        <f>+$C63*CE63+$C64*CE64</f>
        <v>2.7099999999999999E-2</v>
      </c>
      <c r="CF62" s="523">
        <f>SUMPRODUCT(BW59:BZ59,CB62:CE62)/CA59</f>
        <v>2.7100000000000003E-2</v>
      </c>
      <c r="CG62" s="308">
        <f>+$C63*CG63+$C64*CG64</f>
        <v>2.7099999999999999E-2</v>
      </c>
      <c r="CH62" s="308">
        <f>+$C63*CH63+$C64*CH64</f>
        <v>2.7099999999999999E-2</v>
      </c>
      <c r="CI62" s="308">
        <f>+$C63*CI63+$C64*CI64</f>
        <v>2.7099999999999999E-2</v>
      </c>
      <c r="CJ62" s="308">
        <f>+$C63*CJ63+$C64*CJ64</f>
        <v>2.7099999999999999E-2</v>
      </c>
      <c r="CK62" s="523">
        <f>SUMPRODUCT(CB59:CE59,CG62:CJ62)/CF59</f>
        <v>2.7099999999999996E-2</v>
      </c>
      <c r="CL62"/>
      <c r="CM62"/>
      <c r="CN62" s="37"/>
      <c r="CO62" s="37"/>
      <c r="CP62" s="37"/>
      <c r="CQ62" s="27"/>
      <c r="CR62" s="27"/>
      <c r="CS62" s="27"/>
      <c r="CT62" s="27"/>
      <c r="CU62" s="27"/>
      <c r="CV62" s="27"/>
      <c r="CW62" s="27"/>
      <c r="CX62" s="27"/>
      <c r="CY62" s="27"/>
      <c r="CZ62" s="27"/>
      <c r="DA62" s="27"/>
    </row>
    <row r="63" spans="1:105" x14ac:dyDescent="0.2">
      <c r="A63" s="129"/>
      <c r="B63" s="129" t="s">
        <v>30</v>
      </c>
      <c r="C63" s="182">
        <f>C96</f>
        <v>0.42</v>
      </c>
      <c r="D63" s="182"/>
      <c r="E63" s="154"/>
      <c r="F63" s="154"/>
      <c r="G63" s="154"/>
      <c r="H63" s="154"/>
      <c r="I63" s="152"/>
      <c r="J63" s="153"/>
      <c r="K63" s="153"/>
      <c r="L63" s="153"/>
      <c r="M63" s="153"/>
      <c r="N63" s="152"/>
      <c r="O63" s="153"/>
      <c r="P63" s="153"/>
      <c r="Q63" s="153"/>
      <c r="R63" s="153"/>
      <c r="S63" s="152"/>
      <c r="T63" s="153"/>
      <c r="U63" s="153"/>
      <c r="V63" s="153"/>
      <c r="W63" s="153"/>
      <c r="X63" s="155"/>
      <c r="Y63" s="164"/>
      <c r="Z63" s="164"/>
      <c r="AA63" s="164"/>
      <c r="AB63" s="164"/>
      <c r="AC63" s="155"/>
      <c r="AD63" s="162"/>
      <c r="AE63" s="162"/>
      <c r="AF63" s="162"/>
      <c r="AG63" s="153"/>
      <c r="AH63" s="152"/>
      <c r="AI63" s="162"/>
      <c r="AJ63" s="162"/>
      <c r="AK63" s="162"/>
      <c r="AL63" s="162"/>
      <c r="AM63" s="152"/>
      <c r="AN63" s="162"/>
      <c r="AO63" s="162"/>
      <c r="AP63" s="162"/>
      <c r="AQ63" s="162"/>
      <c r="AR63" s="523"/>
      <c r="AS63" s="308">
        <v>0.04</v>
      </c>
      <c r="AT63" s="308">
        <v>7.0000000000000007E-2</v>
      </c>
      <c r="AU63" s="308">
        <v>0.11</v>
      </c>
      <c r="AV63" s="308">
        <v>0.08</v>
      </c>
      <c r="AW63" s="523">
        <v>0.08</v>
      </c>
      <c r="AX63" s="308">
        <v>0.09</v>
      </c>
      <c r="AY63" s="308">
        <v>0.04</v>
      </c>
      <c r="AZ63" s="308">
        <v>0.02</v>
      </c>
      <c r="BA63" s="308">
        <v>0.03</v>
      </c>
      <c r="BB63" s="523">
        <v>0.04</v>
      </c>
      <c r="BC63" s="308">
        <v>0.06</v>
      </c>
      <c r="BD63" s="308">
        <v>0.04</v>
      </c>
      <c r="BE63" s="308">
        <v>0.1</v>
      </c>
      <c r="BF63" s="308">
        <v>0.08</v>
      </c>
      <c r="BG63" s="523">
        <v>7.0000000000000007E-2</v>
      </c>
      <c r="BH63" s="308">
        <v>7.0000000000000007E-2</v>
      </c>
      <c r="BI63" s="581">
        <v>7.0000000000000007E-2</v>
      </c>
      <c r="BJ63" s="581">
        <v>0.02</v>
      </c>
      <c r="BK63" s="581">
        <v>0.05</v>
      </c>
      <c r="BL63" s="523">
        <v>0.05</v>
      </c>
      <c r="BM63" s="530">
        <v>0.02</v>
      </c>
      <c r="BN63" s="530">
        <v>0.02</v>
      </c>
      <c r="BO63" s="530">
        <v>0.05</v>
      </c>
      <c r="BP63" s="530">
        <v>0.05</v>
      </c>
      <c r="BQ63" s="523">
        <f>SUMPRODUCT(BH59:BK59,BM63:BP63)/BL59</f>
        <v>3.7203980099502494E-2</v>
      </c>
      <c r="BR63" s="530">
        <v>0.06</v>
      </c>
      <c r="BS63" s="308">
        <f t="shared" ref="BS63:BU66" si="88">BR63</f>
        <v>0.06</v>
      </c>
      <c r="BT63" s="308">
        <f t="shared" si="88"/>
        <v>0.06</v>
      </c>
      <c r="BU63" s="308">
        <f t="shared" si="88"/>
        <v>0.06</v>
      </c>
      <c r="BV63" s="523">
        <f>SUMPRODUCT(BM59:BP59,BR63:BU63)/BQ59</f>
        <v>0.06</v>
      </c>
      <c r="BW63" s="530">
        <v>0.03</v>
      </c>
      <c r="BX63" s="308">
        <f t="shared" ref="BX63:BZ66" si="89">BW63</f>
        <v>0.03</v>
      </c>
      <c r="BY63" s="308">
        <f t="shared" si="89"/>
        <v>0.03</v>
      </c>
      <c r="BZ63" s="308">
        <f t="shared" si="89"/>
        <v>0.03</v>
      </c>
      <c r="CA63" s="523">
        <f>SUMPRODUCT(BR59:BU59,BW63:BZ63)/BV59</f>
        <v>0.03</v>
      </c>
      <c r="CB63" s="530">
        <v>0.03</v>
      </c>
      <c r="CC63" s="308">
        <f t="shared" ref="CC63:CE66" si="90">CB63</f>
        <v>0.03</v>
      </c>
      <c r="CD63" s="308">
        <f t="shared" si="90"/>
        <v>0.03</v>
      </c>
      <c r="CE63" s="308">
        <f t="shared" si="90"/>
        <v>0.03</v>
      </c>
      <c r="CF63" s="523">
        <f>SUMPRODUCT(BW59:BZ59,CB63:CE63)/CA59</f>
        <v>3.0000000000000002E-2</v>
      </c>
      <c r="CG63" s="530">
        <v>0.03</v>
      </c>
      <c r="CH63" s="308">
        <f t="shared" ref="CH63:CJ66" si="91">CG63</f>
        <v>0.03</v>
      </c>
      <c r="CI63" s="308">
        <f t="shared" si="91"/>
        <v>0.03</v>
      </c>
      <c r="CJ63" s="308">
        <f t="shared" si="91"/>
        <v>0.03</v>
      </c>
      <c r="CK63" s="523">
        <f>SUMPRODUCT(CB59:CE59,CG63:CJ63)/CF59</f>
        <v>0.03</v>
      </c>
      <c r="CL63"/>
      <c r="CM63"/>
      <c r="CN63" s="37"/>
      <c r="CO63" s="37"/>
      <c r="CP63" s="37"/>
      <c r="CQ63" s="27"/>
      <c r="CR63" s="27"/>
      <c r="CS63" s="27"/>
      <c r="CT63" s="27"/>
      <c r="CU63" s="27"/>
      <c r="CV63" s="27"/>
      <c r="CW63" s="27"/>
      <c r="CX63" s="27"/>
      <c r="CY63" s="27"/>
      <c r="CZ63" s="27"/>
      <c r="DA63" s="27"/>
    </row>
    <row r="64" spans="1:105" x14ac:dyDescent="0.2">
      <c r="A64" s="129"/>
      <c r="B64" s="129" t="s">
        <v>31</v>
      </c>
      <c r="C64" s="182">
        <f>C97</f>
        <v>0.57999999999999996</v>
      </c>
      <c r="D64" s="182"/>
      <c r="E64" s="154"/>
      <c r="F64" s="154"/>
      <c r="G64" s="154"/>
      <c r="H64" s="154"/>
      <c r="I64" s="152"/>
      <c r="J64" s="153"/>
      <c r="K64" s="153"/>
      <c r="L64" s="153"/>
      <c r="M64" s="153"/>
      <c r="N64" s="152"/>
      <c r="O64" s="153"/>
      <c r="P64" s="153"/>
      <c r="Q64" s="153"/>
      <c r="R64" s="153"/>
      <c r="S64" s="152"/>
      <c r="T64" s="153"/>
      <c r="U64" s="153"/>
      <c r="V64" s="153"/>
      <c r="W64" s="153"/>
      <c r="X64" s="155"/>
      <c r="Y64" s="164"/>
      <c r="Z64" s="164"/>
      <c r="AA64" s="164"/>
      <c r="AB64" s="164"/>
      <c r="AC64" s="155"/>
      <c r="AD64" s="162"/>
      <c r="AE64" s="162"/>
      <c r="AF64" s="162"/>
      <c r="AG64" s="153"/>
      <c r="AH64" s="152"/>
      <c r="AI64" s="162"/>
      <c r="AJ64" s="162"/>
      <c r="AK64" s="162"/>
      <c r="AL64" s="162"/>
      <c r="AM64" s="152"/>
      <c r="AN64" s="162"/>
      <c r="AO64" s="162"/>
      <c r="AP64" s="162"/>
      <c r="AQ64" s="162"/>
      <c r="AR64" s="523"/>
      <c r="AS64" s="308">
        <v>-0.02</v>
      </c>
      <c r="AT64" s="308">
        <v>0.01</v>
      </c>
      <c r="AU64" s="308">
        <v>0.03</v>
      </c>
      <c r="AV64" s="308">
        <v>0.01</v>
      </c>
      <c r="AW64" s="523">
        <v>0.01</v>
      </c>
      <c r="AX64" s="308">
        <v>0.01</v>
      </c>
      <c r="AY64" s="308">
        <v>0.01</v>
      </c>
      <c r="AZ64" s="308">
        <v>0</v>
      </c>
      <c r="BA64" s="308">
        <v>0.03</v>
      </c>
      <c r="BB64" s="523">
        <v>0.01</v>
      </c>
      <c r="BC64" s="308">
        <v>0.05</v>
      </c>
      <c r="BD64" s="308">
        <v>0.05</v>
      </c>
      <c r="BE64" s="308">
        <v>0.05</v>
      </c>
      <c r="BF64" s="308">
        <v>0.03</v>
      </c>
      <c r="BG64" s="523">
        <v>0.04</v>
      </c>
      <c r="BH64" s="308">
        <v>0.03</v>
      </c>
      <c r="BI64" s="581">
        <v>-0.04</v>
      </c>
      <c r="BJ64" s="581">
        <v>0.01</v>
      </c>
      <c r="BK64" s="581">
        <v>-0.03</v>
      </c>
      <c r="BL64" s="523">
        <v>-0.01</v>
      </c>
      <c r="BM64" s="530">
        <v>2.5000000000000001E-2</v>
      </c>
      <c r="BN64" s="530">
        <v>0.06</v>
      </c>
      <c r="BO64" s="530">
        <v>0.03</v>
      </c>
      <c r="BP64" s="530">
        <v>0.01</v>
      </c>
      <c r="BQ64" s="523">
        <f>SUMPRODUCT(BH59:BK59,BM64:BP64)/BL59</f>
        <v>3.0893864013266999E-2</v>
      </c>
      <c r="BR64" s="530">
        <v>0.03</v>
      </c>
      <c r="BS64" s="308">
        <f t="shared" si="88"/>
        <v>0.03</v>
      </c>
      <c r="BT64" s="308">
        <f t="shared" si="88"/>
        <v>0.03</v>
      </c>
      <c r="BU64" s="308">
        <f t="shared" si="88"/>
        <v>0.03</v>
      </c>
      <c r="BV64" s="523">
        <f>SUMPRODUCT(BM59:BP59,BR64:BU64)/BQ59</f>
        <v>0.03</v>
      </c>
      <c r="BW64" s="530">
        <v>2.5000000000000001E-2</v>
      </c>
      <c r="BX64" s="308">
        <f t="shared" si="89"/>
        <v>2.5000000000000001E-2</v>
      </c>
      <c r="BY64" s="308">
        <f t="shared" si="89"/>
        <v>2.5000000000000001E-2</v>
      </c>
      <c r="BZ64" s="308">
        <f t="shared" si="89"/>
        <v>2.5000000000000001E-2</v>
      </c>
      <c r="CA64" s="523">
        <f>SUMPRODUCT(BR59:BU59,BW64:BZ64)/BV59</f>
        <v>2.5000000000000001E-2</v>
      </c>
      <c r="CB64" s="530">
        <v>2.5000000000000001E-2</v>
      </c>
      <c r="CC64" s="308">
        <f t="shared" si="90"/>
        <v>2.5000000000000001E-2</v>
      </c>
      <c r="CD64" s="308">
        <f t="shared" si="90"/>
        <v>2.5000000000000001E-2</v>
      </c>
      <c r="CE64" s="308">
        <f t="shared" si="90"/>
        <v>2.5000000000000001E-2</v>
      </c>
      <c r="CF64" s="523">
        <f>SUMPRODUCT(BW59:BZ59,CB64:CE64)/CA59</f>
        <v>2.4999999999999998E-2</v>
      </c>
      <c r="CG64" s="530">
        <v>2.5000000000000001E-2</v>
      </c>
      <c r="CH64" s="308">
        <f t="shared" si="91"/>
        <v>2.5000000000000001E-2</v>
      </c>
      <c r="CI64" s="308">
        <f t="shared" si="91"/>
        <v>2.5000000000000001E-2</v>
      </c>
      <c r="CJ64" s="308">
        <f t="shared" si="91"/>
        <v>2.5000000000000001E-2</v>
      </c>
      <c r="CK64" s="523">
        <f>SUMPRODUCT(CB59:CE59,CG64:CJ64)/CF59</f>
        <v>2.5000000000000001E-2</v>
      </c>
      <c r="CL64"/>
      <c r="CM64"/>
      <c r="CN64" s="37"/>
      <c r="CO64" s="37"/>
      <c r="CP64" s="37"/>
      <c r="CQ64" s="27"/>
      <c r="CR64" s="27"/>
      <c r="CS64" s="27"/>
      <c r="CT64" s="27"/>
      <c r="CU64" s="27"/>
      <c r="CV64" s="27"/>
      <c r="CW64" s="27"/>
      <c r="CX64" s="27"/>
      <c r="CY64" s="27"/>
      <c r="CZ64" s="27"/>
      <c r="DA64" s="27"/>
    </row>
    <row r="65" spans="1:105" x14ac:dyDescent="0.2">
      <c r="A65" s="129" t="s">
        <v>6</v>
      </c>
      <c r="B65" s="214"/>
      <c r="C65" s="47"/>
      <c r="D65" s="47"/>
      <c r="E65" s="154"/>
      <c r="F65" s="154"/>
      <c r="G65" s="154"/>
      <c r="H65" s="154"/>
      <c r="I65" s="152"/>
      <c r="J65" s="153"/>
      <c r="K65" s="153"/>
      <c r="L65" s="153"/>
      <c r="M65" s="153"/>
      <c r="N65" s="152"/>
      <c r="O65" s="153"/>
      <c r="P65" s="153"/>
      <c r="Q65" s="153"/>
      <c r="R65" s="153"/>
      <c r="S65" s="152"/>
      <c r="T65" s="153"/>
      <c r="U65" s="153"/>
      <c r="V65" s="153"/>
      <c r="W65" s="153"/>
      <c r="X65" s="155"/>
      <c r="Y65" s="164"/>
      <c r="Z65" s="164"/>
      <c r="AA65" s="164"/>
      <c r="AB65" s="164"/>
      <c r="AC65" s="155"/>
      <c r="AD65" s="162"/>
      <c r="AE65" s="162"/>
      <c r="AF65" s="162"/>
      <c r="AG65" s="153"/>
      <c r="AH65" s="152"/>
      <c r="AI65" s="162"/>
      <c r="AJ65" s="162"/>
      <c r="AK65" s="162"/>
      <c r="AL65" s="162"/>
      <c r="AM65" s="152"/>
      <c r="AN65" s="162"/>
      <c r="AO65" s="162"/>
      <c r="AP65" s="162"/>
      <c r="AQ65" s="162"/>
      <c r="AR65" s="523"/>
      <c r="AS65" s="308">
        <f t="shared" ref="AS65:AZ65" si="92">AS60-AS62</f>
        <v>4.4800000000000006E-2</v>
      </c>
      <c r="AT65" s="43">
        <f t="shared" si="92"/>
        <v>3.4800000000000005E-2</v>
      </c>
      <c r="AU65" s="43">
        <f t="shared" si="92"/>
        <v>4.6400000000000011E-2</v>
      </c>
      <c r="AV65" s="43">
        <f t="shared" si="92"/>
        <v>2.06E-2</v>
      </c>
      <c r="AW65" s="523">
        <f t="shared" si="92"/>
        <v>6.0000000000000331E-4</v>
      </c>
      <c r="AX65" s="308">
        <f t="shared" si="92"/>
        <v>6.4000000000000029E-3</v>
      </c>
      <c r="AY65" s="308">
        <f t="shared" si="92"/>
        <v>2.7400000000000004E-2</v>
      </c>
      <c r="AZ65" s="308">
        <f t="shared" si="92"/>
        <v>1.6600000000000004E-2</v>
      </c>
      <c r="BA65" s="43">
        <f t="shared" ref="BA65:BF65" si="93">BA60-BA62</f>
        <v>1.0000000000000002E-2</v>
      </c>
      <c r="BB65" s="523">
        <v>5.0000000000000001E-3</v>
      </c>
      <c r="BC65" s="43">
        <f t="shared" si="93"/>
        <v>2.0000000000000004E-2</v>
      </c>
      <c r="BD65" s="43">
        <f t="shared" si="93"/>
        <v>-5.7999999999999927E-3</v>
      </c>
      <c r="BE65" s="43">
        <f t="shared" si="93"/>
        <v>-2.1000000000000005E-2</v>
      </c>
      <c r="BF65" s="43">
        <f t="shared" si="93"/>
        <v>-9.9999999999999395E-4</v>
      </c>
      <c r="BG65" s="523">
        <v>0</v>
      </c>
      <c r="BH65" s="43">
        <f>BH60-BH62</f>
        <v>-2.6800000000000001E-2</v>
      </c>
      <c r="BI65" s="630">
        <f>BI60-BI62</f>
        <v>1.3799999999999996E-2</v>
      </c>
      <c r="BJ65" s="630">
        <f>BJ60-BJ62</f>
        <v>7.5799999999999992E-2</v>
      </c>
      <c r="BK65" s="630">
        <f>BK60-BK62</f>
        <v>5.6399999999999992E-2</v>
      </c>
      <c r="BL65" s="523">
        <f>BL60-BL62</f>
        <v>3.4799999999999998E-2</v>
      </c>
      <c r="BM65" s="530">
        <v>0.03</v>
      </c>
      <c r="BN65" s="530">
        <v>0.02</v>
      </c>
      <c r="BO65" s="530">
        <v>-0.01</v>
      </c>
      <c r="BP65" s="530">
        <v>0.01</v>
      </c>
      <c r="BQ65" s="523">
        <f>SUMPRODUCT(BH59:BK59,BM65:BP65)/BL59</f>
        <v>1.0676616915422885E-2</v>
      </c>
      <c r="BR65" s="530">
        <v>0.02</v>
      </c>
      <c r="BS65" s="308">
        <f t="shared" si="88"/>
        <v>0.02</v>
      </c>
      <c r="BT65" s="308">
        <f t="shared" si="88"/>
        <v>0.02</v>
      </c>
      <c r="BU65" s="308">
        <f t="shared" si="88"/>
        <v>0.02</v>
      </c>
      <c r="BV65" s="523">
        <f>SUMPRODUCT(BM59:BP59,BR65:BU65)/BQ59</f>
        <v>0.02</v>
      </c>
      <c r="BW65" s="530">
        <v>2.5000000000000001E-2</v>
      </c>
      <c r="BX65" s="308">
        <f t="shared" si="89"/>
        <v>2.5000000000000001E-2</v>
      </c>
      <c r="BY65" s="308">
        <f t="shared" si="89"/>
        <v>2.5000000000000001E-2</v>
      </c>
      <c r="BZ65" s="308">
        <f t="shared" si="89"/>
        <v>2.5000000000000001E-2</v>
      </c>
      <c r="CA65" s="523">
        <f>SUMPRODUCT(BR59:BU59,BW65:BZ65)/BV59</f>
        <v>2.5000000000000001E-2</v>
      </c>
      <c r="CB65" s="530">
        <v>2.5000000000000001E-2</v>
      </c>
      <c r="CC65" s="308">
        <f t="shared" si="90"/>
        <v>2.5000000000000001E-2</v>
      </c>
      <c r="CD65" s="308">
        <f t="shared" si="90"/>
        <v>2.5000000000000001E-2</v>
      </c>
      <c r="CE65" s="308">
        <f t="shared" si="90"/>
        <v>2.5000000000000001E-2</v>
      </c>
      <c r="CF65" s="523">
        <f>SUMPRODUCT(BW59:BZ59,CB65:CE65)/CA59</f>
        <v>2.4999999999999998E-2</v>
      </c>
      <c r="CG65" s="530">
        <v>2.5000000000000001E-2</v>
      </c>
      <c r="CH65" s="308">
        <f t="shared" si="91"/>
        <v>2.5000000000000001E-2</v>
      </c>
      <c r="CI65" s="308">
        <f t="shared" si="91"/>
        <v>2.5000000000000001E-2</v>
      </c>
      <c r="CJ65" s="308">
        <f t="shared" si="91"/>
        <v>2.5000000000000001E-2</v>
      </c>
      <c r="CK65" s="523">
        <f>SUMPRODUCT(CB59:CE59,CG65:CJ65)/CF59</f>
        <v>2.5000000000000001E-2</v>
      </c>
      <c r="CL65"/>
      <c r="CM65"/>
      <c r="CN65" s="37"/>
      <c r="CO65" s="37"/>
      <c r="CP65" s="37"/>
      <c r="CQ65" s="27"/>
      <c r="CR65" s="27"/>
      <c r="CS65" s="27"/>
      <c r="CT65" s="27"/>
      <c r="CU65" s="27"/>
      <c r="CV65" s="27"/>
      <c r="CW65" s="27"/>
      <c r="CX65" s="27"/>
      <c r="CY65" s="27"/>
      <c r="CZ65" s="27"/>
      <c r="DA65" s="27"/>
    </row>
    <row r="66" spans="1:105" x14ac:dyDescent="0.2">
      <c r="A66" s="129" t="s">
        <v>202</v>
      </c>
      <c r="B66" s="214"/>
      <c r="C66" s="47"/>
      <c r="D66" s="47"/>
      <c r="E66" s="154"/>
      <c r="F66" s="154"/>
      <c r="G66" s="154"/>
      <c r="H66" s="154"/>
      <c r="I66" s="152"/>
      <c r="J66" s="153"/>
      <c r="K66" s="153"/>
      <c r="L66" s="153"/>
      <c r="M66" s="153"/>
      <c r="N66" s="152"/>
      <c r="O66" s="153"/>
      <c r="P66" s="153"/>
      <c r="Q66" s="153"/>
      <c r="R66" s="153"/>
      <c r="S66" s="152"/>
      <c r="T66" s="153"/>
      <c r="U66" s="153"/>
      <c r="V66" s="153"/>
      <c r="W66" s="153"/>
      <c r="X66" s="155"/>
      <c r="Y66" s="164"/>
      <c r="Z66" s="164"/>
      <c r="AA66" s="164"/>
      <c r="AB66" s="164"/>
      <c r="AC66" s="155"/>
      <c r="AD66" s="162"/>
      <c r="AE66" s="162"/>
      <c r="AF66" s="162"/>
      <c r="AG66" s="153"/>
      <c r="AH66" s="152"/>
      <c r="AI66" s="162"/>
      <c r="AJ66" s="162"/>
      <c r="AK66" s="162"/>
      <c r="AL66" s="162"/>
      <c r="AM66" s="152"/>
      <c r="AN66" s="162"/>
      <c r="AO66" s="162"/>
      <c r="AP66" s="162"/>
      <c r="AQ66" s="162"/>
      <c r="AR66" s="523"/>
      <c r="AS66" s="308">
        <v>-0.05</v>
      </c>
      <c r="AT66" s="308">
        <v>-0.02</v>
      </c>
      <c r="AU66" s="308">
        <v>0</v>
      </c>
      <c r="AV66" s="308">
        <v>-0.01</v>
      </c>
      <c r="AW66" s="523">
        <v>-1.4999999999999999E-2</v>
      </c>
      <c r="AX66" s="308">
        <v>0</v>
      </c>
      <c r="AY66" s="308">
        <v>-0.06</v>
      </c>
      <c r="AZ66" s="308">
        <v>-0.04</v>
      </c>
      <c r="BA66" s="308">
        <v>-0.01</v>
      </c>
      <c r="BB66" s="523">
        <v>-0.03</v>
      </c>
      <c r="BC66" s="308">
        <v>-0.01</v>
      </c>
      <c r="BD66" s="308">
        <v>0</v>
      </c>
      <c r="BE66" s="308">
        <v>0</v>
      </c>
      <c r="BF66" s="308">
        <v>0</v>
      </c>
      <c r="BG66" s="523">
        <v>0</v>
      </c>
      <c r="BH66" s="308">
        <v>0</v>
      </c>
      <c r="BI66" s="581">
        <v>0</v>
      </c>
      <c r="BJ66" s="581">
        <v>0</v>
      </c>
      <c r="BK66" s="581">
        <v>0</v>
      </c>
      <c r="BL66" s="523">
        <v>0</v>
      </c>
      <c r="BM66" s="530">
        <v>-0.03</v>
      </c>
      <c r="BN66" s="530">
        <v>-0.03</v>
      </c>
      <c r="BO66" s="530">
        <v>-0.03</v>
      </c>
      <c r="BP66" s="530">
        <v>-0.03</v>
      </c>
      <c r="BQ66" s="523">
        <f>SUMPRODUCT(BH59:BK59,BM66:BP66)/BL59</f>
        <v>-2.9999999999999995E-2</v>
      </c>
      <c r="BR66" s="530">
        <v>0</v>
      </c>
      <c r="BS66" s="308">
        <f t="shared" si="88"/>
        <v>0</v>
      </c>
      <c r="BT66" s="308">
        <f t="shared" si="88"/>
        <v>0</v>
      </c>
      <c r="BU66" s="308">
        <f t="shared" si="88"/>
        <v>0</v>
      </c>
      <c r="BV66" s="523">
        <f>SUMPRODUCT(BM59:BP59,BR66:BU66)/BQ59</f>
        <v>0</v>
      </c>
      <c r="BW66" s="530">
        <v>0</v>
      </c>
      <c r="BX66" s="308">
        <f t="shared" si="89"/>
        <v>0</v>
      </c>
      <c r="BY66" s="308">
        <f t="shared" si="89"/>
        <v>0</v>
      </c>
      <c r="BZ66" s="308">
        <f t="shared" si="89"/>
        <v>0</v>
      </c>
      <c r="CA66" s="523">
        <f>SUMPRODUCT(BR59:BU59,BW66:BZ66)/BV59</f>
        <v>0</v>
      </c>
      <c r="CB66" s="530">
        <v>0</v>
      </c>
      <c r="CC66" s="308">
        <f t="shared" si="90"/>
        <v>0</v>
      </c>
      <c r="CD66" s="308">
        <f t="shared" si="90"/>
        <v>0</v>
      </c>
      <c r="CE66" s="308">
        <f t="shared" si="90"/>
        <v>0</v>
      </c>
      <c r="CF66" s="523">
        <f>SUMPRODUCT(BW59:BZ59,CB66:CE66)/CA59</f>
        <v>0</v>
      </c>
      <c r="CG66" s="530">
        <v>0</v>
      </c>
      <c r="CH66" s="308">
        <f t="shared" si="91"/>
        <v>0</v>
      </c>
      <c r="CI66" s="308">
        <f t="shared" si="91"/>
        <v>0</v>
      </c>
      <c r="CJ66" s="308">
        <f t="shared" si="91"/>
        <v>0</v>
      </c>
      <c r="CK66" s="523">
        <f>SUMPRODUCT(CB59:CE59,CG66:CJ66)/CF59</f>
        <v>0</v>
      </c>
      <c r="CL66"/>
      <c r="CM66"/>
      <c r="CN66" s="37"/>
      <c r="CO66" s="37"/>
      <c r="CP66" s="37"/>
      <c r="CQ66" s="27"/>
      <c r="CR66" s="27"/>
      <c r="CS66" s="27"/>
      <c r="CT66" s="27"/>
      <c r="CU66" s="27"/>
      <c r="CV66" s="27"/>
      <c r="CW66" s="27"/>
      <c r="CX66" s="27"/>
      <c r="CY66" s="27"/>
      <c r="CZ66" s="27"/>
      <c r="DA66" s="27"/>
    </row>
    <row r="67" spans="1:105" x14ac:dyDescent="0.2">
      <c r="A67" s="135" t="s">
        <v>203</v>
      </c>
      <c r="B67" s="135"/>
      <c r="C67" s="30"/>
      <c r="D67" s="30"/>
      <c r="E67" s="136"/>
      <c r="F67" s="136"/>
      <c r="G67" s="136"/>
      <c r="H67" s="136"/>
      <c r="I67" s="137"/>
      <c r="J67" s="138"/>
      <c r="K67" s="138"/>
      <c r="L67" s="138"/>
      <c r="M67" s="138"/>
      <c r="N67" s="137"/>
      <c r="O67" s="138"/>
      <c r="P67" s="138"/>
      <c r="Q67" s="138"/>
      <c r="R67" s="138"/>
      <c r="S67" s="137"/>
      <c r="T67" s="138"/>
      <c r="U67" s="138"/>
      <c r="V67" s="138"/>
      <c r="W67" s="138"/>
      <c r="X67" s="137"/>
      <c r="Y67" s="138"/>
      <c r="Z67" s="138"/>
      <c r="AA67" s="138"/>
      <c r="AB67" s="138"/>
      <c r="AC67" s="137"/>
      <c r="AD67" s="139"/>
      <c r="AE67" s="139"/>
      <c r="AF67" s="139"/>
      <c r="AG67" s="139"/>
      <c r="AH67" s="137"/>
      <c r="AI67" s="139"/>
      <c r="AJ67" s="139"/>
      <c r="AK67" s="139"/>
      <c r="AL67" s="139"/>
      <c r="AM67" s="137"/>
      <c r="AN67" s="139"/>
      <c r="AO67" s="139"/>
      <c r="AP67" s="139"/>
      <c r="AQ67" s="139"/>
      <c r="AR67" s="137"/>
      <c r="AS67" s="309">
        <v>-0.05</v>
      </c>
      <c r="AT67" s="138">
        <v>0</v>
      </c>
      <c r="AU67" s="309">
        <v>0.1</v>
      </c>
      <c r="AV67" s="309">
        <v>0.04</v>
      </c>
      <c r="AW67" s="137">
        <f t="shared" ref="AW67:BF67" si="94">+AW59/AR59-1</f>
        <v>2.9077903902970048E-2</v>
      </c>
      <c r="AX67" s="309">
        <f t="shared" si="94"/>
        <v>2.4366471734892814E-2</v>
      </c>
      <c r="AY67" s="309">
        <f t="shared" si="94"/>
        <v>-4.2610571736785285E-2</v>
      </c>
      <c r="AZ67" s="309">
        <f t="shared" si="94"/>
        <v>-6.7961165048543659E-2</v>
      </c>
      <c r="BA67" s="309">
        <f t="shared" si="94"/>
        <v>-3.5228988424760965E-2</v>
      </c>
      <c r="BB67" s="527">
        <f t="shared" si="94"/>
        <v>-3.6718041704442483E-2</v>
      </c>
      <c r="BC67" s="309">
        <f t="shared" si="94"/>
        <v>1.3320647002854402E-2</v>
      </c>
      <c r="BD67" s="309">
        <f t="shared" si="94"/>
        <v>-1.5211267605633849E-2</v>
      </c>
      <c r="BE67" s="309">
        <f t="shared" si="94"/>
        <v>2.450980392156854E-3</v>
      </c>
      <c r="BF67" s="309">
        <f t="shared" si="94"/>
        <v>-1.46061554512259E-2</v>
      </c>
      <c r="BG67" s="527">
        <f t="shared" ref="BG67:BL67" si="95">+BG59/BB59-1</f>
        <v>-5.8039215686274126E-3</v>
      </c>
      <c r="BH67" s="309">
        <f t="shared" si="95"/>
        <v>-8.9201877934272256E-2</v>
      </c>
      <c r="BI67" s="628">
        <f t="shared" si="95"/>
        <v>-8.3524027459954242E-2</v>
      </c>
      <c r="BJ67" s="628">
        <f t="shared" si="95"/>
        <v>-4.2176039119804387E-2</v>
      </c>
      <c r="BK67" s="628">
        <f t="shared" si="95"/>
        <v>1.0587612493382359E-3</v>
      </c>
      <c r="BL67" s="527">
        <f t="shared" si="95"/>
        <v>-4.8595771536762422E-2</v>
      </c>
      <c r="BM67" s="534">
        <f>+BM66+BM60+BM61</f>
        <v>7.0453648101472782E-2</v>
      </c>
      <c r="BN67" s="534">
        <f>+BN66+BN60+BN61</f>
        <v>7.6838405841291396E-2</v>
      </c>
      <c r="BO67" s="534">
        <f>+BO66+BO60+BO61</f>
        <v>2.3832865969094414E-2</v>
      </c>
      <c r="BP67" s="534">
        <f>+BP66+BP60+BP61</f>
        <v>3.360589309163077E-2</v>
      </c>
      <c r="BQ67" s="527">
        <f>+BQ59/BL59-1</f>
        <v>4.8479271911446631E-2</v>
      </c>
      <c r="BR67" s="534">
        <f>+BR66+BR60+BR61</f>
        <v>6.6129638845294145E-2</v>
      </c>
      <c r="BS67" s="534">
        <f>+BS66+BS60+BS61</f>
        <v>6.2600000000000003E-2</v>
      </c>
      <c r="BT67" s="534">
        <f>+BT66+BT60+BT61</f>
        <v>6.2600000000000003E-2</v>
      </c>
      <c r="BU67" s="534">
        <f>+BU66+BU60+BU61</f>
        <v>6.2600000000000003E-2</v>
      </c>
      <c r="BV67" s="527">
        <f>+BV59/BQ59-1</f>
        <v>6.3179685864150015E-2</v>
      </c>
      <c r="BW67" s="534">
        <f>+BW66+BW60+BW61</f>
        <v>5.21E-2</v>
      </c>
      <c r="BX67" s="534">
        <f>+BX66+BX60+BX61</f>
        <v>5.21E-2</v>
      </c>
      <c r="BY67" s="534">
        <f>+BY66+BY60+BY61</f>
        <v>5.21E-2</v>
      </c>
      <c r="BZ67" s="534">
        <f>+BZ66+BZ60+BZ61</f>
        <v>5.21E-2</v>
      </c>
      <c r="CA67" s="527">
        <f>+CA59/BV59-1</f>
        <v>5.2100000000000035E-2</v>
      </c>
      <c r="CB67" s="534">
        <f>+CB66+CB60+CB61</f>
        <v>5.21E-2</v>
      </c>
      <c r="CC67" s="534">
        <f>+CC66+CC60+CC61</f>
        <v>5.21E-2</v>
      </c>
      <c r="CD67" s="534">
        <f>+CD66+CD60+CD61</f>
        <v>5.21E-2</v>
      </c>
      <c r="CE67" s="534">
        <f>+CE66+CE60+CE61</f>
        <v>5.21E-2</v>
      </c>
      <c r="CF67" s="527">
        <f>+CF59/CA59-1</f>
        <v>5.2100000000000035E-2</v>
      </c>
      <c r="CG67" s="534">
        <f>+CG66+CG60+CG61</f>
        <v>5.21E-2</v>
      </c>
      <c r="CH67" s="534">
        <f>+CH66+CH60+CH61</f>
        <v>5.21E-2</v>
      </c>
      <c r="CI67" s="534">
        <f>+CI66+CI60+CI61</f>
        <v>5.21E-2</v>
      </c>
      <c r="CJ67" s="534">
        <f>+CJ66+CJ60+CJ61</f>
        <v>5.21E-2</v>
      </c>
      <c r="CK67" s="527">
        <f>+CK59/CF59-1</f>
        <v>5.2100000000000035E-2</v>
      </c>
      <c r="CL67"/>
      <c r="CM67"/>
      <c r="CN67" s="37"/>
      <c r="CO67" s="37"/>
      <c r="CP67" s="37"/>
      <c r="CQ67" s="27"/>
      <c r="CR67" s="27"/>
      <c r="CS67" s="27"/>
      <c r="CT67" s="27"/>
      <c r="CU67" s="27"/>
      <c r="CV67" s="27"/>
      <c r="CW67" s="27"/>
      <c r="CX67" s="27"/>
      <c r="CY67" s="27"/>
      <c r="CZ67" s="27"/>
      <c r="DA67" s="27"/>
    </row>
    <row r="68" spans="1:105" hidden="1" outlineLevel="1" x14ac:dyDescent="0.2">
      <c r="A68" s="520" t="s">
        <v>312</v>
      </c>
      <c r="B68" s="214"/>
      <c r="C68" s="47"/>
      <c r="D68" s="47"/>
      <c r="E68" s="154"/>
      <c r="F68" s="154"/>
      <c r="G68" s="154"/>
      <c r="H68" s="154"/>
      <c r="I68" s="152"/>
      <c r="J68" s="153"/>
      <c r="K68" s="153"/>
      <c r="L68" s="153"/>
      <c r="M68" s="153"/>
      <c r="N68" s="152"/>
      <c r="O68" s="153"/>
      <c r="P68" s="153"/>
      <c r="Q68" s="153"/>
      <c r="R68" s="153"/>
      <c r="S68" s="152"/>
      <c r="T68" s="153"/>
      <c r="U68" s="153"/>
      <c r="V68" s="153"/>
      <c r="W68" s="153"/>
      <c r="X68" s="155"/>
      <c r="Y68" s="164"/>
      <c r="Z68" s="164"/>
      <c r="AA68" s="164"/>
      <c r="AB68" s="164"/>
      <c r="AC68" s="155"/>
      <c r="AD68" s="162"/>
      <c r="AE68" s="162"/>
      <c r="AF68" s="162"/>
      <c r="AG68" s="153"/>
      <c r="AH68" s="152"/>
      <c r="AI68" s="162"/>
      <c r="AJ68" s="162"/>
      <c r="AK68" s="162"/>
      <c r="AL68" s="162"/>
      <c r="AM68" s="152"/>
      <c r="AN68" s="162"/>
      <c r="AO68" s="162"/>
      <c r="AP68" s="162"/>
      <c r="AQ68" s="162"/>
      <c r="AR68" s="152"/>
      <c r="AS68" s="162"/>
      <c r="AT68" s="153"/>
      <c r="AU68" s="153"/>
      <c r="AV68" s="153"/>
      <c r="AW68" s="152"/>
      <c r="AX68" s="153"/>
      <c r="AY68" s="153"/>
      <c r="AZ68" s="153"/>
      <c r="BA68" s="153"/>
      <c r="BB68" s="152"/>
      <c r="BC68" s="153"/>
      <c r="BD68" s="153"/>
      <c r="BE68" s="153"/>
      <c r="BF68" s="153"/>
      <c r="BG68" s="152"/>
      <c r="BH68" s="153"/>
      <c r="BI68" s="153"/>
      <c r="BJ68" s="153"/>
      <c r="BK68" s="153"/>
      <c r="BL68" s="152"/>
      <c r="BM68" s="153"/>
      <c r="BN68" s="153"/>
      <c r="BO68" s="153"/>
      <c r="BP68" s="153"/>
      <c r="BQ68" s="152"/>
      <c r="BR68" s="153"/>
      <c r="BS68" s="153"/>
      <c r="BT68" s="153"/>
      <c r="BU68" s="153"/>
      <c r="BV68" s="152"/>
      <c r="BW68" s="153"/>
      <c r="BX68" s="153"/>
      <c r="BY68" s="153"/>
      <c r="BZ68" s="153"/>
      <c r="CA68" s="152"/>
      <c r="CB68" s="153"/>
      <c r="CC68" s="153"/>
      <c r="CD68" s="153"/>
      <c r="CE68" s="153"/>
      <c r="CF68" s="152"/>
      <c r="CG68" s="153"/>
      <c r="CH68" s="153"/>
      <c r="CI68" s="153"/>
      <c r="CJ68" s="153"/>
      <c r="CK68" s="152"/>
      <c r="CL68"/>
      <c r="CM68"/>
      <c r="CN68" s="37"/>
      <c r="CO68" s="37"/>
      <c r="CP68" s="37"/>
      <c r="CQ68" s="27"/>
      <c r="CR68" s="27"/>
      <c r="CS68" s="27"/>
      <c r="CT68" s="27"/>
      <c r="CU68" s="27"/>
      <c r="CV68" s="27"/>
      <c r="CW68" s="27"/>
      <c r="CX68" s="27"/>
      <c r="CY68" s="27"/>
      <c r="CZ68" s="27"/>
      <c r="DA68" s="27"/>
    </row>
    <row r="69" spans="1:105" hidden="1" outlineLevel="1" x14ac:dyDescent="0.2">
      <c r="A69" s="144"/>
      <c r="B69" s="144" t="s">
        <v>70</v>
      </c>
      <c r="C69" s="144"/>
      <c r="D69" s="144"/>
      <c r="E69" s="172">
        <v>579</v>
      </c>
      <c r="F69" s="172">
        <v>879.5</v>
      </c>
      <c r="G69" s="172">
        <v>1020.5</v>
      </c>
      <c r="H69" s="172">
        <f>+I69-E69-F69-G69</f>
        <v>1493</v>
      </c>
      <c r="I69" s="146">
        <v>3972</v>
      </c>
      <c r="J69" s="147">
        <f>1789-K69</f>
        <v>710</v>
      </c>
      <c r="K69" s="147">
        <v>1079</v>
      </c>
      <c r="L69" s="147">
        <v>1252</v>
      </c>
      <c r="M69" s="147">
        <v>1831</v>
      </c>
      <c r="N69" s="146">
        <v>4872</v>
      </c>
      <c r="O69" s="147">
        <v>971</v>
      </c>
      <c r="P69" s="147">
        <v>1523</v>
      </c>
      <c r="Q69" s="147">
        <v>1544</v>
      </c>
      <c r="R69" s="147">
        <v>1857</v>
      </c>
      <c r="S69" s="146">
        <v>5895</v>
      </c>
      <c r="T69" s="145">
        <v>867</v>
      </c>
      <c r="U69" s="145">
        <v>1378</v>
      </c>
      <c r="V69" s="145">
        <v>1396</v>
      </c>
      <c r="W69" s="145">
        <v>2062</v>
      </c>
      <c r="X69" s="148">
        <v>5703</v>
      </c>
      <c r="Y69" s="64">
        <v>983</v>
      </c>
      <c r="Z69" s="141">
        <v>1538</v>
      </c>
      <c r="AA69" s="64">
        <v>1542</v>
      </c>
      <c r="AB69" s="64">
        <v>2252</v>
      </c>
      <c r="AC69" s="140">
        <f>+Y69+Z69+AA69+AB69</f>
        <v>6315</v>
      </c>
      <c r="AD69" s="149">
        <v>1108</v>
      </c>
      <c r="AE69" s="149">
        <v>1808</v>
      </c>
      <c r="AF69" s="149">
        <v>1841</v>
      </c>
      <c r="AG69" s="145">
        <v>2399</v>
      </c>
      <c r="AH69" s="146">
        <f>+AD69+AE69+AF69+AG69</f>
        <v>7156</v>
      </c>
      <c r="AI69" s="149">
        <v>1235</v>
      </c>
      <c r="AJ69" s="149">
        <v>1948</v>
      </c>
      <c r="AK69" s="149">
        <v>1883</v>
      </c>
      <c r="AL69" s="149">
        <v>2714</v>
      </c>
      <c r="AM69" s="146">
        <f>+AI69+AJ69+AK69+AL69</f>
        <v>7780</v>
      </c>
      <c r="AN69" s="149">
        <v>1367</v>
      </c>
      <c r="AO69" s="145">
        <v>2116</v>
      </c>
      <c r="AP69" s="145">
        <v>2049</v>
      </c>
      <c r="AQ69" s="145">
        <v>2818</v>
      </c>
      <c r="AR69" s="146">
        <f>+AN69+AO69+AP69+AQ69</f>
        <v>8350</v>
      </c>
      <c r="AS69" s="145">
        <v>1338</v>
      </c>
      <c r="AT69" s="147">
        <v>2122</v>
      </c>
      <c r="AU69" s="147">
        <v>2178</v>
      </c>
      <c r="AV69" s="147">
        <v>2804</v>
      </c>
      <c r="AW69" s="146">
        <f>+AS69+AT69+AU69+AV69</f>
        <v>8442</v>
      </c>
      <c r="AX69" s="64">
        <v>1279</v>
      </c>
      <c r="AY69" s="64">
        <v>2000</v>
      </c>
      <c r="AZ69" s="145"/>
      <c r="BA69" s="145"/>
      <c r="BB69" s="146"/>
      <c r="BC69" s="145"/>
      <c r="BD69" s="145"/>
      <c r="BE69" s="145"/>
      <c r="BF69" s="145"/>
      <c r="BG69" s="146"/>
      <c r="BH69" s="145"/>
      <c r="BI69" s="145"/>
      <c r="BJ69" s="145"/>
      <c r="BK69" s="145"/>
      <c r="BL69" s="146"/>
      <c r="BM69" s="145"/>
      <c r="BN69" s="145"/>
      <c r="BO69" s="145"/>
      <c r="BP69" s="145"/>
      <c r="BQ69" s="146"/>
      <c r="BR69" s="145"/>
      <c r="BS69" s="145"/>
      <c r="BT69" s="145"/>
      <c r="BU69" s="145"/>
      <c r="BV69" s="146"/>
      <c r="BW69" s="145"/>
      <c r="BX69" s="145"/>
      <c r="BY69" s="145"/>
      <c r="BZ69" s="145"/>
      <c r="CA69" s="146"/>
      <c r="CB69" s="145"/>
      <c r="CC69" s="145"/>
      <c r="CD69" s="145"/>
      <c r="CE69" s="145"/>
      <c r="CF69" s="146"/>
      <c r="CG69" s="145"/>
      <c r="CH69" s="145"/>
      <c r="CI69" s="145"/>
      <c r="CJ69" s="145"/>
      <c r="CK69" s="146"/>
      <c r="CL69"/>
      <c r="CM69"/>
      <c r="CN69" s="45"/>
      <c r="CO69" s="27"/>
      <c r="CP69" s="27"/>
      <c r="CQ69" s="27"/>
      <c r="CR69" s="27"/>
      <c r="CS69" s="27"/>
      <c r="CT69" s="27"/>
      <c r="CU69" s="27"/>
      <c r="CV69" s="27"/>
      <c r="CW69" s="27"/>
      <c r="CX69" s="27"/>
      <c r="CY69" s="27"/>
      <c r="DA69" s="27"/>
    </row>
    <row r="70" spans="1:105" hidden="1" outlineLevel="1" x14ac:dyDescent="0.2">
      <c r="A70" s="150"/>
      <c r="B70" s="150" t="s">
        <v>200</v>
      </c>
      <c r="C70" s="37"/>
      <c r="D70" s="37"/>
      <c r="E70" s="151"/>
      <c r="F70" s="151"/>
      <c r="G70" s="151"/>
      <c r="H70" s="151"/>
      <c r="I70" s="152"/>
      <c r="J70" s="159">
        <f>+J75-J74-1.7%</f>
        <v>9.9252158894646003E-2</v>
      </c>
      <c r="K70" s="159">
        <f>+K75-K74-1.7%</f>
        <v>9.9833428084138642E-2</v>
      </c>
      <c r="L70" s="159">
        <f>+L75-L74-1.7%</f>
        <v>9.9849583537481523E-2</v>
      </c>
      <c r="M70" s="159">
        <f>+M75-M74-1.7%</f>
        <v>9.9389819156061598E-2</v>
      </c>
      <c r="N70" s="152">
        <f>23%-11%-2%</f>
        <v>0.1</v>
      </c>
      <c r="O70" s="153">
        <f>37%-20%-5.5%</f>
        <v>0.11499999999999999</v>
      </c>
      <c r="P70" s="153">
        <v>0.1</v>
      </c>
      <c r="Q70" s="153">
        <f>23%-4%-9%</f>
        <v>0.1</v>
      </c>
      <c r="R70" s="153">
        <f>1%+11%</f>
        <v>0.12</v>
      </c>
      <c r="S70" s="152">
        <f>21%-9%</f>
        <v>0.12</v>
      </c>
      <c r="T70" s="154">
        <v>0.11</v>
      </c>
      <c r="U70" s="154">
        <v>0.12</v>
      </c>
      <c r="V70" s="154">
        <v>0.09</v>
      </c>
      <c r="W70" s="154">
        <v>0.1</v>
      </c>
      <c r="X70" s="152">
        <v>0.1</v>
      </c>
      <c r="Y70" s="154">
        <v>0.08</v>
      </c>
      <c r="Z70" s="151">
        <v>0.06</v>
      </c>
      <c r="AA70" s="151">
        <v>0.12</v>
      </c>
      <c r="AB70" s="158">
        <v>0.11</v>
      </c>
      <c r="AC70" s="152">
        <v>0.1</v>
      </c>
      <c r="AD70" s="156">
        <v>7.0000000000000007E-2</v>
      </c>
      <c r="AE70" s="156">
        <v>0.11</v>
      </c>
      <c r="AF70" s="156">
        <v>0.12</v>
      </c>
      <c r="AG70" s="151">
        <f>+AG73+AG72</f>
        <v>0.12</v>
      </c>
      <c r="AH70" s="157">
        <f t="shared" ref="AH70:AM70" si="96">+AH72+AH73</f>
        <v>0.1097814726840855</v>
      </c>
      <c r="AI70" s="156">
        <f t="shared" si="96"/>
        <v>0.155</v>
      </c>
      <c r="AJ70" s="156">
        <f t="shared" si="96"/>
        <v>0.13743362831858413</v>
      </c>
      <c r="AK70" s="156">
        <f t="shared" si="96"/>
        <v>0.13281368821292772</v>
      </c>
      <c r="AL70" s="156">
        <f t="shared" si="96"/>
        <v>0.13</v>
      </c>
      <c r="AM70" s="157">
        <f t="shared" si="96"/>
        <v>0.14000000000000001</v>
      </c>
      <c r="AN70" s="156">
        <v>0.14000000000000001</v>
      </c>
      <c r="AO70" s="156">
        <f>+AO72+AO73</f>
        <v>0.11599999999999999</v>
      </c>
      <c r="AP70" s="151">
        <f>+AP72+AP73</f>
        <v>0.14000000000000001</v>
      </c>
      <c r="AQ70" s="151">
        <f>+AQ72+AQ73</f>
        <v>0.13</v>
      </c>
      <c r="AR70" s="157">
        <v>0.13</v>
      </c>
      <c r="AS70" s="151">
        <v>0.09</v>
      </c>
      <c r="AT70" s="158">
        <v>0.08</v>
      </c>
      <c r="AU70" s="153">
        <v>0.09</v>
      </c>
      <c r="AV70" s="158">
        <v>0.11</v>
      </c>
      <c r="AW70" s="157">
        <v>0.1</v>
      </c>
      <c r="AX70" s="158">
        <v>0.18</v>
      </c>
      <c r="AY70" s="158">
        <v>0.23</v>
      </c>
      <c r="AZ70" s="151"/>
      <c r="BA70" s="151"/>
      <c r="BB70" s="157"/>
      <c r="BC70" s="151"/>
      <c r="BD70" s="151"/>
      <c r="BE70" s="151"/>
      <c r="BF70" s="151"/>
      <c r="BG70" s="157"/>
      <c r="BH70" s="151"/>
      <c r="BI70" s="151"/>
      <c r="BJ70" s="151"/>
      <c r="BK70" s="151"/>
      <c r="BL70" s="157"/>
      <c r="BM70" s="151"/>
      <c r="BN70" s="151"/>
      <c r="BO70" s="151"/>
      <c r="BP70" s="151"/>
      <c r="BQ70" s="157"/>
      <c r="BR70" s="151"/>
      <c r="BS70" s="151"/>
      <c r="BT70" s="151"/>
      <c r="BU70" s="151"/>
      <c r="BV70" s="157"/>
      <c r="BW70" s="151"/>
      <c r="BX70" s="151"/>
      <c r="BY70" s="151"/>
      <c r="BZ70" s="151"/>
      <c r="CA70" s="157"/>
      <c r="CB70" s="151"/>
      <c r="CC70" s="151"/>
      <c r="CD70" s="151"/>
      <c r="CE70" s="151"/>
      <c r="CF70" s="157"/>
      <c r="CG70" s="151"/>
      <c r="CH70" s="151"/>
      <c r="CI70" s="151"/>
      <c r="CJ70" s="151"/>
      <c r="CK70" s="157"/>
      <c r="CL70"/>
      <c r="CM70"/>
      <c r="CN70" s="37"/>
      <c r="CO70" s="37"/>
      <c r="CP70" s="37"/>
      <c r="CQ70" s="27"/>
      <c r="CR70" s="27"/>
      <c r="CS70" s="27"/>
      <c r="CT70" s="27"/>
      <c r="CU70" s="27"/>
      <c r="CV70" s="27"/>
      <c r="CW70" s="27"/>
      <c r="CX70" s="27"/>
      <c r="CY70" s="27"/>
      <c r="CZ70" s="27"/>
      <c r="DA70" s="27"/>
    </row>
    <row r="71" spans="1:105" hidden="1" outlineLevel="1" x14ac:dyDescent="0.2">
      <c r="A71" s="150"/>
      <c r="B71" s="150" t="s">
        <v>201</v>
      </c>
      <c r="C71" s="37"/>
      <c r="D71" s="37"/>
      <c r="E71" s="151"/>
      <c r="F71" s="151"/>
      <c r="G71" s="151"/>
      <c r="H71" s="151"/>
      <c r="I71" s="152"/>
      <c r="J71" s="159">
        <f t="shared" ref="J71:Q71" si="97">+J75-J70-J74</f>
        <v>1.7000000000000001E-2</v>
      </c>
      <c r="K71" s="159">
        <f t="shared" si="97"/>
        <v>1.7000000000000001E-2</v>
      </c>
      <c r="L71" s="159">
        <f t="shared" si="97"/>
        <v>1.7000000000000001E-2</v>
      </c>
      <c r="M71" s="159">
        <f t="shared" si="97"/>
        <v>1.7000000000000001E-2</v>
      </c>
      <c r="N71" s="160">
        <f t="shared" si="97"/>
        <v>1.6586102719033227E-2</v>
      </c>
      <c r="O71" s="159">
        <f t="shared" si="97"/>
        <v>5.2605633802816854E-2</v>
      </c>
      <c r="P71" s="159">
        <f t="shared" si="97"/>
        <v>8.1492122335495937E-2</v>
      </c>
      <c r="Q71" s="159">
        <f t="shared" si="97"/>
        <v>9.3226837060702894E-2</v>
      </c>
      <c r="R71" s="159">
        <f>+R75-R70</f>
        <v>-0.10580010922992911</v>
      </c>
      <c r="S71" s="160">
        <f>+S75-S70-S74</f>
        <v>-2.4630541871878409E-5</v>
      </c>
      <c r="T71" s="161">
        <f t="shared" ref="T71:AC71" si="98">+T75-T70</f>
        <v>-0.2171060762100927</v>
      </c>
      <c r="U71" s="161">
        <f t="shared" si="98"/>
        <v>-0.21520682862770846</v>
      </c>
      <c r="V71" s="161">
        <f t="shared" si="98"/>
        <v>-0.18585492227979275</v>
      </c>
      <c r="W71" s="161">
        <f t="shared" si="98"/>
        <v>1.0393107162089382E-2</v>
      </c>
      <c r="X71" s="160">
        <f t="shared" si="98"/>
        <v>-0.13256997455470734</v>
      </c>
      <c r="Y71" s="161">
        <f t="shared" si="98"/>
        <v>5.3794694348327468E-2</v>
      </c>
      <c r="Z71" s="173">
        <f t="shared" si="98"/>
        <v>5.6110304789549981E-2</v>
      </c>
      <c r="AA71" s="173">
        <f t="shared" si="98"/>
        <v>-1.5415472779369721E-2</v>
      </c>
      <c r="AB71" s="171">
        <f t="shared" si="98"/>
        <v>-1.7856450048496689E-2</v>
      </c>
      <c r="AC71" s="160">
        <f t="shared" si="98"/>
        <v>7.3119410836402776E-3</v>
      </c>
      <c r="AD71" s="156">
        <f ca="1">AD75-SUM(AD72:AD74)</f>
        <v>0.06</v>
      </c>
      <c r="AE71" s="162">
        <v>7.0000000000000007E-2</v>
      </c>
      <c r="AF71" s="162">
        <v>0.08</v>
      </c>
      <c r="AG71" s="153">
        <v>-0.06</v>
      </c>
      <c r="AH71" s="152">
        <f ca="1">SUMPRODUCT(Y69:AB69,AD71:AG71)/AC69</f>
        <v>2.4525732383214569E-2</v>
      </c>
      <c r="AI71" s="162">
        <v>-5.5E-2</v>
      </c>
      <c r="AJ71" s="162">
        <v>-0.09</v>
      </c>
      <c r="AK71" s="162">
        <v>-0.13</v>
      </c>
      <c r="AL71" s="162">
        <v>-0.01</v>
      </c>
      <c r="AM71" s="152">
        <v>-7.0000000000000007E-2</v>
      </c>
      <c r="AN71" s="162">
        <v>-0.03</v>
      </c>
      <c r="AO71" s="162">
        <v>-0.03</v>
      </c>
      <c r="AP71" s="153">
        <v>-0.06</v>
      </c>
      <c r="AQ71" s="153">
        <v>-9.1999999999999998E-2</v>
      </c>
      <c r="AR71" s="152">
        <v>-0.06</v>
      </c>
      <c r="AS71" s="153">
        <v>-0.11</v>
      </c>
      <c r="AT71" s="153">
        <v>-0.08</v>
      </c>
      <c r="AU71" s="153">
        <v>-0.03</v>
      </c>
      <c r="AV71" s="153">
        <v>-0.11</v>
      </c>
      <c r="AW71" s="152">
        <v>-0.08</v>
      </c>
      <c r="AX71" s="153">
        <v>-0.22</v>
      </c>
      <c r="AY71" s="153">
        <v>-0.28999999999999998</v>
      </c>
      <c r="AZ71" s="153"/>
      <c r="BA71" s="153"/>
      <c r="BB71" s="152"/>
      <c r="BC71" s="153"/>
      <c r="BD71" s="153"/>
      <c r="BE71" s="153"/>
      <c r="BF71" s="153"/>
      <c r="BG71" s="152"/>
      <c r="BH71" s="153"/>
      <c r="BI71" s="153"/>
      <c r="BJ71" s="153"/>
      <c r="BK71" s="153"/>
      <c r="BL71" s="152"/>
      <c r="BM71" s="153"/>
      <c r="BN71" s="153"/>
      <c r="BO71" s="153"/>
      <c r="BP71" s="153"/>
      <c r="BQ71" s="152"/>
      <c r="BR71" s="153"/>
      <c r="BS71" s="153"/>
      <c r="BT71" s="153"/>
      <c r="BU71" s="153"/>
      <c r="BV71" s="152"/>
      <c r="BW71" s="153"/>
      <c r="BX71" s="153"/>
      <c r="BY71" s="153"/>
      <c r="BZ71" s="153"/>
      <c r="CA71" s="152"/>
      <c r="CB71" s="153"/>
      <c r="CC71" s="153"/>
      <c r="CD71" s="153"/>
      <c r="CE71" s="153"/>
      <c r="CF71" s="152"/>
      <c r="CG71" s="153"/>
      <c r="CH71" s="153"/>
      <c r="CI71" s="153"/>
      <c r="CJ71" s="153"/>
      <c r="CK71" s="152"/>
      <c r="CL71"/>
      <c r="CM71"/>
      <c r="CN71" s="37"/>
      <c r="CO71" s="37"/>
      <c r="CP71" s="37"/>
    </row>
    <row r="72" spans="1:105" hidden="1" outlineLevel="1" x14ac:dyDescent="0.2">
      <c r="A72" s="150"/>
      <c r="B72" s="150" t="s">
        <v>34</v>
      </c>
      <c r="C72" s="37"/>
      <c r="D72" s="37"/>
      <c r="E72" s="151"/>
      <c r="F72" s="151"/>
      <c r="G72" s="151"/>
      <c r="H72" s="151"/>
      <c r="I72" s="152"/>
      <c r="J72" s="159">
        <v>0.12</v>
      </c>
      <c r="K72" s="159">
        <v>0.06</v>
      </c>
      <c r="L72" s="159">
        <v>0.05</v>
      </c>
      <c r="M72" s="159">
        <v>0.05</v>
      </c>
      <c r="N72" s="152">
        <f>6%-0.5%</f>
        <v>5.5E-2</v>
      </c>
      <c r="O72" s="153">
        <f>8%-3.5%</f>
        <v>4.4999999999999998E-2</v>
      </c>
      <c r="P72" s="153">
        <v>-0.01</v>
      </c>
      <c r="Q72" s="153">
        <f>3%-3%</f>
        <v>0</v>
      </c>
      <c r="R72" s="153">
        <v>0.01</v>
      </c>
      <c r="S72" s="152">
        <f>3%-3%</f>
        <v>0</v>
      </c>
      <c r="T72" s="154">
        <v>-5.5E-2</v>
      </c>
      <c r="U72" s="154">
        <v>0</v>
      </c>
      <c r="V72" s="154">
        <v>-0.03</v>
      </c>
      <c r="W72" s="154">
        <v>0</v>
      </c>
      <c r="X72" s="152">
        <v>-0.02</v>
      </c>
      <c r="Y72" s="154">
        <v>0.01</v>
      </c>
      <c r="Z72" s="154">
        <v>0.02</v>
      </c>
      <c r="AA72" s="154">
        <v>0.05</v>
      </c>
      <c r="AB72" s="154">
        <v>0.05</v>
      </c>
      <c r="AC72" s="152">
        <v>0.04</v>
      </c>
      <c r="AD72" s="162">
        <v>0.02</v>
      </c>
      <c r="AE72" s="156">
        <v>0.05</v>
      </c>
      <c r="AF72" s="156">
        <v>3.5000000000000003E-2</v>
      </c>
      <c r="AG72" s="153">
        <v>0.06</v>
      </c>
      <c r="AH72" s="152">
        <f>SUMPRODUCT(Y69:AB69,AD72:AG72)/AC69</f>
        <v>4.5233570863024541E-2</v>
      </c>
      <c r="AI72" s="162">
        <v>4.4999999999999998E-2</v>
      </c>
      <c r="AJ72" s="162">
        <f>AJ75-AJ74-AJ73-AJ71</f>
        <v>2.7433628318584133E-2</v>
      </c>
      <c r="AK72" s="162">
        <f>AK75-AK74-AK73-AK71</f>
        <v>4.2813688212927734E-2</v>
      </c>
      <c r="AL72" s="162">
        <v>0.03</v>
      </c>
      <c r="AM72" s="152">
        <v>0.04</v>
      </c>
      <c r="AN72" s="162">
        <v>0.01</v>
      </c>
      <c r="AO72" s="162">
        <v>1.2999999999999999E-2</v>
      </c>
      <c r="AP72" s="162">
        <v>2.5000000000000001E-2</v>
      </c>
      <c r="AQ72" s="162">
        <v>0.03</v>
      </c>
      <c r="AR72" s="152">
        <v>0.02</v>
      </c>
      <c r="AS72" s="153">
        <v>-0.03</v>
      </c>
      <c r="AT72" s="153">
        <v>-0.02</v>
      </c>
      <c r="AU72" s="153">
        <v>-2.5000000000000001E-2</v>
      </c>
      <c r="AV72" s="153">
        <v>-0.02</v>
      </c>
      <c r="AW72" s="152">
        <v>-0.02</v>
      </c>
      <c r="AX72" s="153">
        <v>0</v>
      </c>
      <c r="AY72" s="153">
        <v>0.03</v>
      </c>
      <c r="AZ72" s="163"/>
      <c r="BA72" s="163"/>
      <c r="BB72" s="152"/>
      <c r="BC72" s="163"/>
      <c r="BD72" s="163"/>
      <c r="BE72" s="163"/>
      <c r="BF72" s="163"/>
      <c r="BG72" s="152"/>
      <c r="BH72" s="163"/>
      <c r="BI72" s="163"/>
      <c r="BJ72" s="163"/>
      <c r="BK72" s="163"/>
      <c r="BL72" s="152"/>
      <c r="BM72" s="163"/>
      <c r="BN72" s="163"/>
      <c r="BO72" s="163"/>
      <c r="BP72" s="163"/>
      <c r="BQ72" s="152"/>
      <c r="BR72" s="163"/>
      <c r="BS72" s="163"/>
      <c r="BT72" s="163"/>
      <c r="BU72" s="163"/>
      <c r="BV72" s="152"/>
      <c r="BW72" s="163"/>
      <c r="BX72" s="163"/>
      <c r="BY72" s="163"/>
      <c r="BZ72" s="163"/>
      <c r="CA72" s="152"/>
      <c r="CB72" s="163"/>
      <c r="CC72" s="163"/>
      <c r="CD72" s="163"/>
      <c r="CE72" s="163"/>
      <c r="CF72" s="152"/>
      <c r="CG72" s="163"/>
      <c r="CH72" s="163"/>
      <c r="CI72" s="163"/>
      <c r="CJ72" s="163"/>
      <c r="CK72" s="152"/>
      <c r="CL72"/>
      <c r="CM72"/>
      <c r="CN72" s="37"/>
      <c r="CO72" s="37"/>
      <c r="CP72" s="37"/>
    </row>
    <row r="73" spans="1:105" hidden="1" outlineLevel="1" x14ac:dyDescent="0.2">
      <c r="A73" s="150"/>
      <c r="B73" s="150" t="s">
        <v>6</v>
      </c>
      <c r="C73" s="37"/>
      <c r="D73" s="37"/>
      <c r="E73" s="151"/>
      <c r="F73" s="151"/>
      <c r="G73" s="151"/>
      <c r="H73" s="151"/>
      <c r="I73" s="152"/>
      <c r="J73" s="159">
        <f>+J70-J72</f>
        <v>-2.0747841105353992E-2</v>
      </c>
      <c r="K73" s="159">
        <f>+K70-K72</f>
        <v>3.9833428084138645E-2</v>
      </c>
      <c r="L73" s="159">
        <f>+L70-L72</f>
        <v>4.984958353748152E-2</v>
      </c>
      <c r="M73" s="159">
        <f>+M70-M72</f>
        <v>4.9389819156061596E-2</v>
      </c>
      <c r="N73" s="160">
        <f>+N70-N72</f>
        <v>4.5000000000000005E-2</v>
      </c>
      <c r="O73" s="159">
        <f t="shared" ref="O73:AC73" si="99">+O70-O72</f>
        <v>6.9999999999999993E-2</v>
      </c>
      <c r="P73" s="159">
        <f t="shared" si="99"/>
        <v>0.11</v>
      </c>
      <c r="Q73" s="159">
        <f t="shared" si="99"/>
        <v>0.1</v>
      </c>
      <c r="R73" s="159">
        <f t="shared" si="99"/>
        <v>0.11</v>
      </c>
      <c r="S73" s="160">
        <f t="shared" si="99"/>
        <v>0.12</v>
      </c>
      <c r="T73" s="159">
        <f t="shared" si="99"/>
        <v>0.16500000000000001</v>
      </c>
      <c r="U73" s="159">
        <f t="shared" si="99"/>
        <v>0.12</v>
      </c>
      <c r="V73" s="159">
        <f t="shared" si="99"/>
        <v>0.12</v>
      </c>
      <c r="W73" s="159">
        <f t="shared" si="99"/>
        <v>0.1</v>
      </c>
      <c r="X73" s="160">
        <f t="shared" si="99"/>
        <v>0.12000000000000001</v>
      </c>
      <c r="Y73" s="159">
        <f t="shared" si="99"/>
        <v>7.0000000000000007E-2</v>
      </c>
      <c r="Z73" s="171">
        <f t="shared" si="99"/>
        <v>3.9999999999999994E-2</v>
      </c>
      <c r="AA73" s="171">
        <f t="shared" si="99"/>
        <v>6.9999999999999993E-2</v>
      </c>
      <c r="AB73" s="171">
        <f t="shared" si="99"/>
        <v>0.06</v>
      </c>
      <c r="AC73" s="160">
        <f t="shared" si="99"/>
        <v>6.0000000000000005E-2</v>
      </c>
      <c r="AD73" s="162">
        <f>AD70-AD72</f>
        <v>0.05</v>
      </c>
      <c r="AE73" s="162">
        <f>AE70-AE72</f>
        <v>0.06</v>
      </c>
      <c r="AF73" s="162">
        <f>AF70-AF72</f>
        <v>8.4999999999999992E-2</v>
      </c>
      <c r="AG73" s="153">
        <f>12%-AG72</f>
        <v>0.06</v>
      </c>
      <c r="AH73" s="152">
        <f>SUMPRODUCT(Y69:AB69,AD73:AG73)/AC69</f>
        <v>6.454790182106096E-2</v>
      </c>
      <c r="AI73" s="162">
        <v>0.11</v>
      </c>
      <c r="AJ73" s="162">
        <v>0.11</v>
      </c>
      <c r="AK73" s="162">
        <v>0.09</v>
      </c>
      <c r="AL73" s="162">
        <v>0.1</v>
      </c>
      <c r="AM73" s="152">
        <v>0.1</v>
      </c>
      <c r="AN73" s="162">
        <v>0.13</v>
      </c>
      <c r="AO73" s="162">
        <v>0.10299999999999999</v>
      </c>
      <c r="AP73" s="162">
        <v>0.115</v>
      </c>
      <c r="AQ73" s="162">
        <v>0.1</v>
      </c>
      <c r="AR73" s="152">
        <v>0.11</v>
      </c>
      <c r="AS73" s="162">
        <f t="shared" ref="AS73:AY73" si="100">AS70-AS72</f>
        <v>0.12</v>
      </c>
      <c r="AT73" s="162">
        <f t="shared" si="100"/>
        <v>0.1</v>
      </c>
      <c r="AU73" s="153">
        <f t="shared" si="100"/>
        <v>0.11499999999999999</v>
      </c>
      <c r="AV73" s="153">
        <f t="shared" si="100"/>
        <v>0.13</v>
      </c>
      <c r="AW73" s="152">
        <f t="shared" si="100"/>
        <v>0.12000000000000001</v>
      </c>
      <c r="AX73" s="153">
        <f t="shared" si="100"/>
        <v>0.18</v>
      </c>
      <c r="AY73" s="153">
        <f t="shared" si="100"/>
        <v>0.2</v>
      </c>
      <c r="AZ73" s="163"/>
      <c r="BA73" s="163"/>
      <c r="BB73" s="152"/>
      <c r="BC73" s="163"/>
      <c r="BD73" s="163"/>
      <c r="BE73" s="163"/>
      <c r="BF73" s="163"/>
      <c r="BG73" s="152"/>
      <c r="BH73" s="163"/>
      <c r="BI73" s="163"/>
      <c r="BJ73" s="163"/>
      <c r="BK73" s="163"/>
      <c r="BL73" s="152"/>
      <c r="BM73" s="163"/>
      <c r="BN73" s="163"/>
      <c r="BO73" s="163"/>
      <c r="BP73" s="163"/>
      <c r="BQ73" s="152"/>
      <c r="BR73" s="163"/>
      <c r="BS73" s="163"/>
      <c r="BT73" s="163"/>
      <c r="BU73" s="163"/>
      <c r="BV73" s="152"/>
      <c r="BW73" s="163"/>
      <c r="BX73" s="163"/>
      <c r="BY73" s="163"/>
      <c r="BZ73" s="163"/>
      <c r="CA73" s="152"/>
      <c r="CB73" s="163"/>
      <c r="CC73" s="163"/>
      <c r="CD73" s="163"/>
      <c r="CE73" s="163"/>
      <c r="CF73" s="152"/>
      <c r="CG73" s="163"/>
      <c r="CH73" s="163"/>
      <c r="CI73" s="163"/>
      <c r="CJ73" s="163"/>
      <c r="CK73" s="152"/>
      <c r="CL73"/>
      <c r="CM73"/>
      <c r="CN73" s="37"/>
      <c r="CO73" s="37"/>
      <c r="CP73" s="37"/>
      <c r="CQ73" s="27"/>
      <c r="CR73" s="27"/>
      <c r="CS73" s="27"/>
      <c r="CT73" s="27"/>
      <c r="CU73" s="27"/>
      <c r="CV73" s="27"/>
      <c r="CW73" s="27"/>
      <c r="CX73" s="27"/>
      <c r="CY73" s="27"/>
      <c r="CZ73" s="27"/>
      <c r="DA73" s="27"/>
    </row>
    <row r="74" spans="1:105" hidden="1" outlineLevel="1" x14ac:dyDescent="0.2">
      <c r="A74" s="150"/>
      <c r="B74" s="150" t="s">
        <v>202</v>
      </c>
      <c r="C74" s="37"/>
      <c r="D74" s="37"/>
      <c r="E74" s="151"/>
      <c r="F74" s="151"/>
      <c r="G74" s="151"/>
      <c r="H74" s="151"/>
      <c r="I74" s="152"/>
      <c r="J74" s="163">
        <f>+N74</f>
        <v>0.11</v>
      </c>
      <c r="K74" s="163">
        <f>+J74</f>
        <v>0.11</v>
      </c>
      <c r="L74" s="163">
        <f>+K74</f>
        <v>0.11</v>
      </c>
      <c r="M74" s="163">
        <f>+L74</f>
        <v>0.11</v>
      </c>
      <c r="N74" s="152">
        <v>0.11</v>
      </c>
      <c r="O74" s="153">
        <v>0.2</v>
      </c>
      <c r="P74" s="153">
        <v>0.23</v>
      </c>
      <c r="Q74" s="153">
        <v>0.04</v>
      </c>
      <c r="R74" s="159">
        <f>+R75-R70-R71</f>
        <v>0</v>
      </c>
      <c r="S74" s="152">
        <v>0.09</v>
      </c>
      <c r="T74" s="159">
        <f t="shared" ref="T74:Z74" si="101">+T75-T70-T71</f>
        <v>0</v>
      </c>
      <c r="U74" s="159">
        <f t="shared" si="101"/>
        <v>0</v>
      </c>
      <c r="V74" s="159">
        <f t="shared" si="101"/>
        <v>0</v>
      </c>
      <c r="W74" s="159">
        <f t="shared" si="101"/>
        <v>0</v>
      </c>
      <c r="X74" s="160">
        <f t="shared" si="101"/>
        <v>0</v>
      </c>
      <c r="Y74" s="159">
        <f t="shared" si="101"/>
        <v>0</v>
      </c>
      <c r="Z74" s="159">
        <f t="shared" si="101"/>
        <v>0</v>
      </c>
      <c r="AA74" s="159">
        <f>+AA75-AA70-AA71</f>
        <v>0</v>
      </c>
      <c r="AB74" s="159">
        <f>+AB75-AB70-AB71</f>
        <v>0</v>
      </c>
      <c r="AC74" s="160">
        <f>+AC75-AC70-AC71</f>
        <v>0</v>
      </c>
      <c r="AD74" s="162">
        <v>0</v>
      </c>
      <c r="AE74" s="162">
        <v>0</v>
      </c>
      <c r="AF74" s="162">
        <v>0</v>
      </c>
      <c r="AG74" s="153">
        <v>0</v>
      </c>
      <c r="AH74" s="165">
        <v>0</v>
      </c>
      <c r="AI74" s="162">
        <v>1.4999999999999999E-2</v>
      </c>
      <c r="AJ74" s="162">
        <v>0.03</v>
      </c>
      <c r="AK74" s="162">
        <v>0.02</v>
      </c>
      <c r="AL74" s="162">
        <v>0.01</v>
      </c>
      <c r="AM74" s="152">
        <v>0.02</v>
      </c>
      <c r="AN74" s="162">
        <v>0</v>
      </c>
      <c r="AO74" s="162">
        <v>0</v>
      </c>
      <c r="AP74" s="162">
        <v>0</v>
      </c>
      <c r="AQ74" s="162">
        <v>0</v>
      </c>
      <c r="AR74" s="152">
        <f>SUMPRODUCT(AN74:AQ74,AI69:AL69)/AM69</f>
        <v>0</v>
      </c>
      <c r="AS74" s="162">
        <v>0</v>
      </c>
      <c r="AT74" s="162">
        <v>0</v>
      </c>
      <c r="AU74" s="153">
        <v>0</v>
      </c>
      <c r="AV74" s="153">
        <v>0</v>
      </c>
      <c r="AW74" s="152">
        <v>0</v>
      </c>
      <c r="AX74" s="153">
        <v>0</v>
      </c>
      <c r="AY74" s="153">
        <v>0</v>
      </c>
      <c r="AZ74" s="163"/>
      <c r="BA74" s="163"/>
      <c r="BB74" s="152"/>
      <c r="BC74" s="163"/>
      <c r="BD74" s="163"/>
      <c r="BE74" s="163"/>
      <c r="BF74" s="163"/>
      <c r="BG74" s="165"/>
      <c r="BH74" s="163"/>
      <c r="BI74" s="163"/>
      <c r="BJ74" s="163"/>
      <c r="BK74" s="163"/>
      <c r="BL74" s="165"/>
      <c r="BM74" s="163"/>
      <c r="BN74" s="163"/>
      <c r="BO74" s="163"/>
      <c r="BP74" s="163"/>
      <c r="BQ74" s="165"/>
      <c r="BR74" s="163"/>
      <c r="BS74" s="163"/>
      <c r="BT74" s="163"/>
      <c r="BU74" s="163"/>
      <c r="BV74" s="165"/>
      <c r="BW74" s="163"/>
      <c r="BX74" s="163"/>
      <c r="BY74" s="163"/>
      <c r="BZ74" s="163"/>
      <c r="CA74" s="165"/>
      <c r="CB74" s="163"/>
      <c r="CC74" s="163"/>
      <c r="CD74" s="163"/>
      <c r="CE74" s="163"/>
      <c r="CF74" s="165"/>
      <c r="CG74" s="163"/>
      <c r="CH74" s="163"/>
      <c r="CI74" s="163"/>
      <c r="CJ74" s="163"/>
      <c r="CK74" s="165"/>
      <c r="CL74"/>
      <c r="CM74"/>
      <c r="CN74" s="37"/>
      <c r="CO74" s="37"/>
      <c r="CP74" s="37"/>
    </row>
    <row r="75" spans="1:105" hidden="1" outlineLevel="1" x14ac:dyDescent="0.2">
      <c r="A75" s="166"/>
      <c r="B75" s="166" t="s">
        <v>203</v>
      </c>
      <c r="C75" s="46"/>
      <c r="D75" s="46"/>
      <c r="E75" s="167"/>
      <c r="F75" s="167"/>
      <c r="G75" s="167"/>
      <c r="H75" s="167"/>
      <c r="I75" s="168"/>
      <c r="J75" s="169">
        <f>+J69/E69-1</f>
        <v>0.226252158894646</v>
      </c>
      <c r="K75" s="169">
        <f>+K69/F69-1</f>
        <v>0.22683342808413864</v>
      </c>
      <c r="L75" s="169">
        <f>+L69/G69-1</f>
        <v>0.22684958353748153</v>
      </c>
      <c r="M75" s="169">
        <f>+M69/H69-1</f>
        <v>0.2263898191560616</v>
      </c>
      <c r="N75" s="168">
        <f t="shared" ref="N75:S75" si="102">+N69/I69-1</f>
        <v>0.22658610271903323</v>
      </c>
      <c r="O75" s="169">
        <f t="shared" si="102"/>
        <v>0.36760563380281686</v>
      </c>
      <c r="P75" s="169">
        <f t="shared" si="102"/>
        <v>0.41149212233549592</v>
      </c>
      <c r="Q75" s="169">
        <f t="shared" si="102"/>
        <v>0.23322683706070291</v>
      </c>
      <c r="R75" s="169">
        <f t="shared" si="102"/>
        <v>1.4199890770070889E-2</v>
      </c>
      <c r="S75" s="168">
        <f t="shared" si="102"/>
        <v>0.20997536945812811</v>
      </c>
      <c r="T75" s="169">
        <f t="shared" ref="T75:AC75" si="103">+T69/O69-1</f>
        <v>-0.10710607621009272</v>
      </c>
      <c r="U75" s="169">
        <f t="shared" si="103"/>
        <v>-9.5206828627708462E-2</v>
      </c>
      <c r="V75" s="169">
        <f t="shared" si="103"/>
        <v>-9.5854922279792754E-2</v>
      </c>
      <c r="W75" s="169">
        <f t="shared" si="103"/>
        <v>0.11039310716208939</v>
      </c>
      <c r="X75" s="168">
        <f t="shared" si="103"/>
        <v>-3.2569974554707337E-2</v>
      </c>
      <c r="Y75" s="169">
        <f t="shared" si="103"/>
        <v>0.13379469434832747</v>
      </c>
      <c r="Z75" s="169">
        <f t="shared" si="103"/>
        <v>0.11611030478954998</v>
      </c>
      <c r="AA75" s="169">
        <f t="shared" si="103"/>
        <v>0.10458452722063027</v>
      </c>
      <c r="AB75" s="169">
        <f t="shared" si="103"/>
        <v>9.2143549951503312E-2</v>
      </c>
      <c r="AC75" s="168">
        <f t="shared" si="103"/>
        <v>0.10731194108364028</v>
      </c>
      <c r="AD75" s="170">
        <f ca="1">AD70+AD71+AD74</f>
        <v>0.13</v>
      </c>
      <c r="AE75" s="170">
        <f>AE69/Z69-1</f>
        <v>0.17555266579973994</v>
      </c>
      <c r="AF75" s="170">
        <f>AF69/AA69-1</f>
        <v>0.19390402075226976</v>
      </c>
      <c r="AG75" s="169">
        <f>AG69/AB69-1</f>
        <v>6.5275310834813416E-2</v>
      </c>
      <c r="AH75" s="168">
        <f>+AH69/AC69-1</f>
        <v>0.13317498020585905</v>
      </c>
      <c r="AI75" s="170">
        <f>AI69/AD69-1</f>
        <v>0.11462093862815892</v>
      </c>
      <c r="AJ75" s="170">
        <f>AJ69/AE69-1</f>
        <v>7.7433628318584136E-2</v>
      </c>
      <c r="AK75" s="170">
        <f>AK69/AF69-1</f>
        <v>2.281368821292773E-2</v>
      </c>
      <c r="AL75" s="170">
        <f>AL69/AG69-1</f>
        <v>0.13130471029595658</v>
      </c>
      <c r="AM75" s="168">
        <f>+AM69/AH69-1</f>
        <v>8.7199552822806004E-2</v>
      </c>
      <c r="AN75" s="170">
        <f>AN69/AI69-1</f>
        <v>0.10688259109311748</v>
      </c>
      <c r="AO75" s="170">
        <f>AO69/AJ69-1</f>
        <v>8.6242299794661248E-2</v>
      </c>
      <c r="AP75" s="170">
        <f>AP69/AK69-1</f>
        <v>8.815719596388738E-2</v>
      </c>
      <c r="AQ75" s="170">
        <f>AQ69/AL69-1</f>
        <v>3.8319823139277842E-2</v>
      </c>
      <c r="AR75" s="168">
        <f>+AR69/AM69-1</f>
        <v>7.3264781491002573E-2</v>
      </c>
      <c r="AS75" s="170">
        <f>AS69/AN69-1</f>
        <v>-2.1214337966349639E-2</v>
      </c>
      <c r="AT75" s="170">
        <f>AT69/AO69-1</f>
        <v>2.835538752362865E-3</v>
      </c>
      <c r="AU75" s="169">
        <f>AU69/AP69-1</f>
        <v>6.2957540263543166E-2</v>
      </c>
      <c r="AV75" s="169">
        <f>AV69/AQ69-1</f>
        <v>-4.968062455642297E-3</v>
      </c>
      <c r="AW75" s="168">
        <f>+AW69/AR69-1</f>
        <v>1.1017964071856179E-2</v>
      </c>
      <c r="AX75" s="169">
        <f>AX69/AS69-1</f>
        <v>-4.4095665171898335E-2</v>
      </c>
      <c r="AY75" s="169">
        <f>AY69/AT69-1</f>
        <v>-5.7492931196983954E-2</v>
      </c>
      <c r="AZ75" s="169"/>
      <c r="BA75" s="169"/>
      <c r="BB75" s="168"/>
      <c r="BC75" s="169"/>
      <c r="BD75" s="169"/>
      <c r="BE75" s="169"/>
      <c r="BF75" s="169"/>
      <c r="BG75" s="168"/>
      <c r="BH75" s="169"/>
      <c r="BI75" s="169"/>
      <c r="BJ75" s="169"/>
      <c r="BK75" s="169"/>
      <c r="BL75" s="168"/>
      <c r="BM75" s="169"/>
      <c r="BN75" s="169"/>
      <c r="BO75" s="169"/>
      <c r="BP75" s="169"/>
      <c r="BQ75" s="168"/>
      <c r="BR75" s="169"/>
      <c r="BS75" s="169"/>
      <c r="BT75" s="169"/>
      <c r="BU75" s="169"/>
      <c r="BV75" s="168"/>
      <c r="BW75" s="169"/>
      <c r="BX75" s="169"/>
      <c r="BY75" s="169"/>
      <c r="BZ75" s="169"/>
      <c r="CA75" s="168"/>
      <c r="CB75" s="169"/>
      <c r="CC75" s="169"/>
      <c r="CD75" s="169"/>
      <c r="CE75" s="169"/>
      <c r="CF75" s="168"/>
      <c r="CG75" s="169"/>
      <c r="CH75" s="169"/>
      <c r="CI75" s="169"/>
      <c r="CJ75" s="169"/>
      <c r="CK75" s="168"/>
      <c r="CL75"/>
      <c r="CM75"/>
      <c r="CN75" s="37"/>
      <c r="CO75" s="37"/>
      <c r="CP75" s="37"/>
      <c r="CQ75" s="27"/>
      <c r="CR75" s="27"/>
      <c r="CS75" s="27"/>
      <c r="CT75" s="27"/>
      <c r="CU75" s="27"/>
      <c r="CV75" s="27"/>
      <c r="CW75" s="27"/>
      <c r="CX75" s="27"/>
      <c r="CY75" s="27"/>
      <c r="CZ75" s="27"/>
      <c r="DA75" s="27"/>
    </row>
    <row r="76" spans="1:105" hidden="1" outlineLevel="1" x14ac:dyDescent="0.2">
      <c r="A76" s="1" t="s">
        <v>71</v>
      </c>
      <c r="B76" s="1"/>
      <c r="C76" s="1"/>
      <c r="D76" s="1"/>
      <c r="E76" s="64">
        <v>2114</v>
      </c>
      <c r="F76" s="64">
        <v>2724</v>
      </c>
      <c r="G76" s="64">
        <v>2824</v>
      </c>
      <c r="H76" s="64">
        <v>2700</v>
      </c>
      <c r="I76" s="140">
        <v>10362</v>
      </c>
      <c r="J76" s="141">
        <f>5075-K76</f>
        <v>2220</v>
      </c>
      <c r="K76" s="141">
        <f>2855</f>
        <v>2855</v>
      </c>
      <c r="L76" s="141">
        <v>2926</v>
      </c>
      <c r="M76" s="141">
        <v>3089</v>
      </c>
      <c r="N76" s="140">
        <v>11090</v>
      </c>
      <c r="O76" s="141">
        <v>2360</v>
      </c>
      <c r="P76" s="141">
        <v>2880</v>
      </c>
      <c r="Q76" s="141">
        <v>2923</v>
      </c>
      <c r="R76" s="141">
        <v>2774</v>
      </c>
      <c r="S76" s="140">
        <v>10937</v>
      </c>
      <c r="T76" s="64">
        <v>2088</v>
      </c>
      <c r="U76" s="141">
        <v>2618</v>
      </c>
      <c r="V76" s="64">
        <v>2656</v>
      </c>
      <c r="W76" s="64">
        <v>2754</v>
      </c>
      <c r="X76" s="140">
        <v>10116</v>
      </c>
      <c r="Y76" s="64">
        <v>2765</v>
      </c>
      <c r="Z76" s="141">
        <v>5548</v>
      </c>
      <c r="AA76" s="64">
        <v>5792</v>
      </c>
      <c r="AB76" s="64">
        <v>6296</v>
      </c>
      <c r="AC76" s="140">
        <f>+Y76+Z76+AA76+AB76</f>
        <v>20401</v>
      </c>
      <c r="AD76" s="142">
        <v>4531</v>
      </c>
      <c r="AE76" s="142">
        <v>5629</v>
      </c>
      <c r="AF76" s="142">
        <v>5947</v>
      </c>
      <c r="AG76" s="64">
        <f>22130-AD76-AE76-AF76</f>
        <v>6023</v>
      </c>
      <c r="AH76" s="140">
        <f>+AD76+AE76+AF76+AG76</f>
        <v>22130</v>
      </c>
      <c r="AI76" s="142">
        <v>4448</v>
      </c>
      <c r="AJ76" s="142">
        <v>5352</v>
      </c>
      <c r="AK76" s="142">
        <v>5530</v>
      </c>
      <c r="AL76" s="142">
        <v>6078</v>
      </c>
      <c r="AM76" s="140">
        <f>+AI76+AJ76+AK76+AL76</f>
        <v>21408</v>
      </c>
      <c r="AN76" s="142">
        <v>4420</v>
      </c>
      <c r="AO76" s="64">
        <v>5260</v>
      </c>
      <c r="AP76" s="64">
        <v>5406</v>
      </c>
      <c r="AQ76" s="64">
        <v>5982</v>
      </c>
      <c r="AR76" s="140">
        <f>+AN76+AO76+AP76+AQ76</f>
        <v>21068</v>
      </c>
      <c r="AS76" s="64">
        <v>4426</v>
      </c>
      <c r="AT76" s="64">
        <v>5281</v>
      </c>
      <c r="AU76" s="141">
        <v>5383</v>
      </c>
      <c r="AV76" s="141">
        <v>6064</v>
      </c>
      <c r="AW76" s="140">
        <f>+AS76+AT76+AU76+AV76</f>
        <v>21154</v>
      </c>
      <c r="AX76" s="64">
        <v>4433</v>
      </c>
      <c r="AY76" s="64">
        <v>5337</v>
      </c>
      <c r="AZ76" s="64"/>
      <c r="BA76" s="64"/>
      <c r="BB76" s="140"/>
      <c r="BC76" s="64"/>
      <c r="BD76" s="64"/>
      <c r="BE76" s="64"/>
      <c r="BF76" s="64"/>
      <c r="BG76" s="140"/>
      <c r="BH76" s="64"/>
      <c r="BI76" s="64"/>
      <c r="BJ76" s="64"/>
      <c r="BK76" s="64"/>
      <c r="BL76" s="140"/>
      <c r="BM76" s="64"/>
      <c r="BN76" s="64"/>
      <c r="BO76" s="64"/>
      <c r="BP76" s="64"/>
      <c r="BQ76" s="140"/>
      <c r="BR76" s="64"/>
      <c r="BS76" s="64"/>
      <c r="BT76" s="64"/>
      <c r="BU76" s="64"/>
      <c r="BV76" s="140"/>
      <c r="BW76" s="64"/>
      <c r="BX76" s="64"/>
      <c r="BY76" s="64"/>
      <c r="BZ76" s="64"/>
      <c r="CA76" s="140"/>
      <c r="CB76" s="64"/>
      <c r="CC76" s="64"/>
      <c r="CD76" s="64"/>
      <c r="CE76" s="64"/>
      <c r="CF76" s="140"/>
      <c r="CG76" s="64"/>
      <c r="CH76" s="64"/>
      <c r="CI76" s="64"/>
      <c r="CJ76" s="64"/>
      <c r="CK76" s="140"/>
      <c r="CL76"/>
      <c r="CM76"/>
      <c r="CN76" s="27"/>
      <c r="CO76" s="27"/>
      <c r="CP76" s="27"/>
      <c r="CQ76" s="27"/>
      <c r="CR76" s="27"/>
      <c r="CS76" s="27"/>
      <c r="CT76" s="27"/>
      <c r="CU76" s="27"/>
      <c r="CV76" s="27"/>
      <c r="CW76" s="27"/>
      <c r="CX76" s="27"/>
      <c r="CY76" s="27"/>
    </row>
    <row r="77" spans="1:105" hidden="1" outlineLevel="1" x14ac:dyDescent="0.2">
      <c r="A77" s="129" t="s">
        <v>200</v>
      </c>
      <c r="B77" s="129"/>
      <c r="E77" s="32"/>
      <c r="F77" s="32"/>
      <c r="G77" s="32"/>
      <c r="H77" s="32"/>
      <c r="I77" s="133"/>
      <c r="J77" s="126">
        <f>+J82-J81</f>
        <v>2.5141911069063293E-2</v>
      </c>
      <c r="K77" s="126">
        <f>+K82-K81</f>
        <v>2.8091042584434751E-2</v>
      </c>
      <c r="L77" s="126">
        <f>+L82-L81</f>
        <v>1.6118980169971726E-2</v>
      </c>
      <c r="M77" s="126">
        <f>+M82-M81</f>
        <v>0.11907407407407403</v>
      </c>
      <c r="N77" s="133">
        <f>7%-2%</f>
        <v>0.05</v>
      </c>
      <c r="O77" s="117">
        <f>6%-1%</f>
        <v>4.9999999999999996E-2</v>
      </c>
      <c r="P77" s="117">
        <f>1%-1%</f>
        <v>0</v>
      </c>
      <c r="Q77" s="117">
        <v>-0.01</v>
      </c>
      <c r="R77" s="117">
        <f>-10%+2%</f>
        <v>-0.08</v>
      </c>
      <c r="S77" s="133">
        <v>-0.01</v>
      </c>
      <c r="T77" s="116">
        <v>-0.09</v>
      </c>
      <c r="U77" s="116">
        <v>-7.0000000000000007E-2</v>
      </c>
      <c r="V77" s="116">
        <v>-7.0000000000000007E-2</v>
      </c>
      <c r="W77" s="116">
        <v>-0.02</v>
      </c>
      <c r="X77" s="133">
        <v>-0.06</v>
      </c>
      <c r="Y77" s="126">
        <f t="shared" ref="Y77:AD77" si="104">+Y79+Y80</f>
        <v>-0.06</v>
      </c>
      <c r="Z77" s="126">
        <f t="shared" si="104"/>
        <v>-0.01</v>
      </c>
      <c r="AA77" s="126">
        <f t="shared" si="104"/>
        <v>0</v>
      </c>
      <c r="AB77" s="126">
        <f t="shared" si="104"/>
        <v>0.01</v>
      </c>
      <c r="AC77" s="127">
        <f t="shared" si="104"/>
        <v>-0.01</v>
      </c>
      <c r="AD77" s="43">
        <f t="shared" si="104"/>
        <v>0.04</v>
      </c>
      <c r="AE77" s="43">
        <v>0</v>
      </c>
      <c r="AF77" s="43">
        <v>1.4999999999999999E-2</v>
      </c>
      <c r="AG77" s="32">
        <f>-4%-AG81</f>
        <v>0</v>
      </c>
      <c r="AH77" s="125">
        <f t="shared" ref="AH77:AM77" si="105">+AH79+AH80</f>
        <v>9.6799176510955348E-3</v>
      </c>
      <c r="AI77" s="43">
        <f t="shared" si="105"/>
        <v>1.1681747958508047E-2</v>
      </c>
      <c r="AJ77" s="43">
        <f t="shared" si="105"/>
        <v>2.5000000000000001E-2</v>
      </c>
      <c r="AK77" s="43">
        <f t="shared" si="105"/>
        <v>0</v>
      </c>
      <c r="AL77" s="43">
        <f t="shared" si="105"/>
        <v>2.5000000000000001E-2</v>
      </c>
      <c r="AM77" s="125">
        <f t="shared" si="105"/>
        <v>1.9999999999999997E-2</v>
      </c>
      <c r="AN77" s="43">
        <v>0</v>
      </c>
      <c r="AO77" s="32">
        <f>+AO79+AO80</f>
        <v>-1.0000000000000002E-2</v>
      </c>
      <c r="AP77" s="32">
        <f>+AP79+AP80</f>
        <v>-1.2500000000000001E-2</v>
      </c>
      <c r="AQ77" s="32">
        <f>+AQ79+AQ80</f>
        <v>0</v>
      </c>
      <c r="AR77" s="125">
        <v>-0.01</v>
      </c>
      <c r="AS77" s="32">
        <v>0.01</v>
      </c>
      <c r="AT77" s="32">
        <v>0.01</v>
      </c>
      <c r="AU77" s="308">
        <v>0</v>
      </c>
      <c r="AV77" s="39">
        <v>0.03</v>
      </c>
      <c r="AW77" s="125">
        <v>0.01</v>
      </c>
      <c r="AX77" s="39">
        <v>0.02</v>
      </c>
      <c r="AY77" s="39">
        <v>0.03</v>
      </c>
      <c r="AZ77" s="32"/>
      <c r="BA77" s="32"/>
      <c r="BB77" s="125"/>
      <c r="BC77" s="32"/>
      <c r="BD77" s="32"/>
      <c r="BE77" s="32"/>
      <c r="BF77" s="32"/>
      <c r="BG77" s="125"/>
      <c r="BH77" s="32"/>
      <c r="BI77" s="32"/>
      <c r="BJ77" s="32"/>
      <c r="BK77" s="32"/>
      <c r="BL77" s="125"/>
      <c r="BM77" s="32"/>
      <c r="BN77" s="32"/>
      <c r="BO77" s="32"/>
      <c r="BP77" s="32"/>
      <c r="BQ77" s="125"/>
      <c r="BR77" s="32"/>
      <c r="BS77" s="32"/>
      <c r="BT77" s="32"/>
      <c r="BU77" s="32"/>
      <c r="BV77" s="125"/>
      <c r="BW77" s="32"/>
      <c r="BX77" s="32"/>
      <c r="BY77" s="32"/>
      <c r="BZ77" s="32"/>
      <c r="CA77" s="125"/>
      <c r="CB77" s="32"/>
      <c r="CC77" s="32"/>
      <c r="CD77" s="32"/>
      <c r="CE77" s="32"/>
      <c r="CF77" s="125"/>
      <c r="CG77" s="32"/>
      <c r="CH77" s="32"/>
      <c r="CI77" s="32"/>
      <c r="CJ77" s="32"/>
      <c r="CK77" s="125"/>
      <c r="CL77"/>
      <c r="CM77"/>
    </row>
    <row r="78" spans="1:105" hidden="1" outlineLevel="1" x14ac:dyDescent="0.2">
      <c r="A78" s="129" t="s">
        <v>201</v>
      </c>
      <c r="B78" s="129"/>
      <c r="E78" s="32"/>
      <c r="F78" s="32"/>
      <c r="G78" s="32"/>
      <c r="H78" s="32"/>
      <c r="I78" s="133"/>
      <c r="J78" s="126">
        <f>+J82-J77-J81</f>
        <v>0</v>
      </c>
      <c r="K78" s="126">
        <f>+K82-K77-K81</f>
        <v>0</v>
      </c>
      <c r="L78" s="126">
        <f>+L82-L77-L81</f>
        <v>0</v>
      </c>
      <c r="M78" s="126">
        <f>+M82-M77-M81</f>
        <v>0</v>
      </c>
      <c r="N78" s="127">
        <f>+N82-N77-N81</f>
        <v>2.5670719938225908E-4</v>
      </c>
      <c r="O78" s="126">
        <f t="shared" ref="O78:X78" si="106">+O82-O77</f>
        <v>1.3063063063063089E-2</v>
      </c>
      <c r="P78" s="126">
        <f t="shared" si="106"/>
        <v>8.7565674255691839E-3</v>
      </c>
      <c r="Q78" s="126">
        <f t="shared" si="106"/>
        <v>8.9747095010252933E-3</v>
      </c>
      <c r="R78" s="126">
        <f t="shared" si="106"/>
        <v>-2.1974749109744243E-2</v>
      </c>
      <c r="S78" s="127">
        <f t="shared" si="106"/>
        <v>-3.7962128043281893E-3</v>
      </c>
      <c r="T78" s="128">
        <f t="shared" si="106"/>
        <v>-2.5254237288135556E-2</v>
      </c>
      <c r="U78" s="128">
        <f t="shared" si="106"/>
        <v>-2.0972222222222225E-2</v>
      </c>
      <c r="V78" s="128">
        <f t="shared" si="106"/>
        <v>-2.1344509066028083E-2</v>
      </c>
      <c r="W78" s="128">
        <f t="shared" si="106"/>
        <v>1.2790194664744053E-2</v>
      </c>
      <c r="X78" s="127">
        <f t="shared" si="106"/>
        <v>-1.5066288744628287E-2</v>
      </c>
      <c r="Y78" s="132">
        <v>0.01</v>
      </c>
      <c r="Z78" s="132">
        <v>0</v>
      </c>
      <c r="AA78" s="132">
        <v>0</v>
      </c>
      <c r="AB78" s="143">
        <v>0</v>
      </c>
      <c r="AC78" s="127">
        <v>0</v>
      </c>
      <c r="AD78" s="116">
        <v>5.0000000000000001E-3</v>
      </c>
      <c r="AE78" s="116">
        <f>AE82-SUM(AE79:AE81)</f>
        <v>1.4599855803893336E-2</v>
      </c>
      <c r="AF78" s="116">
        <v>0.01</v>
      </c>
      <c r="AG78" s="117">
        <v>0</v>
      </c>
      <c r="AH78" s="133">
        <f>SUMPRODUCT(Y76:AB76,AD78:AG78)/AC76</f>
        <v>7.4871329836772825E-3</v>
      </c>
      <c r="AI78" s="116">
        <v>0</v>
      </c>
      <c r="AJ78" s="116">
        <v>-5.0000000000000001E-3</v>
      </c>
      <c r="AK78" s="116">
        <v>-0.01</v>
      </c>
      <c r="AL78" s="116">
        <v>0</v>
      </c>
      <c r="AM78" s="133">
        <v>0</v>
      </c>
      <c r="AN78" s="116">
        <v>-0.01</v>
      </c>
      <c r="AO78" s="117">
        <v>-5.0000000000000001E-3</v>
      </c>
      <c r="AP78" s="117">
        <v>-0.01</v>
      </c>
      <c r="AQ78" s="117">
        <v>-1.6E-2</v>
      </c>
      <c r="AR78" s="133">
        <f>SUMPRODUCT(AI76:AL76,AN78:AQ78)/AM76</f>
        <v>-1.0453475336322871E-2</v>
      </c>
      <c r="AS78" s="117">
        <v>-0.01</v>
      </c>
      <c r="AT78" s="117">
        <v>-0.01</v>
      </c>
      <c r="AU78" s="308">
        <v>0</v>
      </c>
      <c r="AV78" s="117">
        <v>-0.01</v>
      </c>
      <c r="AW78" s="133">
        <v>-0.01</v>
      </c>
      <c r="AX78" s="117">
        <v>-1.4999999999999999E-2</v>
      </c>
      <c r="AY78" s="117">
        <v>-0.02</v>
      </c>
      <c r="AZ78" s="117"/>
      <c r="BA78" s="117"/>
      <c r="BB78" s="133"/>
      <c r="BC78" s="117"/>
      <c r="BD78" s="117"/>
      <c r="BE78" s="117"/>
      <c r="BF78" s="117"/>
      <c r="BG78" s="133"/>
      <c r="BH78" s="117"/>
      <c r="BI78" s="117"/>
      <c r="BJ78" s="117"/>
      <c r="BK78" s="117"/>
      <c r="BL78" s="133"/>
      <c r="BM78" s="117"/>
      <c r="BN78" s="117"/>
      <c r="BO78" s="117"/>
      <c r="BP78" s="117"/>
      <c r="BQ78" s="133"/>
      <c r="BR78" s="117"/>
      <c r="BS78" s="117"/>
      <c r="BT78" s="117"/>
      <c r="BU78" s="117"/>
      <c r="BV78" s="133"/>
      <c r="BW78" s="117"/>
      <c r="BX78" s="117"/>
      <c r="BY78" s="117"/>
      <c r="BZ78" s="117"/>
      <c r="CA78" s="133"/>
      <c r="CB78" s="117"/>
      <c r="CC78" s="117"/>
      <c r="CD78" s="117"/>
      <c r="CE78" s="117"/>
      <c r="CF78" s="133"/>
      <c r="CG78" s="117"/>
      <c r="CH78" s="117"/>
      <c r="CI78" s="117"/>
      <c r="CJ78" s="117"/>
      <c r="CK78" s="133"/>
      <c r="CL78"/>
      <c r="CM78"/>
      <c r="CQ78" s="27"/>
      <c r="CR78" s="27"/>
      <c r="CS78" s="27"/>
      <c r="CT78" s="27"/>
      <c r="CU78" s="27"/>
      <c r="CV78" s="27"/>
      <c r="CW78" s="27"/>
      <c r="CX78" s="27"/>
      <c r="CY78" s="27"/>
      <c r="CZ78" s="27"/>
      <c r="DA78" s="27"/>
    </row>
    <row r="79" spans="1:105" hidden="1" outlineLevel="1" x14ac:dyDescent="0.2">
      <c r="A79" s="129" t="s">
        <v>34</v>
      </c>
      <c r="B79" s="129"/>
      <c r="E79" s="32"/>
      <c r="F79" s="32"/>
      <c r="G79" s="32"/>
      <c r="H79" s="32"/>
      <c r="I79" s="133"/>
      <c r="J79" s="117">
        <f>2%-2.5%</f>
        <v>-5.000000000000001E-3</v>
      </c>
      <c r="K79" s="117">
        <f>0%-2%</f>
        <v>-0.02</v>
      </c>
      <c r="L79" s="117">
        <f>0%-2%</f>
        <v>-0.02</v>
      </c>
      <c r="M79" s="117">
        <f>1%-2.5%</f>
        <v>-1.5000000000000001E-2</v>
      </c>
      <c r="N79" s="133">
        <v>-0.01</v>
      </c>
      <c r="O79" s="117">
        <v>-6.0000000000000001E-3</v>
      </c>
      <c r="P79" s="117">
        <v>-0.01</v>
      </c>
      <c r="Q79" s="117">
        <v>-2.5000000000000001E-2</v>
      </c>
      <c r="R79" s="117">
        <v>-0.06</v>
      </c>
      <c r="S79" s="133">
        <v>-0.03</v>
      </c>
      <c r="T79" s="34">
        <v>-0.06</v>
      </c>
      <c r="U79" s="34">
        <v>-0.06</v>
      </c>
      <c r="V79" s="34">
        <v>-0.06</v>
      </c>
      <c r="W79" s="34">
        <v>-0.05</v>
      </c>
      <c r="X79" s="133">
        <v>-0.06</v>
      </c>
      <c r="Y79" s="32">
        <v>-0.06</v>
      </c>
      <c r="Z79" s="32">
        <v>-0.01</v>
      </c>
      <c r="AA79" s="32">
        <v>0</v>
      </c>
      <c r="AB79" s="39">
        <v>0.01</v>
      </c>
      <c r="AC79" s="127">
        <v>-0.01</v>
      </c>
      <c r="AD79" s="116">
        <v>0.02</v>
      </c>
      <c r="AE79" s="116">
        <v>-0.01</v>
      </c>
      <c r="AF79" s="116">
        <v>0</v>
      </c>
      <c r="AG79" s="117">
        <v>-1.4999999999999999E-2</v>
      </c>
      <c r="AH79" s="133">
        <f>SUMPRODUCT(Y76:AB76,AD79:AG79)/AC76</f>
        <v>-4.6380079407872168E-3</v>
      </c>
      <c r="AI79" s="116">
        <v>-0.02</v>
      </c>
      <c r="AJ79" s="116">
        <v>-0.01</v>
      </c>
      <c r="AK79" s="116">
        <v>-0.03</v>
      </c>
      <c r="AL79" s="116">
        <v>0</v>
      </c>
      <c r="AM79" s="133">
        <v>-0.01</v>
      </c>
      <c r="AN79" s="116">
        <v>-0.03</v>
      </c>
      <c r="AO79" s="116">
        <v>-3.5000000000000003E-2</v>
      </c>
      <c r="AP79" s="116">
        <v>-0.04</v>
      </c>
      <c r="AQ79" s="116">
        <v>-0.02</v>
      </c>
      <c r="AR79" s="133">
        <v>-0.03</v>
      </c>
      <c r="AS79" s="117">
        <v>0</v>
      </c>
      <c r="AT79" s="117">
        <v>5.0000000000000001E-3</v>
      </c>
      <c r="AU79" s="308">
        <v>0</v>
      </c>
      <c r="AV79" s="308">
        <v>0.01</v>
      </c>
      <c r="AW79" s="133">
        <v>0</v>
      </c>
      <c r="AX79" s="308">
        <v>-0.01</v>
      </c>
      <c r="AY79" s="308">
        <v>0</v>
      </c>
      <c r="AZ79" s="175"/>
      <c r="BA79" s="175"/>
      <c r="BB79" s="133"/>
      <c r="BC79" s="175"/>
      <c r="BD79" s="175"/>
      <c r="BE79" s="175"/>
      <c r="BF79" s="175"/>
      <c r="BG79" s="133"/>
      <c r="BH79" s="175"/>
      <c r="BI79" s="175"/>
      <c r="BJ79" s="175"/>
      <c r="BK79" s="175"/>
      <c r="BL79" s="133"/>
      <c r="BM79" s="175"/>
      <c r="BN79" s="175"/>
      <c r="BO79" s="175"/>
      <c r="BP79" s="175"/>
      <c r="BQ79" s="133"/>
      <c r="BR79" s="175"/>
      <c r="BS79" s="175"/>
      <c r="BT79" s="175"/>
      <c r="BU79" s="175"/>
      <c r="BV79" s="133"/>
      <c r="BW79" s="175"/>
      <c r="BX79" s="175"/>
      <c r="BY79" s="175"/>
      <c r="BZ79" s="175"/>
      <c r="CA79" s="133"/>
      <c r="CB79" s="175"/>
      <c r="CC79" s="175"/>
      <c r="CD79" s="175"/>
      <c r="CE79" s="175"/>
      <c r="CF79" s="133"/>
      <c r="CG79" s="175"/>
      <c r="CH79" s="175"/>
      <c r="CI79" s="175"/>
      <c r="CJ79" s="175"/>
      <c r="CK79" s="133"/>
      <c r="CL79"/>
      <c r="CM79"/>
      <c r="CQ79" s="27"/>
      <c r="CR79" s="27"/>
      <c r="CS79" s="27"/>
      <c r="CT79" s="27"/>
      <c r="CU79" s="27"/>
      <c r="CV79" s="27"/>
      <c r="CW79" s="27"/>
      <c r="CX79" s="27"/>
      <c r="CY79" s="27"/>
      <c r="CZ79" s="27"/>
      <c r="DA79" s="27"/>
    </row>
    <row r="80" spans="1:105" hidden="1" outlineLevel="1" x14ac:dyDescent="0.2">
      <c r="A80" s="129" t="s">
        <v>6</v>
      </c>
      <c r="B80" s="129"/>
      <c r="E80" s="32"/>
      <c r="F80" s="32"/>
      <c r="G80" s="32"/>
      <c r="H80" s="32"/>
      <c r="I80" s="133"/>
      <c r="J80" s="126">
        <f>+J77-J79</f>
        <v>3.0141911069063294E-2</v>
      </c>
      <c r="K80" s="126">
        <f>+K77-K79</f>
        <v>4.8091042584434751E-2</v>
      </c>
      <c r="L80" s="126">
        <f>+L77-L79</f>
        <v>3.6118980169971726E-2</v>
      </c>
      <c r="M80" s="126">
        <f>+M77-M79</f>
        <v>0.13407407407407404</v>
      </c>
      <c r="N80" s="127">
        <f>+N77-N79</f>
        <v>6.0000000000000005E-2</v>
      </c>
      <c r="O80" s="126">
        <f t="shared" ref="O80:X80" si="107">+O77-O79</f>
        <v>5.5999999999999994E-2</v>
      </c>
      <c r="P80" s="126">
        <f t="shared" si="107"/>
        <v>0.01</v>
      </c>
      <c r="Q80" s="126">
        <f t="shared" si="107"/>
        <v>1.5000000000000001E-2</v>
      </c>
      <c r="R80" s="126">
        <f t="shared" si="107"/>
        <v>-2.0000000000000004E-2</v>
      </c>
      <c r="S80" s="127">
        <f t="shared" si="107"/>
        <v>1.9999999999999997E-2</v>
      </c>
      <c r="T80" s="126">
        <f t="shared" si="107"/>
        <v>-0.03</v>
      </c>
      <c r="U80" s="126">
        <f t="shared" si="107"/>
        <v>-1.0000000000000009E-2</v>
      </c>
      <c r="V80" s="126">
        <f t="shared" si="107"/>
        <v>-1.0000000000000009E-2</v>
      </c>
      <c r="W80" s="126">
        <f t="shared" si="107"/>
        <v>3.0000000000000002E-2</v>
      </c>
      <c r="X80" s="127">
        <f t="shared" si="107"/>
        <v>0</v>
      </c>
      <c r="Y80" s="130">
        <v>0</v>
      </c>
      <c r="Z80" s="130">
        <v>0</v>
      </c>
      <c r="AA80" s="175">
        <v>0</v>
      </c>
      <c r="AB80" s="175">
        <v>0</v>
      </c>
      <c r="AC80" s="127">
        <v>0</v>
      </c>
      <c r="AD80" s="134">
        <v>0.02</v>
      </c>
      <c r="AE80" s="134">
        <f>AE77-AE79</f>
        <v>0.01</v>
      </c>
      <c r="AF80" s="116">
        <f>AF77-AF79</f>
        <v>1.4999999999999999E-2</v>
      </c>
      <c r="AG80" s="117">
        <f>+AG77-AG79</f>
        <v>1.4999999999999999E-2</v>
      </c>
      <c r="AH80" s="133">
        <f>SUMPRODUCT(Y76:AB76,AD80:AG80)/AC76</f>
        <v>1.4317925591882752E-2</v>
      </c>
      <c r="AI80" s="116">
        <f>AI82-AI81-AI79-AI78</f>
        <v>3.1681747958508047E-2</v>
      </c>
      <c r="AJ80" s="116">
        <v>3.5000000000000003E-2</v>
      </c>
      <c r="AK80" s="116">
        <v>0.03</v>
      </c>
      <c r="AL80" s="116">
        <v>2.5000000000000001E-2</v>
      </c>
      <c r="AM80" s="133">
        <v>0.03</v>
      </c>
      <c r="AN80" s="116">
        <v>0.03</v>
      </c>
      <c r="AO80" s="116">
        <v>2.5000000000000001E-2</v>
      </c>
      <c r="AP80" s="116">
        <v>2.75E-2</v>
      </c>
      <c r="AQ80" s="116">
        <v>0.02</v>
      </c>
      <c r="AR80" s="133">
        <v>2.5000000000000001E-2</v>
      </c>
      <c r="AS80" s="116">
        <f>+AS77-AS79</f>
        <v>0.01</v>
      </c>
      <c r="AT80" s="117">
        <f>+AT77-AT79</f>
        <v>5.0000000000000001E-3</v>
      </c>
      <c r="AU80" s="308">
        <f>+AU77-AU79</f>
        <v>0</v>
      </c>
      <c r="AV80" s="308">
        <v>2.5000000000000001E-2</v>
      </c>
      <c r="AW80" s="133">
        <v>1.4999999999999999E-2</v>
      </c>
      <c r="AX80" s="308">
        <f>+AX77-AX79</f>
        <v>0.03</v>
      </c>
      <c r="AY80" s="308">
        <f>+AY77-AY79</f>
        <v>0.03</v>
      </c>
      <c r="AZ80" s="175"/>
      <c r="BA80" s="175"/>
      <c r="BB80" s="133"/>
      <c r="BC80" s="175"/>
      <c r="BD80" s="175"/>
      <c r="BE80" s="175"/>
      <c r="BF80" s="175"/>
      <c r="BG80" s="133"/>
      <c r="BH80" s="175"/>
      <c r="BI80" s="175"/>
      <c r="BJ80" s="175"/>
      <c r="BK80" s="175"/>
      <c r="BL80" s="133"/>
      <c r="BM80" s="175"/>
      <c r="BN80" s="175"/>
      <c r="BO80" s="175"/>
      <c r="BP80" s="175"/>
      <c r="BQ80" s="133"/>
      <c r="BR80" s="175"/>
      <c r="BS80" s="175"/>
      <c r="BT80" s="175"/>
      <c r="BU80" s="175"/>
      <c r="BV80" s="133"/>
      <c r="BW80" s="175"/>
      <c r="BX80" s="175"/>
      <c r="BY80" s="175"/>
      <c r="BZ80" s="175"/>
      <c r="CA80" s="133"/>
      <c r="CB80" s="175"/>
      <c r="CC80" s="175"/>
      <c r="CD80" s="175"/>
      <c r="CE80" s="175"/>
      <c r="CF80" s="133"/>
      <c r="CG80" s="175"/>
      <c r="CH80" s="175"/>
      <c r="CI80" s="175"/>
      <c r="CJ80" s="175"/>
      <c r="CK80" s="133"/>
      <c r="CL80"/>
      <c r="CM80"/>
    </row>
    <row r="81" spans="1:105" hidden="1" outlineLevel="1" x14ac:dyDescent="0.2">
      <c r="A81" s="129" t="s">
        <v>202</v>
      </c>
      <c r="B81" s="129"/>
      <c r="E81" s="32"/>
      <c r="F81" s="32"/>
      <c r="G81" s="32"/>
      <c r="H81" s="32"/>
      <c r="I81" s="133"/>
      <c r="J81" s="117">
        <v>2.5000000000000001E-2</v>
      </c>
      <c r="K81" s="117">
        <v>0.02</v>
      </c>
      <c r="L81" s="117">
        <v>0.02</v>
      </c>
      <c r="M81" s="117">
        <v>2.5000000000000001E-2</v>
      </c>
      <c r="N81" s="133">
        <v>0.02</v>
      </c>
      <c r="O81" s="126">
        <f>+O82-O77-O78</f>
        <v>0</v>
      </c>
      <c r="P81" s="126">
        <f>+P82-P77-P78</f>
        <v>0</v>
      </c>
      <c r="Q81" s="126">
        <f>+Q82-Q77-Q78</f>
        <v>0</v>
      </c>
      <c r="R81" s="126">
        <f>+R82-R77-R78</f>
        <v>0</v>
      </c>
      <c r="S81" s="127">
        <f>+S82-S77-S78</f>
        <v>0</v>
      </c>
      <c r="T81" s="126">
        <f t="shared" ref="T81:AC81" si="108">+T82-T77-T78</f>
        <v>0</v>
      </c>
      <c r="U81" s="126">
        <f t="shared" si="108"/>
        <v>0</v>
      </c>
      <c r="V81" s="126">
        <f t="shared" si="108"/>
        <v>0</v>
      </c>
      <c r="W81" s="126">
        <f t="shared" si="108"/>
        <v>0</v>
      </c>
      <c r="X81" s="127">
        <f t="shared" si="108"/>
        <v>0</v>
      </c>
      <c r="Y81" s="126">
        <f t="shared" si="108"/>
        <v>0.37423371647509568</v>
      </c>
      <c r="Z81" s="126">
        <f t="shared" si="108"/>
        <v>1.1291749427043543</v>
      </c>
      <c r="AA81" s="126">
        <f t="shared" si="108"/>
        <v>1.1807228915662651</v>
      </c>
      <c r="AB81" s="126">
        <f t="shared" si="108"/>
        <v>1.2761292665214234</v>
      </c>
      <c r="AC81" s="127">
        <f t="shared" si="108"/>
        <v>1.0267062079873466</v>
      </c>
      <c r="AD81" s="134">
        <f>AD82-SUM(AD78:AD80)</f>
        <v>0.59369801084990959</v>
      </c>
      <c r="AE81" s="116">
        <v>0</v>
      </c>
      <c r="AF81" s="116">
        <v>0</v>
      </c>
      <c r="AG81" s="117">
        <v>-0.04</v>
      </c>
      <c r="AH81" s="127">
        <f>+AH82-AH77-AH78</f>
        <v>6.7583696877603947E-2</v>
      </c>
      <c r="AI81" s="116">
        <v>-0.03</v>
      </c>
      <c r="AJ81" s="116">
        <f>AJ82-AJ80-AJ79-AJ78</f>
        <v>-6.9209451057026125E-2</v>
      </c>
      <c r="AK81" s="116">
        <v>-0.06</v>
      </c>
      <c r="AL81" s="116">
        <v>-0.02</v>
      </c>
      <c r="AM81" s="133">
        <v>-0.05</v>
      </c>
      <c r="AN81" s="116">
        <v>0</v>
      </c>
      <c r="AO81" s="116">
        <v>0</v>
      </c>
      <c r="AP81" s="116">
        <v>0</v>
      </c>
      <c r="AQ81" s="116">
        <v>0</v>
      </c>
      <c r="AR81" s="133">
        <f>SUMPRODUCT(AN81:AQ81,AI76:AL76)/AM76</f>
        <v>0</v>
      </c>
      <c r="AS81" s="116">
        <v>0</v>
      </c>
      <c r="AT81" s="117">
        <v>0</v>
      </c>
      <c r="AU81" s="308">
        <v>0</v>
      </c>
      <c r="AV81" s="308">
        <v>-0.01</v>
      </c>
      <c r="AW81" s="133">
        <v>0</v>
      </c>
      <c r="AX81" s="308">
        <v>0</v>
      </c>
      <c r="AY81" s="308">
        <v>0</v>
      </c>
      <c r="AZ81" s="175"/>
      <c r="BA81" s="175"/>
      <c r="BB81" s="133"/>
      <c r="BC81" s="175"/>
      <c r="BD81" s="175"/>
      <c r="BE81" s="175"/>
      <c r="BF81" s="175"/>
      <c r="BG81" s="176"/>
      <c r="BH81" s="175"/>
      <c r="BI81" s="175"/>
      <c r="BJ81" s="175"/>
      <c r="BK81" s="175"/>
      <c r="BL81" s="176"/>
      <c r="BM81" s="175"/>
      <c r="BN81" s="175"/>
      <c r="BO81" s="175"/>
      <c r="BP81" s="175"/>
      <c r="BQ81" s="176"/>
      <c r="BR81" s="175"/>
      <c r="BS81" s="175"/>
      <c r="BT81" s="175"/>
      <c r="BU81" s="175"/>
      <c r="BV81" s="176"/>
      <c r="BW81" s="175"/>
      <c r="BX81" s="175"/>
      <c r="BY81" s="175"/>
      <c r="BZ81" s="175"/>
      <c r="CA81" s="176"/>
      <c r="CB81" s="175"/>
      <c r="CC81" s="175"/>
      <c r="CD81" s="175"/>
      <c r="CE81" s="175"/>
      <c r="CF81" s="176"/>
      <c r="CG81" s="175"/>
      <c r="CH81" s="175"/>
      <c r="CI81" s="175"/>
      <c r="CJ81" s="175"/>
      <c r="CK81" s="176"/>
      <c r="CL81"/>
      <c r="CM81"/>
      <c r="CQ81" s="27"/>
      <c r="CR81" s="27"/>
      <c r="CS81" s="27"/>
      <c r="CT81" s="27"/>
      <c r="CU81" s="27"/>
      <c r="CV81" s="27"/>
      <c r="CW81" s="27"/>
      <c r="CX81" s="27"/>
      <c r="CY81" s="27"/>
      <c r="CZ81" s="27"/>
      <c r="DA81" s="27"/>
    </row>
    <row r="82" spans="1:105" hidden="1" outlineLevel="1" x14ac:dyDescent="0.2">
      <c r="A82" s="135" t="s">
        <v>203</v>
      </c>
      <c r="B82" s="135"/>
      <c r="C82" s="30"/>
      <c r="D82" s="30"/>
      <c r="E82" s="136"/>
      <c r="F82" s="136"/>
      <c r="G82" s="136"/>
      <c r="H82" s="136"/>
      <c r="I82" s="137"/>
      <c r="J82" s="138">
        <f>+J76/E76-1</f>
        <v>5.0141911069063294E-2</v>
      </c>
      <c r="K82" s="138">
        <f>+K76/F76-1</f>
        <v>4.8091042584434751E-2</v>
      </c>
      <c r="L82" s="138">
        <f>+L76/G76-1</f>
        <v>3.6118980169971726E-2</v>
      </c>
      <c r="M82" s="138">
        <f>+M76/H76-1</f>
        <v>0.14407407407407402</v>
      </c>
      <c r="N82" s="137">
        <f t="shared" ref="N82:S82" si="109">+N76/I76-1</f>
        <v>7.0256707199382262E-2</v>
      </c>
      <c r="O82" s="138">
        <f t="shared" si="109"/>
        <v>6.3063063063063085E-2</v>
      </c>
      <c r="P82" s="138">
        <f t="shared" si="109"/>
        <v>8.7565674255691839E-3</v>
      </c>
      <c r="Q82" s="138">
        <f t="shared" si="109"/>
        <v>-1.0252904989747069E-3</v>
      </c>
      <c r="R82" s="138">
        <f t="shared" si="109"/>
        <v>-0.10197474910974424</v>
      </c>
      <c r="S82" s="137">
        <f t="shared" si="109"/>
        <v>-1.379621280432819E-2</v>
      </c>
      <c r="T82" s="138">
        <f t="shared" ref="T82:AY82" si="110">+T76/O76-1</f>
        <v>-0.11525423728813555</v>
      </c>
      <c r="U82" s="138">
        <f t="shared" si="110"/>
        <v>-9.0972222222222232E-2</v>
      </c>
      <c r="V82" s="138">
        <f t="shared" si="110"/>
        <v>-9.134450906602809E-2</v>
      </c>
      <c r="W82" s="138">
        <f t="shared" si="110"/>
        <v>-7.2098053352559477E-3</v>
      </c>
      <c r="X82" s="137">
        <f t="shared" si="110"/>
        <v>-7.5066288744628284E-2</v>
      </c>
      <c r="Y82" s="138">
        <f t="shared" si="110"/>
        <v>0.32423371647509569</v>
      </c>
      <c r="Z82" s="138">
        <f t="shared" si="110"/>
        <v>1.1191749427043542</v>
      </c>
      <c r="AA82" s="138">
        <f t="shared" si="110"/>
        <v>1.1807228915662651</v>
      </c>
      <c r="AB82" s="138">
        <f t="shared" si="110"/>
        <v>1.2861292665214235</v>
      </c>
      <c r="AC82" s="137">
        <f t="shared" si="110"/>
        <v>1.0167062079873466</v>
      </c>
      <c r="AD82" s="139">
        <f t="shared" si="110"/>
        <v>0.63869801084990963</v>
      </c>
      <c r="AE82" s="139">
        <f t="shared" si="110"/>
        <v>1.4599855803893336E-2</v>
      </c>
      <c r="AF82" s="139">
        <f t="shared" si="110"/>
        <v>2.6761049723756924E-2</v>
      </c>
      <c r="AG82" s="139">
        <f t="shared" si="110"/>
        <v>-4.3360864040660752E-2</v>
      </c>
      <c r="AH82" s="137">
        <f>+AH76/AC76-1</f>
        <v>8.4750747512376767E-2</v>
      </c>
      <c r="AI82" s="139">
        <f t="shared" si="110"/>
        <v>-1.8318252041491956E-2</v>
      </c>
      <c r="AJ82" s="139">
        <f t="shared" si="110"/>
        <v>-4.9209451057026121E-2</v>
      </c>
      <c r="AK82" s="139">
        <f t="shared" si="110"/>
        <v>-7.0119387926685706E-2</v>
      </c>
      <c r="AL82" s="139">
        <f t="shared" si="110"/>
        <v>9.1316619624772777E-3</v>
      </c>
      <c r="AM82" s="137">
        <f>+AM76/AH76-1</f>
        <v>-3.2625395390872169E-2</v>
      </c>
      <c r="AN82" s="139">
        <f t="shared" si="110"/>
        <v>-6.2949640287769393E-3</v>
      </c>
      <c r="AO82" s="139">
        <f t="shared" si="110"/>
        <v>-1.7189835575485812E-2</v>
      </c>
      <c r="AP82" s="139">
        <f t="shared" si="110"/>
        <v>-2.242314647377941E-2</v>
      </c>
      <c r="AQ82" s="139">
        <f t="shared" si="110"/>
        <v>-1.5794669299111552E-2</v>
      </c>
      <c r="AR82" s="137">
        <f>+AR76/AM76-1</f>
        <v>-1.5881913303438022E-2</v>
      </c>
      <c r="AS82" s="139">
        <f t="shared" si="110"/>
        <v>1.3574660633484115E-3</v>
      </c>
      <c r="AT82" s="138">
        <f t="shared" si="110"/>
        <v>3.9923954372622639E-3</v>
      </c>
      <c r="AU82" s="309">
        <f t="shared" si="110"/>
        <v>-4.2545320014798493E-3</v>
      </c>
      <c r="AV82" s="309">
        <f t="shared" si="110"/>
        <v>1.3707790036777023E-2</v>
      </c>
      <c r="AW82" s="137">
        <f>+AW76/AR76-1</f>
        <v>4.0820201253084498E-3</v>
      </c>
      <c r="AX82" s="309">
        <f t="shared" si="110"/>
        <v>1.5815634884772667E-3</v>
      </c>
      <c r="AY82" s="309">
        <f t="shared" si="110"/>
        <v>1.0604052262829011E-2</v>
      </c>
      <c r="AZ82" s="138"/>
      <c r="BA82" s="138"/>
      <c r="BB82" s="137"/>
      <c r="BC82" s="138"/>
      <c r="BD82" s="138"/>
      <c r="BE82" s="138"/>
      <c r="BF82" s="138"/>
      <c r="BG82" s="137"/>
      <c r="BH82" s="138"/>
      <c r="BI82" s="138"/>
      <c r="BJ82" s="138"/>
      <c r="BK82" s="138"/>
      <c r="BL82" s="137"/>
      <c r="BM82" s="138"/>
      <c r="BN82" s="138"/>
      <c r="BO82" s="138"/>
      <c r="BP82" s="138"/>
      <c r="BQ82" s="137"/>
      <c r="BR82" s="138"/>
      <c r="BS82" s="138"/>
      <c r="BT82" s="138"/>
      <c r="BU82" s="138"/>
      <c r="BV82" s="137"/>
      <c r="BW82" s="138"/>
      <c r="BX82" s="138"/>
      <c r="BY82" s="138"/>
      <c r="BZ82" s="138"/>
      <c r="CA82" s="137"/>
      <c r="CB82" s="138"/>
      <c r="CC82" s="138"/>
      <c r="CD82" s="138"/>
      <c r="CE82" s="138"/>
      <c r="CF82" s="137"/>
      <c r="CG82" s="138"/>
      <c r="CH82" s="138"/>
      <c r="CI82" s="138"/>
      <c r="CJ82" s="138"/>
      <c r="CK82" s="137"/>
      <c r="CL82"/>
      <c r="CM82"/>
    </row>
    <row r="83" spans="1:105" hidden="1" outlineLevel="1" x14ac:dyDescent="0.2">
      <c r="A83" s="1" t="s">
        <v>72</v>
      </c>
      <c r="B83" s="1"/>
      <c r="C83" s="1"/>
      <c r="D83" s="1"/>
      <c r="E83" s="177">
        <v>690</v>
      </c>
      <c r="F83" s="177">
        <v>1258</v>
      </c>
      <c r="G83" s="177">
        <v>1302</v>
      </c>
      <c r="H83" s="177">
        <f>+I83-E83-F83-G83</f>
        <v>1500</v>
      </c>
      <c r="I83" s="140">
        <v>4750</v>
      </c>
      <c r="J83" s="141">
        <f>2136-K83</f>
        <v>740</v>
      </c>
      <c r="K83" s="141">
        <v>1396</v>
      </c>
      <c r="L83" s="141">
        <v>1519</v>
      </c>
      <c r="M83" s="141">
        <v>1837</v>
      </c>
      <c r="N83" s="140">
        <v>5492</v>
      </c>
      <c r="O83" s="141">
        <v>984</v>
      </c>
      <c r="P83" s="141">
        <v>1837</v>
      </c>
      <c r="Q83" s="141">
        <v>1913</v>
      </c>
      <c r="R83" s="141">
        <v>2157</v>
      </c>
      <c r="S83" s="140">
        <v>6891</v>
      </c>
      <c r="T83" s="64">
        <v>947</v>
      </c>
      <c r="U83" s="64">
        <v>1642</v>
      </c>
      <c r="V83" s="64">
        <v>1874</v>
      </c>
      <c r="W83" s="64">
        <v>2264</v>
      </c>
      <c r="X83" s="140">
        <v>7028</v>
      </c>
      <c r="Y83" s="64">
        <v>1044</v>
      </c>
      <c r="Z83" s="64">
        <v>2498</v>
      </c>
      <c r="AA83" s="64">
        <v>2848</v>
      </c>
      <c r="AB83" s="64">
        <v>3212</v>
      </c>
      <c r="AC83" s="140">
        <f>+Y83+Z83+AA83+AB83</f>
        <v>9602</v>
      </c>
      <c r="AD83" s="142">
        <v>1626</v>
      </c>
      <c r="AE83" s="142">
        <v>3794</v>
      </c>
      <c r="AF83" s="142">
        <v>3909</v>
      </c>
      <c r="AG83" s="64">
        <f>13527-AD83-AE83-AF83</f>
        <v>4198</v>
      </c>
      <c r="AH83" s="140">
        <f>+AD83+AE83+AF83+AG83</f>
        <v>13527</v>
      </c>
      <c r="AI83" s="142">
        <v>1845</v>
      </c>
      <c r="AJ83" s="142">
        <v>3617</v>
      </c>
      <c r="AK83" s="142">
        <v>3691</v>
      </c>
      <c r="AL83" s="142">
        <v>4288</v>
      </c>
      <c r="AM83" s="140">
        <f>+AI83+AJ83+AK83+AL83</f>
        <v>13441</v>
      </c>
      <c r="AN83" s="142">
        <v>1942</v>
      </c>
      <c r="AO83" s="64">
        <v>3653</v>
      </c>
      <c r="AP83" s="64">
        <v>3818</v>
      </c>
      <c r="AQ83" s="64">
        <v>4339</v>
      </c>
      <c r="AR83" s="140">
        <f>+AN83+AO83+AP83+AQ83</f>
        <v>13752</v>
      </c>
      <c r="AS83" s="64">
        <v>1961</v>
      </c>
      <c r="AT83" s="141">
        <v>3657</v>
      </c>
      <c r="AU83" s="141">
        <v>3764</v>
      </c>
      <c r="AV83" s="64">
        <v>3908</v>
      </c>
      <c r="AW83" s="140">
        <f>+AS83+AT83+AU83+AV83</f>
        <v>13290</v>
      </c>
      <c r="AX83" s="64">
        <v>1477</v>
      </c>
      <c r="AY83" s="64">
        <v>2788</v>
      </c>
      <c r="AZ83" s="64"/>
      <c r="BA83" s="64"/>
      <c r="BB83" s="140"/>
      <c r="BC83" s="64"/>
      <c r="BD83" s="64"/>
      <c r="BE83" s="64"/>
      <c r="BF83" s="64"/>
      <c r="BG83" s="140"/>
      <c r="BH83" s="64"/>
      <c r="BI83" s="64"/>
      <c r="BJ83" s="64"/>
      <c r="BK83" s="64"/>
      <c r="BL83" s="140"/>
      <c r="BM83" s="64"/>
      <c r="BN83" s="64"/>
      <c r="BO83" s="64"/>
      <c r="BP83" s="64"/>
      <c r="BQ83" s="140"/>
      <c r="BR83" s="64"/>
      <c r="BS83" s="64"/>
      <c r="BT83" s="64"/>
      <c r="BU83" s="64"/>
      <c r="BV83" s="140"/>
      <c r="BW83" s="64"/>
      <c r="BX83" s="64"/>
      <c r="BY83" s="64"/>
      <c r="BZ83" s="64"/>
      <c r="CA83" s="140"/>
      <c r="CB83" s="64"/>
      <c r="CC83" s="64"/>
      <c r="CD83" s="64"/>
      <c r="CE83" s="64"/>
      <c r="CF83" s="140"/>
      <c r="CG83" s="64"/>
      <c r="CH83" s="64"/>
      <c r="CI83" s="64"/>
      <c r="CJ83" s="64"/>
      <c r="CK83" s="140"/>
      <c r="CL83"/>
      <c r="CM83"/>
      <c r="CN83" s="27"/>
      <c r="CO83" s="27"/>
      <c r="CP83" s="27"/>
      <c r="CQ83" s="27"/>
      <c r="CR83" s="27"/>
      <c r="CS83" s="27"/>
      <c r="CT83" s="27"/>
      <c r="CU83" s="27"/>
      <c r="CV83" s="27"/>
      <c r="CW83" s="27"/>
      <c r="CX83" s="27"/>
      <c r="CY83" s="27"/>
    </row>
    <row r="84" spans="1:105" hidden="1" outlineLevel="1" x14ac:dyDescent="0.2">
      <c r="A84" s="129" t="s">
        <v>200</v>
      </c>
      <c r="B84" s="129"/>
      <c r="E84" s="32"/>
      <c r="F84" s="32"/>
      <c r="G84" s="32"/>
      <c r="H84" s="32"/>
      <c r="I84" s="125"/>
      <c r="J84" s="143"/>
      <c r="K84" s="143"/>
      <c r="L84" s="143"/>
      <c r="M84" s="143"/>
      <c r="N84" s="133">
        <f>16%-9%</f>
        <v>7.0000000000000007E-2</v>
      </c>
      <c r="O84" s="117">
        <f>23%-6%-9%</f>
        <v>8.0000000000000016E-2</v>
      </c>
      <c r="P84" s="117">
        <f>24%-11%-4%</f>
        <v>0.09</v>
      </c>
      <c r="Q84" s="117">
        <f>17%-8%-4%</f>
        <v>5.000000000000001E-2</v>
      </c>
      <c r="R84" s="117">
        <f>10%+12%-14%</f>
        <v>7.9999999999999988E-2</v>
      </c>
      <c r="S84" s="133">
        <f>17%-8%-2%</f>
        <v>7.0000000000000007E-2</v>
      </c>
      <c r="T84" s="117">
        <f>17%-13%</f>
        <v>4.0000000000000008E-2</v>
      </c>
      <c r="U84" s="117">
        <f>10%-10%</f>
        <v>0</v>
      </c>
      <c r="V84" s="117">
        <f>12%-10%</f>
        <v>1.999999999999999E-2</v>
      </c>
      <c r="W84" s="117">
        <f>4%-2%</f>
        <v>0.02</v>
      </c>
      <c r="X84" s="178">
        <v>0.02</v>
      </c>
      <c r="Y84" s="179">
        <v>-0.03</v>
      </c>
      <c r="Z84" s="179">
        <v>4.0800000000000003E-2</v>
      </c>
      <c r="AA84" s="179">
        <v>7.7799999999999994E-2</v>
      </c>
      <c r="AB84" s="179">
        <v>5.0800000000000005E-2</v>
      </c>
      <c r="AC84" s="178">
        <v>4.6200000000000005E-2</v>
      </c>
      <c r="AD84" s="116">
        <v>7.0000000000000007E-2</v>
      </c>
      <c r="AE84" s="116">
        <f>18%-AE85</f>
        <v>0.10999999999999999</v>
      </c>
      <c r="AF84" s="134">
        <f>28%-(5%*AA6)/AA83</f>
        <v>7.6334269662921561E-3</v>
      </c>
      <c r="AG84" s="117">
        <f>+AG91-AG90-AG85</f>
        <v>2.6100560398505529E-2</v>
      </c>
      <c r="AH84" s="133">
        <f>+AH86+AH89</f>
        <v>4.7222974380337408E-2</v>
      </c>
      <c r="AI84" s="116">
        <f>+AI86+AI89</f>
        <v>4.4686346863468694E-2</v>
      </c>
      <c r="AJ84" s="116">
        <f>+AJ86+AJ89</f>
        <v>3.3347390616763319E-2</v>
      </c>
      <c r="AK84" s="116">
        <v>7.0000000000000007E-2</v>
      </c>
      <c r="AL84" s="116">
        <v>3.5000000000000003E-2</v>
      </c>
      <c r="AM84" s="133">
        <v>0.04</v>
      </c>
      <c r="AN84" s="116">
        <v>0.04</v>
      </c>
      <c r="AO84" s="117">
        <f>+AO86+AO89</f>
        <v>0.04</v>
      </c>
      <c r="AP84" s="117">
        <v>0.03</v>
      </c>
      <c r="AQ84" s="117">
        <v>0.03</v>
      </c>
      <c r="AR84" s="133">
        <v>3.5000000000000003E-2</v>
      </c>
      <c r="AS84" s="117">
        <v>7.0000000000000007E-2</v>
      </c>
      <c r="AT84" s="117">
        <v>0.05</v>
      </c>
      <c r="AU84" s="308">
        <v>0.01</v>
      </c>
      <c r="AV84" s="117">
        <v>0.06</v>
      </c>
      <c r="AW84" s="133">
        <v>4.4999999999999998E-2</v>
      </c>
      <c r="AX84" s="117">
        <v>0.02</v>
      </c>
      <c r="AY84" s="117">
        <v>5.0000000000000001E-3</v>
      </c>
      <c r="AZ84" s="117"/>
      <c r="BA84" s="117"/>
      <c r="BB84" s="133"/>
      <c r="BC84" s="117"/>
      <c r="BD84" s="117"/>
      <c r="BE84" s="117"/>
      <c r="BF84" s="117"/>
      <c r="BG84" s="133"/>
      <c r="BH84" s="117"/>
      <c r="BI84" s="117"/>
      <c r="BJ84" s="117"/>
      <c r="BK84" s="117"/>
      <c r="BL84" s="133"/>
      <c r="BM84" s="117"/>
      <c r="BN84" s="117"/>
      <c r="BO84" s="117"/>
      <c r="BP84" s="117"/>
      <c r="BQ84" s="133"/>
      <c r="BR84" s="117"/>
      <c r="BS84" s="117"/>
      <c r="BT84" s="117"/>
      <c r="BU84" s="117"/>
      <c r="BV84" s="133"/>
      <c r="BW84" s="117"/>
      <c r="BX84" s="117"/>
      <c r="BY84" s="117"/>
      <c r="BZ84" s="117"/>
      <c r="CA84" s="133"/>
      <c r="CB84" s="117"/>
      <c r="CC84" s="117"/>
      <c r="CD84" s="117"/>
      <c r="CE84" s="117"/>
      <c r="CF84" s="133"/>
      <c r="CG84" s="117"/>
      <c r="CH84" s="117"/>
      <c r="CI84" s="117"/>
      <c r="CJ84" s="117"/>
      <c r="CK84" s="133"/>
      <c r="CL84"/>
      <c r="CM84"/>
    </row>
    <row r="85" spans="1:105" hidden="1" outlineLevel="1" x14ac:dyDescent="0.2">
      <c r="A85" s="129" t="s">
        <v>201</v>
      </c>
      <c r="B85" s="129"/>
      <c r="E85" s="32"/>
      <c r="F85" s="32"/>
      <c r="G85" s="32"/>
      <c r="H85" s="32"/>
      <c r="I85" s="125"/>
      <c r="J85" s="143"/>
      <c r="K85" s="143"/>
      <c r="L85" s="143"/>
      <c r="M85" s="143"/>
      <c r="N85" s="127">
        <f>+N91-N90-N84</f>
        <v>8.6210526315789571E-2</v>
      </c>
      <c r="O85" s="126">
        <f t="shared" ref="O85:W85" si="111">+O91-O90-O84</f>
        <v>9.1081081081081039E-2</v>
      </c>
      <c r="P85" s="126">
        <f t="shared" si="111"/>
        <v>0.10710601719197699</v>
      </c>
      <c r="Q85" s="126">
        <f t="shared" si="111"/>
        <v>8.37985516787359E-2</v>
      </c>
      <c r="R85" s="126">
        <f t="shared" si="111"/>
        <v>-0.12364725095264009</v>
      </c>
      <c r="S85" s="127">
        <f t="shared" si="111"/>
        <v>2.1704297159504629E-2</v>
      </c>
      <c r="T85" s="128">
        <f t="shared" si="111"/>
        <v>-0.20760162601626017</v>
      </c>
      <c r="U85" s="132">
        <f t="shared" si="111"/>
        <v>-0.20615133369624386</v>
      </c>
      <c r="V85" s="132">
        <f t="shared" si="111"/>
        <v>-0.14038682697334026</v>
      </c>
      <c r="W85" s="132">
        <f t="shared" si="111"/>
        <v>9.6059341678256596E-3</v>
      </c>
      <c r="X85" s="178">
        <v>-0.12379915832244962</v>
      </c>
      <c r="Y85" s="180">
        <v>7.8574445617740157E-2</v>
      </c>
      <c r="Z85" s="180">
        <v>0.04</v>
      </c>
      <c r="AA85" s="180">
        <v>-0.08</v>
      </c>
      <c r="AB85" s="181">
        <v>-0.06</v>
      </c>
      <c r="AC85" s="178">
        <v>-0.02</v>
      </c>
      <c r="AD85" s="116">
        <v>-0.02</v>
      </c>
      <c r="AE85" s="116">
        <v>7.0000000000000007E-2</v>
      </c>
      <c r="AF85" s="116">
        <v>0.09</v>
      </c>
      <c r="AG85" s="117">
        <v>-0.03</v>
      </c>
      <c r="AH85" s="133">
        <f>SUMPRODUCT(Y83:AB83,AD85:AG85)/AC83</f>
        <v>3.2695271818371174E-2</v>
      </c>
      <c r="AI85" s="116">
        <v>-0.04</v>
      </c>
      <c r="AJ85" s="116">
        <v>-0.08</v>
      </c>
      <c r="AK85" s="116">
        <v>-0.12</v>
      </c>
      <c r="AL85" s="116">
        <v>-0.01</v>
      </c>
      <c r="AM85" s="133">
        <v>-7.0000000000000007E-2</v>
      </c>
      <c r="AN85" s="116">
        <v>0.01</v>
      </c>
      <c r="AO85" s="117">
        <v>-0.03</v>
      </c>
      <c r="AP85" s="117">
        <v>4.0000000000000001E-3</v>
      </c>
      <c r="AQ85" s="117">
        <v>-0.02</v>
      </c>
      <c r="AR85" s="133">
        <v>-0.01</v>
      </c>
      <c r="AS85" s="117">
        <v>-0.06</v>
      </c>
      <c r="AT85" s="117">
        <v>-4.4999999999999998E-2</v>
      </c>
      <c r="AU85" s="308">
        <v>-0.03</v>
      </c>
      <c r="AV85" s="117">
        <v>-0.16</v>
      </c>
      <c r="AW85" s="133">
        <v>-0.08</v>
      </c>
      <c r="AX85" s="117">
        <v>-0.27</v>
      </c>
      <c r="AY85" s="117">
        <v>-0.24</v>
      </c>
      <c r="AZ85" s="117"/>
      <c r="BA85" s="117"/>
      <c r="BB85" s="133"/>
      <c r="BC85" s="117"/>
      <c r="BD85" s="117"/>
      <c r="BE85" s="117"/>
      <c r="BF85" s="117"/>
      <c r="BG85" s="133"/>
      <c r="BH85" s="117"/>
      <c r="BI85" s="117"/>
      <c r="BJ85" s="117"/>
      <c r="BK85" s="117"/>
      <c r="BL85" s="133"/>
      <c r="BM85" s="117"/>
      <c r="BN85" s="117"/>
      <c r="BO85" s="117"/>
      <c r="BP85" s="117"/>
      <c r="BQ85" s="133"/>
      <c r="BR85" s="117"/>
      <c r="BS85" s="117"/>
      <c r="BT85" s="117"/>
      <c r="BU85" s="117"/>
      <c r="BV85" s="133"/>
      <c r="BW85" s="117"/>
      <c r="BX85" s="117"/>
      <c r="BY85" s="117"/>
      <c r="BZ85" s="117"/>
      <c r="CA85" s="133"/>
      <c r="CB85" s="117"/>
      <c r="CC85" s="117"/>
      <c r="CD85" s="117"/>
      <c r="CE85" s="117"/>
      <c r="CF85" s="133"/>
      <c r="CG85" s="117"/>
      <c r="CH85" s="117"/>
      <c r="CI85" s="117"/>
      <c r="CJ85" s="117"/>
      <c r="CK85" s="133"/>
      <c r="CL85"/>
      <c r="CM85"/>
    </row>
    <row r="86" spans="1:105" hidden="1" outlineLevel="1" x14ac:dyDescent="0.2">
      <c r="A86" s="129" t="s">
        <v>34</v>
      </c>
      <c r="B86" s="129"/>
      <c r="E86" s="32"/>
      <c r="F86" s="32"/>
      <c r="G86" s="32"/>
      <c r="H86" s="32"/>
      <c r="I86" s="125"/>
      <c r="J86" s="143"/>
      <c r="K86" s="143"/>
      <c r="L86" s="143"/>
      <c r="M86" s="143"/>
      <c r="N86" s="127">
        <f t="shared" ref="N86:W86" si="112">+$C87*N87+$C88*N88</f>
        <v>5.5999999999999994E-2</v>
      </c>
      <c r="O86" s="126">
        <f t="shared" si="112"/>
        <v>7.3999999999999996E-2</v>
      </c>
      <c r="P86" s="126">
        <f t="shared" si="112"/>
        <v>5.4000000000000006E-2</v>
      </c>
      <c r="Q86" s="126">
        <f t="shared" si="112"/>
        <v>0</v>
      </c>
      <c r="R86" s="126">
        <f t="shared" si="112"/>
        <v>1.7999999999999999E-2</v>
      </c>
      <c r="S86" s="127">
        <f t="shared" si="112"/>
        <v>2.8000000000000001E-2</v>
      </c>
      <c r="T86" s="128">
        <f t="shared" si="112"/>
        <v>-0.04</v>
      </c>
      <c r="U86" s="132">
        <f t="shared" si="112"/>
        <v>-6.2E-2</v>
      </c>
      <c r="V86" s="132">
        <f t="shared" si="112"/>
        <v>-2.8000000000000004E-2</v>
      </c>
      <c r="W86" s="132">
        <f t="shared" si="112"/>
        <v>-2.5999999999999999E-2</v>
      </c>
      <c r="X86" s="178">
        <v>-3.5999999999999997E-2</v>
      </c>
      <c r="Y86" s="180">
        <v>-0.04</v>
      </c>
      <c r="Z86" s="180">
        <v>3.0800000000000001E-2</v>
      </c>
      <c r="AA86" s="180">
        <v>6.7799999999999999E-2</v>
      </c>
      <c r="AB86" s="181">
        <v>4.0800000000000003E-2</v>
      </c>
      <c r="AC86" s="178">
        <v>3.6200000000000003E-2</v>
      </c>
      <c r="AD86" s="116">
        <f>+$D87*AD87+$D88*AD88</f>
        <v>7.0800000000000002E-2</v>
      </c>
      <c r="AE86" s="116">
        <f>+$D87*AE87+$D88*AE88</f>
        <v>0.05</v>
      </c>
      <c r="AF86" s="116">
        <f>+$D87*AF87+$D88*AF88</f>
        <v>-8.6000000000000035E-3</v>
      </c>
      <c r="AG86" s="117">
        <f>+$D87*AG87+$D88*AG88</f>
        <v>3.7999999999999996E-3</v>
      </c>
      <c r="AH86" s="133">
        <f>SUMPRODUCT(Y83:AB83,AD86:AG86)/AC83</f>
        <v>1.9425952926473651E-2</v>
      </c>
      <c r="AI86" s="116">
        <f>AI91-AI90-AI89-AI85</f>
        <v>-5.3136531365313086E-3</v>
      </c>
      <c r="AJ86" s="116">
        <f>AJ91-AJ90-AJ89-AJ85</f>
        <v>-6.6526093832366823E-3</v>
      </c>
      <c r="AK86" s="116">
        <f>AK91-AK90-AK89-AK85</f>
        <v>4.2312611921207499E-3</v>
      </c>
      <c r="AL86" s="116">
        <v>0</v>
      </c>
      <c r="AM86" s="133">
        <v>0</v>
      </c>
      <c r="AN86" s="116">
        <v>0.02</v>
      </c>
      <c r="AO86" s="117">
        <v>0.02</v>
      </c>
      <c r="AP86" s="117">
        <f>+$D87*AP87+$D88*AP88</f>
        <v>8.3999999999999995E-3</v>
      </c>
      <c r="AQ86" s="117">
        <f>+$D87*AQ87+$D88*AQ88</f>
        <v>-1.6000000000000007E-3</v>
      </c>
      <c r="AR86" s="133">
        <f>SUMPRODUCT(AI83:AL83,AN86:AQ86)/AM83</f>
        <v>9.923636634179004E-3</v>
      </c>
      <c r="AS86" s="526">
        <f>+$D87*AS87+$D88*AS88</f>
        <v>0.03</v>
      </c>
      <c r="AT86" s="117">
        <f>+$D87*AT87+$D88*AT88</f>
        <v>0.01</v>
      </c>
      <c r="AU86" s="308">
        <f>+$D87*AU87+$D88*AU88</f>
        <v>-1.6000000000000007E-3</v>
      </c>
      <c r="AV86" s="308">
        <f>+$D87*AV87+$D88*AV88</f>
        <v>0.03</v>
      </c>
      <c r="AW86" s="133">
        <f>SUMPRODUCT(AN83:AQ83,AS86:AV86)/AR83</f>
        <v>1.5914136125654448E-2</v>
      </c>
      <c r="AX86" s="117">
        <f>+$D87*AX87+$D88*AX88</f>
        <v>-3.1600000000000003E-2</v>
      </c>
      <c r="AY86" s="117">
        <f>+$D87*AY87+$D88*AY88</f>
        <v>-3.2399999999999998E-2</v>
      </c>
      <c r="AZ86" s="117"/>
      <c r="BA86" s="117"/>
      <c r="BB86" s="133"/>
      <c r="BC86" s="117"/>
      <c r="BD86" s="117"/>
      <c r="BE86" s="117"/>
      <c r="BF86" s="117"/>
      <c r="BG86" s="133"/>
      <c r="BH86" s="117"/>
      <c r="BI86" s="117"/>
      <c r="BJ86" s="117"/>
      <c r="BK86" s="117"/>
      <c r="BL86" s="133"/>
      <c r="BM86" s="117"/>
      <c r="BN86" s="117"/>
      <c r="BO86" s="117"/>
      <c r="BP86" s="117"/>
      <c r="BQ86" s="133"/>
      <c r="BR86" s="117"/>
      <c r="BS86" s="117"/>
      <c r="BT86" s="117"/>
      <c r="BU86" s="117"/>
      <c r="BV86" s="133"/>
      <c r="BW86" s="117"/>
      <c r="BX86" s="117"/>
      <c r="BY86" s="117"/>
      <c r="BZ86" s="117"/>
      <c r="CA86" s="133"/>
      <c r="CB86" s="117"/>
      <c r="CC86" s="117"/>
      <c r="CD86" s="117"/>
      <c r="CE86" s="117"/>
      <c r="CF86" s="133"/>
      <c r="CG86" s="117"/>
      <c r="CH86" s="117"/>
      <c r="CI86" s="117"/>
      <c r="CJ86" s="117"/>
      <c r="CK86" s="133"/>
      <c r="CL86"/>
      <c r="CM86"/>
    </row>
    <row r="87" spans="1:105" hidden="1" outlineLevel="1" x14ac:dyDescent="0.2">
      <c r="A87" s="129"/>
      <c r="B87" s="129" t="s">
        <v>30</v>
      </c>
      <c r="C87" s="182">
        <v>0.6</v>
      </c>
      <c r="D87" s="182">
        <v>0.46</v>
      </c>
      <c r="E87" s="32"/>
      <c r="F87" s="32"/>
      <c r="G87" s="32"/>
      <c r="H87" s="32"/>
      <c r="I87" s="125"/>
      <c r="J87" s="117"/>
      <c r="K87" s="117"/>
      <c r="L87" s="117"/>
      <c r="M87" s="117"/>
      <c r="N87" s="133">
        <f>6%-2%</f>
        <v>3.9999999999999994E-2</v>
      </c>
      <c r="O87" s="117">
        <f>8%-1%</f>
        <v>7.0000000000000007E-2</v>
      </c>
      <c r="P87" s="117">
        <f>8%-1%</f>
        <v>7.0000000000000007E-2</v>
      </c>
      <c r="Q87" s="117">
        <f>1%-1%</f>
        <v>0</v>
      </c>
      <c r="R87" s="117">
        <f>8%-5%</f>
        <v>0.03</v>
      </c>
      <c r="S87" s="133">
        <f>6%-2%</f>
        <v>3.9999999999999994E-2</v>
      </c>
      <c r="T87" s="34">
        <f>1%-3%</f>
        <v>-1.9999999999999997E-2</v>
      </c>
      <c r="U87" s="32">
        <f>-1%-4%</f>
        <v>-0.05</v>
      </c>
      <c r="V87" s="32">
        <f>-1%-3%</f>
        <v>-0.04</v>
      </c>
      <c r="W87" s="32">
        <v>-0.03</v>
      </c>
      <c r="X87" s="178">
        <v>-0.03</v>
      </c>
      <c r="Y87" s="180">
        <v>-0.04</v>
      </c>
      <c r="Z87" s="180">
        <v>0.02</v>
      </c>
      <c r="AA87" s="180">
        <v>0.03</v>
      </c>
      <c r="AB87" s="181">
        <v>0.03</v>
      </c>
      <c r="AC87" s="178">
        <v>0.02</v>
      </c>
      <c r="AD87" s="116">
        <v>0.06</v>
      </c>
      <c r="AE87" s="116">
        <v>0.05</v>
      </c>
      <c r="AF87" s="116">
        <v>0.04</v>
      </c>
      <c r="AG87" s="34">
        <v>0.02</v>
      </c>
      <c r="AH87" s="133">
        <f>SUMPRODUCT(Y83:AB83,AD87:AG87)/AC83</f>
        <v>3.8085815455113525E-2</v>
      </c>
      <c r="AI87" s="116">
        <v>0.03</v>
      </c>
      <c r="AJ87" s="116">
        <v>0.01</v>
      </c>
      <c r="AK87" s="116">
        <v>0</v>
      </c>
      <c r="AL87" s="116">
        <v>0.01</v>
      </c>
      <c r="AM87" s="133">
        <f>SUMPRODUCT(AD83:AG83,AI87:AL87)/AH83</f>
        <v>9.5143047238855621E-3</v>
      </c>
      <c r="AN87" s="116">
        <v>0.04</v>
      </c>
      <c r="AO87" s="116">
        <v>0.03</v>
      </c>
      <c r="AP87" s="116">
        <v>0.03</v>
      </c>
      <c r="AQ87" s="116">
        <v>0.02</v>
      </c>
      <c r="AR87" s="133">
        <f>SUMPRODUCT(AI83:AL83,AN87:AQ87)/AM83</f>
        <v>2.8182426902760207E-2</v>
      </c>
      <c r="AS87" s="34">
        <v>0.03</v>
      </c>
      <c r="AT87" s="117">
        <v>0.01</v>
      </c>
      <c r="AU87" s="308">
        <v>0.02</v>
      </c>
      <c r="AV87" s="308">
        <v>0.03</v>
      </c>
      <c r="AW87" s="133">
        <v>0.02</v>
      </c>
      <c r="AX87" s="308">
        <v>-0.01</v>
      </c>
      <c r="AY87" s="308">
        <v>0</v>
      </c>
      <c r="AZ87" s="183"/>
      <c r="BA87" s="183"/>
      <c r="BB87" s="133"/>
      <c r="BC87" s="183"/>
      <c r="BD87" s="183"/>
      <c r="BE87" s="183"/>
      <c r="BF87" s="183"/>
      <c r="BG87" s="133"/>
      <c r="BH87" s="183"/>
      <c r="BI87" s="183"/>
      <c r="BJ87" s="183"/>
      <c r="BK87" s="183"/>
      <c r="BL87" s="133"/>
      <c r="BM87" s="183"/>
      <c r="BN87" s="183"/>
      <c r="BO87" s="183"/>
      <c r="BP87" s="183"/>
      <c r="BQ87" s="133"/>
      <c r="BR87" s="183"/>
      <c r="BS87" s="183"/>
      <c r="BT87" s="183"/>
      <c r="BU87" s="183"/>
      <c r="BV87" s="133"/>
      <c r="BW87" s="183"/>
      <c r="BX87" s="183"/>
      <c r="BY87" s="183"/>
      <c r="BZ87" s="183"/>
      <c r="CA87" s="133"/>
      <c r="CB87" s="183"/>
      <c r="CC87" s="183"/>
      <c r="CD87" s="183"/>
      <c r="CE87" s="183"/>
      <c r="CF87" s="133"/>
      <c r="CG87" s="183"/>
      <c r="CH87" s="183"/>
      <c r="CI87" s="183"/>
      <c r="CJ87" s="183"/>
      <c r="CK87" s="133"/>
      <c r="CL87"/>
      <c r="CM87"/>
    </row>
    <row r="88" spans="1:105" hidden="1" outlineLevel="1" x14ac:dyDescent="0.2">
      <c r="A88" s="129"/>
      <c r="B88" s="129" t="s">
        <v>31</v>
      </c>
      <c r="C88" s="182">
        <f>1-C87</f>
        <v>0.4</v>
      </c>
      <c r="D88" s="182">
        <f>1-D87</f>
        <v>0.54</v>
      </c>
      <c r="E88" s="32"/>
      <c r="F88" s="32"/>
      <c r="G88" s="32"/>
      <c r="H88" s="32"/>
      <c r="I88" s="125"/>
      <c r="J88" s="117"/>
      <c r="K88" s="117"/>
      <c r="L88" s="117"/>
      <c r="M88" s="117"/>
      <c r="N88" s="133">
        <v>0.08</v>
      </c>
      <c r="O88" s="117">
        <f>25%-17%</f>
        <v>7.9999999999999988E-2</v>
      </c>
      <c r="P88" s="117">
        <f>20%-17%</f>
        <v>0.03</v>
      </c>
      <c r="Q88" s="117">
        <f>13%-13%</f>
        <v>0</v>
      </c>
      <c r="R88" s="117">
        <f>16%-16%</f>
        <v>0</v>
      </c>
      <c r="S88" s="133">
        <f>17%-16%</f>
        <v>1.0000000000000009E-2</v>
      </c>
      <c r="T88" s="34">
        <f>7%-14%</f>
        <v>-7.0000000000000007E-2</v>
      </c>
      <c r="U88" s="32">
        <f>2%-10%</f>
        <v>-0.08</v>
      </c>
      <c r="V88" s="32">
        <f>9%-10%</f>
        <v>-1.0000000000000009E-2</v>
      </c>
      <c r="W88" s="32">
        <v>-0.02</v>
      </c>
      <c r="X88" s="178">
        <v>-4.4999999999999998E-2</v>
      </c>
      <c r="Y88" s="180">
        <v>-0.04</v>
      </c>
      <c r="Z88" s="180">
        <v>0.04</v>
      </c>
      <c r="AA88" s="180">
        <v>0.1</v>
      </c>
      <c r="AB88" s="181">
        <v>0.05</v>
      </c>
      <c r="AC88" s="178">
        <v>0.05</v>
      </c>
      <c r="AD88" s="116">
        <v>0.08</v>
      </c>
      <c r="AE88" s="116">
        <v>0.05</v>
      </c>
      <c r="AF88" s="134">
        <v>-0.05</v>
      </c>
      <c r="AG88" s="34">
        <v>-0.01</v>
      </c>
      <c r="AH88" s="133">
        <f>SUMPRODUCT(Y83:AB83,AD88:AG88)/AC83</f>
        <v>3.530514476150803E-3</v>
      </c>
      <c r="AI88" s="116">
        <v>-0.01</v>
      </c>
      <c r="AJ88" s="116">
        <v>-0.02</v>
      </c>
      <c r="AK88" s="116">
        <v>0.01</v>
      </c>
      <c r="AL88" s="116">
        <v>-0.01</v>
      </c>
      <c r="AM88" s="133">
        <f>SUMPRODUCT(AD83:AG83,AI88:AL88)/AH83</f>
        <v>-7.0252088415761072E-3</v>
      </c>
      <c r="AN88" s="116">
        <v>0.01</v>
      </c>
      <c r="AO88" s="116">
        <v>0</v>
      </c>
      <c r="AP88" s="116">
        <v>-0.01</v>
      </c>
      <c r="AQ88" s="116">
        <v>-0.02</v>
      </c>
      <c r="AR88" s="133">
        <f>SUMPRODUCT(AI83:AL83,AN88:AQ88)/AM83</f>
        <v>-7.7538873595714613E-3</v>
      </c>
      <c r="AS88" s="34">
        <v>0.03</v>
      </c>
      <c r="AT88" s="117">
        <v>0.01</v>
      </c>
      <c r="AU88" s="308">
        <v>-0.02</v>
      </c>
      <c r="AV88" s="308">
        <v>0.03</v>
      </c>
      <c r="AW88" s="133">
        <v>0.01</v>
      </c>
      <c r="AX88" s="308">
        <v>-0.05</v>
      </c>
      <c r="AY88" s="308">
        <v>-0.06</v>
      </c>
      <c r="AZ88" s="183"/>
      <c r="BA88" s="183"/>
      <c r="BB88" s="133"/>
      <c r="BC88" s="183"/>
      <c r="BD88" s="183"/>
      <c r="BE88" s="183"/>
      <c r="BF88" s="183"/>
      <c r="BG88" s="133"/>
      <c r="BH88" s="183"/>
      <c r="BI88" s="183"/>
      <c r="BJ88" s="183"/>
      <c r="BK88" s="183"/>
      <c r="BL88" s="133"/>
      <c r="BM88" s="183"/>
      <c r="BN88" s="183"/>
      <c r="BO88" s="183"/>
      <c r="BP88" s="183"/>
      <c r="BQ88" s="133"/>
      <c r="BR88" s="183"/>
      <c r="BS88" s="183"/>
      <c r="BT88" s="183"/>
      <c r="BU88" s="183"/>
      <c r="BV88" s="133"/>
      <c r="BW88" s="183"/>
      <c r="BX88" s="183"/>
      <c r="BY88" s="183"/>
      <c r="BZ88" s="183"/>
      <c r="CA88" s="133"/>
      <c r="CB88" s="183"/>
      <c r="CC88" s="183"/>
      <c r="CD88" s="183"/>
      <c r="CE88" s="183"/>
      <c r="CF88" s="133"/>
      <c r="CG88" s="183"/>
      <c r="CH88" s="183"/>
      <c r="CI88" s="183"/>
      <c r="CJ88" s="183"/>
      <c r="CK88" s="133"/>
      <c r="CL88"/>
      <c r="CM88"/>
    </row>
    <row r="89" spans="1:105" hidden="1" outlineLevel="1" x14ac:dyDescent="0.2">
      <c r="A89" s="129" t="s">
        <v>6</v>
      </c>
      <c r="B89" s="129"/>
      <c r="E89" s="32"/>
      <c r="F89" s="32"/>
      <c r="G89" s="32"/>
      <c r="H89" s="32"/>
      <c r="I89" s="125"/>
      <c r="J89" s="143"/>
      <c r="K89" s="143"/>
      <c r="L89" s="143"/>
      <c r="M89" s="143"/>
      <c r="N89" s="127">
        <f>+N84-N86</f>
        <v>1.4000000000000012E-2</v>
      </c>
      <c r="O89" s="126">
        <f>+O84-O86</f>
        <v>6.0000000000000192E-3</v>
      </c>
      <c r="P89" s="126">
        <f>+P84-P86</f>
        <v>3.599999999999999E-2</v>
      </c>
      <c r="Q89" s="126">
        <f t="shared" ref="Q89:W89" si="113">+Q84-Q86</f>
        <v>5.000000000000001E-2</v>
      </c>
      <c r="R89" s="126">
        <f t="shared" si="113"/>
        <v>6.1999999999999986E-2</v>
      </c>
      <c r="S89" s="127">
        <f t="shared" si="113"/>
        <v>4.200000000000001E-2</v>
      </c>
      <c r="T89" s="126">
        <f t="shared" si="113"/>
        <v>8.0000000000000016E-2</v>
      </c>
      <c r="U89" s="143">
        <f t="shared" si="113"/>
        <v>6.2E-2</v>
      </c>
      <c r="V89" s="143">
        <f t="shared" si="113"/>
        <v>4.7999999999999994E-2</v>
      </c>
      <c r="W89" s="143">
        <f t="shared" si="113"/>
        <v>4.5999999999999999E-2</v>
      </c>
      <c r="X89" s="178">
        <v>5.6000000000000001E-2</v>
      </c>
      <c r="Y89" s="181">
        <v>0.01</v>
      </c>
      <c r="Z89" s="180">
        <v>0.01</v>
      </c>
      <c r="AA89" s="180">
        <v>0.01</v>
      </c>
      <c r="AB89" s="181">
        <v>0.01</v>
      </c>
      <c r="AC89" s="178">
        <v>0.01</v>
      </c>
      <c r="AD89" s="116">
        <f>AD84-AD86</f>
        <v>-7.9999999999999516E-4</v>
      </c>
      <c r="AE89" s="116">
        <f>AE84-AE86</f>
        <v>5.9999999999999984E-2</v>
      </c>
      <c r="AF89" s="116">
        <f>AF84-AF86</f>
        <v>1.623342696629216E-2</v>
      </c>
      <c r="AG89" s="32">
        <f>+AG84-AG86</f>
        <v>2.2300560398505531E-2</v>
      </c>
      <c r="AH89" s="133">
        <f>SUMPRODUCT(Y83:AB83,AD89:AG89)/AC83</f>
        <v>2.7797021453863757E-2</v>
      </c>
      <c r="AI89" s="116">
        <v>0.05</v>
      </c>
      <c r="AJ89" s="116">
        <v>0.04</v>
      </c>
      <c r="AK89" s="43">
        <v>0.06</v>
      </c>
      <c r="AL89" s="43">
        <v>0.03</v>
      </c>
      <c r="AM89" s="133">
        <v>0.04</v>
      </c>
      <c r="AN89" s="43">
        <v>0.02</v>
      </c>
      <c r="AO89" s="43">
        <v>0.02</v>
      </c>
      <c r="AP89" s="43">
        <f>AP84-AP86</f>
        <v>2.1600000000000001E-2</v>
      </c>
      <c r="AQ89" s="43">
        <f>AQ84-AQ86</f>
        <v>3.1600000000000003E-2</v>
      </c>
      <c r="AR89" s="133">
        <f>SUMPRODUCT(AI83:AL83,AN89:AQ89)/AM83</f>
        <v>2.4140049103489325E-2</v>
      </c>
      <c r="AS89" s="43">
        <f>AS84-AS86</f>
        <v>4.0000000000000008E-2</v>
      </c>
      <c r="AT89" s="39">
        <f>AT84-AT86</f>
        <v>0.04</v>
      </c>
      <c r="AU89" s="310">
        <f>AU84-AU86</f>
        <v>1.1600000000000001E-2</v>
      </c>
      <c r="AV89" s="310">
        <f>AV84-AV86</f>
        <v>0.03</v>
      </c>
      <c r="AW89" s="133">
        <f>SUMPRODUCT(AN83:AQ83,AS89:AV89)/AR83</f>
        <v>2.8960063990692259E-2</v>
      </c>
      <c r="AX89" s="310">
        <f>AX84-AX86</f>
        <v>5.1600000000000007E-2</v>
      </c>
      <c r="AY89" s="310">
        <f>AY84-AY86</f>
        <v>3.7399999999999996E-2</v>
      </c>
      <c r="AZ89" s="130"/>
      <c r="BA89" s="130"/>
      <c r="BB89" s="133"/>
      <c r="BC89" s="130"/>
      <c r="BD89" s="130"/>
      <c r="BE89" s="130"/>
      <c r="BF89" s="130"/>
      <c r="BG89" s="133"/>
      <c r="BH89" s="130"/>
      <c r="BI89" s="130"/>
      <c r="BJ89" s="130"/>
      <c r="BK89" s="130"/>
      <c r="BL89" s="133"/>
      <c r="BM89" s="130"/>
      <c r="BN89" s="130"/>
      <c r="BO89" s="130"/>
      <c r="BP89" s="130"/>
      <c r="BQ89" s="133"/>
      <c r="BR89" s="130"/>
      <c r="BS89" s="130"/>
      <c r="BT89" s="130"/>
      <c r="BU89" s="130"/>
      <c r="BV89" s="133"/>
      <c r="BW89" s="130"/>
      <c r="BX89" s="130"/>
      <c r="BY89" s="130"/>
      <c r="BZ89" s="130"/>
      <c r="CA89" s="133"/>
      <c r="CB89" s="130"/>
      <c r="CC89" s="130"/>
      <c r="CD89" s="130"/>
      <c r="CE89" s="130"/>
      <c r="CF89" s="133"/>
      <c r="CG89" s="130"/>
      <c r="CH89" s="130"/>
      <c r="CI89" s="130"/>
      <c r="CJ89" s="130"/>
      <c r="CK89" s="133"/>
      <c r="CL89"/>
      <c r="CM89"/>
    </row>
    <row r="90" spans="1:105" hidden="1" outlineLevel="1" x14ac:dyDescent="0.2">
      <c r="A90" s="129" t="s">
        <v>202</v>
      </c>
      <c r="B90" s="129"/>
      <c r="E90" s="32"/>
      <c r="F90" s="32"/>
      <c r="G90" s="32"/>
      <c r="H90" s="32"/>
      <c r="I90" s="125"/>
      <c r="J90" s="143"/>
      <c r="K90" s="143"/>
      <c r="L90" s="143"/>
      <c r="M90" s="143"/>
      <c r="N90" s="133">
        <v>0</v>
      </c>
      <c r="O90" s="117">
        <v>0.06</v>
      </c>
      <c r="P90" s="117">
        <v>0.04</v>
      </c>
      <c r="Q90" s="117">
        <v>0.04</v>
      </c>
      <c r="R90" s="117">
        <v>0.14000000000000001</v>
      </c>
      <c r="S90" s="133">
        <v>0.08</v>
      </c>
      <c r="T90" s="117">
        <v>0.13</v>
      </c>
      <c r="U90" s="117">
        <v>0.1</v>
      </c>
      <c r="V90" s="117">
        <v>0.1</v>
      </c>
      <c r="W90" s="117">
        <v>0.02</v>
      </c>
      <c r="X90" s="178">
        <v>0.08</v>
      </c>
      <c r="Y90" s="179">
        <v>0</v>
      </c>
      <c r="Z90" s="179">
        <v>0.39057637028014613</v>
      </c>
      <c r="AA90" s="179">
        <v>0.47605272145144079</v>
      </c>
      <c r="AB90" s="179">
        <v>0.37094911660777374</v>
      </c>
      <c r="AC90" s="178">
        <v>0.34945036420395414</v>
      </c>
      <c r="AD90" s="134">
        <f>AD91-SUM(AD85,AD86,AD89)</f>
        <v>0.50747126436781609</v>
      </c>
      <c r="AE90" s="116">
        <v>0.33</v>
      </c>
      <c r="AF90" s="116">
        <f>(5%*AA6)/AA83</f>
        <v>0.27236657303370787</v>
      </c>
      <c r="AG90" s="116">
        <f>(5.5%*AB6)/AB83</f>
        <v>0.31087328767123285</v>
      </c>
      <c r="AH90" s="133">
        <f>SUMPRODUCT(Y83:AB83,AD90:AG90)/AC83</f>
        <v>0.32580347844199126</v>
      </c>
      <c r="AI90" s="116">
        <v>0.13</v>
      </c>
      <c r="AJ90" s="116">
        <v>0</v>
      </c>
      <c r="AK90" s="116">
        <v>0</v>
      </c>
      <c r="AL90" s="116">
        <v>0</v>
      </c>
      <c r="AM90" s="133">
        <f>SUMPRODUCT(AD83:AG83,AI90:AL90)/AH83</f>
        <v>1.5626524728321135E-2</v>
      </c>
      <c r="AN90" s="116">
        <v>0</v>
      </c>
      <c r="AO90" s="116">
        <v>0</v>
      </c>
      <c r="AP90" s="116">
        <v>0</v>
      </c>
      <c r="AQ90" s="116">
        <v>0</v>
      </c>
      <c r="AR90" s="133">
        <f>SUMPRODUCT(AI83:AL83,AN90:AQ90)/AM83</f>
        <v>0</v>
      </c>
      <c r="AS90" s="117">
        <v>0</v>
      </c>
      <c r="AT90" s="117">
        <v>0</v>
      </c>
      <c r="AU90" s="308">
        <v>0</v>
      </c>
      <c r="AV90" s="308">
        <v>0</v>
      </c>
      <c r="AW90" s="133">
        <v>0</v>
      </c>
      <c r="AX90" s="308">
        <v>0</v>
      </c>
      <c r="AY90" s="308">
        <v>0</v>
      </c>
      <c r="AZ90" s="175"/>
      <c r="BA90" s="175"/>
      <c r="BB90" s="133"/>
      <c r="BC90" s="175"/>
      <c r="BD90" s="175"/>
      <c r="BE90" s="175"/>
      <c r="BF90" s="175"/>
      <c r="BG90" s="133"/>
      <c r="BH90" s="175"/>
      <c r="BI90" s="175"/>
      <c r="BJ90" s="175"/>
      <c r="BK90" s="175"/>
      <c r="BL90" s="133"/>
      <c r="BM90" s="175"/>
      <c r="BN90" s="175"/>
      <c r="BO90" s="175"/>
      <c r="BP90" s="175"/>
      <c r="BQ90" s="133"/>
      <c r="BR90" s="175"/>
      <c r="BS90" s="175"/>
      <c r="BT90" s="175"/>
      <c r="BU90" s="175"/>
      <c r="BV90" s="133"/>
      <c r="BW90" s="175"/>
      <c r="BX90" s="175"/>
      <c r="BY90" s="175"/>
      <c r="BZ90" s="175"/>
      <c r="CA90" s="133"/>
      <c r="CB90" s="175"/>
      <c r="CC90" s="175"/>
      <c r="CD90" s="175"/>
      <c r="CE90" s="175"/>
      <c r="CF90" s="133"/>
      <c r="CG90" s="175"/>
      <c r="CH90" s="175"/>
      <c r="CI90" s="175"/>
      <c r="CJ90" s="175"/>
      <c r="CK90" s="133"/>
      <c r="CL90"/>
      <c r="CM90"/>
    </row>
    <row r="91" spans="1:105" hidden="1" outlineLevel="1" x14ac:dyDescent="0.2">
      <c r="A91" s="135" t="s">
        <v>203</v>
      </c>
      <c r="B91" s="135"/>
      <c r="C91" s="30"/>
      <c r="D91" s="30"/>
      <c r="E91" s="136"/>
      <c r="F91" s="136"/>
      <c r="G91" s="136"/>
      <c r="H91" s="136"/>
      <c r="I91" s="137"/>
      <c r="J91" s="138"/>
      <c r="K91" s="138"/>
      <c r="L91" s="138"/>
      <c r="M91" s="138"/>
      <c r="N91" s="137">
        <f>+N83/I83-1</f>
        <v>0.15621052631578958</v>
      </c>
      <c r="O91" s="138">
        <f>911/J83-1</f>
        <v>0.23108108108108105</v>
      </c>
      <c r="P91" s="138">
        <f>1727/K83-1</f>
        <v>0.23710601719197699</v>
      </c>
      <c r="Q91" s="138">
        <f>1783/L83-1</f>
        <v>0.17379855167873592</v>
      </c>
      <c r="R91" s="138">
        <f>2014/M83-1</f>
        <v>9.6352749047359909E-2</v>
      </c>
      <c r="S91" s="137">
        <f>6435/N83-1</f>
        <v>0.17170429715950464</v>
      </c>
      <c r="T91" s="138">
        <f>+T83/O83-1</f>
        <v>-3.7601626016260159E-2</v>
      </c>
      <c r="U91" s="138">
        <f>+U83/P83-1</f>
        <v>-0.10615133369624385</v>
      </c>
      <c r="V91" s="138">
        <f>+V83/Q83-1</f>
        <v>-2.0386826973340266E-2</v>
      </c>
      <c r="W91" s="138">
        <f>+W83/R83-1</f>
        <v>4.960593416782566E-2</v>
      </c>
      <c r="X91" s="184">
        <v>-2.3799158322449609E-2</v>
      </c>
      <c r="Y91" s="185">
        <v>4.8574445617740158E-2</v>
      </c>
      <c r="Z91" s="185">
        <v>0.47137637028014612</v>
      </c>
      <c r="AA91" s="185">
        <v>0.47385272145144075</v>
      </c>
      <c r="AB91" s="185">
        <v>0.36174911660777376</v>
      </c>
      <c r="AC91" s="184">
        <v>0.37565036420395415</v>
      </c>
      <c r="AD91" s="139">
        <f t="shared" ref="AD91:AY91" si="114">+AD83/Y83-1</f>
        <v>0.55747126436781613</v>
      </c>
      <c r="AE91" s="139">
        <f t="shared" si="114"/>
        <v>0.51881505204163325</v>
      </c>
      <c r="AF91" s="139">
        <f t="shared" si="114"/>
        <v>0.37254213483146059</v>
      </c>
      <c r="AG91" s="136">
        <f t="shared" si="114"/>
        <v>0.30697384806973838</v>
      </c>
      <c r="AH91" s="137">
        <f t="shared" si="114"/>
        <v>0.40876900645698822</v>
      </c>
      <c r="AI91" s="139">
        <f t="shared" si="114"/>
        <v>0.1346863468634687</v>
      </c>
      <c r="AJ91" s="139">
        <f t="shared" si="114"/>
        <v>-4.6652609383236676E-2</v>
      </c>
      <c r="AK91" s="139">
        <f t="shared" si="114"/>
        <v>-5.5768738807879248E-2</v>
      </c>
      <c r="AL91" s="139">
        <f t="shared" si="114"/>
        <v>2.1438780371605626E-2</v>
      </c>
      <c r="AM91" s="137">
        <f>+AM83/AH83-1</f>
        <v>-6.3576550602498783E-3</v>
      </c>
      <c r="AN91" s="139">
        <f t="shared" si="114"/>
        <v>5.257452574525745E-2</v>
      </c>
      <c r="AO91" s="139">
        <f t="shared" si="114"/>
        <v>9.9529997235277001E-3</v>
      </c>
      <c r="AP91" s="139">
        <f t="shared" si="114"/>
        <v>3.4408019506908749E-2</v>
      </c>
      <c r="AQ91" s="139">
        <f t="shared" si="114"/>
        <v>1.1893656716417844E-2</v>
      </c>
      <c r="AR91" s="137">
        <f>+AR83/AM83-1</f>
        <v>2.3138159363142563E-2</v>
      </c>
      <c r="AS91" s="139">
        <f t="shared" si="114"/>
        <v>9.7837281153450029E-3</v>
      </c>
      <c r="AT91" s="138">
        <f t="shared" si="114"/>
        <v>1.0949904188337634E-3</v>
      </c>
      <c r="AU91" s="309">
        <f t="shared" si="114"/>
        <v>-1.4143530644316393E-2</v>
      </c>
      <c r="AV91" s="309">
        <f t="shared" si="114"/>
        <v>-9.9331643235768596E-2</v>
      </c>
      <c r="AW91" s="137">
        <f>+AW83/AR83-1</f>
        <v>-3.3595113438045332E-2</v>
      </c>
      <c r="AX91" s="309">
        <f t="shared" si="114"/>
        <v>-0.24681285058643554</v>
      </c>
      <c r="AY91" s="309">
        <f t="shared" si="114"/>
        <v>-0.23762646978397595</v>
      </c>
      <c r="AZ91" s="136"/>
      <c r="BA91" s="136"/>
      <c r="BB91" s="137"/>
      <c r="BC91" s="136"/>
      <c r="BD91" s="136"/>
      <c r="BE91" s="136"/>
      <c r="BF91" s="136"/>
      <c r="BG91" s="137"/>
      <c r="BH91" s="136"/>
      <c r="BI91" s="136"/>
      <c r="BJ91" s="136"/>
      <c r="BK91" s="136"/>
      <c r="BL91" s="137"/>
      <c r="BM91" s="136"/>
      <c r="BN91" s="136"/>
      <c r="BO91" s="136"/>
      <c r="BP91" s="136"/>
      <c r="BQ91" s="137"/>
      <c r="BR91" s="136"/>
      <c r="BS91" s="136"/>
      <c r="BT91" s="136"/>
      <c r="BU91" s="136"/>
      <c r="BV91" s="137"/>
      <c r="BW91" s="136"/>
      <c r="BX91" s="136"/>
      <c r="BY91" s="136"/>
      <c r="BZ91" s="136"/>
      <c r="CA91" s="137"/>
      <c r="CB91" s="136"/>
      <c r="CC91" s="136"/>
      <c r="CD91" s="136"/>
      <c r="CE91" s="136"/>
      <c r="CF91" s="137"/>
      <c r="CG91" s="136"/>
      <c r="CH91" s="136"/>
      <c r="CI91" s="136"/>
      <c r="CJ91" s="136"/>
      <c r="CK91" s="137"/>
      <c r="CL91"/>
      <c r="CM91"/>
    </row>
    <row r="92" spans="1:105" hidden="1" outlineLevel="1" x14ac:dyDescent="0.2">
      <c r="A92" s="1" t="s">
        <v>33</v>
      </c>
      <c r="B92" s="1"/>
      <c r="C92" s="1"/>
      <c r="D92" s="1"/>
      <c r="E92" s="177">
        <f>+E6-E13-E76-E83</f>
        <v>500</v>
      </c>
      <c r="F92" s="177">
        <f>+F6-F13-F76-F83</f>
        <v>912.5</v>
      </c>
      <c r="G92" s="177">
        <f>+G6-G13-G76-G83</f>
        <v>943.5</v>
      </c>
      <c r="H92" s="177">
        <f>+H6-H13-H76-H83</f>
        <v>1084</v>
      </c>
      <c r="I92" s="140">
        <v>3440</v>
      </c>
      <c r="J92" s="141">
        <f>1828-K92</f>
        <v>664</v>
      </c>
      <c r="K92" s="141">
        <v>1164</v>
      </c>
      <c r="L92" s="141">
        <v>1263</v>
      </c>
      <c r="M92" s="141">
        <v>1483</v>
      </c>
      <c r="N92" s="140">
        <v>4574</v>
      </c>
      <c r="O92" s="141">
        <v>793</v>
      </c>
      <c r="P92" s="141">
        <v>1349</v>
      </c>
      <c r="Q92" s="141">
        <v>1416</v>
      </c>
      <c r="R92" s="141">
        <v>1561</v>
      </c>
      <c r="S92" s="140">
        <v>5119</v>
      </c>
      <c r="T92" s="64">
        <v>876</v>
      </c>
      <c r="U92" s="64">
        <v>1420</v>
      </c>
      <c r="V92" s="64">
        <v>1538</v>
      </c>
      <c r="W92" s="64">
        <v>1744</v>
      </c>
      <c r="X92" s="140">
        <v>5277</v>
      </c>
      <c r="Y92" s="64">
        <v>1029</v>
      </c>
      <c r="Z92" s="64">
        <v>1643</v>
      </c>
      <c r="AA92" s="64">
        <v>1681</v>
      </c>
      <c r="AB92" s="64">
        <v>1938</v>
      </c>
      <c r="AC92" s="140">
        <f>+Y92+Z92+AA92+AB92</f>
        <v>6291</v>
      </c>
      <c r="AD92" s="142">
        <v>1128</v>
      </c>
      <c r="AE92" s="142">
        <v>1923</v>
      </c>
      <c r="AF92" s="142">
        <v>2098</v>
      </c>
      <c r="AG92" s="64">
        <v>2243</v>
      </c>
      <c r="AH92" s="140">
        <f>+AD92+AE92+AF92+AG92</f>
        <v>7392</v>
      </c>
      <c r="AI92" s="142">
        <v>1267</v>
      </c>
      <c r="AJ92" s="142">
        <v>1765</v>
      </c>
      <c r="AK92" s="142">
        <v>1664</v>
      </c>
      <c r="AL92" s="142">
        <v>1957</v>
      </c>
      <c r="AM92" s="140">
        <f>+AI92+AJ92+AK92+AL92</f>
        <v>6653</v>
      </c>
      <c r="AN92" s="142">
        <v>1095</v>
      </c>
      <c r="AO92" s="64">
        <v>1869</v>
      </c>
      <c r="AP92" s="64">
        <v>1608</v>
      </c>
      <c r="AQ92" s="64">
        <v>1935</v>
      </c>
      <c r="AR92" s="140">
        <f>+AN92+AO92+AP92+AQ92</f>
        <v>6507</v>
      </c>
      <c r="AS92" s="64">
        <v>1045</v>
      </c>
      <c r="AT92" s="141">
        <v>1883</v>
      </c>
      <c r="AU92" s="141">
        <v>1781</v>
      </c>
      <c r="AV92" s="64">
        <v>2018</v>
      </c>
      <c r="AW92" s="140">
        <f>+AS92+AT92+AU92+AV92</f>
        <v>6727</v>
      </c>
      <c r="AX92" s="64">
        <v>1070</v>
      </c>
      <c r="AY92" s="64">
        <v>1800</v>
      </c>
      <c r="AZ92" s="64"/>
      <c r="BA92" s="64"/>
      <c r="BB92" s="140"/>
      <c r="BC92" s="64"/>
      <c r="BD92" s="64"/>
      <c r="BE92" s="64"/>
      <c r="BF92" s="64"/>
      <c r="BG92" s="140"/>
      <c r="BH92" s="64"/>
      <c r="BI92" s="64"/>
      <c r="BJ92" s="64"/>
      <c r="BK92" s="64"/>
      <c r="BL92" s="140"/>
      <c r="BM92" s="64"/>
      <c r="BN92" s="64"/>
      <c r="BO92" s="64"/>
      <c r="BP92" s="64"/>
      <c r="BQ92" s="140"/>
      <c r="BR92" s="64"/>
      <c r="BS92" s="64"/>
      <c r="BT92" s="64"/>
      <c r="BU92" s="64"/>
      <c r="BV92" s="140"/>
      <c r="BW92" s="64"/>
      <c r="BX92" s="64"/>
      <c r="BY92" s="64"/>
      <c r="BZ92" s="64"/>
      <c r="CA92" s="140"/>
      <c r="CB92" s="64"/>
      <c r="CC92" s="64"/>
      <c r="CD92" s="64"/>
      <c r="CE92" s="64"/>
      <c r="CF92" s="140"/>
      <c r="CG92" s="64"/>
      <c r="CH92" s="64"/>
      <c r="CI92" s="64"/>
      <c r="CJ92" s="64"/>
      <c r="CK92" s="140"/>
      <c r="CL92"/>
      <c r="CM92"/>
      <c r="CN92" s="27"/>
      <c r="CO92" s="27"/>
      <c r="CP92" s="27"/>
      <c r="CQ92" s="27"/>
      <c r="CR92" s="27"/>
      <c r="CS92" s="27"/>
      <c r="CT92" s="27"/>
      <c r="CU92" s="27"/>
      <c r="CV92" s="27"/>
      <c r="CW92" s="27"/>
      <c r="CX92" s="27"/>
      <c r="CY92" s="27"/>
    </row>
    <row r="93" spans="1:105" hidden="1" outlineLevel="1" x14ac:dyDescent="0.2">
      <c r="A93" s="129" t="s">
        <v>200</v>
      </c>
      <c r="B93" s="129"/>
      <c r="E93" s="32"/>
      <c r="F93" s="32"/>
      <c r="G93" s="32"/>
      <c r="H93" s="32"/>
      <c r="I93" s="133"/>
      <c r="J93" s="126"/>
      <c r="K93" s="126"/>
      <c r="L93" s="126"/>
      <c r="M93" s="126"/>
      <c r="N93" s="133">
        <f>33%-11%-5.5%</f>
        <v>0.16500000000000004</v>
      </c>
      <c r="O93" s="117">
        <f>30%-6%-8%</f>
        <v>0.15999999999999998</v>
      </c>
      <c r="P93" s="117">
        <f>25%-6%</f>
        <v>0.19</v>
      </c>
      <c r="Q93" s="117">
        <f>22%-4%-1%</f>
        <v>0.16999999999999998</v>
      </c>
      <c r="R93" s="117">
        <f>15%+8%-1%</f>
        <v>0.21999999999999997</v>
      </c>
      <c r="S93" s="133">
        <f>22%-2%-1%</f>
        <v>0.19</v>
      </c>
      <c r="T93" s="34">
        <f>18%-2.5%</f>
        <v>0.155</v>
      </c>
      <c r="U93" s="32">
        <f>14%-1%</f>
        <v>0.13</v>
      </c>
      <c r="V93" s="32">
        <f>13%-1%</f>
        <v>0.12000000000000001</v>
      </c>
      <c r="W93" s="32">
        <v>7.0000000000000007E-2</v>
      </c>
      <c r="X93" s="186">
        <v>0.11</v>
      </c>
      <c r="Y93" s="180">
        <v>0.17</v>
      </c>
      <c r="Z93" s="180">
        <v>0.15</v>
      </c>
      <c r="AA93" s="180">
        <v>0.13</v>
      </c>
      <c r="AB93" s="181">
        <v>0.13</v>
      </c>
      <c r="AC93" s="178">
        <v>0.15</v>
      </c>
      <c r="AD93" s="116">
        <f ca="1">AD95+AD98</f>
        <v>7.0000000000000007E-2</v>
      </c>
      <c r="AE93" s="116">
        <v>0.15</v>
      </c>
      <c r="AF93" s="116">
        <v>0.2</v>
      </c>
      <c r="AG93" s="117">
        <f t="shared" ref="AG93:AL93" si="115">+AG95+AG98</f>
        <v>0.17</v>
      </c>
      <c r="AH93" s="133">
        <f t="shared" ca="1" si="115"/>
        <v>0.15643617866793835</v>
      </c>
      <c r="AI93" s="116">
        <f t="shared" si="115"/>
        <v>0.12322695035460995</v>
      </c>
      <c r="AJ93" s="116">
        <f t="shared" si="115"/>
        <v>9.9999999999999992E-2</v>
      </c>
      <c r="AK93" s="116">
        <f t="shared" si="115"/>
        <v>0.1</v>
      </c>
      <c r="AL93" s="116">
        <f t="shared" si="115"/>
        <v>0.10099999999999999</v>
      </c>
      <c r="AM93" s="133">
        <v>0.1</v>
      </c>
      <c r="AN93" s="116">
        <v>0.15</v>
      </c>
      <c r="AO93" s="117">
        <v>0.14000000000000001</v>
      </c>
      <c r="AP93" s="117">
        <v>0.06</v>
      </c>
      <c r="AQ93" s="117">
        <v>0.11</v>
      </c>
      <c r="AR93" s="133">
        <v>0.11</v>
      </c>
      <c r="AS93" s="117">
        <v>0.06</v>
      </c>
      <c r="AT93" s="117">
        <v>7.0000000000000007E-2</v>
      </c>
      <c r="AU93" s="308">
        <v>0.11</v>
      </c>
      <c r="AV93" s="117">
        <v>7.0000000000000007E-2</v>
      </c>
      <c r="AW93" s="133">
        <v>0.08</v>
      </c>
      <c r="AX93" s="117">
        <v>0.05</v>
      </c>
      <c r="AY93" s="117">
        <v>0.05</v>
      </c>
      <c r="AZ93" s="117"/>
      <c r="BA93" s="117"/>
      <c r="BB93" s="133"/>
      <c r="BC93" s="117"/>
      <c r="BD93" s="117"/>
      <c r="BE93" s="117"/>
      <c r="BF93" s="117"/>
      <c r="BG93" s="133"/>
      <c r="BH93" s="117"/>
      <c r="BI93" s="117"/>
      <c r="BJ93" s="117"/>
      <c r="BK93" s="117"/>
      <c r="BL93" s="133"/>
      <c r="BM93" s="117"/>
      <c r="BN93" s="117"/>
      <c r="BO93" s="117"/>
      <c r="BP93" s="117"/>
      <c r="BQ93" s="133"/>
      <c r="BR93" s="117"/>
      <c r="BS93" s="117"/>
      <c r="BT93" s="117"/>
      <c r="BU93" s="117"/>
      <c r="BV93" s="133"/>
      <c r="BW93" s="117"/>
      <c r="BX93" s="117"/>
      <c r="BY93" s="117"/>
      <c r="BZ93" s="117"/>
      <c r="CA93" s="133"/>
      <c r="CB93" s="117"/>
      <c r="CC93" s="117"/>
      <c r="CD93" s="117"/>
      <c r="CE93" s="117"/>
      <c r="CF93" s="133"/>
      <c r="CG93" s="117"/>
      <c r="CH93" s="117"/>
      <c r="CI93" s="117"/>
      <c r="CJ93" s="117"/>
      <c r="CK93" s="133"/>
      <c r="CL93"/>
      <c r="CM93"/>
    </row>
    <row r="94" spans="1:105" hidden="1" outlineLevel="1" x14ac:dyDescent="0.2">
      <c r="A94" s="129" t="s">
        <v>201</v>
      </c>
      <c r="B94" s="129"/>
      <c r="E94" s="32"/>
      <c r="F94" s="32"/>
      <c r="G94" s="32"/>
      <c r="H94" s="32"/>
      <c r="I94" s="133"/>
      <c r="J94" s="126"/>
      <c r="K94" s="126"/>
      <c r="L94" s="126"/>
      <c r="M94" s="126"/>
      <c r="N94" s="127">
        <f>+N100-N93-N99</f>
        <v>5.4651162790697691E-2</v>
      </c>
      <c r="O94" s="126">
        <f t="shared" ref="O94:W94" si="116">+O100-O93-O99</f>
        <v>8.4216867469879553E-2</v>
      </c>
      <c r="P94" s="126">
        <f t="shared" si="116"/>
        <v>6.3436426116838474E-2</v>
      </c>
      <c r="Q94" s="126">
        <f t="shared" si="116"/>
        <v>4.4069675376088698E-2</v>
      </c>
      <c r="R94" s="126">
        <f t="shared" si="116"/>
        <v>-8.09777478084963E-2</v>
      </c>
      <c r="S94" s="127">
        <f t="shared" si="116"/>
        <v>8.845649322256139E-3</v>
      </c>
      <c r="T94" s="128">
        <f t="shared" si="116"/>
        <v>-7.5334174022698541E-2</v>
      </c>
      <c r="U94" s="132">
        <f t="shared" si="116"/>
        <v>-8.7368421052631637E-2</v>
      </c>
      <c r="V94" s="132">
        <f t="shared" si="116"/>
        <v>-4.3841807909604465E-2</v>
      </c>
      <c r="W94" s="132">
        <f t="shared" si="116"/>
        <v>4.7232543241511771E-2</v>
      </c>
      <c r="X94" s="186">
        <v>-3.0334049619066168E-2</v>
      </c>
      <c r="Y94" s="180">
        <v>5.2876712328767179E-2</v>
      </c>
      <c r="Z94" s="180">
        <v>6.478873239436625E-2</v>
      </c>
      <c r="AA94" s="180">
        <v>1.889466840052012E-2</v>
      </c>
      <c r="AB94" s="179">
        <v>0.03</v>
      </c>
      <c r="AC94" s="178">
        <v>0.04</v>
      </c>
      <c r="AD94" s="116">
        <v>0.02</v>
      </c>
      <c r="AE94" s="116">
        <v>0.02</v>
      </c>
      <c r="AF94" s="116">
        <v>0.05</v>
      </c>
      <c r="AG94" s="117">
        <v>-0.01</v>
      </c>
      <c r="AH94" s="133">
        <f>SUMPRODUCT(Y92:AB92,AD94:AG94)/AC92</f>
        <v>1.8774439675727232E-2</v>
      </c>
      <c r="AI94" s="116">
        <v>0</v>
      </c>
      <c r="AJ94" s="116">
        <v>-0.04</v>
      </c>
      <c r="AK94" s="116">
        <v>-0.04</v>
      </c>
      <c r="AL94" s="116">
        <v>-0.01</v>
      </c>
      <c r="AM94" s="133">
        <v>-0.03</v>
      </c>
      <c r="AN94" s="116">
        <v>-0.02</v>
      </c>
      <c r="AO94" s="117">
        <v>-0.03</v>
      </c>
      <c r="AP94" s="117">
        <v>-0.04</v>
      </c>
      <c r="AQ94" s="117">
        <v>-0.06</v>
      </c>
      <c r="AR94" s="133">
        <v>-0.04</v>
      </c>
      <c r="AS94" s="117">
        <v>-0.05</v>
      </c>
      <c r="AT94" s="117">
        <v>-0.05</v>
      </c>
      <c r="AU94" s="308">
        <v>-0.01</v>
      </c>
      <c r="AV94" s="117">
        <v>-0.02</v>
      </c>
      <c r="AW94" s="133">
        <v>-0.03</v>
      </c>
      <c r="AX94" s="117">
        <v>-2.5000000000000001E-2</v>
      </c>
      <c r="AY94" s="117">
        <v>-0.04</v>
      </c>
      <c r="AZ94" s="117"/>
      <c r="BA94" s="117"/>
      <c r="BB94" s="133"/>
      <c r="BC94" s="117"/>
      <c r="BD94" s="117"/>
      <c r="BE94" s="117"/>
      <c r="BF94" s="117"/>
      <c r="BG94" s="133"/>
      <c r="BH94" s="117"/>
      <c r="BI94" s="117"/>
      <c r="BJ94" s="117"/>
      <c r="BK94" s="117"/>
      <c r="BL94" s="133"/>
      <c r="BM94" s="117"/>
      <c r="BN94" s="117"/>
      <c r="BO94" s="117"/>
      <c r="BP94" s="117"/>
      <c r="BQ94" s="133"/>
      <c r="BR94" s="117"/>
      <c r="BS94" s="117"/>
      <c r="BT94" s="117"/>
      <c r="BU94" s="117"/>
      <c r="BV94" s="133"/>
      <c r="BW94" s="117"/>
      <c r="BX94" s="117"/>
      <c r="BY94" s="117"/>
      <c r="BZ94" s="117"/>
      <c r="CA94" s="133"/>
      <c r="CB94" s="117"/>
      <c r="CC94" s="117"/>
      <c r="CD94" s="117"/>
      <c r="CE94" s="117"/>
      <c r="CF94" s="133"/>
      <c r="CG94" s="117"/>
      <c r="CH94" s="117"/>
      <c r="CI94" s="117"/>
      <c r="CJ94" s="117"/>
      <c r="CK94" s="133"/>
      <c r="CL94"/>
      <c r="CM94"/>
    </row>
    <row r="95" spans="1:105" hidden="1" outlineLevel="1" x14ac:dyDescent="0.2">
      <c r="A95" s="129" t="s">
        <v>34</v>
      </c>
      <c r="B95" s="129"/>
      <c r="E95" s="32"/>
      <c r="F95" s="32"/>
      <c r="G95" s="32"/>
      <c r="H95" s="32"/>
      <c r="I95" s="133"/>
      <c r="J95" s="126"/>
      <c r="K95" s="126"/>
      <c r="L95" s="126"/>
      <c r="M95" s="126"/>
      <c r="N95" s="127">
        <f t="shared" ref="N95:W95" si="117">+$C96*N96+$C97*N97</f>
        <v>0.1268</v>
      </c>
      <c r="O95" s="126">
        <f t="shared" si="117"/>
        <v>0.1268</v>
      </c>
      <c r="P95" s="126">
        <f t="shared" si="117"/>
        <v>0.11260000000000001</v>
      </c>
      <c r="Q95" s="126">
        <f t="shared" si="117"/>
        <v>9.7479999999999997E-2</v>
      </c>
      <c r="R95" s="126">
        <f t="shared" si="117"/>
        <v>0.10899999999999999</v>
      </c>
      <c r="S95" s="127">
        <f t="shared" si="117"/>
        <v>0.10580000000000001</v>
      </c>
      <c r="T95" s="128">
        <f t="shared" si="117"/>
        <v>9.1599999999999987E-2</v>
      </c>
      <c r="U95" s="132">
        <f t="shared" si="117"/>
        <v>5.8999999999999997E-2</v>
      </c>
      <c r="V95" s="132">
        <f t="shared" si="117"/>
        <v>7.7399999999999997E-2</v>
      </c>
      <c r="W95" s="132">
        <f t="shared" si="117"/>
        <v>6.6799999999999998E-2</v>
      </c>
      <c r="X95" s="186">
        <v>7.5799999999999992E-2</v>
      </c>
      <c r="Y95" s="180">
        <v>0.1</v>
      </c>
      <c r="Z95" s="180">
        <v>9.6799999999999997E-2</v>
      </c>
      <c r="AA95" s="180">
        <v>8.4100000000000008E-2</v>
      </c>
      <c r="AB95" s="179">
        <v>9.2599999999999988E-2</v>
      </c>
      <c r="AC95" s="178">
        <v>9.5200000000000007E-2</v>
      </c>
      <c r="AD95" s="116">
        <f>+$C96*AD96+$C97*AD97</f>
        <v>7.8100000000000003E-2</v>
      </c>
      <c r="AE95" s="116">
        <f>+$C96*AE96+$C97*AE97</f>
        <v>9.7799999999999998E-2</v>
      </c>
      <c r="AF95" s="116">
        <f>+$C96*AF96+$C97*AF97</f>
        <v>0.10199999999999999</v>
      </c>
      <c r="AG95" s="34">
        <f>+$C96*AG96+$C97*AG97</f>
        <v>8.0399999999999999E-2</v>
      </c>
      <c r="AH95" s="133">
        <f>SUMPRODUCT(Y92:AB92,AD95:AG95)/AC92</f>
        <v>9.0339771101573679E-2</v>
      </c>
      <c r="AI95" s="116">
        <f>AI100-AI99-AI98-AI94</f>
        <v>5.3226950354609948E-2</v>
      </c>
      <c r="AJ95" s="116">
        <v>0.09</v>
      </c>
      <c r="AK95" s="116">
        <v>9.5000000000000001E-2</v>
      </c>
      <c r="AL95" s="116">
        <f>+$C96*AL96+$C97*AL97</f>
        <v>9.0999999999999998E-2</v>
      </c>
      <c r="AM95" s="133">
        <f>SUMPRODUCT(AD92:AG92,AI95:AL95)/AH92</f>
        <v>8.6111066017316024E-2</v>
      </c>
      <c r="AN95" s="116">
        <f>AN93-AN98</f>
        <v>0.15</v>
      </c>
      <c r="AO95" s="116">
        <f>+$C96*AO96+$C97*AO97</f>
        <v>7.4499999999999997E-2</v>
      </c>
      <c r="AP95" s="116">
        <f>+$C96*AP96+$C97*AP97</f>
        <v>5.2400000000000002E-2</v>
      </c>
      <c r="AQ95" s="34">
        <f>+$C96*AQ96+$C97*AQ97</f>
        <v>6.3700000000000007E-2</v>
      </c>
      <c r="AR95" s="133">
        <f>SUMPRODUCT(AI92:AL92,AN95:AQ95)/AM92</f>
        <v>8.0173906508342108E-2</v>
      </c>
      <c r="AS95" s="34">
        <f>+$C96*AS96+$C97*AS97</f>
        <v>2.2599999999999999E-2</v>
      </c>
      <c r="AT95" s="34">
        <f>+$C96*AT96+$C97*AT97</f>
        <v>4.1000000000000002E-2</v>
      </c>
      <c r="AU95" s="308">
        <f>+$C96*AU96+$C97*AU97</f>
        <v>6.359999999999999E-2</v>
      </c>
      <c r="AV95" s="117">
        <v>7.0000000000000007E-2</v>
      </c>
      <c r="AW95" s="133">
        <f>SUMPRODUCT(AN92:AQ92,AS95:AV95)/AR92</f>
        <v>5.2112309820193631E-2</v>
      </c>
      <c r="AX95" s="117">
        <v>0.08</v>
      </c>
      <c r="AY95" s="117">
        <v>0.03</v>
      </c>
      <c r="AZ95" s="34"/>
      <c r="BA95" s="34"/>
      <c r="BB95" s="133"/>
      <c r="BC95" s="34"/>
      <c r="BD95" s="34"/>
      <c r="BE95" s="34"/>
      <c r="BF95" s="34"/>
      <c r="BG95" s="133"/>
      <c r="BH95" s="34"/>
      <c r="BI95" s="34"/>
      <c r="BJ95" s="34"/>
      <c r="BK95" s="34"/>
      <c r="BL95" s="133"/>
      <c r="BM95" s="34"/>
      <c r="BN95" s="34"/>
      <c r="BO95" s="34"/>
      <c r="BP95" s="34"/>
      <c r="BQ95" s="133"/>
      <c r="BR95" s="34"/>
      <c r="BS95" s="34"/>
      <c r="BT95" s="34"/>
      <c r="BU95" s="34"/>
      <c r="BV95" s="133"/>
      <c r="BW95" s="34"/>
      <c r="BX95" s="34"/>
      <c r="BY95" s="34"/>
      <c r="BZ95" s="34"/>
      <c r="CA95" s="133"/>
      <c r="CB95" s="34"/>
      <c r="CC95" s="34"/>
      <c r="CD95" s="34"/>
      <c r="CE95" s="34"/>
      <c r="CF95" s="133"/>
      <c r="CG95" s="34"/>
      <c r="CH95" s="34"/>
      <c r="CI95" s="34"/>
      <c r="CJ95" s="34"/>
      <c r="CK95" s="133"/>
      <c r="CL95"/>
      <c r="CM95"/>
    </row>
    <row r="96" spans="1:105" hidden="1" outlineLevel="1" x14ac:dyDescent="0.2">
      <c r="A96" s="129"/>
      <c r="B96" s="129" t="s">
        <v>30</v>
      </c>
      <c r="C96" s="182">
        <v>0.42</v>
      </c>
      <c r="E96" s="32"/>
      <c r="F96" s="32"/>
      <c r="G96" s="32"/>
      <c r="H96" s="32"/>
      <c r="I96" s="133"/>
      <c r="J96" s="117"/>
      <c r="K96" s="117"/>
      <c r="L96" s="117"/>
      <c r="M96" s="117"/>
      <c r="N96" s="133">
        <f>19%-4%</f>
        <v>0.15</v>
      </c>
      <c r="O96" s="117">
        <v>0.15</v>
      </c>
      <c r="P96" s="117">
        <v>0.13</v>
      </c>
      <c r="Q96" s="117">
        <v>9.4E-2</v>
      </c>
      <c r="R96" s="117">
        <v>0.08</v>
      </c>
      <c r="S96" s="133">
        <v>0.1</v>
      </c>
      <c r="T96" s="34">
        <v>0.08</v>
      </c>
      <c r="U96" s="32">
        <v>0.03</v>
      </c>
      <c r="V96" s="32">
        <f>8%-2%</f>
        <v>0.06</v>
      </c>
      <c r="W96" s="32">
        <f>13%-4%</f>
        <v>0.09</v>
      </c>
      <c r="X96" s="186">
        <v>7.0000000000000007E-2</v>
      </c>
      <c r="Y96" s="180">
        <v>0.1</v>
      </c>
      <c r="Z96" s="180">
        <v>0.12</v>
      </c>
      <c r="AA96" s="180">
        <v>0.14499999999999999</v>
      </c>
      <c r="AB96" s="179">
        <v>0.11</v>
      </c>
      <c r="AC96" s="178">
        <v>0.13</v>
      </c>
      <c r="AD96" s="116">
        <v>0.11</v>
      </c>
      <c r="AE96" s="116">
        <v>0.15</v>
      </c>
      <c r="AF96" s="116">
        <v>0.16</v>
      </c>
      <c r="AG96" s="34">
        <v>0.15</v>
      </c>
      <c r="AH96" s="133">
        <f>SUMPRODUCT(Y92:AB92,AD96:AG96)/AC92</f>
        <v>0.14612939119376886</v>
      </c>
      <c r="AI96" s="116">
        <v>0.16</v>
      </c>
      <c r="AJ96" s="116">
        <v>0.19</v>
      </c>
      <c r="AK96" s="174">
        <v>0.13</v>
      </c>
      <c r="AL96" s="174">
        <v>0.12</v>
      </c>
      <c r="AM96" s="133">
        <f>SUMPRODUCT(AD92:AG92,AI96:AL96)/AH92</f>
        <v>0.14715232683982685</v>
      </c>
      <c r="AN96" s="116">
        <v>0.15</v>
      </c>
      <c r="AO96" s="116">
        <v>0.06</v>
      </c>
      <c r="AP96" s="116">
        <v>3.5000000000000003E-2</v>
      </c>
      <c r="AQ96" s="116">
        <v>5.5E-2</v>
      </c>
      <c r="AR96" s="133">
        <f>SUMPRODUCT(AI92:AL92,AN96:AQ96)/AM92</f>
        <v>6.9416052908462353E-2</v>
      </c>
      <c r="AS96" s="34">
        <v>0.04</v>
      </c>
      <c r="AT96" s="34">
        <v>7.0000000000000007E-2</v>
      </c>
      <c r="AU96" s="308">
        <v>0.11</v>
      </c>
      <c r="AV96" s="308">
        <v>0.08</v>
      </c>
      <c r="AW96" s="133">
        <v>0.08</v>
      </c>
      <c r="AX96" s="308">
        <v>0.09</v>
      </c>
      <c r="AY96" s="308">
        <v>0.06</v>
      </c>
      <c r="AZ96" s="183"/>
      <c r="BA96" s="183"/>
      <c r="BB96" s="133"/>
      <c r="BC96" s="183"/>
      <c r="BD96" s="183"/>
      <c r="BE96" s="183"/>
      <c r="BF96" s="183"/>
      <c r="BG96" s="133"/>
      <c r="BH96" s="183"/>
      <c r="BI96" s="183"/>
      <c r="BJ96" s="183"/>
      <c r="BK96" s="183"/>
      <c r="BL96" s="133"/>
      <c r="BM96" s="183"/>
      <c r="BN96" s="183"/>
      <c r="BO96" s="183"/>
      <c r="BP96" s="183"/>
      <c r="BQ96" s="133"/>
      <c r="BR96" s="183"/>
      <c r="BS96" s="183"/>
      <c r="BT96" s="183"/>
      <c r="BU96" s="183"/>
      <c r="BV96" s="133"/>
      <c r="BW96" s="183"/>
      <c r="BX96" s="183"/>
      <c r="BY96" s="183"/>
      <c r="BZ96" s="183"/>
      <c r="CA96" s="133"/>
      <c r="CB96" s="183"/>
      <c r="CC96" s="183"/>
      <c r="CD96" s="183"/>
      <c r="CE96" s="183"/>
      <c r="CF96" s="133"/>
      <c r="CG96" s="183"/>
      <c r="CH96" s="183"/>
      <c r="CI96" s="183"/>
      <c r="CJ96" s="183"/>
      <c r="CK96" s="133"/>
      <c r="CL96"/>
      <c r="CM96"/>
    </row>
    <row r="97" spans="1:103" hidden="1" outlineLevel="1" x14ac:dyDescent="0.2">
      <c r="A97" s="129"/>
      <c r="B97" s="129" t="s">
        <v>31</v>
      </c>
      <c r="C97" s="182">
        <v>0.57999999999999996</v>
      </c>
      <c r="E97" s="32"/>
      <c r="F97" s="32"/>
      <c r="G97" s="32"/>
      <c r="H97" s="32"/>
      <c r="I97" s="133"/>
      <c r="J97" s="117"/>
      <c r="K97" s="117"/>
      <c r="L97" s="117"/>
      <c r="M97" s="117"/>
      <c r="N97" s="133">
        <v>0.11</v>
      </c>
      <c r="O97" s="117">
        <v>0.11</v>
      </c>
      <c r="P97" s="117">
        <v>0.1</v>
      </c>
      <c r="Q97" s="117">
        <v>0.1</v>
      </c>
      <c r="R97" s="117">
        <v>0.13</v>
      </c>
      <c r="S97" s="133">
        <v>0.11</v>
      </c>
      <c r="T97" s="34">
        <v>0.1</v>
      </c>
      <c r="U97" s="32">
        <v>0.08</v>
      </c>
      <c r="V97" s="32">
        <v>0.09</v>
      </c>
      <c r="W97" s="32">
        <v>0.05</v>
      </c>
      <c r="X97" s="186">
        <v>0.08</v>
      </c>
      <c r="Y97" s="180">
        <v>0.1</v>
      </c>
      <c r="Z97" s="180">
        <v>0.08</v>
      </c>
      <c r="AA97" s="180">
        <v>0.04</v>
      </c>
      <c r="AB97" s="179">
        <v>0.08</v>
      </c>
      <c r="AC97" s="178">
        <v>7.0000000000000007E-2</v>
      </c>
      <c r="AD97" s="116">
        <v>5.5E-2</v>
      </c>
      <c r="AE97" s="116">
        <v>0.06</v>
      </c>
      <c r="AF97" s="116">
        <v>0.06</v>
      </c>
      <c r="AG97" s="34">
        <v>0.03</v>
      </c>
      <c r="AH97" s="133">
        <f>SUMPRODUCT(Y92:AB92,AD97:AG97)/AC92</f>
        <v>4.994039103481164E-2</v>
      </c>
      <c r="AI97" s="116">
        <v>0.02</v>
      </c>
      <c r="AJ97" s="116">
        <v>0.06</v>
      </c>
      <c r="AK97" s="174">
        <v>0.08</v>
      </c>
      <c r="AL97" s="174">
        <v>7.0000000000000007E-2</v>
      </c>
      <c r="AM97" s="133">
        <f>SUMPRODUCT(AD92:AG92,AI97:AL97)/AH92</f>
        <v>6.2606872294372284E-2</v>
      </c>
      <c r="AN97" s="116">
        <v>0.1</v>
      </c>
      <c r="AO97" s="116">
        <v>8.5000000000000006E-2</v>
      </c>
      <c r="AP97" s="116">
        <v>6.5000000000000002E-2</v>
      </c>
      <c r="AQ97" s="116">
        <v>7.0000000000000007E-2</v>
      </c>
      <c r="AR97" s="133">
        <f>SUMPRODUCT(AI92:AL92,AN97:AQ97)/AM92</f>
        <v>7.8442056215241251E-2</v>
      </c>
      <c r="AS97" s="34">
        <v>0.01</v>
      </c>
      <c r="AT97" s="34">
        <v>0.02</v>
      </c>
      <c r="AU97" s="308">
        <v>0.03</v>
      </c>
      <c r="AV97" s="308">
        <v>1.4999999999999999E-2</v>
      </c>
      <c r="AW97" s="133">
        <v>0.02</v>
      </c>
      <c r="AX97" s="308">
        <v>0.01</v>
      </c>
      <c r="AY97" s="308">
        <v>0.01</v>
      </c>
      <c r="AZ97" s="183"/>
      <c r="BA97" s="183"/>
      <c r="BB97" s="133"/>
      <c r="BC97" s="183"/>
      <c r="BD97" s="183"/>
      <c r="BE97" s="183"/>
      <c r="BF97" s="183"/>
      <c r="BG97" s="133"/>
      <c r="BH97" s="183"/>
      <c r="BI97" s="183"/>
      <c r="BJ97" s="183"/>
      <c r="BK97" s="183"/>
      <c r="BL97" s="133"/>
      <c r="BM97" s="183"/>
      <c r="BN97" s="183"/>
      <c r="BO97" s="183"/>
      <c r="BP97" s="183"/>
      <c r="BQ97" s="133"/>
      <c r="BR97" s="183"/>
      <c r="BS97" s="183"/>
      <c r="BT97" s="183"/>
      <c r="BU97" s="183"/>
      <c r="BV97" s="133"/>
      <c r="BW97" s="183"/>
      <c r="BX97" s="183"/>
      <c r="BY97" s="183"/>
      <c r="BZ97" s="183"/>
      <c r="CA97" s="133"/>
      <c r="CB97" s="183"/>
      <c r="CC97" s="183"/>
      <c r="CD97" s="183"/>
      <c r="CE97" s="183"/>
      <c r="CF97" s="133"/>
      <c r="CG97" s="183"/>
      <c r="CH97" s="183"/>
      <c r="CI97" s="183"/>
      <c r="CJ97" s="183"/>
      <c r="CK97" s="133"/>
      <c r="CL97"/>
      <c r="CM97"/>
    </row>
    <row r="98" spans="1:103" hidden="1" outlineLevel="1" x14ac:dyDescent="0.2">
      <c r="A98" s="129" t="s">
        <v>6</v>
      </c>
      <c r="B98" s="129"/>
      <c r="E98" s="32"/>
      <c r="F98" s="32"/>
      <c r="G98" s="32"/>
      <c r="H98" s="32"/>
      <c r="I98" s="133"/>
      <c r="J98" s="126"/>
      <c r="K98" s="126"/>
      <c r="L98" s="126"/>
      <c r="M98" s="126"/>
      <c r="N98" s="127">
        <f>+N93-N95</f>
        <v>3.8200000000000039E-2</v>
      </c>
      <c r="O98" s="126">
        <f>+O93-O95</f>
        <v>3.319999999999998E-2</v>
      </c>
      <c r="P98" s="126">
        <f>+P93-P95</f>
        <v>7.7399999999999997E-2</v>
      </c>
      <c r="Q98" s="126">
        <f>+Q93-Q95</f>
        <v>7.2519999999999987E-2</v>
      </c>
      <c r="R98" s="126">
        <f t="shared" ref="R98:W98" si="118">+R93-R95</f>
        <v>0.11099999999999999</v>
      </c>
      <c r="S98" s="127">
        <f t="shared" si="118"/>
        <v>8.4199999999999997E-2</v>
      </c>
      <c r="T98" s="126">
        <f t="shared" si="118"/>
        <v>6.3400000000000012E-2</v>
      </c>
      <c r="U98" s="143">
        <f t="shared" si="118"/>
        <v>7.1000000000000008E-2</v>
      </c>
      <c r="V98" s="143">
        <f t="shared" si="118"/>
        <v>4.2600000000000013E-2</v>
      </c>
      <c r="W98" s="143">
        <f t="shared" si="118"/>
        <v>3.2000000000000084E-3</v>
      </c>
      <c r="X98" s="186">
        <v>3.4200000000000008E-2</v>
      </c>
      <c r="Y98" s="181">
        <v>7.0000000000000007E-2</v>
      </c>
      <c r="Z98" s="181">
        <v>5.3199999999999997E-2</v>
      </c>
      <c r="AA98" s="181">
        <v>4.5899999999999996E-2</v>
      </c>
      <c r="AB98" s="181">
        <v>3.7400000000000017E-2</v>
      </c>
      <c r="AC98" s="178">
        <v>0.05</v>
      </c>
      <c r="AD98" s="134">
        <f ca="1">AD100-AD99-AD95-AD94</f>
        <v>-8.0999999999999926E-3</v>
      </c>
      <c r="AE98" s="134">
        <f>AE93-AE95</f>
        <v>5.2199999999999996E-2</v>
      </c>
      <c r="AF98" s="116">
        <f>AF93-AF95</f>
        <v>9.8000000000000018E-2</v>
      </c>
      <c r="AG98" s="32">
        <f>17%-AG95</f>
        <v>8.9600000000000013E-2</v>
      </c>
      <c r="AH98" s="133">
        <f ca="1">SUMPRODUCT(Y92:AB92,AD98:AG98)/AC92</f>
        <v>6.6096407566364659E-2</v>
      </c>
      <c r="AI98" s="116">
        <v>7.0000000000000007E-2</v>
      </c>
      <c r="AJ98" s="116">
        <v>0.01</v>
      </c>
      <c r="AK98" s="116">
        <v>5.0000000000000001E-3</v>
      </c>
      <c r="AL98" s="116">
        <v>0.01</v>
      </c>
      <c r="AM98" s="133">
        <f>SUMPRODUCT(AD92:AG92,AI98:AL98)/AH92</f>
        <v>1.7736742424242426E-2</v>
      </c>
      <c r="AN98" s="116">
        <v>0</v>
      </c>
      <c r="AO98" s="116">
        <f>AO93-AO95</f>
        <v>6.5500000000000017E-2</v>
      </c>
      <c r="AP98" s="116">
        <f>AP93-AP95</f>
        <v>7.5999999999999956E-3</v>
      </c>
      <c r="AQ98" s="116">
        <f>AQ93-AQ95</f>
        <v>4.6299999999999994E-2</v>
      </c>
      <c r="AR98" s="133">
        <f>SUMPRODUCT(AI92:AL92,AN98:AQ98)/AM92</f>
        <v>3.2896888621674433E-2</v>
      </c>
      <c r="AS98" s="116">
        <f>AS93-AS95</f>
        <v>3.7400000000000003E-2</v>
      </c>
      <c r="AT98" s="116">
        <f>AT93-AT95</f>
        <v>2.9000000000000005E-2</v>
      </c>
      <c r="AU98" s="308">
        <f>AU93-AU95</f>
        <v>4.6400000000000011E-2</v>
      </c>
      <c r="AV98" s="308">
        <v>-5.0000000000000001E-3</v>
      </c>
      <c r="AW98" s="133">
        <f>AW93-AW95</f>
        <v>2.7887690179806371E-2</v>
      </c>
      <c r="AX98" s="308">
        <f>AX93-AX95</f>
        <v>-0.03</v>
      </c>
      <c r="AY98" s="308">
        <f>AY93-AY95</f>
        <v>2.0000000000000004E-2</v>
      </c>
      <c r="AZ98" s="183"/>
      <c r="BA98" s="183"/>
      <c r="BB98" s="133"/>
      <c r="BC98" s="183"/>
      <c r="BD98" s="183"/>
      <c r="BE98" s="183"/>
      <c r="BF98" s="183"/>
      <c r="BG98" s="133"/>
      <c r="BH98" s="183"/>
      <c r="BI98" s="183"/>
      <c r="BJ98" s="183"/>
      <c r="BK98" s="183"/>
      <c r="BL98" s="133"/>
      <c r="BM98" s="183"/>
      <c r="BN98" s="183"/>
      <c r="BO98" s="183"/>
      <c r="BP98" s="183"/>
      <c r="BQ98" s="133"/>
      <c r="BR98" s="183"/>
      <c r="BS98" s="183"/>
      <c r="BT98" s="183"/>
      <c r="BU98" s="183"/>
      <c r="BV98" s="133"/>
      <c r="BW98" s="183"/>
      <c r="BX98" s="183"/>
      <c r="BY98" s="183"/>
      <c r="BZ98" s="183"/>
      <c r="CA98" s="133"/>
      <c r="CB98" s="183"/>
      <c r="CC98" s="183"/>
      <c r="CD98" s="183"/>
      <c r="CE98" s="183"/>
      <c r="CF98" s="133"/>
      <c r="CG98" s="183"/>
      <c r="CH98" s="183"/>
      <c r="CI98" s="183"/>
      <c r="CJ98" s="183"/>
      <c r="CK98" s="133"/>
      <c r="CL98"/>
      <c r="CM98"/>
    </row>
    <row r="99" spans="1:103" hidden="1" outlineLevel="1" x14ac:dyDescent="0.2">
      <c r="A99" s="129" t="s">
        <v>202</v>
      </c>
      <c r="B99" s="129"/>
      <c r="E99" s="32"/>
      <c r="F99" s="32"/>
      <c r="G99" s="32"/>
      <c r="H99" s="32"/>
      <c r="I99" s="133"/>
      <c r="J99" s="126"/>
      <c r="K99" s="126"/>
      <c r="L99" s="126"/>
      <c r="M99" s="126"/>
      <c r="N99" s="133">
        <v>0.11</v>
      </c>
      <c r="O99" s="117">
        <v>0.06</v>
      </c>
      <c r="P99" s="117">
        <v>0</v>
      </c>
      <c r="Q99" s="117">
        <v>0.01</v>
      </c>
      <c r="R99" s="117">
        <v>0.01</v>
      </c>
      <c r="S99" s="133">
        <v>0.02</v>
      </c>
      <c r="T99" s="34">
        <v>2.5000000000000001E-2</v>
      </c>
      <c r="U99" s="32">
        <v>0.01</v>
      </c>
      <c r="V99" s="32">
        <v>0.01</v>
      </c>
      <c r="W99" s="32">
        <v>0</v>
      </c>
      <c r="X99" s="186">
        <v>0.01</v>
      </c>
      <c r="Y99" s="180">
        <v>0.01</v>
      </c>
      <c r="Z99" s="180">
        <v>0</v>
      </c>
      <c r="AA99" s="180">
        <v>0</v>
      </c>
      <c r="AB99" s="180">
        <v>0</v>
      </c>
      <c r="AC99" s="178">
        <v>0</v>
      </c>
      <c r="AD99" s="134">
        <f>1%*C96</f>
        <v>4.1999999999999997E-3</v>
      </c>
      <c r="AE99" s="116">
        <v>0</v>
      </c>
      <c r="AF99" s="116">
        <v>0</v>
      </c>
      <c r="AG99" s="116">
        <v>0</v>
      </c>
      <c r="AH99" s="133">
        <f>SUMPRODUCT(Y92:AB92,AD99:AG99)/AC92</f>
        <v>6.8698140200286115E-4</v>
      </c>
      <c r="AI99" s="116">
        <v>0</v>
      </c>
      <c r="AJ99" s="116">
        <v>-0.15</v>
      </c>
      <c r="AK99" s="116">
        <v>-0.27</v>
      </c>
      <c r="AL99" s="116">
        <v>-0.19</v>
      </c>
      <c r="AM99" s="133">
        <v>-0.17</v>
      </c>
      <c r="AN99" s="116">
        <v>-0.27</v>
      </c>
      <c r="AO99" s="116">
        <v>-0.06</v>
      </c>
      <c r="AP99" s="116">
        <v>-0.05</v>
      </c>
      <c r="AQ99" s="116">
        <v>-0.06</v>
      </c>
      <c r="AR99" s="133">
        <v>-0.1</v>
      </c>
      <c r="AS99" s="116">
        <v>-0.05</v>
      </c>
      <c r="AT99" s="116">
        <v>-0.02</v>
      </c>
      <c r="AU99" s="308">
        <v>0</v>
      </c>
      <c r="AV99" s="308">
        <v>-0.01</v>
      </c>
      <c r="AW99" s="133">
        <f>SUMPRODUCT(AN92:AQ92,AS99:AV99)/AR92</f>
        <v>-1.7132319041032733E-2</v>
      </c>
      <c r="AX99" s="308">
        <v>0</v>
      </c>
      <c r="AY99" s="308">
        <v>-5.5E-2</v>
      </c>
      <c r="AZ99" s="175"/>
      <c r="BA99" s="175"/>
      <c r="BB99" s="133"/>
      <c r="BC99" s="175"/>
      <c r="BD99" s="175"/>
      <c r="BE99" s="175"/>
      <c r="BF99" s="175"/>
      <c r="BG99" s="133"/>
      <c r="BH99" s="175"/>
      <c r="BI99" s="175"/>
      <c r="BJ99" s="175"/>
      <c r="BK99" s="175"/>
      <c r="BL99" s="133"/>
      <c r="BM99" s="175"/>
      <c r="BN99" s="175"/>
      <c r="BO99" s="175"/>
      <c r="BP99" s="175"/>
      <c r="BQ99" s="133"/>
      <c r="BR99" s="175"/>
      <c r="BS99" s="175"/>
      <c r="BT99" s="175"/>
      <c r="BU99" s="175"/>
      <c r="BV99" s="133"/>
      <c r="BW99" s="175"/>
      <c r="BX99" s="175"/>
      <c r="BY99" s="175"/>
      <c r="BZ99" s="175"/>
      <c r="CA99" s="133"/>
      <c r="CB99" s="175"/>
      <c r="CC99" s="175"/>
      <c r="CD99" s="175"/>
      <c r="CE99" s="175"/>
      <c r="CF99" s="133"/>
      <c r="CG99" s="175"/>
      <c r="CH99" s="175"/>
      <c r="CI99" s="175"/>
      <c r="CJ99" s="175"/>
      <c r="CK99" s="133"/>
      <c r="CL99"/>
      <c r="CM99"/>
    </row>
    <row r="100" spans="1:103" hidden="1" outlineLevel="1" x14ac:dyDescent="0.2">
      <c r="A100" s="135" t="s">
        <v>203</v>
      </c>
      <c r="B100" s="135"/>
      <c r="C100" s="30"/>
      <c r="D100" s="30"/>
      <c r="E100" s="136"/>
      <c r="F100" s="136"/>
      <c r="G100" s="136"/>
      <c r="H100" s="136"/>
      <c r="I100" s="137"/>
      <c r="J100" s="138"/>
      <c r="K100" s="138"/>
      <c r="L100" s="138"/>
      <c r="M100" s="138"/>
      <c r="N100" s="137">
        <f>+N92/I92-1</f>
        <v>0.32965116279069773</v>
      </c>
      <c r="O100" s="138">
        <f>866/J92-1</f>
        <v>0.30421686746987953</v>
      </c>
      <c r="P100" s="138">
        <f>1459/K92-1</f>
        <v>0.25343642611683848</v>
      </c>
      <c r="Q100" s="138">
        <f>1546/L92-1</f>
        <v>0.22406967537608868</v>
      </c>
      <c r="R100" s="138">
        <f>1704/M92-1</f>
        <v>0.14902225219150367</v>
      </c>
      <c r="S100" s="137">
        <f>5575/N92-1</f>
        <v>0.21884564932225614</v>
      </c>
      <c r="T100" s="138">
        <f>+T92/O92-1</f>
        <v>0.10466582597730145</v>
      </c>
      <c r="U100" s="138">
        <f>+U92/P92-1</f>
        <v>5.2631578947368363E-2</v>
      </c>
      <c r="V100" s="138">
        <f>+V92/Q92-1</f>
        <v>8.6158192090395547E-2</v>
      </c>
      <c r="W100" s="138">
        <f>+W92/R92-1</f>
        <v>0.11723254324151178</v>
      </c>
      <c r="X100" s="184">
        <v>8.9665950380933834E-2</v>
      </c>
      <c r="Y100" s="185">
        <v>0.23287671232876717</v>
      </c>
      <c r="Z100" s="185">
        <v>0.21478873239436624</v>
      </c>
      <c r="AA100" s="185">
        <v>0.14889466840052012</v>
      </c>
      <c r="AB100" s="185">
        <v>0.18520642201834869</v>
      </c>
      <c r="AC100" s="184">
        <v>0.19021154535675877</v>
      </c>
      <c r="AD100" s="139">
        <f ca="1">+AD99+AD93+AD94</f>
        <v>9.4200000000000006E-2</v>
      </c>
      <c r="AE100" s="139">
        <f>AE92/Z92-1</f>
        <v>0.17041996348143629</v>
      </c>
      <c r="AF100" s="139">
        <f>AF92/AA92-1</f>
        <v>0.24806662700773341</v>
      </c>
      <c r="AG100" s="136">
        <f>AG92/AB92-1</f>
        <v>0.15737874097007221</v>
      </c>
      <c r="AH100" s="137">
        <f>+AH92/AC92-1</f>
        <v>0.17501192179303771</v>
      </c>
      <c r="AI100" s="139">
        <f>AI92/AD92-1</f>
        <v>0.12322695035460995</v>
      </c>
      <c r="AJ100" s="139">
        <f>AJ92/AE92-1</f>
        <v>-8.216328653146121E-2</v>
      </c>
      <c r="AK100" s="139">
        <f>AK92/AF92-1</f>
        <v>-0.20686367969494757</v>
      </c>
      <c r="AL100" s="139">
        <f>AL92/AG92-1</f>
        <v>-0.12750780205082479</v>
      </c>
      <c r="AM100" s="137">
        <f>+AM92/AH92-1</f>
        <v>-9.9972943722943741E-2</v>
      </c>
      <c r="AN100" s="139">
        <f>AN92/AI92-1</f>
        <v>-0.13575374901341752</v>
      </c>
      <c r="AO100" s="139">
        <f>AO92/AJ92-1</f>
        <v>5.8923512747875328E-2</v>
      </c>
      <c r="AP100" s="139">
        <f>AP92/AK92-1</f>
        <v>-3.3653846153846145E-2</v>
      </c>
      <c r="AQ100" s="139">
        <f>AQ92/AL92-1</f>
        <v>-1.1241696474195151E-2</v>
      </c>
      <c r="AR100" s="137">
        <f>+AR92/AM92-1</f>
        <v>-2.1944987223808776E-2</v>
      </c>
      <c r="AS100" s="139">
        <f>AS92/AN92-1</f>
        <v>-4.5662100456621002E-2</v>
      </c>
      <c r="AT100" s="139">
        <f>AT92/AO92-1</f>
        <v>7.4906367041198685E-3</v>
      </c>
      <c r="AU100" s="309">
        <f>AU92/AP92-1</f>
        <v>0.10758706467661683</v>
      </c>
      <c r="AV100" s="309">
        <f>AV92/AQ92-1</f>
        <v>4.2894056847545325E-2</v>
      </c>
      <c r="AW100" s="137">
        <f>+AW92/AR92-1</f>
        <v>3.3809743353311772E-2</v>
      </c>
      <c r="AX100" s="309">
        <f>AX92/AS92-1</f>
        <v>2.3923444976076569E-2</v>
      </c>
      <c r="AY100" s="309">
        <f>AY92/AT92-1</f>
        <v>-4.407859798194369E-2</v>
      </c>
      <c r="AZ100" s="136"/>
      <c r="BA100" s="136"/>
      <c r="BB100" s="137"/>
      <c r="BC100" s="136"/>
      <c r="BD100" s="136"/>
      <c r="BE100" s="136"/>
      <c r="BF100" s="136"/>
      <c r="BG100" s="137"/>
      <c r="BH100" s="136"/>
      <c r="BI100" s="136"/>
      <c r="BJ100" s="136"/>
      <c r="BK100" s="136"/>
      <c r="BL100" s="137"/>
      <c r="BM100" s="136"/>
      <c r="BN100" s="136"/>
      <c r="BO100" s="136"/>
      <c r="BP100" s="136"/>
      <c r="BQ100" s="137"/>
      <c r="BR100" s="136"/>
      <c r="BS100" s="136"/>
      <c r="BT100" s="136"/>
      <c r="BU100" s="136"/>
      <c r="BV100" s="137"/>
      <c r="BW100" s="136"/>
      <c r="BX100" s="136"/>
      <c r="BY100" s="136"/>
      <c r="BZ100" s="136"/>
      <c r="CA100" s="137"/>
      <c r="CB100" s="136"/>
      <c r="CC100" s="136"/>
      <c r="CD100" s="136"/>
      <c r="CE100" s="136"/>
      <c r="CF100" s="137"/>
      <c r="CG100" s="136"/>
      <c r="CH100" s="136"/>
      <c r="CI100" s="136"/>
      <c r="CJ100" s="136"/>
      <c r="CK100" s="137"/>
      <c r="CL100"/>
      <c r="CM100"/>
    </row>
    <row r="101" spans="1:103" collapsed="1" x14ac:dyDescent="0.2">
      <c r="A101" s="187"/>
      <c r="B101" s="187"/>
      <c r="C101" s="188"/>
      <c r="D101" s="188"/>
      <c r="E101" s="188"/>
      <c r="F101" s="188"/>
      <c r="G101" s="188"/>
      <c r="H101" s="188"/>
      <c r="I101" s="189"/>
      <c r="J101" s="190"/>
      <c r="K101" s="190"/>
      <c r="L101" s="190"/>
      <c r="M101" s="190"/>
      <c r="N101" s="189"/>
      <c r="O101" s="190"/>
      <c r="P101" s="190"/>
      <c r="Q101" s="190"/>
      <c r="R101" s="190"/>
      <c r="S101" s="191"/>
      <c r="T101" s="190"/>
      <c r="U101" s="190"/>
      <c r="V101" s="190"/>
      <c r="W101" s="190"/>
      <c r="X101" s="189"/>
      <c r="Y101" s="192"/>
      <c r="Z101" s="192"/>
      <c r="AA101" s="192"/>
      <c r="AB101" s="193"/>
      <c r="AC101" s="189"/>
      <c r="AD101" s="192"/>
      <c r="AE101" s="194"/>
      <c r="AF101" s="192"/>
      <c r="AG101" s="192"/>
      <c r="AH101" s="195"/>
      <c r="AI101" s="192"/>
      <c r="AJ101" s="194"/>
      <c r="AK101" s="229"/>
      <c r="AL101" s="229"/>
      <c r="AM101" s="194"/>
      <c r="AN101" s="194"/>
      <c r="AO101" s="194"/>
      <c r="AP101" s="194"/>
      <c r="AQ101" s="194"/>
      <c r="AR101" s="194"/>
      <c r="AS101" s="194"/>
      <c r="AT101" s="194"/>
      <c r="AU101" s="194"/>
      <c r="AV101" s="194"/>
      <c r="AW101" s="194"/>
      <c r="AX101" s="194"/>
      <c r="AY101" s="194"/>
      <c r="AZ101" s="194"/>
      <c r="BA101" s="194"/>
      <c r="BB101" s="194"/>
      <c r="BC101" s="194">
        <f>-47-4-12+17-47+112+242+1+2+2</f>
        <v>266</v>
      </c>
      <c r="BD101" s="194"/>
      <c r="BE101" s="194"/>
      <c r="BF101" s="642">
        <f>-48-4-14+17-47+112-242-2</f>
        <v>-228</v>
      </c>
      <c r="BG101" s="641"/>
      <c r="BH101" s="194"/>
      <c r="BI101" s="194"/>
      <c r="BJ101" s="194"/>
      <c r="BK101" s="642"/>
      <c r="BL101" s="641"/>
      <c r="BM101" s="643"/>
      <c r="BN101" s="194"/>
      <c r="BO101" s="194"/>
      <c r="BP101" s="194"/>
      <c r="BQ101" s="194"/>
      <c r="BR101" s="194"/>
      <c r="BS101" s="194"/>
      <c r="BT101" s="194"/>
      <c r="BU101" s="194"/>
      <c r="BV101" s="194"/>
      <c r="BW101" s="194"/>
      <c r="BX101" s="194"/>
      <c r="BY101" s="194"/>
      <c r="BZ101" s="194"/>
      <c r="CA101" s="194"/>
      <c r="CB101" s="194"/>
      <c r="CC101" s="194"/>
      <c r="CD101" s="194"/>
      <c r="CE101" s="194"/>
      <c r="CF101" s="194"/>
      <c r="CG101" s="194"/>
      <c r="CH101" s="194"/>
      <c r="CI101" s="194"/>
      <c r="CJ101" s="194"/>
      <c r="CK101" s="194"/>
      <c r="CL101"/>
      <c r="CM101"/>
      <c r="CN101" s="48"/>
      <c r="CO101" s="48"/>
      <c r="CP101" s="48"/>
      <c r="CQ101" s="48"/>
      <c r="CR101" s="48"/>
      <c r="CS101" s="48"/>
      <c r="CT101" s="48"/>
      <c r="CU101" s="48"/>
      <c r="CV101" s="48"/>
      <c r="CW101" s="48"/>
    </row>
    <row r="102" spans="1:103" x14ac:dyDescent="0.2">
      <c r="A102" s="28" t="s">
        <v>54</v>
      </c>
      <c r="B102" s="28"/>
      <c r="C102" s="28"/>
      <c r="D102" s="28"/>
      <c r="E102" s="94">
        <f t="shared" ref="E102:N102" si="119">+E105+E130+E133+E136+E139</f>
        <v>720</v>
      </c>
      <c r="F102" s="94">
        <f t="shared" si="119"/>
        <v>749</v>
      </c>
      <c r="G102" s="94">
        <f t="shared" si="119"/>
        <v>817</v>
      </c>
      <c r="H102" s="94">
        <f t="shared" si="119"/>
        <v>950</v>
      </c>
      <c r="I102" s="148">
        <f t="shared" si="119"/>
        <v>6569</v>
      </c>
      <c r="J102" s="94">
        <f t="shared" si="119"/>
        <v>1402</v>
      </c>
      <c r="K102" s="94">
        <f t="shared" si="119"/>
        <v>1946</v>
      </c>
      <c r="L102" s="94">
        <f t="shared" si="119"/>
        <v>2091</v>
      </c>
      <c r="M102" s="94">
        <f t="shared" si="119"/>
        <v>1814</v>
      </c>
      <c r="N102" s="148">
        <f t="shared" si="119"/>
        <v>7253</v>
      </c>
      <c r="O102" s="94">
        <f t="shared" ref="O102:Z102" si="120">+O105+O130+O133+O136+O139</f>
        <v>1561</v>
      </c>
      <c r="P102" s="94">
        <f t="shared" si="120"/>
        <v>2130</v>
      </c>
      <c r="Q102" s="94">
        <f t="shared" si="120"/>
        <v>2167</v>
      </c>
      <c r="R102" s="94">
        <f t="shared" si="120"/>
        <v>1990</v>
      </c>
      <c r="S102" s="148">
        <f t="shared" si="120"/>
        <v>7848</v>
      </c>
      <c r="T102" s="94">
        <f t="shared" si="120"/>
        <v>1551</v>
      </c>
      <c r="U102" s="94">
        <f t="shared" si="120"/>
        <v>2101</v>
      </c>
      <c r="V102" s="94">
        <f t="shared" si="120"/>
        <v>2204</v>
      </c>
      <c r="W102" s="94">
        <f t="shared" si="120"/>
        <v>2000</v>
      </c>
      <c r="X102" s="148">
        <f t="shared" si="120"/>
        <v>7856</v>
      </c>
      <c r="Y102" s="94">
        <f t="shared" si="120"/>
        <v>1722</v>
      </c>
      <c r="Z102" s="94">
        <f t="shared" si="120"/>
        <v>2696</v>
      </c>
      <c r="AA102" s="94">
        <f t="shared" ref="AA102:AR102" si="121">+AA105+AA130+AA133+AA136+AA139</f>
        <v>2870</v>
      </c>
      <c r="AB102" s="94">
        <f t="shared" si="121"/>
        <v>2485</v>
      </c>
      <c r="AC102" s="148">
        <f t="shared" si="121"/>
        <v>9773</v>
      </c>
      <c r="AD102" s="94">
        <f t="shared" si="121"/>
        <v>1784</v>
      </c>
      <c r="AE102" s="196">
        <f t="shared" si="121"/>
        <v>2825</v>
      </c>
      <c r="AF102" s="196">
        <f t="shared" si="121"/>
        <v>3007</v>
      </c>
      <c r="AG102" s="94">
        <f t="shared" si="121"/>
        <v>2752</v>
      </c>
      <c r="AH102" s="148">
        <f t="shared" si="121"/>
        <v>10368</v>
      </c>
      <c r="AI102" s="196">
        <f t="shared" si="121"/>
        <v>1673</v>
      </c>
      <c r="AJ102" s="196">
        <f t="shared" si="121"/>
        <v>2673</v>
      </c>
      <c r="AK102" s="196">
        <f t="shared" si="121"/>
        <v>2764</v>
      </c>
      <c r="AL102" s="196">
        <f t="shared" si="121"/>
        <v>2572</v>
      </c>
      <c r="AM102" s="148">
        <f t="shared" si="121"/>
        <v>9682</v>
      </c>
      <c r="AN102" s="94">
        <f t="shared" si="121"/>
        <v>1797</v>
      </c>
      <c r="AO102" s="94">
        <f t="shared" si="121"/>
        <v>2926</v>
      </c>
      <c r="AP102" s="94">
        <f t="shared" si="121"/>
        <v>2815</v>
      </c>
      <c r="AQ102" s="94">
        <f t="shared" si="121"/>
        <v>2523</v>
      </c>
      <c r="AR102" s="148">
        <f t="shared" si="121"/>
        <v>10061</v>
      </c>
      <c r="AS102" s="94">
        <f>+AS108+AS111+AS114+AS117+AS120+AS123+AS139</f>
        <v>1871</v>
      </c>
      <c r="AT102" s="94">
        <f>+AT108+AT111+AT114+AT117+AT120+AT123+AT139</f>
        <v>2957</v>
      </c>
      <c r="AU102" s="94">
        <f>+AU108+AU111+AU114+AU117+AU120+AU123+AU139</f>
        <v>2948</v>
      </c>
      <c r="AV102" s="94">
        <f>+AV108+AV111+AV114+AV117+AV120+AV123+AV139</f>
        <v>2537</v>
      </c>
      <c r="AW102" s="148">
        <f>+AW105+AW130+AW133+AW136+AW139</f>
        <v>10313</v>
      </c>
      <c r="AX102" s="94">
        <f t="shared" ref="AX102:CK102" si="122">+AX108+AX111+AX114+AX117+AX120+AX123+AX139</f>
        <v>1834</v>
      </c>
      <c r="AY102" s="94">
        <f t="shared" si="122"/>
        <v>2886</v>
      </c>
      <c r="AZ102" s="94">
        <f t="shared" si="122"/>
        <v>2891</v>
      </c>
      <c r="BA102" s="94">
        <f t="shared" si="122"/>
        <v>2326</v>
      </c>
      <c r="BB102" s="148">
        <f t="shared" si="122"/>
        <v>9937</v>
      </c>
      <c r="BC102" s="94">
        <f t="shared" si="122"/>
        <v>1919</v>
      </c>
      <c r="BD102" s="94">
        <f>+BD108+BD111+BD114+BD117+BD120+BD123+BD139</f>
        <v>2856</v>
      </c>
      <c r="BE102" s="94">
        <f>+BE108+BE111+BE114+BE117+BE120+BE123+BE139</f>
        <v>2830</v>
      </c>
      <c r="BF102" s="94">
        <f t="shared" si="122"/>
        <v>2560</v>
      </c>
      <c r="BG102" s="148">
        <f t="shared" si="122"/>
        <v>10165</v>
      </c>
      <c r="BH102" s="94">
        <f>+BH108+BH111+BH114+BH117+BH120+BH123+BH139</f>
        <v>1903</v>
      </c>
      <c r="BI102" s="94">
        <f>+BI108+BI111+BI114+BI117+BI120+BI123+BI139</f>
        <v>2978</v>
      </c>
      <c r="BJ102" s="94">
        <f t="shared" si="122"/>
        <v>2903</v>
      </c>
      <c r="BK102" s="94">
        <f t="shared" si="122"/>
        <v>2706</v>
      </c>
      <c r="BL102" s="148">
        <f t="shared" si="122"/>
        <v>10490</v>
      </c>
      <c r="BM102" s="94">
        <f t="shared" si="122"/>
        <v>1810.1385938033688</v>
      </c>
      <c r="BN102" s="94">
        <f t="shared" si="122"/>
        <v>3025.8072214013041</v>
      </c>
      <c r="BO102" s="94">
        <f t="shared" si="122"/>
        <v>3207.2564683688406</v>
      </c>
      <c r="BP102" s="94">
        <f t="shared" si="122"/>
        <v>2937.0564504928266</v>
      </c>
      <c r="BQ102" s="148">
        <f t="shared" si="122"/>
        <v>10980.258734066339</v>
      </c>
      <c r="BR102" s="94">
        <f t="shared" si="122"/>
        <v>1940.6465506209504</v>
      </c>
      <c r="BS102" s="94">
        <f t="shared" si="122"/>
        <v>3212.047139335803</v>
      </c>
      <c r="BT102" s="94">
        <f t="shared" si="122"/>
        <v>3394.7485526676228</v>
      </c>
      <c r="BU102" s="94">
        <f t="shared" si="122"/>
        <v>3147.1534961321249</v>
      </c>
      <c r="BV102" s="148">
        <f t="shared" si="122"/>
        <v>11694.595738756501</v>
      </c>
      <c r="BW102" s="94">
        <f t="shared" si="122"/>
        <v>2075.0015872512149</v>
      </c>
      <c r="BX102" s="94">
        <f t="shared" si="122"/>
        <v>3401.9941063627966</v>
      </c>
      <c r="BY102" s="94">
        <f t="shared" si="122"/>
        <v>3586.9313545064224</v>
      </c>
      <c r="BZ102" s="94">
        <f t="shared" si="122"/>
        <v>3362.9125067519744</v>
      </c>
      <c r="CA102" s="148">
        <f t="shared" si="122"/>
        <v>12426.839554872411</v>
      </c>
      <c r="CB102" s="94">
        <f t="shared" si="122"/>
        <v>2214.4009726006416</v>
      </c>
      <c r="CC102" s="94">
        <f t="shared" si="122"/>
        <v>3599.6573231374491</v>
      </c>
      <c r="CD102" s="94">
        <f t="shared" si="122"/>
        <v>3786.9794168319618</v>
      </c>
      <c r="CE102" s="94">
        <f t="shared" si="122"/>
        <v>3586.8384321285025</v>
      </c>
      <c r="CF102" s="148">
        <f t="shared" si="122"/>
        <v>13187.876144698554</v>
      </c>
      <c r="CG102" s="94">
        <f t="shared" si="122"/>
        <v>2360.2612286286508</v>
      </c>
      <c r="CH102" s="94">
        <f t="shared" si="122"/>
        <v>3806.712186808657</v>
      </c>
      <c r="CI102" s="94">
        <f t="shared" si="122"/>
        <v>3996.4641461937399</v>
      </c>
      <c r="CJ102" s="94">
        <f t="shared" si="122"/>
        <v>3821.5116629513141</v>
      </c>
      <c r="CK102" s="148">
        <f t="shared" si="122"/>
        <v>13984.949224582359</v>
      </c>
      <c r="CL102"/>
      <c r="CM102"/>
      <c r="CN102" s="27"/>
      <c r="CO102" s="27"/>
      <c r="CP102" s="27"/>
      <c r="CQ102" s="27"/>
      <c r="CR102" s="27"/>
      <c r="CS102" s="27"/>
      <c r="CT102" s="27"/>
      <c r="CU102" s="27"/>
      <c r="CV102" s="27"/>
      <c r="CW102" s="27"/>
      <c r="CX102" s="27"/>
      <c r="CY102" s="27"/>
    </row>
    <row r="103" spans="1:103" x14ac:dyDescent="0.2">
      <c r="A103" s="26"/>
      <c r="B103" s="26" t="s">
        <v>48</v>
      </c>
      <c r="C103" s="26"/>
      <c r="D103" s="26"/>
      <c r="E103" s="34"/>
      <c r="F103" s="34"/>
      <c r="G103" s="34"/>
      <c r="H103" s="34"/>
      <c r="I103" s="133"/>
      <c r="J103" s="34"/>
      <c r="K103" s="34"/>
      <c r="L103" s="34"/>
      <c r="M103" s="34"/>
      <c r="N103" s="133">
        <f>+N102/I102-1</f>
        <v>0.10412543766174465</v>
      </c>
      <c r="O103" s="34">
        <f>+O102/J102-1</f>
        <v>0.11340941512125524</v>
      </c>
      <c r="P103" s="34">
        <f>+P102/K102-1</f>
        <v>9.4552929085303106E-2</v>
      </c>
      <c r="Q103" s="34">
        <f>+Q102/L102-1</f>
        <v>3.6346245815399358E-2</v>
      </c>
      <c r="R103" s="34">
        <f t="shared" ref="R103:AW103" si="123">+R102/M102-1</f>
        <v>9.7023153252480787E-2</v>
      </c>
      <c r="S103" s="133">
        <f t="shared" si="123"/>
        <v>8.2035019991727465E-2</v>
      </c>
      <c r="T103" s="34">
        <f t="shared" si="123"/>
        <v>-6.4061499039077541E-3</v>
      </c>
      <c r="U103" s="34">
        <f t="shared" si="123"/>
        <v>-1.3615023474178423E-2</v>
      </c>
      <c r="V103" s="34">
        <f t="shared" si="123"/>
        <v>1.7074296262113542E-2</v>
      </c>
      <c r="W103" s="34">
        <f t="shared" si="123"/>
        <v>5.0251256281406143E-3</v>
      </c>
      <c r="X103" s="133">
        <f t="shared" si="123"/>
        <v>1.0193679918450993E-3</v>
      </c>
      <c r="Y103" s="34">
        <f t="shared" si="123"/>
        <v>0.1102514506769825</v>
      </c>
      <c r="Z103" s="34">
        <f t="shared" si="123"/>
        <v>0.2831984769157545</v>
      </c>
      <c r="AA103" s="34">
        <f t="shared" si="123"/>
        <v>0.30217785843920142</v>
      </c>
      <c r="AB103" s="34">
        <f t="shared" si="123"/>
        <v>0.24249999999999994</v>
      </c>
      <c r="AC103" s="133">
        <f t="shared" si="123"/>
        <v>0.24401731160896123</v>
      </c>
      <c r="AD103" s="34">
        <f t="shared" si="123"/>
        <v>3.6004645760743248E-2</v>
      </c>
      <c r="AE103" s="116">
        <f t="shared" si="123"/>
        <v>4.78486646884273E-2</v>
      </c>
      <c r="AF103" s="116">
        <f t="shared" si="123"/>
        <v>4.7735191637630736E-2</v>
      </c>
      <c r="AG103" s="34">
        <f t="shared" si="123"/>
        <v>0.10744466800804831</v>
      </c>
      <c r="AH103" s="133">
        <f t="shared" si="123"/>
        <v>6.0882021897063376E-2</v>
      </c>
      <c r="AI103" s="116">
        <f t="shared" si="123"/>
        <v>-6.2219730941704077E-2</v>
      </c>
      <c r="AJ103" s="116">
        <f t="shared" si="123"/>
        <v>-5.3805309734513251E-2</v>
      </c>
      <c r="AK103" s="116">
        <f t="shared" si="123"/>
        <v>-8.081143997339546E-2</v>
      </c>
      <c r="AL103" s="116">
        <f t="shared" si="123"/>
        <v>-6.5406976744186052E-2</v>
      </c>
      <c r="AM103" s="133">
        <f t="shared" si="123"/>
        <v>-6.6165123456790154E-2</v>
      </c>
      <c r="AN103" s="34">
        <f>+AN102/AI102-1</f>
        <v>7.4118350268977951E-2</v>
      </c>
      <c r="AO103" s="34">
        <f t="shared" si="123"/>
        <v>9.4650205761316775E-2</v>
      </c>
      <c r="AP103" s="34">
        <f t="shared" si="123"/>
        <v>1.8451519536903049E-2</v>
      </c>
      <c r="AQ103" s="34">
        <f t="shared" si="123"/>
        <v>-1.9051321928460374E-2</v>
      </c>
      <c r="AR103" s="133">
        <f t="shared" si="123"/>
        <v>3.9144804792398347E-2</v>
      </c>
      <c r="AS103" s="34">
        <f t="shared" si="123"/>
        <v>4.117974401780744E-2</v>
      </c>
      <c r="AT103" s="34">
        <f t="shared" si="123"/>
        <v>1.0594668489405379E-2</v>
      </c>
      <c r="AU103" s="34">
        <f t="shared" si="123"/>
        <v>4.7246891651864908E-2</v>
      </c>
      <c r="AV103" s="34">
        <f t="shared" si="123"/>
        <v>5.5489496630993784E-3</v>
      </c>
      <c r="AW103" s="133">
        <f t="shared" si="123"/>
        <v>2.5047212006758857E-2</v>
      </c>
      <c r="AX103" s="34">
        <f t="shared" ref="AX103:CA103" si="124">+AX102/AS102-1</f>
        <v>-1.9775521111704997E-2</v>
      </c>
      <c r="AY103" s="34">
        <f t="shared" si="124"/>
        <v>-2.4010821778829849E-2</v>
      </c>
      <c r="AZ103" s="34">
        <f t="shared" si="124"/>
        <v>-1.9335142469470878E-2</v>
      </c>
      <c r="BA103" s="34">
        <f t="shared" si="124"/>
        <v>-8.3169097359085509E-2</v>
      </c>
      <c r="BB103" s="133">
        <f t="shared" si="124"/>
        <v>-3.6458838359352264E-2</v>
      </c>
      <c r="BC103" s="34">
        <f t="shared" si="124"/>
        <v>4.6346782988004431E-2</v>
      </c>
      <c r="BD103" s="34">
        <f t="shared" si="124"/>
        <v>-1.039501039501034E-2</v>
      </c>
      <c r="BE103" s="34">
        <f t="shared" si="124"/>
        <v>-2.1099965409892785E-2</v>
      </c>
      <c r="BF103" s="34">
        <f t="shared" si="124"/>
        <v>0.10060189165950129</v>
      </c>
      <c r="BG103" s="133">
        <f>+BG102/BB102-1</f>
        <v>2.2944550669216079E-2</v>
      </c>
      <c r="BH103" s="34">
        <f t="shared" si="124"/>
        <v>-8.3376758728503919E-3</v>
      </c>
      <c r="BI103" s="34">
        <f t="shared" si="124"/>
        <v>4.2717086834733964E-2</v>
      </c>
      <c r="BJ103" s="34">
        <f t="shared" si="124"/>
        <v>2.5795053003533575E-2</v>
      </c>
      <c r="BK103" s="34">
        <f t="shared" si="124"/>
        <v>5.7031250000000089E-2</v>
      </c>
      <c r="BL103" s="133">
        <f t="shared" si="124"/>
        <v>3.1972454500737824E-2</v>
      </c>
      <c r="BM103" s="34">
        <f t="shared" si="124"/>
        <v>-4.8797375825870293E-2</v>
      </c>
      <c r="BN103" s="34">
        <f t="shared" si="124"/>
        <v>1.605346588358092E-2</v>
      </c>
      <c r="BO103" s="34">
        <f t="shared" si="124"/>
        <v>0.10480760191830552</v>
      </c>
      <c r="BP103" s="34">
        <f t="shared" si="124"/>
        <v>8.5386714890179904E-2</v>
      </c>
      <c r="BQ103" s="133">
        <f t="shared" si="124"/>
        <v>4.6735818309469934E-2</v>
      </c>
      <c r="BR103" s="34">
        <f t="shared" si="124"/>
        <v>7.2098322893257016E-2</v>
      </c>
      <c r="BS103" s="34">
        <f t="shared" si="124"/>
        <v>6.1550490268262426E-2</v>
      </c>
      <c r="BT103" s="34">
        <f t="shared" si="124"/>
        <v>5.8458712656096923E-2</v>
      </c>
      <c r="BU103" s="34">
        <f t="shared" si="124"/>
        <v>7.1533199712264572E-2</v>
      </c>
      <c r="BV103" s="133">
        <f t="shared" si="124"/>
        <v>6.5056482000185101E-2</v>
      </c>
      <c r="BW103" s="34">
        <f t="shared" si="124"/>
        <v>6.9232100295272714E-2</v>
      </c>
      <c r="BX103" s="34">
        <f t="shared" si="124"/>
        <v>5.913579682590564E-2</v>
      </c>
      <c r="BY103" s="34">
        <f t="shared" si="124"/>
        <v>5.6611792849217357E-2</v>
      </c>
      <c r="BZ103" s="34">
        <f t="shared" si="124"/>
        <v>6.8556875565497277E-2</v>
      </c>
      <c r="CA103" s="133">
        <f t="shared" si="124"/>
        <v>6.2613863058918362E-2</v>
      </c>
      <c r="CB103" s="34">
        <f t="shared" ref="CB103:CK103" si="125">+CB102/BW102-1</f>
        <v>6.7180375285443183E-2</v>
      </c>
      <c r="CC103" s="34">
        <f t="shared" si="125"/>
        <v>5.8102163200388857E-2</v>
      </c>
      <c r="CD103" s="34">
        <f t="shared" si="125"/>
        <v>5.5771366261082811E-2</v>
      </c>
      <c r="CE103" s="34">
        <f t="shared" si="125"/>
        <v>6.6586901956841027E-2</v>
      </c>
      <c r="CF103" s="133">
        <f t="shared" si="125"/>
        <v>6.1241362815193767E-2</v>
      </c>
      <c r="CG103" s="34">
        <f t="shared" si="125"/>
        <v>6.5868945070371554E-2</v>
      </c>
      <c r="CH103" s="34">
        <f t="shared" si="125"/>
        <v>5.7520715191506033E-2</v>
      </c>
      <c r="CI103" s="34">
        <f t="shared" si="125"/>
        <v>5.5317102710060295E-2</v>
      </c>
      <c r="CJ103" s="34">
        <f t="shared" si="125"/>
        <v>6.542620618781303E-2</v>
      </c>
      <c r="CK103" s="133">
        <f t="shared" si="125"/>
        <v>6.0439836645282963E-2</v>
      </c>
      <c r="CL103"/>
      <c r="CM103"/>
    </row>
    <row r="104" spans="1:103" x14ac:dyDescent="0.2">
      <c r="A104" s="26"/>
      <c r="B104" s="26" t="s">
        <v>32</v>
      </c>
      <c r="C104" s="26"/>
      <c r="D104" s="26"/>
      <c r="E104" s="34"/>
      <c r="F104" s="34"/>
      <c r="G104" s="34"/>
      <c r="H104" s="34"/>
      <c r="I104" s="133"/>
      <c r="J104" s="34"/>
      <c r="K104" s="34"/>
      <c r="L104" s="34"/>
      <c r="M104" s="34"/>
      <c r="N104" s="133"/>
      <c r="O104" s="34"/>
      <c r="P104" s="34"/>
      <c r="Q104" s="34"/>
      <c r="R104" s="34"/>
      <c r="S104" s="133"/>
      <c r="T104" s="34">
        <v>0.06</v>
      </c>
      <c r="U104" s="34">
        <v>7.0000000000000007E-2</v>
      </c>
      <c r="V104" s="34">
        <v>0.08</v>
      </c>
      <c r="W104" s="34">
        <v>3.5000000000000003E-2</v>
      </c>
      <c r="X104" s="133">
        <v>0.06</v>
      </c>
      <c r="Y104" s="34">
        <v>0.1</v>
      </c>
      <c r="Z104" s="34">
        <v>0.26</v>
      </c>
      <c r="AA104" s="34">
        <v>0.28999999999999998</v>
      </c>
      <c r="AB104" s="34">
        <v>0.26</v>
      </c>
      <c r="AC104" s="133">
        <v>0.23</v>
      </c>
      <c r="AD104" s="116">
        <f>AD103-1%</f>
        <v>2.6004645760743246E-2</v>
      </c>
      <c r="AE104" s="116">
        <f>AE103-2%</f>
        <v>2.78486646884273E-2</v>
      </c>
      <c r="AF104" s="116">
        <f>AF103-3%</f>
        <v>1.7735191637630737E-2</v>
      </c>
      <c r="AG104" s="116">
        <f>AG103+1.5%</f>
        <v>0.1224446680080483</v>
      </c>
      <c r="AH104" s="133">
        <f>AH103-1%</f>
        <v>5.0882021897063374E-2</v>
      </c>
      <c r="AI104" s="116">
        <f>AI103+1%</f>
        <v>-5.2219730941704075E-2</v>
      </c>
      <c r="AJ104" s="116">
        <f>AJ103+3%</f>
        <v>-2.3805309734513252E-2</v>
      </c>
      <c r="AK104" s="116">
        <f>AK103+3%</f>
        <v>-5.0811439973395461E-2</v>
      </c>
      <c r="AL104" s="116">
        <f>AL103</f>
        <v>-6.5406976744186052E-2</v>
      </c>
      <c r="AM104" s="133">
        <f>AM103+2%</f>
        <v>-4.616512345679015E-2</v>
      </c>
      <c r="AN104" s="34">
        <f>AN103+1%</f>
        <v>8.4118350268977946E-2</v>
      </c>
      <c r="AO104" s="34">
        <f>AO103+2%</f>
        <v>0.11465020576131678</v>
      </c>
      <c r="AP104" s="34">
        <f>AP103+1%</f>
        <v>2.8451519536903051E-2</v>
      </c>
      <c r="AQ104" s="34">
        <f>AQ103+3%</f>
        <v>1.0948678071539625E-2</v>
      </c>
      <c r="AR104" s="133">
        <f>AR103+2%</f>
        <v>5.9144804792398351E-2</v>
      </c>
      <c r="AS104" s="34">
        <f>AS103+2.5%</f>
        <v>6.6179744017807435E-2</v>
      </c>
      <c r="AT104" s="34">
        <f>AT103+2%</f>
        <v>3.0594668489405379E-2</v>
      </c>
      <c r="AU104" s="34">
        <f>AU103+1%</f>
        <v>5.724689165186491E-2</v>
      </c>
      <c r="AV104" s="34">
        <f>AV103+5%</f>
        <v>5.5548949663099381E-2</v>
      </c>
      <c r="AW104" s="133">
        <f>AW103+3%</f>
        <v>5.5047212006758856E-2</v>
      </c>
      <c r="AX104" s="34">
        <f>AX103+8%</f>
        <v>6.0224478888295005E-2</v>
      </c>
      <c r="AY104" s="34"/>
      <c r="AZ104" s="34"/>
      <c r="BA104" s="34"/>
      <c r="BB104" s="133"/>
      <c r="BC104" s="34"/>
      <c r="BD104" s="34"/>
      <c r="BE104" s="34"/>
      <c r="BF104" s="34"/>
      <c r="BG104" s="133"/>
      <c r="BH104" s="34"/>
      <c r="BI104" s="34"/>
      <c r="BJ104" s="34"/>
      <c r="BK104" s="34"/>
      <c r="BL104" s="133"/>
      <c r="BM104" s="34"/>
      <c r="BN104" s="34"/>
      <c r="BO104" s="34"/>
      <c r="BP104" s="34"/>
      <c r="BQ104" s="133"/>
      <c r="BR104" s="34"/>
      <c r="BS104" s="34"/>
      <c r="BT104" s="34"/>
      <c r="BU104" s="34"/>
      <c r="BV104" s="133"/>
      <c r="BW104" s="34"/>
      <c r="BX104" s="34"/>
      <c r="BY104" s="34"/>
      <c r="BZ104" s="34"/>
      <c r="CA104" s="133"/>
      <c r="CB104" s="34"/>
      <c r="CC104" s="34"/>
      <c r="CD104" s="34"/>
      <c r="CE104" s="34"/>
      <c r="CF104" s="133"/>
      <c r="CG104" s="34"/>
      <c r="CH104" s="34"/>
      <c r="CI104" s="34"/>
      <c r="CJ104" s="34"/>
      <c r="CK104" s="133"/>
      <c r="CL104"/>
      <c r="CM104"/>
    </row>
    <row r="105" spans="1:103" hidden="1" outlineLevel="1" x14ac:dyDescent="0.2">
      <c r="A105" s="28"/>
      <c r="B105" s="28" t="str">
        <f>+A13</f>
        <v>Pepsi Americas Food</v>
      </c>
      <c r="C105" s="28"/>
      <c r="D105" s="28"/>
      <c r="E105" s="94">
        <f t="shared" ref="E105:N105" si="126">+E108+E111+E127</f>
        <v>720</v>
      </c>
      <c r="F105" s="94">
        <f t="shared" si="126"/>
        <v>749</v>
      </c>
      <c r="G105" s="94">
        <f t="shared" si="126"/>
        <v>817</v>
      </c>
      <c r="H105" s="94">
        <f t="shared" si="126"/>
        <v>950</v>
      </c>
      <c r="I105" s="148">
        <f t="shared" si="126"/>
        <v>3891</v>
      </c>
      <c r="J105" s="94">
        <f t="shared" si="126"/>
        <v>899</v>
      </c>
      <c r="K105" s="94">
        <f t="shared" si="126"/>
        <v>982</v>
      </c>
      <c r="L105" s="94">
        <f t="shared" si="126"/>
        <v>1053</v>
      </c>
      <c r="M105" s="94">
        <f t="shared" si="126"/>
        <v>1260</v>
      </c>
      <c r="N105" s="148">
        <f t="shared" si="126"/>
        <v>4194</v>
      </c>
      <c r="O105" s="94">
        <f t="shared" ref="O105:Z105" si="127">+O108+O111+O127</f>
        <v>966</v>
      </c>
      <c r="P105" s="94">
        <f t="shared" si="127"/>
        <v>1111</v>
      </c>
      <c r="Q105" s="94">
        <f t="shared" si="127"/>
        <v>1144</v>
      </c>
      <c r="R105" s="94">
        <f t="shared" si="127"/>
        <v>1396</v>
      </c>
      <c r="S105" s="148">
        <f t="shared" si="127"/>
        <v>4617</v>
      </c>
      <c r="T105" s="94">
        <f t="shared" si="127"/>
        <v>1042</v>
      </c>
      <c r="U105" s="94">
        <f t="shared" si="127"/>
        <v>1155</v>
      </c>
      <c r="V105" s="94">
        <f t="shared" si="127"/>
        <v>1152</v>
      </c>
      <c r="W105" s="94">
        <f t="shared" si="127"/>
        <v>1447</v>
      </c>
      <c r="X105" s="148">
        <f t="shared" si="127"/>
        <v>4796</v>
      </c>
      <c r="Y105" s="94">
        <f t="shared" si="127"/>
        <v>1068</v>
      </c>
      <c r="Z105" s="94">
        <f t="shared" si="127"/>
        <v>1192</v>
      </c>
      <c r="AA105" s="94">
        <f>+AA108+AA111+AA127</f>
        <v>1271</v>
      </c>
      <c r="AB105" s="94">
        <f>+AB108+AB111+AB127</f>
        <v>1590</v>
      </c>
      <c r="AC105" s="148">
        <f>+Y105+Z105+AA105+AB105</f>
        <v>5121</v>
      </c>
      <c r="AD105" s="196">
        <f>+AD108+AD111+AD127</f>
        <v>1159</v>
      </c>
      <c r="AE105" s="196">
        <f>+AE108+AE111+AE127</f>
        <v>1294</v>
      </c>
      <c r="AF105" s="196">
        <f>+AF108+AF111+AF127</f>
        <v>1370</v>
      </c>
      <c r="AG105" s="94">
        <f>+AG108+AG111+AG127</f>
        <v>1731</v>
      </c>
      <c r="AH105" s="148">
        <f>+AD105+AE105+AF105+AG105</f>
        <v>5554</v>
      </c>
      <c r="AI105" s="196">
        <f>+AI108+AI111+AI127</f>
        <v>1169</v>
      </c>
      <c r="AJ105" s="196">
        <f>+AJ108+AJ111+AJ127</f>
        <v>1291</v>
      </c>
      <c r="AK105" s="196">
        <f>+AK108+AK111+AK127</f>
        <v>1328</v>
      </c>
      <c r="AL105" s="196">
        <f>+AL108+AL111+AL127</f>
        <v>1709</v>
      </c>
      <c r="AM105" s="148">
        <f>+AI105+AJ105+AK105+AL105</f>
        <v>5497</v>
      </c>
      <c r="AN105" s="94">
        <f>+AN108+AN111+AN127</f>
        <v>1229</v>
      </c>
      <c r="AO105" s="94">
        <f>+AO108+AO111+AO127</f>
        <v>1361</v>
      </c>
      <c r="AP105" s="94">
        <f>+AP108+AP111+AP127</f>
        <v>1411</v>
      </c>
      <c r="AQ105" s="94">
        <f>+AQ108+AQ111+AQ127</f>
        <v>1770</v>
      </c>
      <c r="AR105" s="148">
        <f>+AN105+AO105+AP105+AQ105</f>
        <v>5771</v>
      </c>
      <c r="AS105" s="94">
        <f>+AS108+AS111+AS127</f>
        <v>1265</v>
      </c>
      <c r="AT105" s="94">
        <f>+AT108+AT111+AT127</f>
        <v>1417</v>
      </c>
      <c r="AU105" s="94">
        <f>+AU108+AU111+AU127</f>
        <v>1517</v>
      </c>
      <c r="AV105" s="94">
        <f>+AV108+AV111+AV127</f>
        <v>1774</v>
      </c>
      <c r="AW105" s="148">
        <f>+AS105+AT105+AU105+AV105</f>
        <v>5973</v>
      </c>
      <c r="AX105" s="94">
        <f>+AX108+AX111+AX127</f>
        <v>1232</v>
      </c>
      <c r="AY105" s="94">
        <f>+AY108+AY111+AY127</f>
        <v>1430</v>
      </c>
      <c r="AZ105" s="94"/>
      <c r="BA105" s="94"/>
      <c r="BB105" s="148"/>
      <c r="BC105" s="94"/>
      <c r="BD105" s="94"/>
      <c r="BE105" s="94"/>
      <c r="BF105" s="94"/>
      <c r="BG105" s="148"/>
      <c r="BH105" s="94"/>
      <c r="BI105" s="94"/>
      <c r="BJ105" s="94"/>
      <c r="BK105" s="94"/>
      <c r="BL105" s="148"/>
      <c r="BM105" s="94"/>
      <c r="BN105" s="94"/>
      <c r="BO105" s="94"/>
      <c r="BP105" s="94"/>
      <c r="BQ105" s="148"/>
      <c r="BR105" s="94"/>
      <c r="BS105" s="94"/>
      <c r="BT105" s="94"/>
      <c r="BU105" s="94"/>
      <c r="BV105" s="148"/>
      <c r="BW105" s="94"/>
      <c r="BX105" s="94"/>
      <c r="BY105" s="94"/>
      <c r="BZ105" s="94"/>
      <c r="CA105" s="148"/>
      <c r="CB105" s="94"/>
      <c r="CC105" s="94"/>
      <c r="CD105" s="94"/>
      <c r="CE105" s="94"/>
      <c r="CF105" s="148"/>
      <c r="CG105" s="94"/>
      <c r="CH105" s="94"/>
      <c r="CI105" s="94"/>
      <c r="CJ105" s="94"/>
      <c r="CK105" s="148"/>
      <c r="CL105"/>
      <c r="CM105"/>
      <c r="CN105" s="27"/>
      <c r="CO105" s="27"/>
      <c r="CP105" s="27"/>
      <c r="CQ105" s="27"/>
      <c r="CR105" s="27"/>
      <c r="CS105" s="27"/>
      <c r="CT105" s="27"/>
      <c r="CU105" s="27"/>
      <c r="CV105" s="27"/>
      <c r="CW105" s="27"/>
      <c r="CX105" s="27"/>
      <c r="CY105" s="27"/>
    </row>
    <row r="106" spans="1:103" hidden="1" outlineLevel="1" x14ac:dyDescent="0.2">
      <c r="A106" s="26"/>
      <c r="B106" s="26" t="s">
        <v>48</v>
      </c>
      <c r="C106" s="26"/>
      <c r="D106" s="26"/>
      <c r="E106" s="34"/>
      <c r="F106" s="34"/>
      <c r="G106" s="34"/>
      <c r="H106" s="34"/>
      <c r="I106" s="133"/>
      <c r="J106" s="34"/>
      <c r="K106" s="34"/>
      <c r="L106" s="34"/>
      <c r="M106" s="34"/>
      <c r="N106" s="133">
        <f t="shared" ref="N106:S106" si="128">+N105/I105-1</f>
        <v>7.7872012336160479E-2</v>
      </c>
      <c r="O106" s="34">
        <f t="shared" si="128"/>
        <v>7.4527252502780916E-2</v>
      </c>
      <c r="P106" s="34">
        <f t="shared" si="128"/>
        <v>0.1313645621181263</v>
      </c>
      <c r="Q106" s="34">
        <f t="shared" si="128"/>
        <v>8.6419753086419693E-2</v>
      </c>
      <c r="R106" s="34">
        <f t="shared" si="128"/>
        <v>0.107936507936508</v>
      </c>
      <c r="S106" s="133">
        <f t="shared" si="128"/>
        <v>0.10085836909871237</v>
      </c>
      <c r="T106" s="34">
        <f t="shared" ref="T106:AM106" si="129">+T105/O105-1</f>
        <v>7.8674948240165632E-2</v>
      </c>
      <c r="U106" s="34">
        <f t="shared" si="129"/>
        <v>3.9603960396039639E-2</v>
      </c>
      <c r="V106" s="34">
        <f t="shared" si="129"/>
        <v>6.9930069930070893E-3</v>
      </c>
      <c r="W106" s="34">
        <f t="shared" si="129"/>
        <v>3.6532951289398374E-2</v>
      </c>
      <c r="X106" s="133">
        <f t="shared" si="129"/>
        <v>3.8769763915962763E-2</v>
      </c>
      <c r="Y106" s="34">
        <f t="shared" si="129"/>
        <v>2.4952015355086399E-2</v>
      </c>
      <c r="Z106" s="34">
        <f t="shared" si="129"/>
        <v>3.2034632034632082E-2</v>
      </c>
      <c r="AA106" s="34">
        <f t="shared" si="129"/>
        <v>0.10329861111111116</v>
      </c>
      <c r="AB106" s="34">
        <f t="shared" si="129"/>
        <v>9.8825155494125738E-2</v>
      </c>
      <c r="AC106" s="133">
        <f t="shared" si="129"/>
        <v>6.7764804003336065E-2</v>
      </c>
      <c r="AD106" s="116">
        <f t="shared" si="129"/>
        <v>8.5205992509363337E-2</v>
      </c>
      <c r="AE106" s="116">
        <f t="shared" si="129"/>
        <v>8.5570469798657678E-2</v>
      </c>
      <c r="AF106" s="116">
        <f t="shared" si="129"/>
        <v>7.7891424075531068E-2</v>
      </c>
      <c r="AG106" s="34">
        <f t="shared" si="129"/>
        <v>8.8679245283018959E-2</v>
      </c>
      <c r="AH106" s="133">
        <f t="shared" si="129"/>
        <v>8.455379808631136E-2</v>
      </c>
      <c r="AI106" s="116">
        <f t="shared" si="129"/>
        <v>8.6281276962898446E-3</v>
      </c>
      <c r="AJ106" s="116">
        <f t="shared" si="129"/>
        <v>-2.3183925811437467E-3</v>
      </c>
      <c r="AK106" s="116">
        <f t="shared" si="129"/>
        <v>-3.065693430656935E-2</v>
      </c>
      <c r="AL106" s="116">
        <f t="shared" si="129"/>
        <v>-1.2709416522241446E-2</v>
      </c>
      <c r="AM106" s="133">
        <f t="shared" si="129"/>
        <v>-1.0262873604609313E-2</v>
      </c>
      <c r="AN106" s="34">
        <f t="shared" ref="AN106:AY106" si="130">+AN105/AI105-1</f>
        <v>5.1325919589392699E-2</v>
      </c>
      <c r="AO106" s="34">
        <f t="shared" si="130"/>
        <v>5.4221533694810198E-2</v>
      </c>
      <c r="AP106" s="34">
        <f t="shared" si="130"/>
        <v>6.25E-2</v>
      </c>
      <c r="AQ106" s="34">
        <f t="shared" si="130"/>
        <v>3.5693387946167388E-2</v>
      </c>
      <c r="AR106" s="133">
        <f t="shared" si="130"/>
        <v>4.9845370201928363E-2</v>
      </c>
      <c r="AS106" s="34">
        <f t="shared" si="130"/>
        <v>2.9292107404393919E-2</v>
      </c>
      <c r="AT106" s="34">
        <f t="shared" si="130"/>
        <v>4.114621601763413E-2</v>
      </c>
      <c r="AU106" s="34">
        <f t="shared" si="130"/>
        <v>7.5124025513819914E-2</v>
      </c>
      <c r="AV106" s="34">
        <f t="shared" si="130"/>
        <v>2.2598870056496079E-3</v>
      </c>
      <c r="AW106" s="133">
        <f t="shared" si="130"/>
        <v>3.5002599202911044E-2</v>
      </c>
      <c r="AX106" s="34">
        <f t="shared" si="130"/>
        <v>-2.6086956521739091E-2</v>
      </c>
      <c r="AY106" s="34">
        <f t="shared" si="130"/>
        <v>9.1743119266054496E-3</v>
      </c>
      <c r="AZ106" s="34"/>
      <c r="BA106" s="34"/>
      <c r="BB106" s="133"/>
      <c r="BC106" s="34"/>
      <c r="BD106" s="34"/>
      <c r="BE106" s="34"/>
      <c r="BF106" s="34"/>
      <c r="BG106" s="133"/>
      <c r="BH106" s="34"/>
      <c r="BI106" s="34"/>
      <c r="BJ106" s="34"/>
      <c r="BK106" s="34"/>
      <c r="BL106" s="133"/>
      <c r="BM106" s="34"/>
      <c r="BN106" s="34"/>
      <c r="BO106" s="34"/>
      <c r="BP106" s="34"/>
      <c r="BQ106" s="133"/>
      <c r="BR106" s="34"/>
      <c r="BS106" s="34"/>
      <c r="BT106" s="34"/>
      <c r="BU106" s="34"/>
      <c r="BV106" s="133"/>
      <c r="BW106" s="34"/>
      <c r="BX106" s="34"/>
      <c r="BY106" s="34"/>
      <c r="BZ106" s="34"/>
      <c r="CA106" s="133"/>
      <c r="CB106" s="34"/>
      <c r="CC106" s="34"/>
      <c r="CD106" s="34"/>
      <c r="CE106" s="34"/>
      <c r="CF106" s="133"/>
      <c r="CG106" s="34"/>
      <c r="CH106" s="34"/>
      <c r="CI106" s="34"/>
      <c r="CJ106" s="34"/>
      <c r="CK106" s="133"/>
      <c r="CL106"/>
      <c r="CM106"/>
    </row>
    <row r="107" spans="1:103" hidden="1" outlineLevel="1" x14ac:dyDescent="0.2">
      <c r="A107" s="26"/>
      <c r="B107" s="26" t="s">
        <v>10</v>
      </c>
      <c r="C107" s="26"/>
      <c r="D107" s="26"/>
      <c r="E107" s="34"/>
      <c r="F107" s="34"/>
      <c r="G107" s="34"/>
      <c r="H107" s="34"/>
      <c r="I107" s="133"/>
      <c r="J107" s="34"/>
      <c r="K107" s="34"/>
      <c r="L107" s="34"/>
      <c r="M107" s="34"/>
      <c r="N107" s="133">
        <v>0.08</v>
      </c>
      <c r="O107" s="34"/>
      <c r="P107" s="34"/>
      <c r="Q107" s="34"/>
      <c r="R107" s="34"/>
      <c r="S107" s="133">
        <v>0.1</v>
      </c>
      <c r="T107" s="34">
        <v>0.14000000000000001</v>
      </c>
      <c r="U107" s="34">
        <v>0.1</v>
      </c>
      <c r="V107" s="34">
        <v>0.06</v>
      </c>
      <c r="W107" s="34">
        <v>0.03</v>
      </c>
      <c r="X107" s="133">
        <v>0.08</v>
      </c>
      <c r="Y107" s="34">
        <v>0.03</v>
      </c>
      <c r="Z107" s="34">
        <v>0.02</v>
      </c>
      <c r="AA107" s="34">
        <v>0.1</v>
      </c>
      <c r="AB107" s="34">
        <v>0.09</v>
      </c>
      <c r="AC107" s="133">
        <v>0.06</v>
      </c>
      <c r="AD107" s="116">
        <f>AD106-1%</f>
        <v>7.5205992509363342E-2</v>
      </c>
      <c r="AE107" s="116">
        <f>AE106-2%</f>
        <v>6.5570469798657674E-2</v>
      </c>
      <c r="AF107" s="116">
        <f>AF106-2%</f>
        <v>5.7891424075531064E-2</v>
      </c>
      <c r="AG107" s="116">
        <f>AG106+2%</f>
        <v>0.10867924528301896</v>
      </c>
      <c r="AH107" s="133">
        <f>AH106-1%</f>
        <v>7.4553798086311365E-2</v>
      </c>
      <c r="AI107" s="116">
        <f>AI106+1%</f>
        <v>1.8628127696289846E-2</v>
      </c>
      <c r="AJ107" s="116">
        <f>AJ106+2%</f>
        <v>1.7681607418856254E-2</v>
      </c>
      <c r="AK107" s="116">
        <f>AK106+2%</f>
        <v>-1.065693430656935E-2</v>
      </c>
      <c r="AL107" s="116">
        <f>AL106-1%</f>
        <v>-2.2709416522241448E-2</v>
      </c>
      <c r="AM107" s="133">
        <f t="shared" ref="AM107:AR107" si="131">AM106+1%</f>
        <v>-2.6287360460931254E-4</v>
      </c>
      <c r="AN107" s="34">
        <f>AN106+1%</f>
        <v>6.1325919589392701E-2</v>
      </c>
      <c r="AO107" s="34">
        <f t="shared" si="131"/>
        <v>6.4221533694810193E-2</v>
      </c>
      <c r="AP107" s="34">
        <f t="shared" si="131"/>
        <v>7.2499999999999995E-2</v>
      </c>
      <c r="AQ107" s="34">
        <f t="shared" si="131"/>
        <v>4.5693387946167389E-2</v>
      </c>
      <c r="AR107" s="133">
        <f t="shared" si="131"/>
        <v>5.9845370201928365E-2</v>
      </c>
      <c r="AS107" s="34">
        <f>AS106+2%</f>
        <v>4.9292107404393923E-2</v>
      </c>
      <c r="AT107" s="34">
        <f>AT106+2%</f>
        <v>6.1146216017634133E-2</v>
      </c>
      <c r="AU107" s="34">
        <f>(AP$108*AU$110+AP$111*AU$113+AP$127*AU$129)/AP$105</f>
        <v>8.1417434443656955E-2</v>
      </c>
      <c r="AV107" s="34">
        <f>(AQ$108*AV$110+AQ$111*AV$113+AQ$127*AV$129)/AQ$105</f>
        <v>5.4870056497175128E-2</v>
      </c>
      <c r="AW107" s="133">
        <f>(AR$108*AW$110+AR$111*AW$113+AR$127*AW$129)/AR$105</f>
        <v>6.335643735920983E-2</v>
      </c>
      <c r="AX107" s="34">
        <f>(AS$108*AX$110+AS$111*AX$113+AS$127*AX$129)/AS$105</f>
        <v>3.7984189723320148E-2</v>
      </c>
      <c r="AY107" s="34"/>
      <c r="AZ107" s="34"/>
      <c r="BA107" s="34"/>
      <c r="BB107" s="133"/>
      <c r="BC107" s="34"/>
      <c r="BD107" s="34"/>
      <c r="BE107" s="34"/>
      <c r="BF107" s="34"/>
      <c r="BG107" s="133"/>
      <c r="BH107" s="34"/>
      <c r="BI107" s="34"/>
      <c r="BJ107" s="34"/>
      <c r="BK107" s="34"/>
      <c r="BL107" s="133"/>
      <c r="BM107" s="34"/>
      <c r="BN107" s="34"/>
      <c r="BO107" s="34"/>
      <c r="BP107" s="34"/>
      <c r="BQ107" s="133"/>
      <c r="BR107" s="34"/>
      <c r="BS107" s="34"/>
      <c r="BT107" s="34"/>
      <c r="BU107" s="34"/>
      <c r="BV107" s="133"/>
      <c r="BW107" s="34"/>
      <c r="BX107" s="34"/>
      <c r="BY107" s="34"/>
      <c r="BZ107" s="34"/>
      <c r="CA107" s="133"/>
      <c r="CB107" s="34"/>
      <c r="CC107" s="34"/>
      <c r="CD107" s="34"/>
      <c r="CE107" s="34"/>
      <c r="CF107" s="133"/>
      <c r="CG107" s="34"/>
      <c r="CH107" s="34"/>
      <c r="CI107" s="34"/>
      <c r="CJ107" s="34"/>
      <c r="CK107" s="133"/>
      <c r="CL107"/>
      <c r="CM107"/>
    </row>
    <row r="108" spans="1:103" collapsed="1" x14ac:dyDescent="0.2">
      <c r="A108" s="198"/>
      <c r="B108" s="542" t="str">
        <f>+A20</f>
        <v>Frito-Lay North America</v>
      </c>
      <c r="C108" s="198"/>
      <c r="D108" s="198"/>
      <c r="E108" s="200">
        <v>569</v>
      </c>
      <c r="F108" s="200">
        <v>634</v>
      </c>
      <c r="G108" s="200">
        <v>694</v>
      </c>
      <c r="H108" s="200">
        <v>785</v>
      </c>
      <c r="I108" s="148">
        <v>2682</v>
      </c>
      <c r="J108" s="94">
        <f>1292-K108</f>
        <v>610</v>
      </c>
      <c r="K108" s="94">
        <v>682</v>
      </c>
      <c r="L108" s="94">
        <v>742</v>
      </c>
      <c r="M108" s="94">
        <v>839</v>
      </c>
      <c r="N108" s="148">
        <v>2873</v>
      </c>
      <c r="O108" s="94">
        <v>633</v>
      </c>
      <c r="P108" s="94">
        <v>735</v>
      </c>
      <c r="Q108" s="94">
        <v>785</v>
      </c>
      <c r="R108" s="94">
        <v>914</v>
      </c>
      <c r="S108" s="148">
        <v>3067</v>
      </c>
      <c r="T108" s="94">
        <v>699</v>
      </c>
      <c r="U108" s="94">
        <v>783</v>
      </c>
      <c r="V108" s="94">
        <v>822</v>
      </c>
      <c r="W108" s="94">
        <v>956</v>
      </c>
      <c r="X108" s="148">
        <v>3106</v>
      </c>
      <c r="Y108" s="94">
        <v>728</v>
      </c>
      <c r="Z108" s="94">
        <v>800</v>
      </c>
      <c r="AA108" s="94">
        <v>866</v>
      </c>
      <c r="AB108" s="94">
        <v>982</v>
      </c>
      <c r="AC108" s="148">
        <f>+Y108+Z108+AA108+AB108</f>
        <v>3376</v>
      </c>
      <c r="AD108" s="196">
        <v>774</v>
      </c>
      <c r="AE108" s="196">
        <v>853</v>
      </c>
      <c r="AF108" s="196">
        <v>918</v>
      </c>
      <c r="AG108" s="94">
        <v>1080</v>
      </c>
      <c r="AH108" s="148">
        <f>+AD108+AE108+AF108+AG108</f>
        <v>3625</v>
      </c>
      <c r="AI108" s="196">
        <v>788</v>
      </c>
      <c r="AJ108" s="196">
        <v>859</v>
      </c>
      <c r="AK108" s="196">
        <v>925</v>
      </c>
      <c r="AL108" s="196">
        <v>1112</v>
      </c>
      <c r="AM108" s="148">
        <f>+AI108+AJ108+AK108+AL108</f>
        <v>3684</v>
      </c>
      <c r="AN108" s="94">
        <v>830</v>
      </c>
      <c r="AO108" s="94">
        <v>908</v>
      </c>
      <c r="AP108" s="94">
        <v>978</v>
      </c>
      <c r="AQ108" s="94">
        <v>1180</v>
      </c>
      <c r="AR108" s="148">
        <f>+AN108+AO108+AP108+AQ108</f>
        <v>3896</v>
      </c>
      <c r="AS108" s="286">
        <v>875</v>
      </c>
      <c r="AT108" s="286">
        <v>950</v>
      </c>
      <c r="AU108" s="286">
        <v>1034</v>
      </c>
      <c r="AV108" s="94">
        <v>1243</v>
      </c>
      <c r="AW108" s="148">
        <f>+AS108+AT108+AU108+AV108</f>
        <v>4102</v>
      </c>
      <c r="AX108" s="94">
        <v>926</v>
      </c>
      <c r="AY108" s="94">
        <v>1009</v>
      </c>
      <c r="AZ108" s="94">
        <v>1097</v>
      </c>
      <c r="BA108" s="94">
        <v>1298</v>
      </c>
      <c r="BB108" s="148">
        <f>+AX108+AY108+AZ108+BA108</f>
        <v>4330</v>
      </c>
      <c r="BC108" s="94">
        <f>1014-48/4</f>
        <v>1002</v>
      </c>
      <c r="BD108" s="94">
        <f>1086-48/4</f>
        <v>1074</v>
      </c>
      <c r="BE108" s="94">
        <f>1150-48/4</f>
        <v>1138</v>
      </c>
      <c r="BF108" s="94">
        <f>1422-48/4</f>
        <v>1410</v>
      </c>
      <c r="BG108" s="148">
        <f>+BC108+BD108+BE108+BF108</f>
        <v>4624</v>
      </c>
      <c r="BH108" s="94">
        <f>1061-10</f>
        <v>1051</v>
      </c>
      <c r="BI108" s="94">
        <f>1156-10</f>
        <v>1146</v>
      </c>
      <c r="BJ108" s="94">
        <f>1210-9-1</f>
        <v>1200</v>
      </c>
      <c r="BK108" s="94">
        <f>1463-1-12</f>
        <v>1450</v>
      </c>
      <c r="BL108" s="148">
        <f>+BH108+BI108+BJ108+BK108</f>
        <v>4847</v>
      </c>
      <c r="BM108" s="94">
        <f>+BM144*BM20</f>
        <v>1019.3330664707551</v>
      </c>
      <c r="BN108" s="94">
        <f>+BN144*BN20</f>
        <v>1227.7018122700422</v>
      </c>
      <c r="BO108" s="94">
        <f>+BO144*BO20</f>
        <v>1278.5534693072073</v>
      </c>
      <c r="BP108" s="94">
        <f>+BP144*BP20</f>
        <v>1531.5681638055526</v>
      </c>
      <c r="BQ108" s="148">
        <f>+BM108+BN108+BO108+BP108</f>
        <v>5057.1565118535573</v>
      </c>
      <c r="BR108" s="94">
        <f>+BR144*BR20</f>
        <v>1074.2692555485039</v>
      </c>
      <c r="BS108" s="94">
        <f>+BS144*BS20</f>
        <v>1292.4035754822301</v>
      </c>
      <c r="BT108" s="94">
        <f>+BT144*BT20</f>
        <v>1345.5973379915276</v>
      </c>
      <c r="BU108" s="94">
        <f>+BU144*BU20</f>
        <v>1613.4549913546045</v>
      </c>
      <c r="BV108" s="148">
        <f>+BR108+BS108+BT108+BU108</f>
        <v>5325.7251603768664</v>
      </c>
      <c r="BW108" s="94">
        <f>+BW144*BW20</f>
        <v>1133.449103028049</v>
      </c>
      <c r="BX108" s="94">
        <f>+BX144*BX20</f>
        <v>1360.1305273992402</v>
      </c>
      <c r="BY108" s="94">
        <f>+BY144*BY20</f>
        <v>1415.7680494838489</v>
      </c>
      <c r="BZ108" s="94">
        <f>+BZ144*BZ20</f>
        <v>1699.1977258314287</v>
      </c>
      <c r="CA108" s="148">
        <f>+BW108+BX108+BY108+BZ108</f>
        <v>5608.5454057425668</v>
      </c>
      <c r="CB108" s="94">
        <f>+CB144*CB20</f>
        <v>1195.4555599931155</v>
      </c>
      <c r="CC108" s="94">
        <f>+CC144*CC20</f>
        <v>1431.0151715704756</v>
      </c>
      <c r="CD108" s="94">
        <f>+CD144*CD20</f>
        <v>1489.2023540415933</v>
      </c>
      <c r="CE108" s="94">
        <f>+CE144*CE20</f>
        <v>1788.9659693572212</v>
      </c>
      <c r="CF108" s="148">
        <f>+CB108+CC108+CD108+CE108</f>
        <v>5904.6390549624057</v>
      </c>
      <c r="CG108" s="94">
        <f>+CG144*CG20</f>
        <v>1260.4139937945272</v>
      </c>
      <c r="CH108" s="94">
        <f>+CH144*CH20</f>
        <v>1505.1955809376334</v>
      </c>
      <c r="CI108" s="94">
        <f>+CI144*CI20</f>
        <v>1566.0427440577616</v>
      </c>
      <c r="CJ108" s="94">
        <f>+CJ144*CJ20</f>
        <v>1882.9364727156756</v>
      </c>
      <c r="CK108" s="148">
        <f>+CG108+CH108+CI108+CJ108</f>
        <v>6214.5887915055973</v>
      </c>
      <c r="CL108"/>
      <c r="CM108"/>
      <c r="CN108" s="45"/>
      <c r="CO108" s="27"/>
      <c r="CP108" s="27"/>
      <c r="CQ108" s="27"/>
      <c r="CR108" s="27"/>
      <c r="CS108" s="27"/>
      <c r="CT108" s="27"/>
      <c r="CU108" s="27"/>
      <c r="CV108" s="27"/>
      <c r="CW108" s="27"/>
      <c r="CX108" s="27"/>
      <c r="CY108" s="27"/>
    </row>
    <row r="109" spans="1:103" x14ac:dyDescent="0.2">
      <c r="A109" s="47"/>
      <c r="B109" s="543" t="s">
        <v>48</v>
      </c>
      <c r="C109" s="47"/>
      <c r="D109" s="47"/>
      <c r="E109" s="153"/>
      <c r="F109" s="153"/>
      <c r="G109" s="153"/>
      <c r="H109" s="153"/>
      <c r="I109" s="523"/>
      <c r="J109" s="371"/>
      <c r="K109" s="371"/>
      <c r="L109" s="371"/>
      <c r="M109" s="371"/>
      <c r="N109" s="523">
        <f t="shared" ref="N109:S109" si="132">+N108/I108-1</f>
        <v>7.1215510812826288E-2</v>
      </c>
      <c r="O109" s="371">
        <f t="shared" si="132"/>
        <v>3.770491803278686E-2</v>
      </c>
      <c r="P109" s="371">
        <f t="shared" si="132"/>
        <v>7.7712609970674418E-2</v>
      </c>
      <c r="Q109" s="371">
        <f t="shared" si="132"/>
        <v>5.7951482479784433E-2</v>
      </c>
      <c r="R109" s="371">
        <f t="shared" si="132"/>
        <v>8.9392133492252723E-2</v>
      </c>
      <c r="S109" s="523">
        <f t="shared" si="132"/>
        <v>6.752523494604934E-2</v>
      </c>
      <c r="T109" s="371">
        <f t="shared" ref="T109:AM109" si="133">+T108/O108-1</f>
        <v>0.10426540284360186</v>
      </c>
      <c r="U109" s="371">
        <f t="shared" si="133"/>
        <v>6.5306122448979487E-2</v>
      </c>
      <c r="V109" s="371">
        <f t="shared" si="133"/>
        <v>4.7133757961783429E-2</v>
      </c>
      <c r="W109" s="371">
        <f t="shared" si="133"/>
        <v>4.5951859956236296E-2</v>
      </c>
      <c r="X109" s="523">
        <v>6.2927942614933174E-2</v>
      </c>
      <c r="Y109" s="205">
        <v>0.10157367668097272</v>
      </c>
      <c r="Z109" s="205">
        <v>7.9182630906768914E-2</v>
      </c>
      <c r="AA109" s="205">
        <v>0.10340632603406319</v>
      </c>
      <c r="AB109" s="205">
        <v>7.4267782426778339E-2</v>
      </c>
      <c r="AC109" s="178">
        <v>8.8650306748466301E-2</v>
      </c>
      <c r="AD109" s="524">
        <f t="shared" si="133"/>
        <v>6.3186813186813184E-2</v>
      </c>
      <c r="AE109" s="524">
        <f t="shared" si="133"/>
        <v>6.624999999999992E-2</v>
      </c>
      <c r="AF109" s="524">
        <f t="shared" si="133"/>
        <v>6.004618937644346E-2</v>
      </c>
      <c r="AG109" s="371">
        <f t="shared" si="133"/>
        <v>9.9796334012219878E-2</v>
      </c>
      <c r="AH109" s="523">
        <f t="shared" si="133"/>
        <v>7.375592417061605E-2</v>
      </c>
      <c r="AI109" s="524">
        <f t="shared" si="133"/>
        <v>1.8087855297157729E-2</v>
      </c>
      <c r="AJ109" s="524">
        <f t="shared" si="133"/>
        <v>7.0339976553341899E-3</v>
      </c>
      <c r="AK109" s="524">
        <f t="shared" si="133"/>
        <v>7.625272331154731E-3</v>
      </c>
      <c r="AL109" s="524">
        <f t="shared" si="133"/>
        <v>2.9629629629629672E-2</v>
      </c>
      <c r="AM109" s="523">
        <f t="shared" si="133"/>
        <v>1.6275862068965585E-2</v>
      </c>
      <c r="AN109" s="371">
        <f t="shared" ref="AN109:CA109" si="134">+AN108/AI108-1</f>
        <v>5.3299492385786795E-2</v>
      </c>
      <c r="AO109" s="371">
        <f t="shared" si="134"/>
        <v>5.7043073341094264E-2</v>
      </c>
      <c r="AP109" s="371">
        <f t="shared" si="134"/>
        <v>5.7297297297297378E-2</v>
      </c>
      <c r="AQ109" s="371">
        <f t="shared" si="134"/>
        <v>6.1151079136690711E-2</v>
      </c>
      <c r="AR109" s="523">
        <f t="shared" si="134"/>
        <v>5.7546145494028256E-2</v>
      </c>
      <c r="AS109" s="308">
        <f>+AS108/AN108-1</f>
        <v>5.4216867469879526E-2</v>
      </c>
      <c r="AT109" s="308">
        <f t="shared" si="134"/>
        <v>4.6255506607929542E-2</v>
      </c>
      <c r="AU109" s="308">
        <f t="shared" si="134"/>
        <v>5.7259713701431458E-2</v>
      </c>
      <c r="AV109" s="371">
        <f t="shared" si="134"/>
        <v>5.3389830508474567E-2</v>
      </c>
      <c r="AW109" s="523">
        <f t="shared" si="134"/>
        <v>5.2874743326488671E-2</v>
      </c>
      <c r="AX109" s="371">
        <f t="shared" si="134"/>
        <v>5.8285714285714274E-2</v>
      </c>
      <c r="AY109" s="371">
        <f t="shared" si="134"/>
        <v>6.2105263157894663E-2</v>
      </c>
      <c r="AZ109" s="371">
        <f>+AZ108/AU108-1</f>
        <v>6.0928433268858884E-2</v>
      </c>
      <c r="BA109" s="371">
        <f t="shared" si="134"/>
        <v>4.4247787610619538E-2</v>
      </c>
      <c r="BB109" s="523">
        <f>+BB108/AW108-1</f>
        <v>5.5582642613359434E-2</v>
      </c>
      <c r="BC109" s="371">
        <f t="shared" si="134"/>
        <v>8.2073434125270017E-2</v>
      </c>
      <c r="BD109" s="371">
        <f t="shared" si="134"/>
        <v>6.4420218037660959E-2</v>
      </c>
      <c r="BE109" s="371">
        <f t="shared" si="134"/>
        <v>3.7374658158614293E-2</v>
      </c>
      <c r="BF109" s="371">
        <f t="shared" si="134"/>
        <v>8.6286594761171065E-2</v>
      </c>
      <c r="BG109" s="523">
        <f t="shared" si="134"/>
        <v>6.7898383371824522E-2</v>
      </c>
      <c r="BH109" s="371">
        <f t="shared" si="134"/>
        <v>4.8902195608782506E-2</v>
      </c>
      <c r="BI109" s="371">
        <f t="shared" si="134"/>
        <v>6.7039106145251326E-2</v>
      </c>
      <c r="BJ109" s="371">
        <f t="shared" si="134"/>
        <v>5.4481546572934914E-2</v>
      </c>
      <c r="BK109" s="371">
        <f t="shared" si="134"/>
        <v>2.8368794326241176E-2</v>
      </c>
      <c r="BL109" s="523">
        <f t="shared" si="134"/>
        <v>4.8226643598615837E-2</v>
      </c>
      <c r="BM109" s="371">
        <f t="shared" si="134"/>
        <v>-3.0130288800423344E-2</v>
      </c>
      <c r="BN109" s="371">
        <f t="shared" si="134"/>
        <v>7.1293029904050842E-2</v>
      </c>
      <c r="BO109" s="371">
        <f t="shared" si="134"/>
        <v>6.5461224422672659E-2</v>
      </c>
      <c r="BP109" s="371">
        <f t="shared" si="134"/>
        <v>5.6253906072794901E-2</v>
      </c>
      <c r="BQ109" s="523">
        <f t="shared" si="134"/>
        <v>4.3358058975357494E-2</v>
      </c>
      <c r="BR109" s="371">
        <f t="shared" si="134"/>
        <v>5.3894247998796718E-2</v>
      </c>
      <c r="BS109" s="371">
        <f t="shared" si="134"/>
        <v>5.2701529447572559E-2</v>
      </c>
      <c r="BT109" s="371">
        <f t="shared" si="134"/>
        <v>5.2437281892206311E-2</v>
      </c>
      <c r="BU109" s="371">
        <f t="shared" si="134"/>
        <v>5.3466002678969504E-2</v>
      </c>
      <c r="BV109" s="523">
        <f t="shared" si="134"/>
        <v>5.3106651513317171E-2</v>
      </c>
      <c r="BW109" s="371">
        <f t="shared" si="134"/>
        <v>5.508846797382172E-2</v>
      </c>
      <c r="BX109" s="371">
        <f t="shared" si="134"/>
        <v>5.2403872290232245E-2</v>
      </c>
      <c r="BY109" s="371">
        <f t="shared" si="134"/>
        <v>5.2148372704913237E-2</v>
      </c>
      <c r="BZ109" s="371">
        <f t="shared" si="134"/>
        <v>5.3142315674289398E-2</v>
      </c>
      <c r="CA109" s="523">
        <f t="shared" si="134"/>
        <v>5.3104551370744657E-2</v>
      </c>
      <c r="CB109" s="371">
        <f t="shared" ref="CB109:CK109" si="135">+CB108/BW108-1</f>
        <v>5.4705991472765891E-2</v>
      </c>
      <c r="CC109" s="371">
        <f t="shared" si="135"/>
        <v>5.2116059998136066E-2</v>
      </c>
      <c r="CD109" s="371">
        <f t="shared" si="135"/>
        <v>5.1868881053302784E-2</v>
      </c>
      <c r="CE109" s="371">
        <f t="shared" si="135"/>
        <v>5.2829780879013466E-2</v>
      </c>
      <c r="CF109" s="523">
        <f t="shared" si="135"/>
        <v>5.2793305179747563E-2</v>
      </c>
      <c r="CG109" s="371">
        <f t="shared" si="135"/>
        <v>5.4337807255491644E-2</v>
      </c>
      <c r="CH109" s="371">
        <f t="shared" si="135"/>
        <v>5.183761209585791E-2</v>
      </c>
      <c r="CI109" s="371">
        <f t="shared" si="135"/>
        <v>5.1598353848708811E-2</v>
      </c>
      <c r="CJ109" s="371">
        <f t="shared" si="135"/>
        <v>5.2527831701694172E-2</v>
      </c>
      <c r="CK109" s="523">
        <f t="shared" si="135"/>
        <v>5.2492579759418456E-2</v>
      </c>
      <c r="CL109"/>
      <c r="CM109"/>
      <c r="CN109" s="37"/>
      <c r="CO109" s="37"/>
      <c r="CP109" s="37"/>
      <c r="CQ109" s="37"/>
      <c r="CR109" s="37"/>
      <c r="CS109" s="37"/>
      <c r="CT109" s="37"/>
      <c r="CU109" s="37"/>
      <c r="CV109" s="37"/>
      <c r="CW109" s="37"/>
    </row>
    <row r="110" spans="1:103" x14ac:dyDescent="0.2">
      <c r="A110" s="47"/>
      <c r="B110" s="543" t="s">
        <v>10</v>
      </c>
      <c r="C110" s="47"/>
      <c r="D110" s="47"/>
      <c r="E110" s="153"/>
      <c r="F110" s="153"/>
      <c r="G110" s="153"/>
      <c r="H110" s="153"/>
      <c r="I110" s="523"/>
      <c r="J110" s="371"/>
      <c r="K110" s="371"/>
      <c r="L110" s="371"/>
      <c r="M110" s="371"/>
      <c r="N110" s="523">
        <v>7.0000000000000007E-2</v>
      </c>
      <c r="O110" s="371"/>
      <c r="P110" s="371"/>
      <c r="Q110" s="371"/>
      <c r="R110" s="371"/>
      <c r="S110" s="523">
        <v>7.0000000000000007E-2</v>
      </c>
      <c r="T110" s="371">
        <v>0.12</v>
      </c>
      <c r="U110" s="371">
        <v>0.08</v>
      </c>
      <c r="V110" s="371">
        <v>0.05</v>
      </c>
      <c r="W110" s="371">
        <v>0.04</v>
      </c>
      <c r="X110" s="523">
        <v>7.0000000000000007E-2</v>
      </c>
      <c r="Y110" s="205">
        <v>0.09</v>
      </c>
      <c r="Z110" s="205">
        <v>7.0000000000000007E-2</v>
      </c>
      <c r="AA110" s="205">
        <v>0.1</v>
      </c>
      <c r="AB110" s="205">
        <v>7.0000000000000007E-2</v>
      </c>
      <c r="AC110" s="178">
        <v>0.08</v>
      </c>
      <c r="AD110" s="524">
        <f>AD109</f>
        <v>6.3186813186813184E-2</v>
      </c>
      <c r="AE110" s="524">
        <f>AE109-0.5%</f>
        <v>6.1249999999999923E-2</v>
      </c>
      <c r="AF110" s="524">
        <f>AF109-1%</f>
        <v>5.0046189376443458E-2</v>
      </c>
      <c r="AG110" s="524">
        <f>AG109-0%</f>
        <v>9.9796334012219878E-2</v>
      </c>
      <c r="AH110" s="523">
        <f>AH109-0%</f>
        <v>7.375592417061605E-2</v>
      </c>
      <c r="AI110" s="524">
        <f t="shared" ref="AI110:AP110" si="136">AI109</f>
        <v>1.8087855297157729E-2</v>
      </c>
      <c r="AJ110" s="524">
        <f t="shared" si="136"/>
        <v>7.0339976553341899E-3</v>
      </c>
      <c r="AK110" s="524">
        <f t="shared" si="136"/>
        <v>7.625272331154731E-3</v>
      </c>
      <c r="AL110" s="524">
        <f t="shared" si="136"/>
        <v>2.9629629629629672E-2</v>
      </c>
      <c r="AM110" s="523">
        <f t="shared" si="136"/>
        <v>1.6275862068965585E-2</v>
      </c>
      <c r="AN110" s="371">
        <f>AN109</f>
        <v>5.3299492385786795E-2</v>
      </c>
      <c r="AO110" s="371">
        <f>AO109</f>
        <v>5.7043073341094264E-2</v>
      </c>
      <c r="AP110" s="371">
        <f t="shared" si="136"/>
        <v>5.7297297297297378E-2</v>
      </c>
      <c r="AQ110" s="371">
        <f>AQ109+1%</f>
        <v>7.1151079136690706E-2</v>
      </c>
      <c r="AR110" s="523">
        <f>AR109</f>
        <v>5.7546145494028256E-2</v>
      </c>
      <c r="AS110" s="371">
        <f>AS109+1%</f>
        <v>6.4216867469879521E-2</v>
      </c>
      <c r="AT110" s="371">
        <f>AT109+0.5%</f>
        <v>5.1255506607929539E-2</v>
      </c>
      <c r="AU110" s="308">
        <f>AU109</f>
        <v>5.7259713701431458E-2</v>
      </c>
      <c r="AV110" s="371">
        <f>AV109+1%</f>
        <v>6.3389830508474562E-2</v>
      </c>
      <c r="AW110" s="523">
        <f>AW109+0.5%</f>
        <v>5.7874743326488669E-2</v>
      </c>
      <c r="AX110" s="371">
        <f>AX109+1%</f>
        <v>6.8285714285714269E-2</v>
      </c>
      <c r="AY110" s="371"/>
      <c r="AZ110" s="371"/>
      <c r="BA110" s="371"/>
      <c r="BB110" s="523"/>
      <c r="BC110" s="371"/>
      <c r="BD110" s="371"/>
      <c r="BE110" s="371"/>
      <c r="BF110" s="371"/>
      <c r="BG110" s="523"/>
      <c r="BH110" s="371"/>
      <c r="BI110" s="371"/>
      <c r="BJ110" s="371"/>
      <c r="BK110" s="371"/>
      <c r="BL110" s="523"/>
      <c r="BM110" s="371"/>
      <c r="BN110" s="371"/>
      <c r="BO110" s="371"/>
      <c r="BP110" s="371"/>
      <c r="BQ110" s="523"/>
      <c r="BR110" s="371"/>
      <c r="BS110" s="371"/>
      <c r="BT110" s="371"/>
      <c r="BU110" s="371"/>
      <c r="BV110" s="523"/>
      <c r="BW110" s="371"/>
      <c r="BX110" s="371"/>
      <c r="BY110" s="371"/>
      <c r="BZ110" s="371"/>
      <c r="CA110" s="523"/>
      <c r="CB110" s="371"/>
      <c r="CC110" s="371"/>
      <c r="CD110" s="371"/>
      <c r="CE110" s="371"/>
      <c r="CF110" s="523"/>
      <c r="CG110" s="371"/>
      <c r="CH110" s="371"/>
      <c r="CI110" s="371"/>
      <c r="CJ110" s="371"/>
      <c r="CK110" s="523"/>
      <c r="CL110"/>
      <c r="CM110"/>
      <c r="CN110" s="37"/>
      <c r="CO110" s="37"/>
      <c r="CP110" s="37"/>
      <c r="CQ110" s="37"/>
      <c r="CR110" s="37"/>
      <c r="CS110" s="37"/>
      <c r="CT110" s="37"/>
      <c r="CU110" s="37"/>
      <c r="CV110" s="37"/>
      <c r="CW110" s="37"/>
    </row>
    <row r="111" spans="1:103" x14ac:dyDescent="0.2">
      <c r="A111" s="198"/>
      <c r="B111" s="542" t="str">
        <f>+A27</f>
        <v>Quaker Foods North America</v>
      </c>
      <c r="C111" s="198"/>
      <c r="D111" s="198"/>
      <c r="E111" s="200">
        <v>151</v>
      </c>
      <c r="F111" s="200">
        <v>115</v>
      </c>
      <c r="G111" s="200">
        <v>123</v>
      </c>
      <c r="H111" s="200">
        <v>165</v>
      </c>
      <c r="I111" s="148">
        <v>554</v>
      </c>
      <c r="J111" s="94">
        <f>273-K111</f>
        <v>156</v>
      </c>
      <c r="K111" s="94">
        <f>117</f>
        <v>117</v>
      </c>
      <c r="L111" s="94">
        <v>126</v>
      </c>
      <c r="M111" s="94">
        <v>169</v>
      </c>
      <c r="N111" s="148">
        <v>568</v>
      </c>
      <c r="O111" s="94">
        <v>166</v>
      </c>
      <c r="P111" s="94">
        <v>122</v>
      </c>
      <c r="Q111" s="94">
        <v>134</v>
      </c>
      <c r="R111" s="94">
        <v>191</v>
      </c>
      <c r="S111" s="148">
        <v>613</v>
      </c>
      <c r="T111" s="94">
        <v>176</v>
      </c>
      <c r="U111" s="94">
        <v>132</v>
      </c>
      <c r="V111" s="94">
        <v>131</v>
      </c>
      <c r="W111" s="94">
        <v>190</v>
      </c>
      <c r="X111" s="148">
        <v>783</v>
      </c>
      <c r="Y111" s="94">
        <v>195</v>
      </c>
      <c r="Z111" s="94">
        <v>159</v>
      </c>
      <c r="AA111" s="94">
        <v>167</v>
      </c>
      <c r="AB111" s="94">
        <v>220</v>
      </c>
      <c r="AC111" s="148">
        <f>+Y111+Z111+AA111+AB111</f>
        <v>741</v>
      </c>
      <c r="AD111" s="196">
        <v>214</v>
      </c>
      <c r="AE111" s="196">
        <v>167</v>
      </c>
      <c r="AF111" s="196">
        <v>177</v>
      </c>
      <c r="AG111" s="94">
        <v>245</v>
      </c>
      <c r="AH111" s="148">
        <f>+AD111+AE111+AF111+AG111</f>
        <v>803</v>
      </c>
      <c r="AI111" s="196">
        <v>192</v>
      </c>
      <c r="AJ111" s="196">
        <v>155</v>
      </c>
      <c r="AK111" s="196">
        <v>155</v>
      </c>
      <c r="AL111" s="196">
        <v>202</v>
      </c>
      <c r="AM111" s="148">
        <f>+AI111+AJ111+AK111+AL111</f>
        <v>704</v>
      </c>
      <c r="AN111" s="94">
        <v>179</v>
      </c>
      <c r="AO111" s="94">
        <v>134</v>
      </c>
      <c r="AP111" s="94">
        <v>137</v>
      </c>
      <c r="AQ111" s="94">
        <v>171</v>
      </c>
      <c r="AR111" s="148">
        <f>+AN111+AO111+AP111+AQ111</f>
        <v>621</v>
      </c>
      <c r="AS111" s="286">
        <v>162</v>
      </c>
      <c r="AT111" s="286">
        <v>139</v>
      </c>
      <c r="AU111" s="286">
        <f>150</f>
        <v>150</v>
      </c>
      <c r="AV111" s="94">
        <v>184</v>
      </c>
      <c r="AW111" s="148">
        <f>+AS111+AT111+AU111+AV111</f>
        <v>635</v>
      </c>
      <c r="AX111" s="94">
        <v>100</v>
      </c>
      <c r="AY111" s="94">
        <v>132</v>
      </c>
      <c r="AZ111" s="94">
        <v>151</v>
      </c>
      <c r="BA111" s="94">
        <v>180</v>
      </c>
      <c r="BB111" s="148">
        <f>+AX111+AY111+AZ111+BA111</f>
        <v>563</v>
      </c>
      <c r="BC111" s="94">
        <f>166-1</f>
        <v>165</v>
      </c>
      <c r="BD111" s="94">
        <f>147-1</f>
        <v>146</v>
      </c>
      <c r="BE111" s="94">
        <f>144-1</f>
        <v>143</v>
      </c>
      <c r="BF111" s="94">
        <f>197-1</f>
        <v>196</v>
      </c>
      <c r="BG111" s="148">
        <f>+BC111+BD111+BE111+BF111</f>
        <v>650</v>
      </c>
      <c r="BH111" s="94">
        <f>164-1</f>
        <v>163</v>
      </c>
      <c r="BI111" s="94">
        <f>146-1</f>
        <v>145</v>
      </c>
      <c r="BJ111" s="94">
        <f>146-1</f>
        <v>145</v>
      </c>
      <c r="BK111" s="94">
        <f>197+1-2</f>
        <v>196</v>
      </c>
      <c r="BL111" s="148">
        <f>+BH111+BI111+BJ111+BK111</f>
        <v>649</v>
      </c>
      <c r="BM111" s="94">
        <f>+BM145*BM27</f>
        <v>160.99693831192727</v>
      </c>
      <c r="BN111" s="94">
        <f>+BN145*BN27</f>
        <v>148.6527033228123</v>
      </c>
      <c r="BO111" s="94">
        <f>+BO145*BO27</f>
        <v>151.88006612813589</v>
      </c>
      <c r="BP111" s="94">
        <f>+BP145*BP27</f>
        <v>202.78811433366673</v>
      </c>
      <c r="BQ111" s="148">
        <f>+BM111+BN111+BO111+BP111</f>
        <v>664.31782209654216</v>
      </c>
      <c r="BR111" s="94">
        <f>+BR145*BR27</f>
        <v>165.68925356476069</v>
      </c>
      <c r="BS111" s="94">
        <f>+BS145*BS27</f>
        <v>150.86969505510413</v>
      </c>
      <c r="BT111" s="94">
        <f>+BT145*BT27</f>
        <v>152.62348480543309</v>
      </c>
      <c r="BU111" s="94">
        <f>+BU145*BU27</f>
        <v>205.88140090371803</v>
      </c>
      <c r="BV111" s="148">
        <f>+BR111+BS111+BT111+BU111</f>
        <v>675.063834329016</v>
      </c>
      <c r="BW111" s="94">
        <f>+BW145*BW27</f>
        <v>170.6792846933019</v>
      </c>
      <c r="BX111" s="94">
        <f>+BX145*BX27</f>
        <v>153.08668678739596</v>
      </c>
      <c r="BY111" s="94">
        <f>+BY145*BY27</f>
        <v>153.33684710257157</v>
      </c>
      <c r="BZ111" s="94">
        <f>+BZ145*BZ27</f>
        <v>208.97468747376934</v>
      </c>
      <c r="CA111" s="148">
        <f>+BW111+BX111+BY111+BZ111</f>
        <v>686.07750605703882</v>
      </c>
      <c r="CB111" s="94">
        <f>+CB145*CB27</f>
        <v>175.78173667364726</v>
      </c>
      <c r="CC111" s="94">
        <f>+CC145*CC27</f>
        <v>155.30367851968782</v>
      </c>
      <c r="CD111" s="94">
        <f>+CD145*CD27</f>
        <v>154.02067980528668</v>
      </c>
      <c r="CE111" s="94">
        <f>+CE145*CE27</f>
        <v>212.06797404382064</v>
      </c>
      <c r="CF111" s="148">
        <f>+CB111+CC111+CD111+CE111</f>
        <v>697.1740690424424</v>
      </c>
      <c r="CG111" s="94">
        <f>+CG145*CG27</f>
        <v>180.99885937434698</v>
      </c>
      <c r="CH111" s="94">
        <f>+CH145*CH27</f>
        <v>157.52067025197965</v>
      </c>
      <c r="CI111" s="94">
        <f>+CI145*CI27</f>
        <v>154.67550216923726</v>
      </c>
      <c r="CJ111" s="94">
        <f>+CJ145*CJ27</f>
        <v>215.16126061387195</v>
      </c>
      <c r="CK111" s="148">
        <f>+CG111+CH111+CI111+CJ111</f>
        <v>708.35629240943581</v>
      </c>
      <c r="CL111"/>
      <c r="CM111"/>
      <c r="CN111" s="45"/>
      <c r="CO111" s="27"/>
      <c r="CP111" s="27"/>
      <c r="CQ111" s="27"/>
      <c r="CR111" s="27"/>
      <c r="CS111" s="27"/>
      <c r="CT111" s="27"/>
      <c r="CU111" s="27"/>
      <c r="CV111" s="27"/>
      <c r="CW111" s="27"/>
      <c r="CX111" s="27"/>
      <c r="CY111" s="27"/>
    </row>
    <row r="112" spans="1:103" x14ac:dyDescent="0.2">
      <c r="A112" s="47"/>
      <c r="B112" s="543" t="s">
        <v>48</v>
      </c>
      <c r="C112" s="47"/>
      <c r="D112" s="47"/>
      <c r="E112" s="154"/>
      <c r="F112" s="154"/>
      <c r="G112" s="154"/>
      <c r="H112" s="154"/>
      <c r="I112" s="523"/>
      <c r="J112" s="371"/>
      <c r="K112" s="371"/>
      <c r="L112" s="371"/>
      <c r="M112" s="371"/>
      <c r="N112" s="523">
        <f t="shared" ref="N112:S112" si="137">+N111/I111-1</f>
        <v>2.5270758122743597E-2</v>
      </c>
      <c r="O112" s="371">
        <f t="shared" si="137"/>
        <v>6.4102564102564097E-2</v>
      </c>
      <c r="P112" s="371">
        <f t="shared" si="137"/>
        <v>4.2735042735042805E-2</v>
      </c>
      <c r="Q112" s="371">
        <f t="shared" si="137"/>
        <v>6.3492063492063489E-2</v>
      </c>
      <c r="R112" s="371">
        <f t="shared" si="137"/>
        <v>0.13017751479289941</v>
      </c>
      <c r="S112" s="523">
        <f t="shared" si="137"/>
        <v>7.9225352112676006E-2</v>
      </c>
      <c r="T112" s="371">
        <f t="shared" ref="T112:AM112" si="138">+T111/O111-1</f>
        <v>6.024096385542177E-2</v>
      </c>
      <c r="U112" s="371">
        <f t="shared" si="138"/>
        <v>8.1967213114754189E-2</v>
      </c>
      <c r="V112" s="371">
        <f t="shared" si="138"/>
        <v>-2.2388059701492491E-2</v>
      </c>
      <c r="W112" s="371">
        <f t="shared" si="138"/>
        <v>-5.2356020942407877E-3</v>
      </c>
      <c r="X112" s="523">
        <v>2.610114192495927E-2</v>
      </c>
      <c r="Y112" s="371">
        <v>-0.13068181818181823</v>
      </c>
      <c r="Z112" s="371">
        <v>-0.13636363636363635</v>
      </c>
      <c r="AA112" s="371">
        <v>-3.8167938931297662E-2</v>
      </c>
      <c r="AB112" s="371">
        <v>-7.8947368421052655E-2</v>
      </c>
      <c r="AC112" s="178">
        <v>-9.6979332273449903E-2</v>
      </c>
      <c r="AD112" s="524">
        <f t="shared" si="138"/>
        <v>9.7435897435897534E-2</v>
      </c>
      <c r="AE112" s="524">
        <f t="shared" si="138"/>
        <v>5.031446540880502E-2</v>
      </c>
      <c r="AF112" s="524">
        <f t="shared" si="138"/>
        <v>5.9880239520958112E-2</v>
      </c>
      <c r="AG112" s="371">
        <f t="shared" si="138"/>
        <v>0.11363636363636354</v>
      </c>
      <c r="AH112" s="523">
        <f t="shared" si="138"/>
        <v>8.3670715249662519E-2</v>
      </c>
      <c r="AI112" s="524">
        <f t="shared" si="138"/>
        <v>-0.10280373831775702</v>
      </c>
      <c r="AJ112" s="524">
        <f t="shared" si="138"/>
        <v>-7.1856287425149712E-2</v>
      </c>
      <c r="AK112" s="524">
        <f t="shared" si="138"/>
        <v>-0.12429378531073443</v>
      </c>
      <c r="AL112" s="524">
        <f t="shared" si="138"/>
        <v>-0.17551020408163265</v>
      </c>
      <c r="AM112" s="523">
        <f t="shared" si="138"/>
        <v>-0.12328767123287676</v>
      </c>
      <c r="AN112" s="371">
        <f t="shared" ref="AN112:CA112" si="139">+AN111/AI111-1</f>
        <v>-6.770833333333337E-2</v>
      </c>
      <c r="AO112" s="371">
        <f t="shared" si="139"/>
        <v>-0.13548387096774195</v>
      </c>
      <c r="AP112" s="371">
        <f t="shared" si="139"/>
        <v>-0.11612903225806448</v>
      </c>
      <c r="AQ112" s="371">
        <f t="shared" si="139"/>
        <v>-0.15346534653465349</v>
      </c>
      <c r="AR112" s="523">
        <f t="shared" si="139"/>
        <v>-0.11789772727272729</v>
      </c>
      <c r="AS112" s="308">
        <f t="shared" si="139"/>
        <v>-9.4972067039106101E-2</v>
      </c>
      <c r="AT112" s="308">
        <f t="shared" si="139"/>
        <v>3.7313432835820892E-2</v>
      </c>
      <c r="AU112" s="308">
        <f t="shared" si="139"/>
        <v>9.4890510948905105E-2</v>
      </c>
      <c r="AV112" s="371">
        <f t="shared" si="139"/>
        <v>7.6023391812865437E-2</v>
      </c>
      <c r="AW112" s="523">
        <f t="shared" si="139"/>
        <v>2.2544283413848731E-2</v>
      </c>
      <c r="AX112" s="371">
        <f t="shared" si="139"/>
        <v>-0.38271604938271608</v>
      </c>
      <c r="AY112" s="371">
        <f t="shared" si="139"/>
        <v>-5.0359712230215847E-2</v>
      </c>
      <c r="AZ112" s="371">
        <f>+AZ111/AU111-1</f>
        <v>6.6666666666665986E-3</v>
      </c>
      <c r="BA112" s="371">
        <f t="shared" si="139"/>
        <v>-2.1739130434782594E-2</v>
      </c>
      <c r="BB112" s="523">
        <f>+BB111/AW111-1</f>
        <v>-0.11338582677165354</v>
      </c>
      <c r="BC112" s="371">
        <f t="shared" si="139"/>
        <v>0.64999999999999991</v>
      </c>
      <c r="BD112" s="371">
        <f t="shared" si="139"/>
        <v>0.10606060606060597</v>
      </c>
      <c r="BE112" s="371">
        <f t="shared" si="139"/>
        <v>-5.2980132450331174E-2</v>
      </c>
      <c r="BF112" s="371">
        <f t="shared" si="139"/>
        <v>8.8888888888888795E-2</v>
      </c>
      <c r="BG112" s="523">
        <f t="shared" si="139"/>
        <v>0.15452930728241565</v>
      </c>
      <c r="BH112" s="371">
        <f t="shared" si="139"/>
        <v>-1.2121212121212088E-2</v>
      </c>
      <c r="BI112" s="371">
        <f t="shared" si="139"/>
        <v>-6.8493150684931781E-3</v>
      </c>
      <c r="BJ112" s="371">
        <f t="shared" si="139"/>
        <v>1.3986013986013957E-2</v>
      </c>
      <c r="BK112" s="371">
        <f t="shared" si="139"/>
        <v>0</v>
      </c>
      <c r="BL112" s="523">
        <f t="shared" si="139"/>
        <v>-1.5384615384614886E-3</v>
      </c>
      <c r="BM112" s="371">
        <f t="shared" si="139"/>
        <v>-1.2288722012716136E-2</v>
      </c>
      <c r="BN112" s="371">
        <f t="shared" si="139"/>
        <v>2.519105739870553E-2</v>
      </c>
      <c r="BO112" s="371">
        <f t="shared" si="139"/>
        <v>4.7448731918178666E-2</v>
      </c>
      <c r="BP112" s="371">
        <f t="shared" si="139"/>
        <v>3.4633236396258704E-2</v>
      </c>
      <c r="BQ112" s="523">
        <f t="shared" si="139"/>
        <v>2.3602191211929302E-2</v>
      </c>
      <c r="BR112" s="371">
        <f t="shared" si="139"/>
        <v>2.9145369483624561E-2</v>
      </c>
      <c r="BS112" s="371">
        <f t="shared" si="139"/>
        <v>1.4913901212260106E-2</v>
      </c>
      <c r="BT112" s="371">
        <f t="shared" si="139"/>
        <v>4.8947745168217427E-3</v>
      </c>
      <c r="BU112" s="371">
        <f t="shared" si="139"/>
        <v>1.5253786348452536E-2</v>
      </c>
      <c r="BV112" s="523">
        <f t="shared" si="139"/>
        <v>1.6176010751239644E-2</v>
      </c>
      <c r="BW112" s="371">
        <f t="shared" si="139"/>
        <v>3.0116806136680552E-2</v>
      </c>
      <c r="BX112" s="371">
        <f t="shared" si="139"/>
        <v>1.4694745233508222E-2</v>
      </c>
      <c r="BY112" s="371">
        <f t="shared" si="139"/>
        <v>4.6740008462515803E-3</v>
      </c>
      <c r="BZ112" s="371">
        <f t="shared" si="139"/>
        <v>1.5024604245324147E-2</v>
      </c>
      <c r="CA112" s="523">
        <f t="shared" si="139"/>
        <v>1.6315007808068938E-2</v>
      </c>
      <c r="CB112" s="371">
        <f t="shared" ref="CB112:CK112" si="140">+CB111/BW111-1</f>
        <v>2.9894969325153342E-2</v>
      </c>
      <c r="CC112" s="371">
        <f t="shared" si="140"/>
        <v>1.448193686085042E-2</v>
      </c>
      <c r="CD112" s="371">
        <f t="shared" si="140"/>
        <v>4.4596762985329441E-3</v>
      </c>
      <c r="CE112" s="371">
        <f t="shared" si="140"/>
        <v>1.4802206944032781E-2</v>
      </c>
      <c r="CF112" s="523">
        <f t="shared" si="140"/>
        <v>1.6173920420706978E-2</v>
      </c>
      <c r="CG112" s="371">
        <f t="shared" si="140"/>
        <v>2.9679549192221932E-2</v>
      </c>
      <c r="CH112" s="371">
        <f t="shared" si="140"/>
        <v>1.4275204254165619E-2</v>
      </c>
      <c r="CI112" s="371">
        <f t="shared" si="140"/>
        <v>4.2515223590651186E-3</v>
      </c>
      <c r="CJ112" s="371">
        <f t="shared" si="140"/>
        <v>1.4586297549162852E-2</v>
      </c>
      <c r="CK112" s="523">
        <f t="shared" si="140"/>
        <v>1.6039356401123861E-2</v>
      </c>
      <c r="CL112"/>
      <c r="CM112"/>
      <c r="CN112" s="37"/>
      <c r="CO112" s="37"/>
      <c r="CP112" s="37"/>
      <c r="CQ112" s="37"/>
      <c r="CR112" s="37"/>
      <c r="CS112" s="37"/>
      <c r="CT112" s="37"/>
      <c r="CU112" s="37"/>
      <c r="CV112" s="37"/>
      <c r="CW112" s="37"/>
    </row>
    <row r="113" spans="1:103" x14ac:dyDescent="0.2">
      <c r="A113" s="47"/>
      <c r="B113" s="543" t="s">
        <v>10</v>
      </c>
      <c r="C113" s="47"/>
      <c r="D113" s="47"/>
      <c r="E113" s="154"/>
      <c r="F113" s="154"/>
      <c r="G113" s="154"/>
      <c r="H113" s="154"/>
      <c r="I113" s="523"/>
      <c r="J113" s="371"/>
      <c r="K113" s="371"/>
      <c r="L113" s="371"/>
      <c r="M113" s="371"/>
      <c r="N113" s="523">
        <v>2.5000000000000001E-2</v>
      </c>
      <c r="O113" s="371"/>
      <c r="P113" s="371"/>
      <c r="Q113" s="371"/>
      <c r="R113" s="371"/>
      <c r="S113" s="523">
        <v>0.08</v>
      </c>
      <c r="T113" s="371">
        <v>7.0000000000000007E-2</v>
      </c>
      <c r="U113" s="371">
        <v>0.09</v>
      </c>
      <c r="V113" s="371">
        <v>-0.01</v>
      </c>
      <c r="W113" s="371">
        <v>-0.02</v>
      </c>
      <c r="X113" s="523">
        <v>0.03</v>
      </c>
      <c r="Y113" s="371">
        <v>-0.14000000000000001</v>
      </c>
      <c r="Z113" s="371">
        <v>-0.14000000000000001</v>
      </c>
      <c r="AA113" s="371">
        <v>-5.5E-2</v>
      </c>
      <c r="AB113" s="371">
        <v>-0.08</v>
      </c>
      <c r="AC113" s="178">
        <v>-0.1</v>
      </c>
      <c r="AD113" s="524">
        <f>AD112-1%</f>
        <v>8.7435897435897539E-2</v>
      </c>
      <c r="AE113" s="524">
        <f>AE112-1%</f>
        <v>4.0314465408805018E-2</v>
      </c>
      <c r="AF113" s="524">
        <f>AF112-1%</f>
        <v>4.988023952095811E-2</v>
      </c>
      <c r="AG113" s="524">
        <f>AG112-0%</f>
        <v>0.11363636363636354</v>
      </c>
      <c r="AH113" s="523">
        <f>AH112-0.5%</f>
        <v>7.8670715249662515E-2</v>
      </c>
      <c r="AI113" s="524">
        <f>AI112</f>
        <v>-0.10280373831775702</v>
      </c>
      <c r="AJ113" s="524">
        <f>AJ112+0.5%</f>
        <v>-6.6856287425149707E-2</v>
      </c>
      <c r="AK113" s="524">
        <f>AK112+0.5%</f>
        <v>-0.11929378531073442</v>
      </c>
      <c r="AL113" s="524">
        <f>AL112+0.5%</f>
        <v>-0.17051020408163264</v>
      </c>
      <c r="AM113" s="523">
        <f>AM112</f>
        <v>-0.12328767123287676</v>
      </c>
      <c r="AN113" s="371">
        <f>AN112</f>
        <v>-6.770833333333337E-2</v>
      </c>
      <c r="AO113" s="371">
        <f>AO112</f>
        <v>-0.13548387096774195</v>
      </c>
      <c r="AP113" s="371">
        <f>AP112+0.5%</f>
        <v>-0.11112903225806448</v>
      </c>
      <c r="AQ113" s="371">
        <f>AQ112+0.5%</f>
        <v>-0.14846534653465349</v>
      </c>
      <c r="AR113" s="523">
        <f>AR112+0.5%</f>
        <v>-0.11289772727272729</v>
      </c>
      <c r="AS113" s="371">
        <f>AS112+1%</f>
        <v>-8.4972067039106106E-2</v>
      </c>
      <c r="AT113" s="371">
        <f>AT112+1%</f>
        <v>4.7313432835820894E-2</v>
      </c>
      <c r="AU113" s="308">
        <f>AU112</f>
        <v>9.4890510948905105E-2</v>
      </c>
      <c r="AV113" s="371">
        <f>AV112+1%</f>
        <v>8.6023391812865432E-2</v>
      </c>
      <c r="AW113" s="523">
        <f>AW112+1%</f>
        <v>3.2544283413848733E-2</v>
      </c>
      <c r="AX113" s="371">
        <f>AX112+1 %</f>
        <v>-0.37271604938271607</v>
      </c>
      <c r="AY113" s="371"/>
      <c r="AZ113" s="371"/>
      <c r="BA113" s="371"/>
      <c r="BB113" s="523"/>
      <c r="BC113" s="371"/>
      <c r="BD113" s="371"/>
      <c r="BE113" s="371"/>
      <c r="BF113" s="371"/>
      <c r="BG113" s="523"/>
      <c r="BH113" s="371"/>
      <c r="BI113" s="371"/>
      <c r="BJ113" s="371"/>
      <c r="BK113" s="371"/>
      <c r="BL113" s="523"/>
      <c r="BM113" s="371"/>
      <c r="BN113" s="371"/>
      <c r="BO113" s="371"/>
      <c r="BP113" s="371"/>
      <c r="BQ113" s="523"/>
      <c r="BR113" s="371"/>
      <c r="BS113" s="371"/>
      <c r="BT113" s="371"/>
      <c r="BU113" s="371"/>
      <c r="BV113" s="523"/>
      <c r="BW113" s="371"/>
      <c r="BX113" s="371"/>
      <c r="BY113" s="371"/>
      <c r="BZ113" s="371"/>
      <c r="CA113" s="523"/>
      <c r="CB113" s="371"/>
      <c r="CC113" s="371"/>
      <c r="CD113" s="371"/>
      <c r="CE113" s="371"/>
      <c r="CF113" s="523"/>
      <c r="CG113" s="371"/>
      <c r="CH113" s="371"/>
      <c r="CI113" s="371"/>
      <c r="CJ113" s="371"/>
      <c r="CK113" s="523"/>
      <c r="CL113"/>
      <c r="CM113"/>
      <c r="CN113" s="37"/>
      <c r="CO113" s="37"/>
      <c r="CP113" s="37"/>
      <c r="CQ113" s="37"/>
      <c r="CR113" s="37"/>
      <c r="CS113" s="37"/>
      <c r="CT113" s="37"/>
      <c r="CU113" s="37"/>
      <c r="CV113" s="37"/>
      <c r="CW113" s="37"/>
    </row>
    <row r="114" spans="1:103" x14ac:dyDescent="0.2">
      <c r="A114" s="28"/>
      <c r="B114" s="28" t="str">
        <f>$A$34</f>
        <v>North America Beverages</v>
      </c>
      <c r="C114" s="28"/>
      <c r="D114" s="28"/>
      <c r="E114" s="94"/>
      <c r="F114" s="94"/>
      <c r="G114" s="94"/>
      <c r="H114" s="94"/>
      <c r="I114" s="148"/>
      <c r="J114" s="94"/>
      <c r="K114" s="94"/>
      <c r="L114" s="94"/>
      <c r="M114" s="94"/>
      <c r="N114" s="148"/>
      <c r="O114" s="94"/>
      <c r="P114" s="94"/>
      <c r="Q114" s="94"/>
      <c r="R114" s="94"/>
      <c r="S114" s="148"/>
      <c r="T114" s="94"/>
      <c r="U114" s="94"/>
      <c r="V114" s="94"/>
      <c r="W114" s="94"/>
      <c r="X114" s="148"/>
      <c r="Y114" s="94"/>
      <c r="Z114" s="94"/>
      <c r="AA114" s="94"/>
      <c r="AB114" s="94"/>
      <c r="AC114" s="148"/>
      <c r="AD114" s="196"/>
      <c r="AE114" s="196"/>
      <c r="AF114" s="196"/>
      <c r="AG114" s="94"/>
      <c r="AH114" s="148"/>
      <c r="AI114" s="196"/>
      <c r="AJ114" s="196"/>
      <c r="AK114" s="196"/>
      <c r="AL114" s="196"/>
      <c r="AM114" s="148"/>
      <c r="AN114" s="94"/>
      <c r="AO114" s="94"/>
      <c r="AP114" s="94"/>
      <c r="AQ114" s="94"/>
      <c r="AR114" s="148">
        <v>2610</v>
      </c>
      <c r="AS114" s="286">
        <v>438</v>
      </c>
      <c r="AT114" s="286">
        <v>784</v>
      </c>
      <c r="AU114" s="286">
        <v>767</v>
      </c>
      <c r="AV114" s="94">
        <v>611</v>
      </c>
      <c r="AW114" s="148">
        <f>+AS114+AT114+AU114+AV114</f>
        <v>2600</v>
      </c>
      <c r="AX114" s="94">
        <v>461</v>
      </c>
      <c r="AY114" s="94">
        <v>840</v>
      </c>
      <c r="AZ114" s="94">
        <v>827</v>
      </c>
      <c r="BA114" s="94">
        <v>623</v>
      </c>
      <c r="BB114" s="148">
        <f>+AX114+AY114+AZ114+BA114</f>
        <v>2751</v>
      </c>
      <c r="BC114" s="94">
        <f>492-14/4</f>
        <v>488.5</v>
      </c>
      <c r="BD114" s="94">
        <f>887-14/4</f>
        <v>883.5</v>
      </c>
      <c r="BE114" s="94">
        <f>910-14/4</f>
        <v>906.5</v>
      </c>
      <c r="BF114" s="94">
        <f>705-14/4</f>
        <v>701.5</v>
      </c>
      <c r="BG114" s="148">
        <f>+BC114+BD114+BE114+BF114</f>
        <v>2980</v>
      </c>
      <c r="BH114" s="94">
        <f>507-4</f>
        <v>503</v>
      </c>
      <c r="BI114" s="94">
        <f>894-4-1</f>
        <v>889</v>
      </c>
      <c r="BJ114" s="94">
        <f>814-4</f>
        <v>810</v>
      </c>
      <c r="BK114" s="94">
        <f>546+5-10</f>
        <v>541</v>
      </c>
      <c r="BL114" s="148">
        <f>+BH114+BI114+BJ114+BK114</f>
        <v>2743</v>
      </c>
      <c r="BM114" s="94">
        <f>+BM146*BM34</f>
        <v>371.96170579047725</v>
      </c>
      <c r="BN114" s="94">
        <f>+BN146*BN34</f>
        <v>816.39100745822918</v>
      </c>
      <c r="BO114" s="94">
        <f>+BO146*BO34</f>
        <v>925.52453301558228</v>
      </c>
      <c r="BP114" s="94">
        <f>+BP146*BP34</f>
        <v>671.38844018480859</v>
      </c>
      <c r="BQ114" s="148">
        <f>+BM114+BN114+BO114+BP114</f>
        <v>2785.2656864490973</v>
      </c>
      <c r="BR114" s="94">
        <f>+BR146*BR34</f>
        <v>393.6274884797657</v>
      </c>
      <c r="BS114" s="94">
        <f>+BS146*BS34</f>
        <v>846.53024592850568</v>
      </c>
      <c r="BT114" s="94">
        <f>+BT146*BT34</f>
        <v>958.02296018915888</v>
      </c>
      <c r="BU114" s="94">
        <f>+BU146*BU34</f>
        <v>703.60771373266277</v>
      </c>
      <c r="BV114" s="148">
        <f>+BR114+BS114+BT114+BU114</f>
        <v>2901.7884083300933</v>
      </c>
      <c r="BW114" s="94">
        <f>+BW146*BW34</f>
        <v>416.32935964565809</v>
      </c>
      <c r="BX114" s="94">
        <f>+BX146*BX34</f>
        <v>877.19063006744204</v>
      </c>
      <c r="BY114" s="94">
        <f>+BY146*BY34</f>
        <v>991.0788034529055</v>
      </c>
      <c r="BZ114" s="94">
        <f>+BZ146*BZ34</f>
        <v>736.40423390745548</v>
      </c>
      <c r="CA114" s="148">
        <f>+BW114+BX114+BY114+BZ114</f>
        <v>3021.003027073461</v>
      </c>
      <c r="CB114" s="94">
        <f>+CB146*CB34</f>
        <v>439.44590548602037</v>
      </c>
      <c r="CC114" s="94">
        <f>+CC146*CC34</f>
        <v>908.37956886456413</v>
      </c>
      <c r="CD114" s="94">
        <f>+CD146*CD34</f>
        <v>1024.6999612859081</v>
      </c>
      <c r="CE114" s="94">
        <f>+CE146*CE34</f>
        <v>769.78632371437084</v>
      </c>
      <c r="CF114" s="148">
        <f>+CB114+CC114+CD114+CE114</f>
        <v>3142.3117593508632</v>
      </c>
      <c r="CG114" s="94">
        <f>+CG146*CG34</f>
        <v>462.98314930722529</v>
      </c>
      <c r="CH114" s="94">
        <f>+CH146*CH34</f>
        <v>940.10456737462198</v>
      </c>
      <c r="CI114" s="94">
        <f>+CI146*CI34</f>
        <v>1058.8944343952253</v>
      </c>
      <c r="CJ114" s="94">
        <f>+CJ146*CJ34</f>
        <v>803.7624148940339</v>
      </c>
      <c r="CK114" s="148">
        <f>+CG114+CH114+CI114+CJ114</f>
        <v>3265.7445659711066</v>
      </c>
      <c r="CL114"/>
      <c r="CM114"/>
      <c r="CN114" s="27"/>
      <c r="CO114" s="27"/>
      <c r="CP114" s="27"/>
      <c r="CQ114" s="27"/>
      <c r="CR114" s="27"/>
      <c r="CS114" s="27"/>
      <c r="CT114" s="27"/>
      <c r="CU114" s="27"/>
      <c r="CV114" s="27"/>
      <c r="CW114" s="27"/>
      <c r="CX114" s="27"/>
      <c r="CY114" s="27"/>
    </row>
    <row r="115" spans="1:103" x14ac:dyDescent="0.2">
      <c r="A115" s="26"/>
      <c r="B115" s="26" t="s">
        <v>48</v>
      </c>
      <c r="C115" s="26"/>
      <c r="D115" s="26"/>
      <c r="E115" s="34"/>
      <c r="F115" s="34"/>
      <c r="G115" s="34"/>
      <c r="H115" s="34"/>
      <c r="I115" s="133"/>
      <c r="J115" s="34"/>
      <c r="K115" s="34"/>
      <c r="L115" s="34"/>
      <c r="M115" s="34"/>
      <c r="N115" s="133"/>
      <c r="O115" s="34"/>
      <c r="P115" s="34"/>
      <c r="Q115" s="34"/>
      <c r="R115" s="34"/>
      <c r="S115" s="133"/>
      <c r="T115" s="34"/>
      <c r="U115" s="34"/>
      <c r="V115" s="34"/>
      <c r="W115" s="34"/>
      <c r="X115" s="133"/>
      <c r="Y115" s="34"/>
      <c r="Z115" s="34"/>
      <c r="AA115" s="34"/>
      <c r="AB115" s="34"/>
      <c r="AC115" s="133"/>
      <c r="AD115" s="116"/>
      <c r="AE115" s="116"/>
      <c r="AF115" s="116"/>
      <c r="AG115" s="34"/>
      <c r="AH115" s="133"/>
      <c r="AI115" s="116"/>
      <c r="AJ115" s="116"/>
      <c r="AK115" s="116"/>
      <c r="AL115" s="116"/>
      <c r="AM115" s="133"/>
      <c r="AN115" s="34"/>
      <c r="AO115" s="34"/>
      <c r="AP115" s="34"/>
      <c r="AQ115" s="34"/>
      <c r="AR115" s="133"/>
      <c r="AS115" s="117"/>
      <c r="AT115" s="117"/>
      <c r="AU115" s="117"/>
      <c r="AV115" s="34"/>
      <c r="AW115" s="133">
        <f t="shared" ref="AW115:CK115" si="141">+AW114/AR114-1</f>
        <v>-3.8314176245211051E-3</v>
      </c>
      <c r="AX115" s="34">
        <f t="shared" si="141"/>
        <v>5.2511415525114069E-2</v>
      </c>
      <c r="AY115" s="34">
        <f t="shared" si="141"/>
        <v>7.1428571428571397E-2</v>
      </c>
      <c r="AZ115" s="34">
        <f>+AZ114/AU114-1</f>
        <v>7.8226857887874868E-2</v>
      </c>
      <c r="BA115" s="34">
        <f>+BA114/AV114-1</f>
        <v>1.9639934533551617E-2</v>
      </c>
      <c r="BB115" s="133">
        <f>+BB114/AW114-1</f>
        <v>5.8076923076923137E-2</v>
      </c>
      <c r="BC115" s="34">
        <f t="shared" si="141"/>
        <v>5.9652928416485951E-2</v>
      </c>
      <c r="BD115" s="34">
        <f t="shared" si="141"/>
        <v>5.1785714285714324E-2</v>
      </c>
      <c r="BE115" s="34">
        <f t="shared" si="141"/>
        <v>9.6130592503022916E-2</v>
      </c>
      <c r="BF115" s="34">
        <f t="shared" si="141"/>
        <v>0.1260032102728732</v>
      </c>
      <c r="BG115" s="133">
        <f t="shared" si="141"/>
        <v>8.3242457288258853E-2</v>
      </c>
      <c r="BH115" s="34">
        <f t="shared" si="141"/>
        <v>2.9682702149437024E-2</v>
      </c>
      <c r="BI115" s="34">
        <f t="shared" si="141"/>
        <v>6.2252405206564276E-3</v>
      </c>
      <c r="BJ115" s="34">
        <f t="shared" si="141"/>
        <v>-0.10645339216767791</v>
      </c>
      <c r="BK115" s="34">
        <f t="shared" si="141"/>
        <v>-0.22879543834640059</v>
      </c>
      <c r="BL115" s="133">
        <f t="shared" si="141"/>
        <v>-7.9530201342281837E-2</v>
      </c>
      <c r="BM115" s="34">
        <f t="shared" si="141"/>
        <v>-0.26051350737479673</v>
      </c>
      <c r="BN115" s="34">
        <f t="shared" si="141"/>
        <v>-8.1674907246086392E-2</v>
      </c>
      <c r="BO115" s="34">
        <f t="shared" si="141"/>
        <v>0.14262288026615089</v>
      </c>
      <c r="BP115" s="34">
        <f t="shared" si="141"/>
        <v>0.24101375265214164</v>
      </c>
      <c r="BQ115" s="133">
        <f t="shared" si="141"/>
        <v>1.5408562321945762E-2</v>
      </c>
      <c r="BR115" s="34">
        <f t="shared" si="141"/>
        <v>5.8247347380143033E-2</v>
      </c>
      <c r="BS115" s="34">
        <f t="shared" si="141"/>
        <v>3.6917651217291958E-2</v>
      </c>
      <c r="BT115" s="34">
        <f t="shared" si="141"/>
        <v>3.511352321227923E-2</v>
      </c>
      <c r="BU115" s="34">
        <f t="shared" si="141"/>
        <v>4.7989020393299331E-2</v>
      </c>
      <c r="BV115" s="133">
        <f t="shared" si="141"/>
        <v>4.1835406384354457E-2</v>
      </c>
      <c r="BW115" s="34">
        <f t="shared" si="141"/>
        <v>5.7673490369205771E-2</v>
      </c>
      <c r="BX115" s="34">
        <f t="shared" si="141"/>
        <v>3.6218887968151536E-2</v>
      </c>
      <c r="BY115" s="34">
        <f t="shared" si="141"/>
        <v>3.4504228643142065E-2</v>
      </c>
      <c r="BZ115" s="34">
        <f t="shared" si="141"/>
        <v>4.6611939486572718E-2</v>
      </c>
      <c r="CA115" s="133">
        <f t="shared" si="141"/>
        <v>4.1083153548046925E-2</v>
      </c>
      <c r="CB115" s="34">
        <f t="shared" si="141"/>
        <v>5.5524659274659438E-2</v>
      </c>
      <c r="CC115" s="34">
        <f t="shared" si="141"/>
        <v>3.5555485578686818E-2</v>
      </c>
      <c r="CD115" s="34">
        <f t="shared" si="141"/>
        <v>3.3923798708908937E-2</v>
      </c>
      <c r="CE115" s="34">
        <f t="shared" si="141"/>
        <v>4.5331202985873231E-2</v>
      </c>
      <c r="CF115" s="133">
        <f t="shared" si="141"/>
        <v>4.0155117750715341E-2</v>
      </c>
      <c r="CG115" s="34">
        <f t="shared" si="141"/>
        <v>5.3561185864670069E-2</v>
      </c>
      <c r="CH115" s="34">
        <f t="shared" si="141"/>
        <v>3.492482613816672E-2</v>
      </c>
      <c r="CI115" s="34">
        <f t="shared" si="141"/>
        <v>3.3370229726959355E-2</v>
      </c>
      <c r="CJ115" s="34">
        <f t="shared" si="141"/>
        <v>4.413704184262679E-2</v>
      </c>
      <c r="CK115" s="133">
        <f t="shared" si="141"/>
        <v>3.9280891290602638E-2</v>
      </c>
      <c r="CL115"/>
      <c r="CM115"/>
    </row>
    <row r="116" spans="1:103" x14ac:dyDescent="0.2">
      <c r="A116" s="26"/>
      <c r="B116" s="26" t="s">
        <v>10</v>
      </c>
      <c r="C116" s="26"/>
      <c r="D116" s="26"/>
      <c r="E116" s="34"/>
      <c r="F116" s="34"/>
      <c r="G116" s="34"/>
      <c r="H116" s="34"/>
      <c r="I116" s="133"/>
      <c r="J116" s="34"/>
      <c r="K116" s="34"/>
      <c r="L116" s="34"/>
      <c r="M116" s="34"/>
      <c r="N116" s="133"/>
      <c r="O116" s="34"/>
      <c r="P116" s="34"/>
      <c r="Q116" s="34"/>
      <c r="R116" s="34"/>
      <c r="S116" s="133"/>
      <c r="T116" s="34"/>
      <c r="U116" s="34"/>
      <c r="V116" s="34"/>
      <c r="W116" s="34"/>
      <c r="X116" s="133"/>
      <c r="Y116" s="34"/>
      <c r="Z116" s="34"/>
      <c r="AA116" s="34"/>
      <c r="AB116" s="34"/>
      <c r="AC116" s="133"/>
      <c r="AD116" s="116"/>
      <c r="AE116" s="116"/>
      <c r="AF116" s="116"/>
      <c r="AG116" s="116"/>
      <c r="AH116" s="133"/>
      <c r="AI116" s="116"/>
      <c r="AJ116" s="116"/>
      <c r="AK116" s="116"/>
      <c r="AL116" s="116"/>
      <c r="AM116" s="133"/>
      <c r="AN116" s="34"/>
      <c r="AO116" s="34"/>
      <c r="AP116" s="34"/>
      <c r="AQ116" s="34"/>
      <c r="AR116" s="133"/>
      <c r="AS116" s="34"/>
      <c r="AT116" s="34"/>
      <c r="AU116" s="34"/>
      <c r="AV116" s="34"/>
      <c r="AW116" s="133"/>
      <c r="AX116" s="34"/>
      <c r="AY116" s="34"/>
      <c r="AZ116" s="34"/>
      <c r="BA116" s="34"/>
      <c r="BB116" s="133"/>
      <c r="BC116" s="34"/>
      <c r="BD116" s="34"/>
      <c r="BE116" s="34"/>
      <c r="BF116" s="34"/>
      <c r="BG116" s="133"/>
      <c r="BH116" s="34"/>
      <c r="BI116" s="34"/>
      <c r="BJ116" s="34"/>
      <c r="BK116" s="640"/>
      <c r="BL116" s="133"/>
      <c r="BM116" s="34"/>
      <c r="BN116" s="34"/>
      <c r="BO116" s="34"/>
      <c r="BP116" s="34"/>
      <c r="BQ116" s="133"/>
      <c r="BR116" s="34"/>
      <c r="BS116" s="34"/>
      <c r="BT116" s="34"/>
      <c r="BU116" s="34"/>
      <c r="BV116" s="133"/>
      <c r="BW116" s="34"/>
      <c r="BX116" s="34"/>
      <c r="BY116" s="34"/>
      <c r="BZ116" s="34"/>
      <c r="CA116" s="133"/>
      <c r="CB116" s="34"/>
      <c r="CC116" s="34"/>
      <c r="CD116" s="34"/>
      <c r="CE116" s="34"/>
      <c r="CF116" s="133"/>
      <c r="CG116" s="34"/>
      <c r="CH116" s="34"/>
      <c r="CI116" s="34"/>
      <c r="CJ116" s="34"/>
      <c r="CK116" s="133"/>
      <c r="CL116"/>
      <c r="CM116"/>
    </row>
    <row r="117" spans="1:103" x14ac:dyDescent="0.2">
      <c r="A117" s="28"/>
      <c r="B117" s="28" t="str">
        <f>$A$41</f>
        <v>Latin America</v>
      </c>
      <c r="C117" s="28"/>
      <c r="D117" s="28"/>
      <c r="E117" s="94"/>
      <c r="F117" s="94"/>
      <c r="G117" s="94"/>
      <c r="H117" s="94"/>
      <c r="I117" s="148"/>
      <c r="J117" s="94"/>
      <c r="K117" s="94"/>
      <c r="L117" s="94"/>
      <c r="M117" s="94"/>
      <c r="N117" s="148"/>
      <c r="O117" s="94"/>
      <c r="P117" s="94"/>
      <c r="Q117" s="94"/>
      <c r="R117" s="94"/>
      <c r="S117" s="148"/>
      <c r="T117" s="94"/>
      <c r="U117" s="94"/>
      <c r="V117" s="94"/>
      <c r="W117" s="94"/>
      <c r="X117" s="148"/>
      <c r="Y117" s="94"/>
      <c r="Z117" s="94"/>
      <c r="AA117" s="94"/>
      <c r="AB117" s="94"/>
      <c r="AC117" s="148"/>
      <c r="AD117" s="196"/>
      <c r="AE117" s="196"/>
      <c r="AF117" s="196"/>
      <c r="AG117" s="94"/>
      <c r="AH117" s="148"/>
      <c r="AI117" s="196"/>
      <c r="AJ117" s="196"/>
      <c r="AK117" s="196"/>
      <c r="AL117" s="196"/>
      <c r="AM117" s="148"/>
      <c r="AN117" s="94"/>
      <c r="AO117" s="94"/>
      <c r="AP117" s="94"/>
      <c r="AQ117" s="94"/>
      <c r="AR117" s="148">
        <v>1617</v>
      </c>
      <c r="AS117" s="286">
        <v>305</v>
      </c>
      <c r="AT117" s="286">
        <v>448</v>
      </c>
      <c r="AU117" s="286">
        <v>440</v>
      </c>
      <c r="AV117" s="94">
        <v>450</v>
      </c>
      <c r="AW117" s="148">
        <f>+AS117+AT117+AU117+AV117</f>
        <v>1643</v>
      </c>
      <c r="AX117" s="94">
        <v>220</v>
      </c>
      <c r="AY117" s="94">
        <v>360</v>
      </c>
      <c r="AZ117" s="94">
        <v>375</v>
      </c>
      <c r="BA117" s="94">
        <v>234</v>
      </c>
      <c r="BB117" s="148">
        <f>+AX117+AY117+AZ117+BA117</f>
        <v>1189</v>
      </c>
      <c r="BC117" s="94">
        <f>175+17/4</f>
        <v>179.25</v>
      </c>
      <c r="BD117" s="94">
        <f>270+17/4</f>
        <v>274.25</v>
      </c>
      <c r="BE117" s="94">
        <f>247+17/4</f>
        <v>251.25</v>
      </c>
      <c r="BF117" s="94">
        <f>222+17/4</f>
        <v>226.25</v>
      </c>
      <c r="BG117" s="148">
        <f>+BC117+BD117+BE117+BF117</f>
        <v>931</v>
      </c>
      <c r="BH117" s="94">
        <f>156+1</f>
        <v>157</v>
      </c>
      <c r="BI117" s="94">
        <v>253</v>
      </c>
      <c r="BJ117" s="94">
        <f>279+3</f>
        <v>282</v>
      </c>
      <c r="BK117" s="94">
        <f>283+12-7</f>
        <v>288</v>
      </c>
      <c r="BL117" s="148">
        <f>+BH117+BI117+BJ117+BK117</f>
        <v>980</v>
      </c>
      <c r="BM117" s="94">
        <f>+BM147*BM41</f>
        <v>174.98134002742313</v>
      </c>
      <c r="BN117" s="94">
        <f>+BN147*BN41</f>
        <v>302.70969463233553</v>
      </c>
      <c r="BO117" s="94">
        <f>+BO147*BO41</f>
        <v>302.05058250353477</v>
      </c>
      <c r="BP117" s="94">
        <f>+BP147*BP41</f>
        <v>327.24958568570435</v>
      </c>
      <c r="BQ117" s="148">
        <f>+BM117+BN117+BO117+BP117</f>
        <v>1106.9912028489978</v>
      </c>
      <c r="BR117" s="94">
        <f>+BR147*BR41</f>
        <v>189.60786789635125</v>
      </c>
      <c r="BS117" s="94">
        <f>+BS147*BS41</f>
        <v>327.06043244719376</v>
      </c>
      <c r="BT117" s="94">
        <f>+BT147*BT41</f>
        <v>326.66667204861778</v>
      </c>
      <c r="BU117" s="94">
        <f>+BU147*BU41</f>
        <v>356.68551322842228</v>
      </c>
      <c r="BV117" s="148">
        <f>+BR117+BS117+BT117+BU117</f>
        <v>1200.0204856205851</v>
      </c>
      <c r="BW117" s="94">
        <f>+BW147*BW41</f>
        <v>205.0321319713465</v>
      </c>
      <c r="BX117" s="94">
        <f>+BX147*BX41</f>
        <v>353.059895197667</v>
      </c>
      <c r="BY117" s="94">
        <f>+BY147*BY41</f>
        <v>352.95873771830804</v>
      </c>
      <c r="BZ117" s="94">
        <f>+BZ147*BZ41</f>
        <v>388.20520293496941</v>
      </c>
      <c r="CA117" s="148">
        <f>+BW117+BX117+BY117+BZ117</f>
        <v>1299.255967822291</v>
      </c>
      <c r="CB117" s="94">
        <f>+CB147*CB41</f>
        <v>221.5057408633522</v>
      </c>
      <c r="CC117" s="94">
        <f>+CC147*CC41</f>
        <v>380.81066978413219</v>
      </c>
      <c r="CD117" s="94">
        <f>+CD147*CD41</f>
        <v>381.03138374963333</v>
      </c>
      <c r="CE117" s="94">
        <f>+CE147*CE41</f>
        <v>421.94145437037383</v>
      </c>
      <c r="CF117" s="148">
        <f>+CB117+CC117+CD117+CE117</f>
        <v>1405.2892487674915</v>
      </c>
      <c r="CG117" s="94">
        <f>+CG147*CG41</f>
        <v>239.09416039316386</v>
      </c>
      <c r="CH117" s="94">
        <f>+CH147*CH41</f>
        <v>410.42141289974091</v>
      </c>
      <c r="CI117" s="94">
        <f>+CI147*CI41</f>
        <v>410.99541566265037</v>
      </c>
      <c r="CJ117" s="94">
        <f>+CJ147*CJ41</f>
        <v>458.03504302795653</v>
      </c>
      <c r="CK117" s="148">
        <f>+CG117+CH117+CI117+CJ117</f>
        <v>1518.5460319835117</v>
      </c>
      <c r="CL117"/>
      <c r="CM117"/>
      <c r="CN117" s="27"/>
      <c r="CO117" s="27"/>
      <c r="CP117" s="27"/>
      <c r="CQ117" s="27"/>
      <c r="CR117" s="27"/>
      <c r="CS117" s="27"/>
      <c r="CT117" s="27"/>
      <c r="CU117" s="27"/>
      <c r="CV117" s="27"/>
      <c r="CW117" s="27"/>
      <c r="CX117" s="27"/>
      <c r="CY117" s="27"/>
    </row>
    <row r="118" spans="1:103" x14ac:dyDescent="0.2">
      <c r="A118" s="26"/>
      <c r="B118" s="26" t="s">
        <v>48</v>
      </c>
      <c r="C118" s="26"/>
      <c r="D118" s="26"/>
      <c r="E118" s="34"/>
      <c r="F118" s="34"/>
      <c r="G118" s="34"/>
      <c r="H118" s="34"/>
      <c r="I118" s="133"/>
      <c r="J118" s="34"/>
      <c r="K118" s="34"/>
      <c r="L118" s="34"/>
      <c r="M118" s="34"/>
      <c r="N118" s="133"/>
      <c r="O118" s="34"/>
      <c r="P118" s="34"/>
      <c r="Q118" s="34"/>
      <c r="R118" s="34"/>
      <c r="S118" s="133"/>
      <c r="T118" s="34"/>
      <c r="U118" s="34"/>
      <c r="V118" s="34"/>
      <c r="W118" s="34"/>
      <c r="X118" s="133"/>
      <c r="Y118" s="34"/>
      <c r="Z118" s="34"/>
      <c r="AA118" s="34"/>
      <c r="AB118" s="34"/>
      <c r="AC118" s="133"/>
      <c r="AD118" s="116"/>
      <c r="AE118" s="116"/>
      <c r="AF118" s="116"/>
      <c r="AG118" s="34"/>
      <c r="AH118" s="133"/>
      <c r="AI118" s="116"/>
      <c r="AJ118" s="116"/>
      <c r="AK118" s="116"/>
      <c r="AL118" s="116"/>
      <c r="AM118" s="133"/>
      <c r="AN118" s="34"/>
      <c r="AO118" s="34"/>
      <c r="AP118" s="34"/>
      <c r="AQ118" s="34"/>
      <c r="AR118" s="133"/>
      <c r="AS118" s="117"/>
      <c r="AT118" s="117"/>
      <c r="AU118" s="117"/>
      <c r="AV118" s="34"/>
      <c r="AW118" s="133">
        <f t="shared" ref="AW118:CK118" si="142">+AW117/AR117-1</f>
        <v>1.6079158936301852E-2</v>
      </c>
      <c r="AX118" s="34">
        <f t="shared" si="142"/>
        <v>-0.27868852459016391</v>
      </c>
      <c r="AY118" s="34">
        <f t="shared" si="142"/>
        <v>-0.1964285714285714</v>
      </c>
      <c r="AZ118" s="34">
        <f>+AZ117/AU117-1</f>
        <v>-0.14772727272727271</v>
      </c>
      <c r="BA118" s="34">
        <f>+BA117/AV117-1</f>
        <v>-0.48</v>
      </c>
      <c r="BB118" s="133">
        <f>+BB117/AW117-1</f>
        <v>-0.27632379793061468</v>
      </c>
      <c r="BC118" s="34">
        <f t="shared" si="142"/>
        <v>-0.18522727272727268</v>
      </c>
      <c r="BD118" s="34">
        <f t="shared" si="142"/>
        <v>-0.23819444444444449</v>
      </c>
      <c r="BE118" s="34">
        <f t="shared" si="142"/>
        <v>-0.32999999999999996</v>
      </c>
      <c r="BF118" s="34">
        <f t="shared" si="142"/>
        <v>-3.3119658119658113E-2</v>
      </c>
      <c r="BG118" s="133">
        <f t="shared" si="142"/>
        <v>-0.21698906644238858</v>
      </c>
      <c r="BH118" s="34">
        <f t="shared" si="142"/>
        <v>-0.12412831241283129</v>
      </c>
      <c r="BI118" s="34">
        <f t="shared" si="142"/>
        <v>-7.7484047402005429E-2</v>
      </c>
      <c r="BJ118" s="34">
        <f t="shared" si="142"/>
        <v>0.12238805970149258</v>
      </c>
      <c r="BK118" s="34">
        <f t="shared" si="142"/>
        <v>0.27292817679558001</v>
      </c>
      <c r="BL118" s="133">
        <f t="shared" si="142"/>
        <v>5.2631578947368363E-2</v>
      </c>
      <c r="BM118" s="34">
        <f t="shared" si="142"/>
        <v>0.11453082820014737</v>
      </c>
      <c r="BN118" s="34">
        <f t="shared" si="142"/>
        <v>0.19648100645191913</v>
      </c>
      <c r="BO118" s="34">
        <f t="shared" si="142"/>
        <v>7.1101356395513404E-2</v>
      </c>
      <c r="BP118" s="34">
        <f t="shared" si="142"/>
        <v>0.1362832836309178</v>
      </c>
      <c r="BQ118" s="133">
        <f t="shared" si="142"/>
        <v>0.12958286004999775</v>
      </c>
      <c r="BR118" s="34">
        <f t="shared" si="142"/>
        <v>8.3589072221277094E-2</v>
      </c>
      <c r="BS118" s="34">
        <f t="shared" si="142"/>
        <v>8.0442543620659723E-2</v>
      </c>
      <c r="BT118" s="34">
        <f t="shared" si="142"/>
        <v>8.1496580278221931E-2</v>
      </c>
      <c r="BU118" s="34">
        <f t="shared" si="142"/>
        <v>8.9949472299679645E-2</v>
      </c>
      <c r="BV118" s="133">
        <f t="shared" si="142"/>
        <v>8.4037960312749904E-2</v>
      </c>
      <c r="BW118" s="34">
        <f t="shared" si="142"/>
        <v>8.1348228035699854E-2</v>
      </c>
      <c r="BX118" s="34">
        <f t="shared" si="142"/>
        <v>7.9494369147423694E-2</v>
      </c>
      <c r="BY118" s="34">
        <f t="shared" si="142"/>
        <v>8.0485913989343905E-2</v>
      </c>
      <c r="BZ118" s="34">
        <f t="shared" si="142"/>
        <v>8.8368292340378352E-2</v>
      </c>
      <c r="CA118" s="133">
        <f t="shared" si="142"/>
        <v>8.2694823455773614E-2</v>
      </c>
      <c r="CB118" s="34">
        <f t="shared" si="142"/>
        <v>8.0346474153172753E-2</v>
      </c>
      <c r="CC118" s="34">
        <f t="shared" si="142"/>
        <v>7.8600755746920603E-2</v>
      </c>
      <c r="CD118" s="34">
        <f t="shared" si="142"/>
        <v>7.9535206332616015E-2</v>
      </c>
      <c r="CE118" s="34">
        <f t="shared" si="142"/>
        <v>8.690314086556894E-2</v>
      </c>
      <c r="CF118" s="133">
        <f t="shared" si="142"/>
        <v>8.1610770757455153E-2</v>
      </c>
      <c r="CG118" s="34">
        <f t="shared" si="142"/>
        <v>7.940389924549196E-2</v>
      </c>
      <c r="CH118" s="34">
        <f t="shared" si="142"/>
        <v>7.775712569291704E-2</v>
      </c>
      <c r="CI118" s="34">
        <f t="shared" si="142"/>
        <v>7.8639275374507545E-2</v>
      </c>
      <c r="CJ118" s="34">
        <f t="shared" si="142"/>
        <v>8.554169846013826E-2</v>
      </c>
      <c r="CK118" s="133">
        <f t="shared" si="142"/>
        <v>8.0593218311000525E-2</v>
      </c>
      <c r="CL118"/>
      <c r="CM118"/>
    </row>
    <row r="119" spans="1:103" x14ac:dyDescent="0.2">
      <c r="A119" s="26"/>
      <c r="B119" s="26" t="s">
        <v>10</v>
      </c>
      <c r="C119" s="26"/>
      <c r="D119" s="26"/>
      <c r="E119" s="34"/>
      <c r="F119" s="34"/>
      <c r="G119" s="34"/>
      <c r="H119" s="34"/>
      <c r="I119" s="133"/>
      <c r="J119" s="34"/>
      <c r="K119" s="34"/>
      <c r="L119" s="34"/>
      <c r="M119" s="34"/>
      <c r="N119" s="133"/>
      <c r="O119" s="34"/>
      <c r="P119" s="34"/>
      <c r="Q119" s="34"/>
      <c r="R119" s="34"/>
      <c r="S119" s="133"/>
      <c r="T119" s="34"/>
      <c r="U119" s="34"/>
      <c r="V119" s="34"/>
      <c r="W119" s="34"/>
      <c r="X119" s="133"/>
      <c r="Y119" s="34"/>
      <c r="Z119" s="34"/>
      <c r="AA119" s="34"/>
      <c r="AB119" s="34"/>
      <c r="AC119" s="133"/>
      <c r="AD119" s="116"/>
      <c r="AE119" s="116"/>
      <c r="AF119" s="116"/>
      <c r="AG119" s="116"/>
      <c r="AH119" s="133"/>
      <c r="AI119" s="116"/>
      <c r="AJ119" s="116"/>
      <c r="AK119" s="116"/>
      <c r="AL119" s="116"/>
      <c r="AM119" s="133"/>
      <c r="AN119" s="34"/>
      <c r="AO119" s="34"/>
      <c r="AP119" s="34"/>
      <c r="AQ119" s="34"/>
      <c r="AR119" s="133"/>
      <c r="AS119" s="34"/>
      <c r="AT119" s="34"/>
      <c r="AU119" s="34"/>
      <c r="AV119" s="34"/>
      <c r="AW119" s="133"/>
      <c r="AX119" s="34"/>
      <c r="AY119" s="34"/>
      <c r="AZ119" s="34"/>
      <c r="BA119" s="34"/>
      <c r="BB119" s="133"/>
      <c r="BC119" s="34"/>
      <c r="BD119" s="34"/>
      <c r="BE119" s="34"/>
      <c r="BF119" s="34"/>
      <c r="BG119" s="133"/>
      <c r="BH119" s="34"/>
      <c r="BI119" s="34"/>
      <c r="BJ119" s="34"/>
      <c r="BK119" s="34"/>
      <c r="BL119" s="133"/>
      <c r="BM119" s="34"/>
      <c r="BN119" s="34"/>
      <c r="BO119" s="34"/>
      <c r="BP119" s="34"/>
      <c r="BQ119" s="133"/>
      <c r="BR119" s="34"/>
      <c r="BS119" s="34"/>
      <c r="BT119" s="34"/>
      <c r="BU119" s="34"/>
      <c r="BV119" s="133"/>
      <c r="BW119" s="34"/>
      <c r="BX119" s="34"/>
      <c r="BY119" s="34"/>
      <c r="BZ119" s="34"/>
      <c r="CA119" s="133"/>
      <c r="CB119" s="34"/>
      <c r="CC119" s="34"/>
      <c r="CD119" s="34"/>
      <c r="CE119" s="34"/>
      <c r="CF119" s="133"/>
      <c r="CG119" s="34"/>
      <c r="CH119" s="34"/>
      <c r="CI119" s="34"/>
      <c r="CJ119" s="34"/>
      <c r="CK119" s="133"/>
      <c r="CL119"/>
      <c r="CM119"/>
    </row>
    <row r="120" spans="1:103" x14ac:dyDescent="0.2">
      <c r="A120" s="28"/>
      <c r="B120" s="28" t="str">
        <f>$A$50</f>
        <v>Europe Sub-Saharan Africa</v>
      </c>
      <c r="C120" s="28"/>
      <c r="D120" s="28"/>
      <c r="E120" s="94"/>
      <c r="F120" s="94"/>
      <c r="G120" s="94"/>
      <c r="H120" s="94"/>
      <c r="I120" s="148"/>
      <c r="J120" s="94"/>
      <c r="K120" s="94"/>
      <c r="L120" s="94"/>
      <c r="M120" s="94"/>
      <c r="N120" s="148"/>
      <c r="O120" s="94"/>
      <c r="P120" s="94"/>
      <c r="Q120" s="94"/>
      <c r="R120" s="94"/>
      <c r="S120" s="148"/>
      <c r="T120" s="94"/>
      <c r="U120" s="94"/>
      <c r="V120" s="94"/>
      <c r="W120" s="94"/>
      <c r="X120" s="148"/>
      <c r="Y120" s="94"/>
      <c r="Z120" s="94"/>
      <c r="AA120" s="94"/>
      <c r="AB120" s="94"/>
      <c r="AC120" s="148"/>
      <c r="AD120" s="196"/>
      <c r="AE120" s="196"/>
      <c r="AF120" s="196"/>
      <c r="AG120" s="94"/>
      <c r="AH120" s="148"/>
      <c r="AI120" s="196"/>
      <c r="AJ120" s="196"/>
      <c r="AK120" s="196"/>
      <c r="AL120" s="196"/>
      <c r="AM120" s="148"/>
      <c r="AN120" s="94"/>
      <c r="AO120" s="94"/>
      <c r="AP120" s="94"/>
      <c r="AQ120" s="94"/>
      <c r="AR120" s="148">
        <v>1397</v>
      </c>
      <c r="AS120" s="286">
        <v>163</v>
      </c>
      <c r="AT120" s="286">
        <v>490</v>
      </c>
      <c r="AU120" s="286">
        <v>495</v>
      </c>
      <c r="AV120" s="94">
        <v>312</v>
      </c>
      <c r="AW120" s="148">
        <f>+AS120+AT120+AU120+AV120</f>
        <v>1460</v>
      </c>
      <c r="AX120" s="94">
        <v>124</v>
      </c>
      <c r="AY120" s="94">
        <v>357</v>
      </c>
      <c r="AZ120" s="94">
        <v>416</v>
      </c>
      <c r="BA120" s="94">
        <v>273</v>
      </c>
      <c r="BB120" s="148">
        <f>+AX120+AY120+AZ120+BA120</f>
        <v>1170</v>
      </c>
      <c r="BC120" s="94">
        <f>86-47/4</f>
        <v>74.25</v>
      </c>
      <c r="BD120" s="94">
        <f>345-47/4</f>
        <v>333.25</v>
      </c>
      <c r="BE120" s="94">
        <f>399-47/4</f>
        <v>387.25</v>
      </c>
      <c r="BF120" s="94">
        <f>338-47/4</f>
        <v>326.25</v>
      </c>
      <c r="BG120" s="148">
        <f>+BC120+BD120+BE120+BF120</f>
        <v>1121</v>
      </c>
      <c r="BH120" s="94">
        <f>106-6</f>
        <v>100</v>
      </c>
      <c r="BI120" s="94">
        <f>504-9</f>
        <v>495</v>
      </c>
      <c r="BJ120" s="94">
        <f>448-9</f>
        <v>439</v>
      </c>
      <c r="BK120" s="94">
        <f>349-14</f>
        <v>335</v>
      </c>
      <c r="BL120" s="148">
        <f>+BH120+BI120+BJ120+BK120</f>
        <v>1369</v>
      </c>
      <c r="BM120" s="94">
        <f>+BM148*BM50</f>
        <v>111.75057057019127</v>
      </c>
      <c r="BN120" s="94">
        <f>+BN148*BN50</f>
        <v>426.40798505134842</v>
      </c>
      <c r="BO120" s="94">
        <f>+BO148*BO50</f>
        <v>507.31463300048654</v>
      </c>
      <c r="BP120" s="94">
        <f>+BP148*BP50</f>
        <v>431.4688894835744</v>
      </c>
      <c r="BQ120" s="148">
        <f>+BM120+BN120+BO120+BP120</f>
        <v>1476.9420781056006</v>
      </c>
      <c r="BR120" s="94">
        <f>+BR148*BR50</f>
        <v>123.38858353604813</v>
      </c>
      <c r="BS120" s="94">
        <f>+BS148*BS50</f>
        <v>455.84595186348633</v>
      </c>
      <c r="BT120" s="94">
        <f>+BT148*BT50</f>
        <v>540.73764320710359</v>
      </c>
      <c r="BU120" s="94">
        <f>+BU148*BU50</f>
        <v>464.57474804422606</v>
      </c>
      <c r="BV120" s="148">
        <f>+BR120+BS120+BT120+BU120</f>
        <v>1584.546926650864</v>
      </c>
      <c r="BW120" s="94">
        <f>+BW148*BW50</f>
        <v>135.33744690171594</v>
      </c>
      <c r="BX120" s="94">
        <f>+BX148*BX50</f>
        <v>486.91859888431657</v>
      </c>
      <c r="BY120" s="94">
        <f>+BY148*BY50</f>
        <v>575.98225808486518</v>
      </c>
      <c r="BZ120" s="94">
        <f>+BZ148*BZ50</f>
        <v>499.59021295261084</v>
      </c>
      <c r="CA120" s="148">
        <f>+BW120+BX120+BY120+BZ120</f>
        <v>1697.8285168235084</v>
      </c>
      <c r="CB120" s="94">
        <f>+CB148*CB50</f>
        <v>148.02348001859383</v>
      </c>
      <c r="CC120" s="94">
        <f>+CC148*CC50</f>
        <v>519.70816206360098</v>
      </c>
      <c r="CD120" s="94">
        <f>+CD148*CD50</f>
        <v>613.13919993657066</v>
      </c>
      <c r="CE120" s="94">
        <f>+CE148*CE50</f>
        <v>536.6132527386527</v>
      </c>
      <c r="CF120" s="148">
        <f>+CB120+CC120+CD120+CE120</f>
        <v>1817.484094757418</v>
      </c>
      <c r="CG120" s="94">
        <f>+CG148*CG50</f>
        <v>161.48573375480129</v>
      </c>
      <c r="CH120" s="94">
        <f>+CH148*CH50</f>
        <v>554.30078651449412</v>
      </c>
      <c r="CI120" s="94">
        <f>+CI148*CI50</f>
        <v>652.30347660881125</v>
      </c>
      <c r="CJ120" s="94">
        <f>+CJ148*CJ50</f>
        <v>575.74654899507084</v>
      </c>
      <c r="CK120" s="148">
        <f>+CG120+CH120+CI120+CJ120</f>
        <v>1943.8365458731773</v>
      </c>
      <c r="CL120"/>
      <c r="CM120"/>
      <c r="CN120" s="27"/>
      <c r="CO120" s="27"/>
      <c r="CP120" s="27"/>
      <c r="CQ120" s="27"/>
      <c r="CR120" s="27"/>
      <c r="CS120" s="27"/>
      <c r="CT120" s="27"/>
      <c r="CU120" s="27"/>
      <c r="CV120" s="27"/>
      <c r="CW120" s="27"/>
      <c r="CX120" s="27"/>
      <c r="CY120" s="27"/>
    </row>
    <row r="121" spans="1:103" x14ac:dyDescent="0.2">
      <c r="A121" s="26"/>
      <c r="B121" s="26" t="s">
        <v>48</v>
      </c>
      <c r="C121" s="26"/>
      <c r="D121" s="26"/>
      <c r="E121" s="34"/>
      <c r="F121" s="34"/>
      <c r="G121" s="34"/>
      <c r="H121" s="34"/>
      <c r="I121" s="133"/>
      <c r="J121" s="34"/>
      <c r="K121" s="34"/>
      <c r="L121" s="34"/>
      <c r="M121" s="34"/>
      <c r="N121" s="133"/>
      <c r="O121" s="34"/>
      <c r="P121" s="34"/>
      <c r="Q121" s="34"/>
      <c r="R121" s="34"/>
      <c r="S121" s="133"/>
      <c r="T121" s="34"/>
      <c r="U121" s="34"/>
      <c r="V121" s="34"/>
      <c r="W121" s="34"/>
      <c r="X121" s="133"/>
      <c r="Y121" s="34"/>
      <c r="Z121" s="34"/>
      <c r="AA121" s="34"/>
      <c r="AB121" s="34"/>
      <c r="AC121" s="133"/>
      <c r="AD121" s="116"/>
      <c r="AE121" s="116"/>
      <c r="AF121" s="116"/>
      <c r="AG121" s="34"/>
      <c r="AH121" s="133"/>
      <c r="AI121" s="116"/>
      <c r="AJ121" s="116"/>
      <c r="AK121" s="116"/>
      <c r="AL121" s="116"/>
      <c r="AM121" s="133"/>
      <c r="AN121" s="34"/>
      <c r="AO121" s="34"/>
      <c r="AP121" s="34"/>
      <c r="AQ121" s="34"/>
      <c r="AR121" s="133"/>
      <c r="AS121" s="117"/>
      <c r="AT121" s="117"/>
      <c r="AU121" s="117"/>
      <c r="AV121" s="34"/>
      <c r="AW121" s="133">
        <f t="shared" ref="AW121:CK121" si="143">+AW120/AR120-1</f>
        <v>4.5096635647816852E-2</v>
      </c>
      <c r="AX121" s="34">
        <f t="shared" si="143"/>
        <v>-0.23926380368098155</v>
      </c>
      <c r="AY121" s="34">
        <f t="shared" si="143"/>
        <v>-0.27142857142857146</v>
      </c>
      <c r="AZ121" s="34">
        <f>+AZ120/AU120-1</f>
        <v>-0.15959595959595962</v>
      </c>
      <c r="BA121" s="34">
        <f>+BA120/AV120-1</f>
        <v>-0.125</v>
      </c>
      <c r="BB121" s="133">
        <f>+BB120/AW120-1</f>
        <v>-0.19863013698630139</v>
      </c>
      <c r="BC121" s="34">
        <f t="shared" si="143"/>
        <v>-0.40120967741935487</v>
      </c>
      <c r="BD121" s="34">
        <f t="shared" si="143"/>
        <v>-6.6526610644257689E-2</v>
      </c>
      <c r="BE121" s="34">
        <f t="shared" si="143"/>
        <v>-6.9110576923076872E-2</v>
      </c>
      <c r="BF121" s="34">
        <f t="shared" si="143"/>
        <v>0.19505494505494503</v>
      </c>
      <c r="BG121" s="133">
        <f t="shared" si="143"/>
        <v>-4.1880341880341843E-2</v>
      </c>
      <c r="BH121" s="34">
        <f t="shared" si="143"/>
        <v>0.34680134680134689</v>
      </c>
      <c r="BI121" s="34">
        <f t="shared" si="143"/>
        <v>0.48537134283570893</v>
      </c>
      <c r="BJ121" s="34">
        <f t="shared" si="143"/>
        <v>0.13363460296965779</v>
      </c>
      <c r="BK121" s="34">
        <f t="shared" si="143"/>
        <v>2.6819923371647514E-2</v>
      </c>
      <c r="BL121" s="133">
        <f t="shared" si="143"/>
        <v>0.22123104371097235</v>
      </c>
      <c r="BM121" s="34">
        <f t="shared" si="143"/>
        <v>0.11750570570191265</v>
      </c>
      <c r="BN121" s="34">
        <f t="shared" si="143"/>
        <v>-0.13856972716899307</v>
      </c>
      <c r="BO121" s="34">
        <f t="shared" si="143"/>
        <v>0.15561419817878486</v>
      </c>
      <c r="BP121" s="34">
        <f t="shared" si="143"/>
        <v>0.28796683427932668</v>
      </c>
      <c r="BQ121" s="133">
        <f t="shared" si="143"/>
        <v>7.8847390873338696E-2</v>
      </c>
      <c r="BR121" s="34">
        <f t="shared" si="143"/>
        <v>0.10414276102999365</v>
      </c>
      <c r="BS121" s="34">
        <f t="shared" si="143"/>
        <v>6.9037090871065576E-2</v>
      </c>
      <c r="BT121" s="34">
        <f t="shared" si="143"/>
        <v>6.5882212009021668E-2</v>
      </c>
      <c r="BU121" s="34">
        <f t="shared" si="143"/>
        <v>7.6728263306019784E-2</v>
      </c>
      <c r="BV121" s="133">
        <f t="shared" si="143"/>
        <v>7.2856512208848923E-2</v>
      </c>
      <c r="BW121" s="34">
        <f t="shared" si="143"/>
        <v>9.6839294392069286E-2</v>
      </c>
      <c r="BX121" s="34">
        <f t="shared" si="143"/>
        <v>6.8164797545763101E-2</v>
      </c>
      <c r="BY121" s="34">
        <f t="shared" si="143"/>
        <v>6.5178770741253667E-2</v>
      </c>
      <c r="BZ121" s="34">
        <f t="shared" si="143"/>
        <v>7.5371003387061819E-2</v>
      </c>
      <c r="CA121" s="133">
        <f t="shared" si="143"/>
        <v>7.1491470695714376E-2</v>
      </c>
      <c r="CB121" s="34">
        <f t="shared" si="143"/>
        <v>9.3736311769577529E-2</v>
      </c>
      <c r="CC121" s="34">
        <f t="shared" si="143"/>
        <v>6.7340954431429845E-2</v>
      </c>
      <c r="CD121" s="34">
        <f t="shared" si="143"/>
        <v>6.4510566654000678E-2</v>
      </c>
      <c r="CE121" s="34">
        <f t="shared" si="143"/>
        <v>7.4106815598394604E-2</v>
      </c>
      <c r="CF121" s="133">
        <f t="shared" si="143"/>
        <v>7.0475655667378456E-2</v>
      </c>
      <c r="CG121" s="34">
        <f t="shared" si="143"/>
        <v>9.094674530362612E-2</v>
      </c>
      <c r="CH121" s="34">
        <f t="shared" si="143"/>
        <v>6.6561633963062139E-2</v>
      </c>
      <c r="CI121" s="34">
        <f t="shared" si="143"/>
        <v>6.3875016760129188E-2</v>
      </c>
      <c r="CJ121" s="34">
        <f t="shared" si="143"/>
        <v>7.2926443871257352E-2</v>
      </c>
      <c r="CK121" s="133">
        <f t="shared" si="143"/>
        <v>6.9520526468554111E-2</v>
      </c>
      <c r="CL121"/>
      <c r="CM121"/>
    </row>
    <row r="122" spans="1:103" x14ac:dyDescent="0.2">
      <c r="A122" s="26"/>
      <c r="B122" s="26" t="s">
        <v>10</v>
      </c>
      <c r="C122" s="26"/>
      <c r="D122" s="26"/>
      <c r="E122" s="34"/>
      <c r="F122" s="34"/>
      <c r="G122" s="34"/>
      <c r="H122" s="34"/>
      <c r="I122" s="133"/>
      <c r="J122" s="34"/>
      <c r="K122" s="34"/>
      <c r="L122" s="34"/>
      <c r="M122" s="34"/>
      <c r="N122" s="133"/>
      <c r="O122" s="34"/>
      <c r="P122" s="34"/>
      <c r="Q122" s="34"/>
      <c r="R122" s="34"/>
      <c r="S122" s="133"/>
      <c r="T122" s="34"/>
      <c r="U122" s="34"/>
      <c r="V122" s="34"/>
      <c r="W122" s="34"/>
      <c r="X122" s="133"/>
      <c r="Y122" s="34"/>
      <c r="Z122" s="34"/>
      <c r="AA122" s="34"/>
      <c r="AB122" s="34"/>
      <c r="AC122" s="133"/>
      <c r="AD122" s="116"/>
      <c r="AE122" s="116"/>
      <c r="AF122" s="116"/>
      <c r="AG122" s="116"/>
      <c r="AH122" s="133"/>
      <c r="AI122" s="116"/>
      <c r="AJ122" s="116"/>
      <c r="AK122" s="116"/>
      <c r="AL122" s="116"/>
      <c r="AM122" s="133"/>
      <c r="AN122" s="34"/>
      <c r="AO122" s="34"/>
      <c r="AP122" s="34"/>
      <c r="AQ122" s="34"/>
      <c r="AR122" s="133"/>
      <c r="AS122" s="34"/>
      <c r="AT122" s="34"/>
      <c r="AU122" s="34"/>
      <c r="AV122" s="34"/>
      <c r="AW122" s="133"/>
      <c r="AX122" s="34"/>
      <c r="AY122" s="34"/>
      <c r="AZ122" s="34"/>
      <c r="BA122" s="34"/>
      <c r="BB122" s="133"/>
      <c r="BC122" s="34"/>
      <c r="BD122" s="34"/>
      <c r="BE122" s="34"/>
      <c r="BF122" s="34"/>
      <c r="BG122" s="133"/>
      <c r="BH122" s="34"/>
      <c r="BI122" s="34"/>
      <c r="BJ122" s="34"/>
      <c r="BK122" s="34"/>
      <c r="BL122" s="133"/>
      <c r="BM122" s="34"/>
      <c r="BN122" s="34"/>
      <c r="BO122" s="34"/>
      <c r="BP122" s="34"/>
      <c r="BQ122" s="133"/>
      <c r="BR122" s="34"/>
      <c r="BS122" s="34"/>
      <c r="BT122" s="34"/>
      <c r="BU122" s="34"/>
      <c r="BV122" s="133"/>
      <c r="BW122" s="34"/>
      <c r="BX122" s="34"/>
      <c r="BY122" s="34"/>
      <c r="BZ122" s="34"/>
      <c r="CA122" s="133"/>
      <c r="CB122" s="34"/>
      <c r="CC122" s="34"/>
      <c r="CD122" s="34"/>
      <c r="CE122" s="34"/>
      <c r="CF122" s="133"/>
      <c r="CG122" s="34"/>
      <c r="CH122" s="34"/>
      <c r="CI122" s="34"/>
      <c r="CJ122" s="34"/>
      <c r="CK122" s="133"/>
      <c r="CL122"/>
      <c r="CM122"/>
    </row>
    <row r="123" spans="1:103" x14ac:dyDescent="0.2">
      <c r="A123" s="28"/>
      <c r="B123" s="28" t="str">
        <f>$A$59</f>
        <v>Asia, Middle East and North Africa</v>
      </c>
      <c r="C123" s="28"/>
      <c r="D123" s="28"/>
      <c r="E123" s="94"/>
      <c r="F123" s="94"/>
      <c r="G123" s="94"/>
      <c r="H123" s="94"/>
      <c r="I123" s="148"/>
      <c r="J123" s="94"/>
      <c r="K123" s="94"/>
      <c r="L123" s="94"/>
      <c r="M123" s="94"/>
      <c r="N123" s="148"/>
      <c r="O123" s="94"/>
      <c r="P123" s="94"/>
      <c r="Q123" s="94"/>
      <c r="R123" s="94"/>
      <c r="S123" s="148"/>
      <c r="T123" s="94"/>
      <c r="U123" s="94"/>
      <c r="V123" s="94"/>
      <c r="W123" s="94"/>
      <c r="X123" s="148"/>
      <c r="Y123" s="94"/>
      <c r="Z123" s="94"/>
      <c r="AA123" s="94"/>
      <c r="AB123" s="94"/>
      <c r="AC123" s="148"/>
      <c r="AD123" s="196"/>
      <c r="AE123" s="196"/>
      <c r="AF123" s="196"/>
      <c r="AG123" s="94"/>
      <c r="AH123" s="148"/>
      <c r="AI123" s="196"/>
      <c r="AJ123" s="196"/>
      <c r="AK123" s="196"/>
      <c r="AL123" s="196"/>
      <c r="AM123" s="148"/>
      <c r="AN123" s="94"/>
      <c r="AO123" s="94"/>
      <c r="AP123" s="94"/>
      <c r="AQ123" s="94"/>
      <c r="AR123" s="148">
        <v>1166</v>
      </c>
      <c r="AS123" s="286">
        <v>187</v>
      </c>
      <c r="AT123" s="286">
        <v>372</v>
      </c>
      <c r="AU123" s="286">
        <v>301</v>
      </c>
      <c r="AV123" s="94">
        <v>162</v>
      </c>
      <c r="AW123" s="148">
        <f>+AS123+AT123+AU123+AV123</f>
        <v>1022</v>
      </c>
      <c r="AX123" s="94">
        <v>232</v>
      </c>
      <c r="AY123" s="94">
        <v>376</v>
      </c>
      <c r="AZ123" s="94">
        <v>275</v>
      </c>
      <c r="BA123" s="94">
        <v>161</v>
      </c>
      <c r="BB123" s="148">
        <f>+AX123+AY123+AZ123+BA123</f>
        <v>1044</v>
      </c>
      <c r="BC123" s="94">
        <v>230</v>
      </c>
      <c r="BD123" s="94">
        <v>385</v>
      </c>
      <c r="BE123" s="94">
        <v>268</v>
      </c>
      <c r="BF123" s="94">
        <v>123</v>
      </c>
      <c r="BG123" s="148">
        <f>+BC123+BD123+BE123+BF123</f>
        <v>1006</v>
      </c>
      <c r="BH123" s="94">
        <v>165</v>
      </c>
      <c r="BI123" s="94">
        <v>309</v>
      </c>
      <c r="BJ123" s="94">
        <v>264</v>
      </c>
      <c r="BK123" s="94">
        <v>332</v>
      </c>
      <c r="BL123" s="148">
        <f>+BH123+BI123+BJ123+BK123</f>
        <v>1070</v>
      </c>
      <c r="BM123" s="94">
        <f>+BM149*BM59</f>
        <v>195.31497263259473</v>
      </c>
      <c r="BN123" s="94">
        <f>+BN149*BN59</f>
        <v>349.99401866653653</v>
      </c>
      <c r="BO123" s="94">
        <f>+BO149*BO59</f>
        <v>267.08318441389378</v>
      </c>
      <c r="BP123" s="94">
        <f>+BP149*BP59</f>
        <v>186.79325699951951</v>
      </c>
      <c r="BQ123" s="148">
        <f>+BM123+BN123+BO123+BP123</f>
        <v>999.18543271254464</v>
      </c>
      <c r="BR123" s="94">
        <f>+BR149*BR59</f>
        <v>212.65910159552084</v>
      </c>
      <c r="BS123" s="94">
        <f>+BS149*BS59</f>
        <v>379.23598855928265</v>
      </c>
      <c r="BT123" s="94">
        <f>+BT149*BT59</f>
        <v>290.62170442578156</v>
      </c>
      <c r="BU123" s="94">
        <f>+BU149*BU59</f>
        <v>206.79412886849113</v>
      </c>
      <c r="BV123" s="148">
        <f>+BR123+BS123+BT123+BU123</f>
        <v>1089.3109234490762</v>
      </c>
      <c r="BW123" s="94">
        <f>+BW149*BW59</f>
        <v>228.39736101114372</v>
      </c>
      <c r="BX123" s="94">
        <f>+BX149*BX59</f>
        <v>406.70854302673411</v>
      </c>
      <c r="BY123" s="94">
        <f>+BY149*BY59</f>
        <v>312.93748366392367</v>
      </c>
      <c r="BZ123" s="94">
        <f>+BZ149*BZ59</f>
        <v>226.30854365174102</v>
      </c>
      <c r="CA123" s="148">
        <f>+BW123+BX123+BY123+BZ123</f>
        <v>1174.3519313535426</v>
      </c>
      <c r="CB123" s="94">
        <f>+CB149*CB59</f>
        <v>245.19830306591263</v>
      </c>
      <c r="CC123" s="94">
        <f>+CC149*CC59</f>
        <v>436.01433570998881</v>
      </c>
      <c r="CD123" s="94">
        <f>+CD149*CD59</f>
        <v>336.78970063796982</v>
      </c>
      <c r="CE123" s="94">
        <f>+CE149*CE59</f>
        <v>247.29503640406358</v>
      </c>
      <c r="CF123" s="148">
        <f>+CB123+CC123+CD123+CE123</f>
        <v>1265.2973758179351</v>
      </c>
      <c r="CG123" s="94">
        <f>+CG149*CG59</f>
        <v>263.12993920208618</v>
      </c>
      <c r="CH123" s="94">
        <f>+CH149*CH59</f>
        <v>467.26981825456136</v>
      </c>
      <c r="CI123" s="94">
        <f>+CI149*CI59</f>
        <v>362.27787798567937</v>
      </c>
      <c r="CJ123" s="94">
        <f>+CJ149*CJ59</f>
        <v>269.85402752720444</v>
      </c>
      <c r="CK123" s="148">
        <f>+CG123+CH123+CI123+CJ123</f>
        <v>1362.5316629695312</v>
      </c>
      <c r="CL123"/>
      <c r="CM123"/>
      <c r="CN123" s="27"/>
      <c r="CO123" s="27"/>
      <c r="CP123" s="27"/>
      <c r="CQ123" s="27"/>
      <c r="CR123" s="27"/>
      <c r="CS123" s="27"/>
      <c r="CT123" s="27"/>
      <c r="CU123" s="27"/>
      <c r="CV123" s="27"/>
      <c r="CW123" s="27"/>
      <c r="CX123" s="27"/>
      <c r="CY123" s="27"/>
    </row>
    <row r="124" spans="1:103" x14ac:dyDescent="0.2">
      <c r="A124" s="26"/>
      <c r="B124" s="26" t="s">
        <v>48</v>
      </c>
      <c r="C124" s="26"/>
      <c r="D124" s="26"/>
      <c r="E124" s="34"/>
      <c r="F124" s="34"/>
      <c r="G124" s="34"/>
      <c r="H124" s="34"/>
      <c r="I124" s="133"/>
      <c r="J124" s="34"/>
      <c r="K124" s="34"/>
      <c r="L124" s="34"/>
      <c r="M124" s="34"/>
      <c r="N124" s="133"/>
      <c r="O124" s="34"/>
      <c r="P124" s="34"/>
      <c r="Q124" s="34"/>
      <c r="R124" s="34"/>
      <c r="S124" s="133"/>
      <c r="T124" s="34"/>
      <c r="U124" s="34"/>
      <c r="V124" s="34"/>
      <c r="W124" s="34"/>
      <c r="X124" s="133"/>
      <c r="Y124" s="34"/>
      <c r="Z124" s="34"/>
      <c r="AA124" s="34"/>
      <c r="AB124" s="34"/>
      <c r="AC124" s="133"/>
      <c r="AD124" s="116"/>
      <c r="AE124" s="116"/>
      <c r="AF124" s="116"/>
      <c r="AG124" s="34"/>
      <c r="AH124" s="133"/>
      <c r="AI124" s="116"/>
      <c r="AJ124" s="116"/>
      <c r="AK124" s="116"/>
      <c r="AL124" s="116"/>
      <c r="AM124" s="133"/>
      <c r="AN124" s="34"/>
      <c r="AO124" s="34"/>
      <c r="AP124" s="34"/>
      <c r="AQ124" s="34"/>
      <c r="AR124" s="133"/>
      <c r="AS124" s="117"/>
      <c r="AT124" s="117"/>
      <c r="AU124" s="117"/>
      <c r="AV124" s="34"/>
      <c r="AW124" s="133">
        <f t="shared" ref="AW124:CK124" si="144">+AW123/AR123-1</f>
        <v>-0.12349914236706694</v>
      </c>
      <c r="AX124" s="34">
        <f t="shared" si="144"/>
        <v>0.2406417112299466</v>
      </c>
      <c r="AY124" s="34">
        <f t="shared" si="144"/>
        <v>1.0752688172043001E-2</v>
      </c>
      <c r="AZ124" s="34">
        <f>+AZ123/AU123-1</f>
        <v>-8.637873754152825E-2</v>
      </c>
      <c r="BA124" s="34">
        <f>+BA123/AV123-1</f>
        <v>-6.1728395061728669E-3</v>
      </c>
      <c r="BB124" s="133">
        <f>+BB123/AW123-1</f>
        <v>2.1526418786692814E-2</v>
      </c>
      <c r="BC124" s="34">
        <f t="shared" si="144"/>
        <v>-8.6206896551723755E-3</v>
      </c>
      <c r="BD124" s="34">
        <f t="shared" si="144"/>
        <v>2.3936170212766061E-2</v>
      </c>
      <c r="BE124" s="34">
        <f t="shared" si="144"/>
        <v>-2.5454545454545507E-2</v>
      </c>
      <c r="BF124" s="34">
        <f t="shared" si="144"/>
        <v>-0.2360248447204969</v>
      </c>
      <c r="BG124" s="133">
        <f t="shared" si="144"/>
        <v>-3.6398467432950166E-2</v>
      </c>
      <c r="BH124" s="34">
        <f t="shared" si="144"/>
        <v>-0.28260869565217395</v>
      </c>
      <c r="BI124" s="34">
        <f t="shared" si="144"/>
        <v>-0.19740259740259736</v>
      </c>
      <c r="BJ124" s="34">
        <f t="shared" si="144"/>
        <v>-1.4925373134328401E-2</v>
      </c>
      <c r="BK124" s="34">
        <f t="shared" si="144"/>
        <v>1.6991869918699187</v>
      </c>
      <c r="BL124" s="133">
        <f t="shared" si="144"/>
        <v>6.3618290258449228E-2</v>
      </c>
      <c r="BM124" s="34">
        <f t="shared" si="144"/>
        <v>0.18372710686421057</v>
      </c>
      <c r="BN124" s="34">
        <f t="shared" si="144"/>
        <v>0.13266672707617011</v>
      </c>
      <c r="BO124" s="34">
        <f t="shared" si="144"/>
        <v>1.1678728840506691E-2</v>
      </c>
      <c r="BP124" s="34">
        <f t="shared" si="144"/>
        <v>-0.43736970783277251</v>
      </c>
      <c r="BQ124" s="133">
        <f t="shared" si="144"/>
        <v>-6.6181838586406916E-2</v>
      </c>
      <c r="BR124" s="34">
        <f t="shared" si="144"/>
        <v>8.8800816082605261E-2</v>
      </c>
      <c r="BS124" s="34">
        <f t="shared" si="144"/>
        <v>8.3549913236108608E-2</v>
      </c>
      <c r="BT124" s="34">
        <f t="shared" si="144"/>
        <v>8.8131793334508712E-2</v>
      </c>
      <c r="BU124" s="34">
        <f t="shared" si="144"/>
        <v>0.10707491367861888</v>
      </c>
      <c r="BV124" s="133">
        <f t="shared" si="144"/>
        <v>9.0198963861855885E-2</v>
      </c>
      <c r="BW124" s="34">
        <f t="shared" si="144"/>
        <v>7.4006987227648313E-2</v>
      </c>
      <c r="BX124" s="34">
        <f t="shared" si="144"/>
        <v>7.244184438249035E-2</v>
      </c>
      <c r="BY124" s="34">
        <f t="shared" si="144"/>
        <v>7.6786347675698474E-2</v>
      </c>
      <c r="BZ124" s="34">
        <f t="shared" si="144"/>
        <v>9.4366386947377645E-2</v>
      </c>
      <c r="CA124" s="133">
        <f t="shared" si="144"/>
        <v>7.8068626756446768E-2</v>
      </c>
      <c r="CB124" s="34">
        <f t="shared" si="144"/>
        <v>7.3560140889496362E-2</v>
      </c>
      <c r="CC124" s="34">
        <f t="shared" si="144"/>
        <v>7.2056004688665576E-2</v>
      </c>
      <c r="CD124" s="34">
        <f t="shared" si="144"/>
        <v>7.62203897557443E-2</v>
      </c>
      <c r="CE124" s="34">
        <f t="shared" si="144"/>
        <v>9.2733983497406136E-2</v>
      </c>
      <c r="CF124" s="133">
        <f t="shared" si="144"/>
        <v>7.7443091833271804E-2</v>
      </c>
      <c r="CG124" s="34">
        <f t="shared" si="144"/>
        <v>7.3131159196290652E-2</v>
      </c>
      <c r="CH124" s="34">
        <f t="shared" si="144"/>
        <v>7.1684529577857425E-2</v>
      </c>
      <c r="CI124" s="34">
        <f t="shared" si="144"/>
        <v>7.5679800479136139E-2</v>
      </c>
      <c r="CJ124" s="34">
        <f t="shared" si="144"/>
        <v>9.1222983894755361E-2</v>
      </c>
      <c r="CK124" s="133">
        <f t="shared" si="144"/>
        <v>7.6846983965915827E-2</v>
      </c>
      <c r="CL124"/>
      <c r="CM124"/>
    </row>
    <row r="125" spans="1:103" x14ac:dyDescent="0.2">
      <c r="A125" s="26"/>
      <c r="B125" s="26" t="s">
        <v>10</v>
      </c>
      <c r="C125" s="26"/>
      <c r="D125" s="26"/>
      <c r="E125" s="34"/>
      <c r="F125" s="34"/>
      <c r="G125" s="34"/>
      <c r="H125" s="34"/>
      <c r="I125" s="133"/>
      <c r="J125" s="34"/>
      <c r="K125" s="34"/>
      <c r="L125" s="34"/>
      <c r="M125" s="34"/>
      <c r="N125" s="133"/>
      <c r="O125" s="34"/>
      <c r="P125" s="34"/>
      <c r="Q125" s="34"/>
      <c r="R125" s="34"/>
      <c r="S125" s="133"/>
      <c r="T125" s="34"/>
      <c r="U125" s="34"/>
      <c r="V125" s="34"/>
      <c r="W125" s="34"/>
      <c r="X125" s="133"/>
      <c r="Y125" s="34"/>
      <c r="Z125" s="34"/>
      <c r="AA125" s="34"/>
      <c r="AB125" s="34"/>
      <c r="AC125" s="133"/>
      <c r="AD125" s="116"/>
      <c r="AE125" s="116"/>
      <c r="AF125" s="116"/>
      <c r="AG125" s="116"/>
      <c r="AH125" s="133"/>
      <c r="AI125" s="116"/>
      <c r="AJ125" s="116"/>
      <c r="AK125" s="116"/>
      <c r="AL125" s="116"/>
      <c r="AM125" s="133"/>
      <c r="AN125" s="34"/>
      <c r="AO125" s="34"/>
      <c r="AP125" s="34"/>
      <c r="AQ125" s="34"/>
      <c r="AR125" s="133"/>
      <c r="AS125" s="34"/>
      <c r="AT125" s="34"/>
      <c r="AU125" s="34"/>
      <c r="AV125" s="34"/>
      <c r="AW125" s="133"/>
      <c r="AX125" s="34"/>
      <c r="AY125" s="34"/>
      <c r="AZ125" s="34"/>
      <c r="BA125" s="34"/>
      <c r="BB125" s="133"/>
      <c r="BC125" s="34"/>
      <c r="BD125" s="34"/>
      <c r="BE125" s="34"/>
      <c r="BF125" s="34"/>
      <c r="BG125" s="133"/>
      <c r="BH125" s="34"/>
      <c r="BI125" s="34"/>
      <c r="BJ125" s="640"/>
      <c r="BK125" s="640"/>
      <c r="BL125" s="133"/>
      <c r="BM125" s="34"/>
      <c r="BN125" s="34"/>
      <c r="BO125" s="34"/>
      <c r="BP125" s="34"/>
      <c r="BQ125" s="647"/>
      <c r="BR125" s="34"/>
      <c r="BS125" s="34"/>
      <c r="BT125" s="34"/>
      <c r="BU125" s="34"/>
      <c r="BV125" s="133"/>
      <c r="BW125" s="34"/>
      <c r="BX125" s="34"/>
      <c r="BY125" s="34"/>
      <c r="BZ125" s="34"/>
      <c r="CA125" s="133"/>
      <c r="CB125" s="34"/>
      <c r="CC125" s="34"/>
      <c r="CD125" s="34"/>
      <c r="CE125" s="34"/>
      <c r="CF125" s="133"/>
      <c r="CG125" s="34"/>
      <c r="CH125" s="34"/>
      <c r="CI125" s="34"/>
      <c r="CJ125" s="34"/>
      <c r="CK125" s="133"/>
      <c r="CL125"/>
      <c r="CM125"/>
    </row>
    <row r="126" spans="1:103" hidden="1" outlineLevel="1" x14ac:dyDescent="0.2">
      <c r="A126" s="520" t="s">
        <v>312</v>
      </c>
      <c r="B126" s="26"/>
      <c r="C126" s="26"/>
      <c r="D126" s="26"/>
      <c r="E126" s="34"/>
      <c r="F126" s="34"/>
      <c r="G126" s="34"/>
      <c r="H126" s="34"/>
      <c r="I126" s="133"/>
      <c r="J126" s="34"/>
      <c r="K126" s="34"/>
      <c r="L126" s="34"/>
      <c r="M126" s="34"/>
      <c r="N126" s="133"/>
      <c r="O126" s="34"/>
      <c r="P126" s="34"/>
      <c r="Q126" s="34"/>
      <c r="R126" s="34"/>
      <c r="S126" s="133"/>
      <c r="T126" s="34"/>
      <c r="U126" s="34"/>
      <c r="V126" s="34"/>
      <c r="W126" s="34"/>
      <c r="X126" s="133"/>
      <c r="Y126" s="34"/>
      <c r="Z126" s="34"/>
      <c r="AA126" s="34"/>
      <c r="AB126" s="34"/>
      <c r="AC126" s="133"/>
      <c r="AD126" s="116"/>
      <c r="AE126" s="116"/>
      <c r="AF126" s="116"/>
      <c r="AG126" s="116"/>
      <c r="AH126" s="133"/>
      <c r="AI126" s="116"/>
      <c r="AJ126" s="116"/>
      <c r="AK126" s="116"/>
      <c r="AL126" s="116"/>
      <c r="AM126" s="133"/>
      <c r="AN126" s="34"/>
      <c r="AO126" s="34"/>
      <c r="AP126" s="34"/>
      <c r="AQ126" s="34"/>
      <c r="AR126" s="133"/>
      <c r="AS126" s="34"/>
      <c r="AT126" s="34"/>
      <c r="AU126" s="34"/>
      <c r="AV126" s="34"/>
      <c r="AW126" s="133"/>
      <c r="AX126" s="34"/>
      <c r="AY126" s="34"/>
      <c r="AZ126" s="34"/>
      <c r="BA126" s="34"/>
      <c r="BB126" s="133"/>
      <c r="BC126" s="34"/>
      <c r="BD126" s="34"/>
      <c r="BE126" s="34"/>
      <c r="BF126" s="34"/>
      <c r="BG126" s="133"/>
      <c r="BH126" s="34"/>
      <c r="BI126" s="34"/>
      <c r="BJ126" s="34"/>
      <c r="BK126" s="34"/>
      <c r="BL126" s="133"/>
      <c r="BM126" s="34"/>
      <c r="BN126" s="34"/>
      <c r="BO126" s="34"/>
      <c r="BP126" s="34"/>
      <c r="BQ126" s="133"/>
      <c r="BR126" s="34"/>
      <c r="BS126" s="34"/>
      <c r="BT126" s="34"/>
      <c r="BU126" s="34"/>
      <c r="BV126" s="133"/>
      <c r="BW126" s="34"/>
      <c r="BX126" s="34"/>
      <c r="BY126" s="34"/>
      <c r="BZ126" s="34"/>
      <c r="CA126" s="133"/>
      <c r="CB126" s="34"/>
      <c r="CC126" s="34"/>
      <c r="CD126" s="34"/>
      <c r="CE126" s="34"/>
      <c r="CF126" s="133"/>
      <c r="CG126" s="34"/>
      <c r="CH126" s="34"/>
      <c r="CI126" s="34"/>
      <c r="CJ126" s="34"/>
      <c r="CK126" s="133"/>
      <c r="CL126"/>
      <c r="CM126"/>
    </row>
    <row r="127" spans="1:103" hidden="1" outlineLevel="1" x14ac:dyDescent="0.2">
      <c r="A127" s="198"/>
      <c r="B127" s="199" t="str">
        <f>+B69</f>
        <v>Latin America Foods</v>
      </c>
      <c r="C127" s="198"/>
      <c r="D127" s="198"/>
      <c r="E127" s="202"/>
      <c r="F127" s="202"/>
      <c r="G127" s="202"/>
      <c r="H127" s="202"/>
      <c r="I127" s="201">
        <v>655</v>
      </c>
      <c r="J127" s="202">
        <f>316-K127</f>
        <v>133</v>
      </c>
      <c r="K127" s="202">
        <v>183</v>
      </c>
      <c r="L127" s="202">
        <v>185</v>
      </c>
      <c r="M127" s="202">
        <v>252</v>
      </c>
      <c r="N127" s="201">
        <v>753</v>
      </c>
      <c r="O127" s="202">
        <v>167</v>
      </c>
      <c r="P127" s="202">
        <v>254</v>
      </c>
      <c r="Q127" s="202">
        <v>225</v>
      </c>
      <c r="R127" s="202">
        <v>291</v>
      </c>
      <c r="S127" s="201">
        <v>937</v>
      </c>
      <c r="T127" s="202">
        <v>167</v>
      </c>
      <c r="U127" s="202">
        <v>240</v>
      </c>
      <c r="V127" s="202">
        <v>199</v>
      </c>
      <c r="W127" s="202">
        <v>301</v>
      </c>
      <c r="X127" s="201">
        <v>907</v>
      </c>
      <c r="Y127" s="202">
        <v>145</v>
      </c>
      <c r="Z127" s="202">
        <v>233</v>
      </c>
      <c r="AA127" s="202">
        <v>238</v>
      </c>
      <c r="AB127" s="202">
        <v>388</v>
      </c>
      <c r="AC127" s="201">
        <f>+Y127+Z127+AA127+AB127</f>
        <v>1004</v>
      </c>
      <c r="AD127" s="203">
        <v>171</v>
      </c>
      <c r="AE127" s="203">
        <v>274</v>
      </c>
      <c r="AF127" s="203">
        <v>275</v>
      </c>
      <c r="AG127" s="202">
        <v>406</v>
      </c>
      <c r="AH127" s="201">
        <f>+AD127+AE127+AF127+AG127</f>
        <v>1126</v>
      </c>
      <c r="AI127" s="203">
        <v>189</v>
      </c>
      <c r="AJ127" s="203">
        <v>277</v>
      </c>
      <c r="AK127" s="203">
        <v>248</v>
      </c>
      <c r="AL127" s="203">
        <v>395</v>
      </c>
      <c r="AM127" s="201">
        <f>+AI127+AJ127+AK127+AL127</f>
        <v>1109</v>
      </c>
      <c r="AN127" s="202">
        <v>220</v>
      </c>
      <c r="AO127" s="202">
        <v>319</v>
      </c>
      <c r="AP127" s="202">
        <v>296</v>
      </c>
      <c r="AQ127" s="202">
        <v>419</v>
      </c>
      <c r="AR127" s="201">
        <f>+AN127+AO127+AP127+AQ127</f>
        <v>1254</v>
      </c>
      <c r="AS127" s="200">
        <v>228</v>
      </c>
      <c r="AT127" s="200">
        <v>328</v>
      </c>
      <c r="AU127" s="200">
        <v>333</v>
      </c>
      <c r="AV127" s="202">
        <v>347</v>
      </c>
      <c r="AW127" s="201">
        <f>+AS127+AT127+AU127+AV127</f>
        <v>1236</v>
      </c>
      <c r="AX127" s="202">
        <v>206</v>
      </c>
      <c r="AY127" s="202">
        <v>289</v>
      </c>
      <c r="AZ127" s="202"/>
      <c r="BA127" s="202"/>
      <c r="BB127" s="201"/>
      <c r="BC127" s="202"/>
      <c r="BD127" s="202"/>
      <c r="BE127" s="202"/>
      <c r="BF127" s="202"/>
      <c r="BG127" s="201"/>
      <c r="BH127" s="202"/>
      <c r="BI127" s="202"/>
      <c r="BJ127" s="202"/>
      <c r="BK127" s="202"/>
      <c r="BL127" s="201"/>
      <c r="BM127" s="202"/>
      <c r="BN127" s="202"/>
      <c r="BO127" s="202"/>
      <c r="BP127" s="202"/>
      <c r="BQ127" s="201"/>
      <c r="BR127" s="202"/>
      <c r="BS127" s="202"/>
      <c r="BT127" s="202"/>
      <c r="BU127" s="202"/>
      <c r="BV127" s="201"/>
      <c r="BW127" s="202"/>
      <c r="BX127" s="202"/>
      <c r="BY127" s="202"/>
      <c r="BZ127" s="202"/>
      <c r="CA127" s="201"/>
      <c r="CB127" s="202"/>
      <c r="CC127" s="202"/>
      <c r="CD127" s="202"/>
      <c r="CE127" s="202"/>
      <c r="CF127" s="201"/>
      <c r="CG127" s="202"/>
      <c r="CH127" s="202"/>
      <c r="CI127" s="202"/>
      <c r="CJ127" s="202"/>
      <c r="CK127" s="201"/>
      <c r="CL127"/>
      <c r="CM127"/>
      <c r="CN127" s="45"/>
      <c r="CO127" s="27"/>
      <c r="CP127" s="27"/>
      <c r="CQ127" s="27"/>
      <c r="CR127" s="27"/>
      <c r="CS127" s="27"/>
      <c r="CT127" s="27"/>
      <c r="CU127" s="27"/>
      <c r="CV127" s="27"/>
      <c r="CW127" s="27"/>
      <c r="CX127" s="27"/>
      <c r="CY127" s="27"/>
    </row>
    <row r="128" spans="1:103" hidden="1" outlineLevel="1" x14ac:dyDescent="0.2">
      <c r="A128" s="47"/>
      <c r="B128" s="204" t="s">
        <v>48</v>
      </c>
      <c r="C128" s="47"/>
      <c r="D128" s="47"/>
      <c r="E128" s="154"/>
      <c r="F128" s="154"/>
      <c r="G128" s="154"/>
      <c r="H128" s="154"/>
      <c r="I128" s="152"/>
      <c r="J128" s="154"/>
      <c r="K128" s="154"/>
      <c r="L128" s="154"/>
      <c r="M128" s="154"/>
      <c r="N128" s="152">
        <f t="shared" ref="N128:S128" si="145">+N127/I127-1</f>
        <v>0.14961832061068692</v>
      </c>
      <c r="O128" s="154">
        <f t="shared" si="145"/>
        <v>0.255639097744361</v>
      </c>
      <c r="P128" s="154">
        <f t="shared" si="145"/>
        <v>0.38797814207650272</v>
      </c>
      <c r="Q128" s="154">
        <f t="shared" si="145"/>
        <v>0.21621621621621623</v>
      </c>
      <c r="R128" s="154">
        <f t="shared" si="145"/>
        <v>0.15476190476190466</v>
      </c>
      <c r="S128" s="152">
        <f t="shared" si="145"/>
        <v>0.24435590969455512</v>
      </c>
      <c r="T128" s="154">
        <f t="shared" ref="T128:AM128" si="146">+T127/O127-1</f>
        <v>0</v>
      </c>
      <c r="U128" s="154">
        <f t="shared" si="146"/>
        <v>-5.5118110236220486E-2</v>
      </c>
      <c r="V128" s="154">
        <f t="shared" si="146"/>
        <v>-0.11555555555555552</v>
      </c>
      <c r="W128" s="154">
        <f t="shared" si="146"/>
        <v>3.436426116838498E-2</v>
      </c>
      <c r="X128" s="152">
        <f t="shared" si="146"/>
        <v>-3.2017075773746018E-2</v>
      </c>
      <c r="Y128" s="154">
        <f t="shared" si="146"/>
        <v>-0.13173652694610782</v>
      </c>
      <c r="Z128" s="154">
        <f t="shared" si="146"/>
        <v>-2.9166666666666674E-2</v>
      </c>
      <c r="AA128" s="154">
        <f t="shared" si="146"/>
        <v>0.19597989949748751</v>
      </c>
      <c r="AB128" s="154">
        <f t="shared" si="146"/>
        <v>0.28903654485049834</v>
      </c>
      <c r="AC128" s="152">
        <f t="shared" si="146"/>
        <v>0.10694597574421172</v>
      </c>
      <c r="AD128" s="162">
        <f t="shared" si="146"/>
        <v>0.17931034482758612</v>
      </c>
      <c r="AE128" s="162">
        <f t="shared" si="146"/>
        <v>0.17596566523605151</v>
      </c>
      <c r="AF128" s="162">
        <f t="shared" si="146"/>
        <v>0.15546218487394947</v>
      </c>
      <c r="AG128" s="154">
        <f t="shared" si="146"/>
        <v>4.6391752577319645E-2</v>
      </c>
      <c r="AH128" s="152">
        <f t="shared" si="146"/>
        <v>0.12151394422310746</v>
      </c>
      <c r="AI128" s="162">
        <f t="shared" si="146"/>
        <v>0.10526315789473695</v>
      </c>
      <c r="AJ128" s="162">
        <f t="shared" si="146"/>
        <v>1.0948905109489093E-2</v>
      </c>
      <c r="AK128" s="162">
        <f t="shared" si="146"/>
        <v>-9.8181818181818148E-2</v>
      </c>
      <c r="AL128" s="162">
        <f t="shared" si="146"/>
        <v>-2.7093596059113323E-2</v>
      </c>
      <c r="AM128" s="152">
        <f t="shared" si="146"/>
        <v>-1.5097690941385467E-2</v>
      </c>
      <c r="AN128" s="154">
        <f t="shared" ref="AN128:AY128" si="147">+AN127/AI127-1</f>
        <v>0.16402116402116396</v>
      </c>
      <c r="AO128" s="154">
        <f t="shared" si="147"/>
        <v>0.15162454873646203</v>
      </c>
      <c r="AP128" s="154">
        <f t="shared" si="147"/>
        <v>0.19354838709677424</v>
      </c>
      <c r="AQ128" s="154">
        <f t="shared" si="147"/>
        <v>6.0759493670886178E-2</v>
      </c>
      <c r="AR128" s="152">
        <f t="shared" si="147"/>
        <v>0.13074842200180337</v>
      </c>
      <c r="AS128" s="153">
        <f t="shared" si="147"/>
        <v>3.6363636363636376E-2</v>
      </c>
      <c r="AT128" s="154">
        <f t="shared" si="147"/>
        <v>2.8213166144200663E-2</v>
      </c>
      <c r="AU128" s="154">
        <f t="shared" si="147"/>
        <v>0.125</v>
      </c>
      <c r="AV128" s="154">
        <f t="shared" si="147"/>
        <v>-0.17183770883054894</v>
      </c>
      <c r="AW128" s="152">
        <f t="shared" si="147"/>
        <v>-1.4354066985645897E-2</v>
      </c>
      <c r="AX128" s="154">
        <f t="shared" si="147"/>
        <v>-9.6491228070175405E-2</v>
      </c>
      <c r="AY128" s="154">
        <f t="shared" si="147"/>
        <v>-0.11890243902439024</v>
      </c>
      <c r="AZ128" s="154"/>
      <c r="BA128" s="154"/>
      <c r="BB128" s="152"/>
      <c r="BC128" s="154"/>
      <c r="BD128" s="154"/>
      <c r="BE128" s="154"/>
      <c r="BF128" s="154"/>
      <c r="BG128" s="152"/>
      <c r="BH128" s="154"/>
      <c r="BI128" s="154"/>
      <c r="BJ128" s="154"/>
      <c r="BK128" s="154"/>
      <c r="BL128" s="152"/>
      <c r="BM128" s="154"/>
      <c r="BN128" s="154"/>
      <c r="BO128" s="154"/>
      <c r="BP128" s="154"/>
      <c r="BQ128" s="152"/>
      <c r="BR128" s="154"/>
      <c r="BS128" s="154"/>
      <c r="BT128" s="154"/>
      <c r="BU128" s="154"/>
      <c r="BV128" s="152"/>
      <c r="BW128" s="154"/>
      <c r="BX128" s="154"/>
      <c r="BY128" s="154"/>
      <c r="BZ128" s="154"/>
      <c r="CA128" s="152"/>
      <c r="CB128" s="154"/>
      <c r="CC128" s="154"/>
      <c r="CD128" s="154"/>
      <c r="CE128" s="154"/>
      <c r="CF128" s="152"/>
      <c r="CG128" s="154"/>
      <c r="CH128" s="154"/>
      <c r="CI128" s="154"/>
      <c r="CJ128" s="154"/>
      <c r="CK128" s="152"/>
      <c r="CL128"/>
      <c r="CM128"/>
      <c r="CN128" s="37"/>
      <c r="CO128" s="37"/>
      <c r="CP128" s="37"/>
      <c r="CQ128" s="37"/>
      <c r="CR128" s="37"/>
      <c r="CS128" s="37"/>
      <c r="CT128" s="37"/>
      <c r="CU128" s="37"/>
      <c r="CV128" s="37"/>
      <c r="CW128" s="37"/>
    </row>
    <row r="129" spans="1:103" hidden="1" outlineLevel="1" x14ac:dyDescent="0.2">
      <c r="A129" s="47"/>
      <c r="B129" s="204" t="s">
        <v>10</v>
      </c>
      <c r="C129" s="47"/>
      <c r="D129" s="47"/>
      <c r="E129" s="154"/>
      <c r="F129" s="154"/>
      <c r="G129" s="154"/>
      <c r="H129" s="154"/>
      <c r="I129" s="152"/>
      <c r="J129" s="154"/>
      <c r="K129" s="154"/>
      <c r="L129" s="154"/>
      <c r="M129" s="154"/>
      <c r="N129" s="152">
        <v>0.15</v>
      </c>
      <c r="O129" s="154"/>
      <c r="P129" s="154"/>
      <c r="Q129" s="154"/>
      <c r="R129" s="154"/>
      <c r="S129" s="152">
        <v>0.24</v>
      </c>
      <c r="T129" s="154">
        <v>0.27</v>
      </c>
      <c r="U129" s="154">
        <v>0.18</v>
      </c>
      <c r="V129" s="154">
        <v>0.11</v>
      </c>
      <c r="W129" s="154">
        <v>0.03</v>
      </c>
      <c r="X129" s="152">
        <v>0.13</v>
      </c>
      <c r="Y129" s="154">
        <v>-0.05</v>
      </c>
      <c r="Z129" s="154">
        <v>-7.0000000000000007E-2</v>
      </c>
      <c r="AA129" s="154">
        <v>0.22</v>
      </c>
      <c r="AB129" s="154">
        <v>0.28000000000000003</v>
      </c>
      <c r="AC129" s="152">
        <v>0.11</v>
      </c>
      <c r="AD129" s="162">
        <f>AD128-5%</f>
        <v>0.12931034482758613</v>
      </c>
      <c r="AE129" s="162">
        <f>AE128-6%</f>
        <v>0.11596566523605151</v>
      </c>
      <c r="AF129" s="162">
        <f>AF128-7%</f>
        <v>8.5462184873949465E-2</v>
      </c>
      <c r="AG129" s="162">
        <f>AG128+7%</f>
        <v>0.11639175257731965</v>
      </c>
      <c r="AH129" s="152">
        <f>AH128-1%</f>
        <v>0.11151394422310747</v>
      </c>
      <c r="AI129" s="162">
        <f>AI128+8%</f>
        <v>0.18526315789473696</v>
      </c>
      <c r="AJ129" s="162">
        <f>AJ128+10%</f>
        <v>0.1109489051094891</v>
      </c>
      <c r="AK129" s="162">
        <f>AK128+11%</f>
        <v>1.1818181818181853E-2</v>
      </c>
      <c r="AL129" s="162">
        <f>AL128-2.5%</f>
        <v>-5.2093596059113324E-2</v>
      </c>
      <c r="AM129" s="152">
        <f>AM128+5.5%</f>
        <v>3.9902309058614534E-2</v>
      </c>
      <c r="AN129" s="153">
        <f>AN128+8%</f>
        <v>0.24402116402116397</v>
      </c>
      <c r="AO129" s="153">
        <f>AO128+2%</f>
        <v>0.17162454873646202</v>
      </c>
      <c r="AP129" s="153">
        <f>AP128+4.5%</f>
        <v>0.23854838709677423</v>
      </c>
      <c r="AQ129" s="153">
        <f>AQ128+6%</f>
        <v>0.12075949367088618</v>
      </c>
      <c r="AR129" s="152">
        <f>AR128+5%</f>
        <v>0.18074842200180335</v>
      </c>
      <c r="AS129" s="153">
        <f>AS128+10%</f>
        <v>0.13636363636363638</v>
      </c>
      <c r="AT129" s="153">
        <f>AT128+6%</f>
        <v>8.8213166144200661E-2</v>
      </c>
      <c r="AU129" s="153">
        <f>AU128+3%</f>
        <v>0.155</v>
      </c>
      <c r="AV129" s="153">
        <f>AV128+19%</f>
        <v>1.8162291169451061E-2</v>
      </c>
      <c r="AW129" s="152">
        <f>AW128+11%</f>
        <v>9.5645933014354104E-2</v>
      </c>
      <c r="AX129" s="153">
        <f>AX128+31%</f>
        <v>0.21350877192982459</v>
      </c>
      <c r="AY129" s="153"/>
      <c r="AZ129" s="153"/>
      <c r="BA129" s="153"/>
      <c r="BB129" s="152"/>
      <c r="BC129" s="153"/>
      <c r="BD129" s="153"/>
      <c r="BE129" s="153"/>
      <c r="BF129" s="153"/>
      <c r="BG129" s="152"/>
      <c r="BH129" s="153"/>
      <c r="BI129" s="153"/>
      <c r="BJ129" s="153"/>
      <c r="BK129" s="153"/>
      <c r="BL129" s="152"/>
      <c r="BM129" s="153"/>
      <c r="BN129" s="153"/>
      <c r="BO129" s="153"/>
      <c r="BP129" s="153"/>
      <c r="BQ129" s="152"/>
      <c r="BR129" s="153"/>
      <c r="BS129" s="153"/>
      <c r="BT129" s="153"/>
      <c r="BU129" s="153"/>
      <c r="BV129" s="152"/>
      <c r="BW129" s="153"/>
      <c r="BX129" s="153"/>
      <c r="BY129" s="153"/>
      <c r="BZ129" s="153"/>
      <c r="CA129" s="152"/>
      <c r="CB129" s="153"/>
      <c r="CC129" s="153"/>
      <c r="CD129" s="153"/>
      <c r="CE129" s="153"/>
      <c r="CF129" s="152"/>
      <c r="CG129" s="153"/>
      <c r="CH129" s="153"/>
      <c r="CI129" s="153"/>
      <c r="CJ129" s="153"/>
      <c r="CK129" s="152"/>
      <c r="CL129"/>
      <c r="CM129"/>
      <c r="CN129" s="37"/>
      <c r="CO129" s="37"/>
      <c r="CP129" s="37"/>
      <c r="CQ129" s="37"/>
      <c r="CR129" s="37"/>
      <c r="CS129" s="37"/>
      <c r="CT129" s="37"/>
      <c r="CU129" s="37"/>
      <c r="CV129" s="37"/>
      <c r="CW129" s="37"/>
    </row>
    <row r="130" spans="1:103" hidden="1" outlineLevel="1" x14ac:dyDescent="0.2">
      <c r="A130" s="28"/>
      <c r="B130" s="28" t="str">
        <f>+A76</f>
        <v>PepsiCo Americas Beverages</v>
      </c>
      <c r="C130" s="28"/>
      <c r="D130" s="28"/>
      <c r="E130" s="94"/>
      <c r="F130" s="94"/>
      <c r="G130" s="94"/>
      <c r="H130" s="94"/>
      <c r="I130" s="148">
        <v>2315</v>
      </c>
      <c r="J130" s="94">
        <f>1202-K130</f>
        <v>473</v>
      </c>
      <c r="K130" s="94">
        <f>729</f>
        <v>729</v>
      </c>
      <c r="L130" s="94">
        <v>741</v>
      </c>
      <c r="M130" s="94">
        <v>556</v>
      </c>
      <c r="N130" s="148">
        <v>2499</v>
      </c>
      <c r="O130" s="94">
        <v>504</v>
      </c>
      <c r="P130" s="94">
        <v>681</v>
      </c>
      <c r="Q130" s="94">
        <v>662</v>
      </c>
      <c r="R130" s="94">
        <v>468</v>
      </c>
      <c r="S130" s="148">
        <v>2315</v>
      </c>
      <c r="T130" s="94">
        <v>438</v>
      </c>
      <c r="U130" s="94">
        <v>621</v>
      </c>
      <c r="V130" s="94">
        <v>607</v>
      </c>
      <c r="W130" s="94">
        <v>522</v>
      </c>
      <c r="X130" s="148">
        <v>2188</v>
      </c>
      <c r="Y130" s="94">
        <v>538</v>
      </c>
      <c r="Z130" s="94">
        <v>1091</v>
      </c>
      <c r="AA130" s="94">
        <v>1072</v>
      </c>
      <c r="AB130" s="94">
        <v>891</v>
      </c>
      <c r="AC130" s="148">
        <f>+Y130+Z130+AA130+AB130</f>
        <v>3592</v>
      </c>
      <c r="AD130" s="196">
        <v>588</v>
      </c>
      <c r="AE130" s="196">
        <v>1019</v>
      </c>
      <c r="AF130" s="196">
        <v>1019</v>
      </c>
      <c r="AG130" s="94">
        <v>826</v>
      </c>
      <c r="AH130" s="148">
        <f>+AD130+AE130+AF130+AG130</f>
        <v>3452</v>
      </c>
      <c r="AI130" s="196">
        <v>533</v>
      </c>
      <c r="AJ130" s="196">
        <v>875</v>
      </c>
      <c r="AK130" s="196">
        <v>870</v>
      </c>
      <c r="AL130" s="196">
        <v>761</v>
      </c>
      <c r="AM130" s="148">
        <f>+AI130+AJ130+AK130+AL130</f>
        <v>3039</v>
      </c>
      <c r="AN130" s="94">
        <v>552</v>
      </c>
      <c r="AO130" s="94">
        <v>887</v>
      </c>
      <c r="AP130" s="94">
        <v>846</v>
      </c>
      <c r="AQ130" s="94">
        <v>688</v>
      </c>
      <c r="AR130" s="148">
        <f>+AN130+AO130+AP130+AQ130</f>
        <v>2973</v>
      </c>
      <c r="AS130" s="286">
        <v>515</v>
      </c>
      <c r="AT130" s="286">
        <v>904</v>
      </c>
      <c r="AU130" s="286">
        <v>874</v>
      </c>
      <c r="AV130" s="94">
        <v>714</v>
      </c>
      <c r="AW130" s="148">
        <f>+AS130+AT130+AU130+AV130</f>
        <v>3007</v>
      </c>
      <c r="AX130" s="94">
        <v>475</v>
      </c>
      <c r="AY130" s="94">
        <v>911</v>
      </c>
      <c r="AZ130" s="94"/>
      <c r="BA130" s="94"/>
      <c r="BB130" s="148"/>
      <c r="BC130" s="94"/>
      <c r="BD130" s="94"/>
      <c r="BE130" s="94"/>
      <c r="BF130" s="94"/>
      <c r="BG130" s="148"/>
      <c r="BH130" s="94"/>
      <c r="BI130" s="94"/>
      <c r="BJ130" s="94"/>
      <c r="BK130" s="94"/>
      <c r="BL130" s="148"/>
      <c r="BM130" s="94"/>
      <c r="BN130" s="94"/>
      <c r="BO130" s="94"/>
      <c r="BP130" s="94"/>
      <c r="BQ130" s="148"/>
      <c r="BR130" s="94"/>
      <c r="BS130" s="94"/>
      <c r="BT130" s="94"/>
      <c r="BU130" s="94"/>
      <c r="BV130" s="148"/>
      <c r="BW130" s="94"/>
      <c r="BX130" s="94"/>
      <c r="BY130" s="94"/>
      <c r="BZ130" s="94"/>
      <c r="CA130" s="148"/>
      <c r="CB130" s="94"/>
      <c r="CC130" s="94"/>
      <c r="CD130" s="94"/>
      <c r="CE130" s="94"/>
      <c r="CF130" s="148"/>
      <c r="CG130" s="94"/>
      <c r="CH130" s="94"/>
      <c r="CI130" s="94"/>
      <c r="CJ130" s="94"/>
      <c r="CK130" s="148"/>
      <c r="CL130"/>
      <c r="CM130"/>
      <c r="CN130" s="27"/>
      <c r="CO130" s="27"/>
      <c r="CP130" s="27"/>
      <c r="CQ130" s="27"/>
      <c r="CR130" s="27"/>
      <c r="CS130" s="27"/>
      <c r="CT130" s="27"/>
      <c r="CU130" s="27"/>
      <c r="CV130" s="27"/>
      <c r="CW130" s="27"/>
      <c r="CX130" s="27"/>
      <c r="CY130" s="27"/>
    </row>
    <row r="131" spans="1:103" hidden="1" outlineLevel="1" x14ac:dyDescent="0.2">
      <c r="A131" s="26"/>
      <c r="B131" s="26" t="s">
        <v>48</v>
      </c>
      <c r="C131" s="26"/>
      <c r="D131" s="26"/>
      <c r="E131" s="34"/>
      <c r="F131" s="34"/>
      <c r="G131" s="34"/>
      <c r="H131" s="34"/>
      <c r="I131" s="133"/>
      <c r="J131" s="34"/>
      <c r="K131" s="34"/>
      <c r="L131" s="34"/>
      <c r="M131" s="34"/>
      <c r="N131" s="133">
        <f t="shared" ref="N131:S131" si="148">+N130/I130-1</f>
        <v>7.9481641468682529E-2</v>
      </c>
      <c r="O131" s="34">
        <f t="shared" si="148"/>
        <v>6.5539112050740034E-2</v>
      </c>
      <c r="P131" s="34">
        <f t="shared" si="148"/>
        <v>-6.5843621399176988E-2</v>
      </c>
      <c r="Q131" s="34">
        <f t="shared" si="148"/>
        <v>-0.10661268556005399</v>
      </c>
      <c r="R131" s="34">
        <f t="shared" si="148"/>
        <v>-0.15827338129496404</v>
      </c>
      <c r="S131" s="133">
        <f t="shared" si="148"/>
        <v>-7.362945178071223E-2</v>
      </c>
      <c r="T131" s="34">
        <f t="shared" ref="T131:AM131" si="149">+T130/O130-1</f>
        <v>-0.13095238095238093</v>
      </c>
      <c r="U131" s="34">
        <f t="shared" si="149"/>
        <v>-8.8105726872246715E-2</v>
      </c>
      <c r="V131" s="34">
        <f t="shared" si="149"/>
        <v>-8.3081570996978882E-2</v>
      </c>
      <c r="W131" s="34">
        <f t="shared" si="149"/>
        <v>0.11538461538461542</v>
      </c>
      <c r="X131" s="133">
        <f t="shared" si="149"/>
        <v>-5.4859611231101502E-2</v>
      </c>
      <c r="Y131" s="34">
        <f t="shared" si="149"/>
        <v>0.22831050228310512</v>
      </c>
      <c r="Z131" s="34">
        <f t="shared" si="149"/>
        <v>0.75684380032206122</v>
      </c>
      <c r="AA131" s="34">
        <f t="shared" si="149"/>
        <v>0.76606260296540363</v>
      </c>
      <c r="AB131" s="34">
        <f t="shared" si="149"/>
        <v>0.7068965517241379</v>
      </c>
      <c r="AC131" s="133">
        <f t="shared" si="149"/>
        <v>0.64168190127970748</v>
      </c>
      <c r="AD131" s="116">
        <f t="shared" si="149"/>
        <v>9.2936802973977661E-2</v>
      </c>
      <c r="AE131" s="116">
        <f t="shared" si="149"/>
        <v>-6.5994500458295136E-2</v>
      </c>
      <c r="AF131" s="116">
        <f t="shared" si="149"/>
        <v>-4.9440298507462677E-2</v>
      </c>
      <c r="AG131" s="34">
        <f t="shared" si="149"/>
        <v>-7.2951739618406286E-2</v>
      </c>
      <c r="AH131" s="133">
        <f t="shared" si="149"/>
        <v>-3.897550111358572E-2</v>
      </c>
      <c r="AI131" s="116">
        <f t="shared" si="149"/>
        <v>-9.3537414965986443E-2</v>
      </c>
      <c r="AJ131" s="116">
        <f t="shared" si="149"/>
        <v>-0.14131501472031405</v>
      </c>
      <c r="AK131" s="116">
        <f t="shared" si="149"/>
        <v>-0.14622178606476943</v>
      </c>
      <c r="AL131" s="116">
        <f t="shared" si="149"/>
        <v>-7.8692493946731279E-2</v>
      </c>
      <c r="AM131" s="133">
        <f t="shared" si="149"/>
        <v>-0.11964078794901511</v>
      </c>
      <c r="AN131" s="34">
        <f t="shared" ref="AN131:AY131" si="150">+AN130/AI130-1</f>
        <v>3.5647279549718469E-2</v>
      </c>
      <c r="AO131" s="34">
        <f t="shared" si="150"/>
        <v>1.371428571428579E-2</v>
      </c>
      <c r="AP131" s="34">
        <f t="shared" si="150"/>
        <v>-2.7586206896551779E-2</v>
      </c>
      <c r="AQ131" s="34">
        <f t="shared" si="150"/>
        <v>-9.592641261498025E-2</v>
      </c>
      <c r="AR131" s="133">
        <f t="shared" si="150"/>
        <v>-2.1717670286278357E-2</v>
      </c>
      <c r="AS131" s="117">
        <f t="shared" si="150"/>
        <v>-6.7028985507246341E-2</v>
      </c>
      <c r="AT131" s="117">
        <f t="shared" si="150"/>
        <v>1.916572717023679E-2</v>
      </c>
      <c r="AU131" s="117">
        <f t="shared" si="150"/>
        <v>3.3096926713948038E-2</v>
      </c>
      <c r="AV131" s="34">
        <f t="shared" si="150"/>
        <v>3.7790697674418672E-2</v>
      </c>
      <c r="AW131" s="133">
        <f t="shared" si="150"/>
        <v>1.1436259670366544E-2</v>
      </c>
      <c r="AX131" s="34">
        <f t="shared" si="150"/>
        <v>-7.7669902912621325E-2</v>
      </c>
      <c r="AY131" s="34">
        <f t="shared" si="150"/>
        <v>7.7433628318583914E-3</v>
      </c>
      <c r="AZ131" s="34"/>
      <c r="BA131" s="34"/>
      <c r="BB131" s="133"/>
      <c r="BC131" s="34"/>
      <c r="BD131" s="34"/>
      <c r="BE131" s="34"/>
      <c r="BF131" s="34"/>
      <c r="BG131" s="133"/>
      <c r="BH131" s="34"/>
      <c r="BI131" s="34"/>
      <c r="BJ131" s="34"/>
      <c r="BK131" s="34"/>
      <c r="BL131" s="133"/>
      <c r="BM131" s="34"/>
      <c r="BN131" s="34"/>
      <c r="BO131" s="34"/>
      <c r="BP131" s="34"/>
      <c r="BQ131" s="133"/>
      <c r="BR131" s="34"/>
      <c r="BS131" s="34"/>
      <c r="BT131" s="34"/>
      <c r="BU131" s="34"/>
      <c r="BV131" s="133"/>
      <c r="BW131" s="34"/>
      <c r="BX131" s="34"/>
      <c r="BY131" s="34"/>
      <c r="BZ131" s="34"/>
      <c r="CA131" s="133"/>
      <c r="CB131" s="34"/>
      <c r="CC131" s="34"/>
      <c r="CD131" s="34"/>
      <c r="CE131" s="34"/>
      <c r="CF131" s="133"/>
      <c r="CG131" s="34"/>
      <c r="CH131" s="34"/>
      <c r="CI131" s="34"/>
      <c r="CJ131" s="34"/>
      <c r="CK131" s="133"/>
      <c r="CL131"/>
      <c r="CM131"/>
    </row>
    <row r="132" spans="1:103" hidden="1" outlineLevel="1" x14ac:dyDescent="0.2">
      <c r="A132" s="26"/>
      <c r="B132" s="26" t="s">
        <v>10</v>
      </c>
      <c r="C132" s="26"/>
      <c r="D132" s="26"/>
      <c r="E132" s="34"/>
      <c r="F132" s="34"/>
      <c r="G132" s="34"/>
      <c r="H132" s="34"/>
      <c r="I132" s="133"/>
      <c r="J132" s="34"/>
      <c r="K132" s="34"/>
      <c r="L132" s="34"/>
      <c r="M132" s="34"/>
      <c r="N132" s="133">
        <v>0.08</v>
      </c>
      <c r="O132" s="34"/>
      <c r="P132" s="34"/>
      <c r="Q132" s="34"/>
      <c r="R132" s="34"/>
      <c r="S132" s="133">
        <v>-7.0000000000000007E-2</v>
      </c>
      <c r="T132" s="34">
        <v>-0.1</v>
      </c>
      <c r="U132" s="34">
        <v>-0.05</v>
      </c>
      <c r="V132" s="34">
        <v>-0.05</v>
      </c>
      <c r="W132" s="34">
        <v>0.1</v>
      </c>
      <c r="X132" s="133">
        <v>-0.03</v>
      </c>
      <c r="Y132" s="34">
        <v>0.28000000000000003</v>
      </c>
      <c r="Z132" s="34">
        <v>0.8</v>
      </c>
      <c r="AA132" s="34">
        <v>0.79</v>
      </c>
      <c r="AB132" s="34">
        <v>0.77</v>
      </c>
      <c r="AC132" s="133">
        <v>0.68</v>
      </c>
      <c r="AD132" s="116">
        <f>AD131-1%</f>
        <v>8.2936802973977666E-2</v>
      </c>
      <c r="AE132" s="116">
        <f>AE131-1%</f>
        <v>-7.5994500458295131E-2</v>
      </c>
      <c r="AF132" s="116">
        <f>AF131-1%</f>
        <v>-5.9440298507462679E-2</v>
      </c>
      <c r="AG132" s="116">
        <f>AG131+1%</f>
        <v>-6.2951739618406291E-2</v>
      </c>
      <c r="AH132" s="133">
        <f>AH131-0.5%</f>
        <v>-4.3975501113585717E-2</v>
      </c>
      <c r="AI132" s="116">
        <f>AI131+1%</f>
        <v>-8.3537414965986448E-2</v>
      </c>
      <c r="AJ132" s="116">
        <f>AJ131+1%</f>
        <v>-0.13131501472031404</v>
      </c>
      <c r="AK132" s="116">
        <f>AK131+1%</f>
        <v>-0.13622178606476942</v>
      </c>
      <c r="AL132" s="116">
        <f>AL131</f>
        <v>-7.8692493946731279E-2</v>
      </c>
      <c r="AM132" s="133">
        <f>AM131+1%</f>
        <v>-0.10964078794901512</v>
      </c>
      <c r="AN132" s="34">
        <f>AN131</f>
        <v>3.5647279549718469E-2</v>
      </c>
      <c r="AO132" s="34">
        <f>AO131+2%</f>
        <v>3.3714285714285794E-2</v>
      </c>
      <c r="AP132" s="34">
        <f>AP131+2.5%</f>
        <v>-2.5862068965517779E-3</v>
      </c>
      <c r="AQ132" s="34">
        <f>AQ131+5.5%</f>
        <v>-4.092641261498025E-2</v>
      </c>
      <c r="AR132" s="133">
        <f>AR131+3%</f>
        <v>8.2823297137216423E-3</v>
      </c>
      <c r="AS132" s="34">
        <f>AS131+3%</f>
        <v>-3.7028985507246343E-2</v>
      </c>
      <c r="AT132" s="34">
        <f>AT131+2%</f>
        <v>3.9165727170236794E-2</v>
      </c>
      <c r="AU132" s="34">
        <f>AU131+1%</f>
        <v>4.309692671394804E-2</v>
      </c>
      <c r="AV132" s="34">
        <f>AV131+7%</f>
        <v>0.10779069767441868</v>
      </c>
      <c r="AW132" s="133">
        <f>AW131+3%</f>
        <v>4.1436259670366543E-2</v>
      </c>
      <c r="AX132" s="34">
        <f>AX131+11%</f>
        <v>3.2330097087378676E-2</v>
      </c>
      <c r="AY132" s="34"/>
      <c r="AZ132" s="34"/>
      <c r="BA132" s="34"/>
      <c r="BB132" s="133"/>
      <c r="BC132" s="34"/>
      <c r="BD132" s="34"/>
      <c r="BE132" s="34"/>
      <c r="BF132" s="34"/>
      <c r="BG132" s="133"/>
      <c r="BH132" s="34"/>
      <c r="BI132" s="34"/>
      <c r="BJ132" s="34"/>
      <c r="BK132" s="34"/>
      <c r="BL132" s="133"/>
      <c r="BM132" s="34"/>
      <c r="BN132" s="34"/>
      <c r="BO132" s="34"/>
      <c r="BP132" s="34"/>
      <c r="BQ132" s="133"/>
      <c r="BR132" s="34"/>
      <c r="BS132" s="34"/>
      <c r="BT132" s="34"/>
      <c r="BU132" s="34"/>
      <c r="BV132" s="133"/>
      <c r="BW132" s="34"/>
      <c r="BX132" s="34"/>
      <c r="BY132" s="34"/>
      <c r="BZ132" s="34"/>
      <c r="CA132" s="133"/>
      <c r="CB132" s="34"/>
      <c r="CC132" s="34"/>
      <c r="CD132" s="34"/>
      <c r="CE132" s="34"/>
      <c r="CF132" s="133"/>
      <c r="CG132" s="34"/>
      <c r="CH132" s="34"/>
      <c r="CI132" s="34"/>
      <c r="CJ132" s="34"/>
      <c r="CK132" s="133"/>
      <c r="CL132"/>
      <c r="CM132"/>
    </row>
    <row r="133" spans="1:103" hidden="1" outlineLevel="1" x14ac:dyDescent="0.2">
      <c r="A133" s="28"/>
      <c r="B133" s="28" t="str">
        <f>+A83</f>
        <v>Europe</v>
      </c>
      <c r="C133" s="28"/>
      <c r="D133" s="28"/>
      <c r="E133" s="94"/>
      <c r="F133" s="94"/>
      <c r="G133" s="94"/>
      <c r="H133" s="94"/>
      <c r="I133" s="148">
        <v>700</v>
      </c>
      <c r="J133" s="94">
        <f>306-K133</f>
        <v>86</v>
      </c>
      <c r="K133" s="94">
        <f>220</f>
        <v>220</v>
      </c>
      <c r="L133" s="94">
        <v>238</v>
      </c>
      <c r="M133" s="94">
        <v>239</v>
      </c>
      <c r="N133" s="148">
        <v>783</v>
      </c>
      <c r="O133" s="94">
        <v>119</v>
      </c>
      <c r="P133" s="94">
        <v>283</v>
      </c>
      <c r="Q133" s="94">
        <v>314</v>
      </c>
      <c r="R133" s="94">
        <v>244</v>
      </c>
      <c r="S133" s="148">
        <v>960</v>
      </c>
      <c r="T133" s="94">
        <v>101</v>
      </c>
      <c r="U133" s="94">
        <v>255</v>
      </c>
      <c r="V133" s="94">
        <v>318</v>
      </c>
      <c r="W133" s="94">
        <v>260</v>
      </c>
      <c r="X133" s="148">
        <v>951</v>
      </c>
      <c r="Y133" s="94">
        <v>119</v>
      </c>
      <c r="Z133" s="94">
        <v>344</v>
      </c>
      <c r="AA133" s="94">
        <v>447</v>
      </c>
      <c r="AB133" s="94">
        <v>295</v>
      </c>
      <c r="AC133" s="148">
        <f>+Y133+Z133+AA133+AB133</f>
        <v>1205</v>
      </c>
      <c r="AD133" s="196">
        <v>80</v>
      </c>
      <c r="AE133" s="196">
        <v>421</v>
      </c>
      <c r="AF133" s="196">
        <v>525</v>
      </c>
      <c r="AG133" s="94">
        <v>401</v>
      </c>
      <c r="AH133" s="148">
        <f>+AD133+AE133+AF133+AG133</f>
        <v>1427</v>
      </c>
      <c r="AI133" s="196">
        <v>82</v>
      </c>
      <c r="AJ133" s="196">
        <v>454</v>
      </c>
      <c r="AK133" s="196">
        <v>486</v>
      </c>
      <c r="AL133" s="196">
        <v>361</v>
      </c>
      <c r="AM133" s="148">
        <f>+AI133+AJ133+AK133+AL133</f>
        <v>1383</v>
      </c>
      <c r="AN133" s="94">
        <v>93</v>
      </c>
      <c r="AO133" s="94">
        <v>432</v>
      </c>
      <c r="AP133" s="94">
        <v>512</v>
      </c>
      <c r="AQ133" s="94">
        <v>326</v>
      </c>
      <c r="AR133" s="148">
        <f>+AN133+AO133+AP133+AQ133</f>
        <v>1363</v>
      </c>
      <c r="AS133" s="286">
        <f>152</f>
        <v>152</v>
      </c>
      <c r="AT133" s="286">
        <v>474</v>
      </c>
      <c r="AU133" s="286">
        <f>479</f>
        <v>479</v>
      </c>
      <c r="AV133" s="94">
        <v>297</v>
      </c>
      <c r="AW133" s="148">
        <f>+AS133+AT133+AU133+AV133</f>
        <v>1402</v>
      </c>
      <c r="AX133" s="94">
        <v>112</v>
      </c>
      <c r="AY133" s="94">
        <v>341</v>
      </c>
      <c r="AZ133" s="94"/>
      <c r="BA133" s="94"/>
      <c r="BB133" s="148"/>
      <c r="BC133" s="94"/>
      <c r="BD133" s="94"/>
      <c r="BE133" s="94"/>
      <c r="BF133" s="94"/>
      <c r="BG133" s="148"/>
      <c r="BH133" s="94"/>
      <c r="BI133" s="94"/>
      <c r="BJ133" s="94"/>
      <c r="BK133" s="94"/>
      <c r="BL133" s="148"/>
      <c r="BM133" s="94"/>
      <c r="BN133" s="94"/>
      <c r="BO133" s="94"/>
      <c r="BP133" s="94"/>
      <c r="BQ133" s="148"/>
      <c r="BR133" s="94"/>
      <c r="BS133" s="94"/>
      <c r="BT133" s="94"/>
      <c r="BU133" s="94"/>
      <c r="BV133" s="148"/>
      <c r="BW133" s="94"/>
      <c r="BX133" s="94"/>
      <c r="BY133" s="94"/>
      <c r="BZ133" s="94"/>
      <c r="CA133" s="148"/>
      <c r="CB133" s="94"/>
      <c r="CC133" s="94"/>
      <c r="CD133" s="94"/>
      <c r="CE133" s="94"/>
      <c r="CF133" s="148"/>
      <c r="CG133" s="94"/>
      <c r="CH133" s="94"/>
      <c r="CI133" s="94"/>
      <c r="CJ133" s="94"/>
      <c r="CK133" s="148"/>
      <c r="CL133"/>
      <c r="CM133"/>
      <c r="CN133" s="27"/>
      <c r="CO133" s="27"/>
      <c r="CP133" s="27"/>
      <c r="CQ133" s="27"/>
      <c r="CR133" s="27"/>
      <c r="CS133" s="27"/>
      <c r="CT133" s="27"/>
      <c r="CU133" s="27"/>
      <c r="CV133" s="27"/>
      <c r="CW133" s="27"/>
      <c r="CX133" s="27"/>
      <c r="CY133" s="27"/>
    </row>
    <row r="134" spans="1:103" hidden="1" outlineLevel="1" x14ac:dyDescent="0.2">
      <c r="A134" s="26"/>
      <c r="B134" s="26" t="s">
        <v>48</v>
      </c>
      <c r="C134" s="26"/>
      <c r="D134" s="26"/>
      <c r="E134" s="34"/>
      <c r="F134" s="34"/>
      <c r="G134" s="34"/>
      <c r="H134" s="34"/>
      <c r="I134" s="133"/>
      <c r="J134" s="34"/>
      <c r="K134" s="34"/>
      <c r="L134" s="34"/>
      <c r="M134" s="34"/>
      <c r="N134" s="133">
        <f t="shared" ref="N134:S134" si="151">+N133/I133-1</f>
        <v>0.11857142857142855</v>
      </c>
      <c r="O134" s="34">
        <f t="shared" si="151"/>
        <v>0.38372093023255816</v>
      </c>
      <c r="P134" s="34">
        <f t="shared" si="151"/>
        <v>0.28636363636363638</v>
      </c>
      <c r="Q134" s="34">
        <f t="shared" si="151"/>
        <v>0.31932773109243695</v>
      </c>
      <c r="R134" s="34">
        <f t="shared" si="151"/>
        <v>2.0920502092050208E-2</v>
      </c>
      <c r="S134" s="133">
        <f t="shared" si="151"/>
        <v>0.2260536398467432</v>
      </c>
      <c r="T134" s="34">
        <f t="shared" ref="T134:AM134" si="152">+T133/O133-1</f>
        <v>-0.15126050420168069</v>
      </c>
      <c r="U134" s="34">
        <f t="shared" si="152"/>
        <v>-9.8939929328621945E-2</v>
      </c>
      <c r="V134" s="34">
        <f t="shared" si="152"/>
        <v>1.2738853503184711E-2</v>
      </c>
      <c r="W134" s="34">
        <f t="shared" si="152"/>
        <v>6.5573770491803351E-2</v>
      </c>
      <c r="X134" s="133">
        <v>-2.7083333333333348E-2</v>
      </c>
      <c r="Y134" s="34">
        <v>0.12871287128712861</v>
      </c>
      <c r="Z134" s="34">
        <v>0.30980392156862746</v>
      </c>
      <c r="AA134" s="34">
        <v>0.37735849056603765</v>
      </c>
      <c r="AB134" s="34">
        <v>9.6153846153846256E-2</v>
      </c>
      <c r="AC134" s="178">
        <v>0.25374732334047101</v>
      </c>
      <c r="AD134" s="116">
        <f t="shared" si="152"/>
        <v>-0.32773109243697474</v>
      </c>
      <c r="AE134" s="116">
        <f t="shared" si="152"/>
        <v>0.22383720930232553</v>
      </c>
      <c r="AF134" s="116">
        <f t="shared" si="152"/>
        <v>0.17449664429530198</v>
      </c>
      <c r="AG134" s="34">
        <f t="shared" si="152"/>
        <v>0.35932203389830519</v>
      </c>
      <c r="AH134" s="133">
        <f t="shared" si="152"/>
        <v>0.18423236514522823</v>
      </c>
      <c r="AI134" s="116">
        <f t="shared" si="152"/>
        <v>2.4999999999999911E-2</v>
      </c>
      <c r="AJ134" s="116">
        <f t="shared" si="152"/>
        <v>7.8384798099762509E-2</v>
      </c>
      <c r="AK134" s="116">
        <f t="shared" si="152"/>
        <v>-7.4285714285714288E-2</v>
      </c>
      <c r="AL134" s="116">
        <f t="shared" si="152"/>
        <v>-9.9750623441396513E-2</v>
      </c>
      <c r="AM134" s="133">
        <f t="shared" si="152"/>
        <v>-3.0833917309039949E-2</v>
      </c>
      <c r="AN134" s="34">
        <f t="shared" ref="AN134:AY134" si="153">+AN133/AI133-1</f>
        <v>0.13414634146341453</v>
      </c>
      <c r="AO134" s="34">
        <f t="shared" si="153"/>
        <v>-4.8458149779735726E-2</v>
      </c>
      <c r="AP134" s="34">
        <f t="shared" si="153"/>
        <v>5.3497942386831365E-2</v>
      </c>
      <c r="AQ134" s="34">
        <f t="shared" si="153"/>
        <v>-9.695290858725758E-2</v>
      </c>
      <c r="AR134" s="133">
        <f t="shared" si="153"/>
        <v>-1.4461315979754197E-2</v>
      </c>
      <c r="AS134" s="117">
        <f t="shared" si="153"/>
        <v>0.63440860215053774</v>
      </c>
      <c r="AT134" s="117">
        <f t="shared" si="153"/>
        <v>9.7222222222222321E-2</v>
      </c>
      <c r="AU134" s="117">
        <f t="shared" si="153"/>
        <v>-6.4453125E-2</v>
      </c>
      <c r="AV134" s="34">
        <f t="shared" si="153"/>
        <v>-8.8957055214723968E-2</v>
      </c>
      <c r="AW134" s="133">
        <f t="shared" si="153"/>
        <v>2.8613352898019029E-2</v>
      </c>
      <c r="AX134" s="34">
        <f t="shared" si="153"/>
        <v>-0.26315789473684215</v>
      </c>
      <c r="AY134" s="34">
        <f t="shared" si="153"/>
        <v>-0.28059071729957807</v>
      </c>
      <c r="AZ134" s="34"/>
      <c r="BA134" s="34"/>
      <c r="BB134" s="133"/>
      <c r="BC134" s="34"/>
      <c r="BD134" s="34"/>
      <c r="BE134" s="34"/>
      <c r="BF134" s="34"/>
      <c r="BG134" s="133"/>
      <c r="BH134" s="34"/>
      <c r="BI134" s="34"/>
      <c r="BJ134" s="34"/>
      <c r="BK134" s="34"/>
      <c r="BL134" s="133"/>
      <c r="BM134" s="34"/>
      <c r="BN134" s="34"/>
      <c r="BO134" s="34"/>
      <c r="BP134" s="34"/>
      <c r="BQ134" s="133"/>
      <c r="BR134" s="34"/>
      <c r="BS134" s="34"/>
      <c r="BT134" s="34"/>
      <c r="BU134" s="34"/>
      <c r="BV134" s="133"/>
      <c r="BW134" s="34"/>
      <c r="BX134" s="34"/>
      <c r="BY134" s="34"/>
      <c r="BZ134" s="34"/>
      <c r="CA134" s="133"/>
      <c r="CB134" s="34"/>
      <c r="CC134" s="34"/>
      <c r="CD134" s="34"/>
      <c r="CE134" s="34"/>
      <c r="CF134" s="133"/>
      <c r="CG134" s="34"/>
      <c r="CH134" s="34"/>
      <c r="CI134" s="34"/>
      <c r="CJ134" s="34"/>
      <c r="CK134" s="133"/>
      <c r="CL134"/>
      <c r="CM134"/>
    </row>
    <row r="135" spans="1:103" hidden="1" outlineLevel="1" x14ac:dyDescent="0.2">
      <c r="A135" s="26"/>
      <c r="B135" s="26" t="s">
        <v>10</v>
      </c>
      <c r="C135" s="26"/>
      <c r="D135" s="26"/>
      <c r="E135" s="34"/>
      <c r="F135" s="34"/>
      <c r="G135" s="34"/>
      <c r="H135" s="34"/>
      <c r="I135" s="133"/>
      <c r="J135" s="34"/>
      <c r="K135" s="34"/>
      <c r="L135" s="34"/>
      <c r="M135" s="34"/>
      <c r="N135" s="133">
        <v>0.12</v>
      </c>
      <c r="O135" s="34"/>
      <c r="P135" s="34"/>
      <c r="Q135" s="34"/>
      <c r="R135" s="34"/>
      <c r="S135" s="133">
        <f>861/N133-1</f>
        <v>9.9616858237547845E-2</v>
      </c>
      <c r="T135" s="34">
        <v>0.1</v>
      </c>
      <c r="U135" s="34">
        <v>0.15</v>
      </c>
      <c r="V135" s="34">
        <v>0.18</v>
      </c>
      <c r="W135" s="34">
        <v>7.0000000000000007E-2</v>
      </c>
      <c r="X135" s="133">
        <v>0.13</v>
      </c>
      <c r="Y135" s="34">
        <v>0.04</v>
      </c>
      <c r="Z135" s="34">
        <v>0.25</v>
      </c>
      <c r="AA135" s="34">
        <v>0.45</v>
      </c>
      <c r="AB135" s="34">
        <v>0.13</v>
      </c>
      <c r="AC135" s="178">
        <v>0.26</v>
      </c>
      <c r="AD135" s="116">
        <f>AD134+2%</f>
        <v>-0.30773109243697472</v>
      </c>
      <c r="AE135" s="116">
        <f>AE134-7%</f>
        <v>0.15383720930232553</v>
      </c>
      <c r="AF135" s="116">
        <f>AF134-8%</f>
        <v>9.4496644295301982E-2</v>
      </c>
      <c r="AG135" s="116">
        <f>AG134+2%</f>
        <v>0.37932203389830521</v>
      </c>
      <c r="AH135" s="133">
        <f>AH134-4%</f>
        <v>0.14423236514522822</v>
      </c>
      <c r="AI135" s="116">
        <f>AI134+2%</f>
        <v>4.4999999999999915E-2</v>
      </c>
      <c r="AJ135" s="116">
        <f>AJ134+7%</f>
        <v>0.14838479809976252</v>
      </c>
      <c r="AK135" s="116">
        <f>AK134+11%</f>
        <v>3.5714285714285712E-2</v>
      </c>
      <c r="AL135" s="116">
        <f>AL134</f>
        <v>-9.9750623441396513E-2</v>
      </c>
      <c r="AM135" s="133">
        <f>AM134+6%</f>
        <v>2.9166082690960049E-2</v>
      </c>
      <c r="AN135" s="34">
        <f>AN134-0.5%</f>
        <v>0.12914634146341453</v>
      </c>
      <c r="AO135" s="34">
        <f>AO134+3%</f>
        <v>-1.8458149779735727E-2</v>
      </c>
      <c r="AP135" s="34">
        <f>AP134</f>
        <v>5.3497942386831365E-2</v>
      </c>
      <c r="AQ135" s="34">
        <f>AQ134+1.5%</f>
        <v>-8.1952908587257581E-2</v>
      </c>
      <c r="AR135" s="133">
        <f>AR134+1.5%</f>
        <v>5.3868402024580264E-4</v>
      </c>
      <c r="AS135" s="34">
        <f>AS134+1%</f>
        <v>0.64440860215053775</v>
      </c>
      <c r="AT135" s="34">
        <f>AT134+0.5%</f>
        <v>0.10222222222222233</v>
      </c>
      <c r="AU135" s="117">
        <f>AU134</f>
        <v>-6.4453125E-2</v>
      </c>
      <c r="AV135" s="34">
        <f>AV134+4%</f>
        <v>-4.8957055214723967E-2</v>
      </c>
      <c r="AW135" s="133">
        <f>AW134+1%</f>
        <v>3.8613352898019031E-2</v>
      </c>
      <c r="AX135" s="34">
        <f>AX134+24%</f>
        <v>-2.3157894736842155E-2</v>
      </c>
      <c r="AY135" s="34"/>
      <c r="AZ135" s="34"/>
      <c r="BA135" s="34"/>
      <c r="BB135" s="133"/>
      <c r="BC135" s="34"/>
      <c r="BD135" s="34"/>
      <c r="BE135" s="34"/>
      <c r="BF135" s="34"/>
      <c r="BG135" s="133"/>
      <c r="BH135" s="34"/>
      <c r="BI135" s="34"/>
      <c r="BJ135" s="34"/>
      <c r="BK135" s="34"/>
      <c r="BL135" s="133"/>
      <c r="BM135" s="34"/>
      <c r="BN135" s="34"/>
      <c r="BO135" s="34"/>
      <c r="BP135" s="34"/>
      <c r="BQ135" s="133"/>
      <c r="BR135" s="34"/>
      <c r="BS135" s="34"/>
      <c r="BT135" s="34"/>
      <c r="BU135" s="34"/>
      <c r="BV135" s="133"/>
      <c r="BW135" s="34"/>
      <c r="BX135" s="34"/>
      <c r="BY135" s="34"/>
      <c r="BZ135" s="34"/>
      <c r="CA135" s="133"/>
      <c r="CB135" s="34"/>
      <c r="CC135" s="34"/>
      <c r="CD135" s="34"/>
      <c r="CE135" s="34"/>
      <c r="CF135" s="133"/>
      <c r="CG135" s="34"/>
      <c r="CH135" s="34"/>
      <c r="CI135" s="34"/>
      <c r="CJ135" s="34"/>
      <c r="CK135" s="133"/>
      <c r="CL135"/>
      <c r="CM135"/>
    </row>
    <row r="136" spans="1:103" hidden="1" outlineLevel="1" x14ac:dyDescent="0.2">
      <c r="A136" s="28"/>
      <c r="B136" s="28" t="str">
        <f>+A92</f>
        <v>Asia, Middle East, &amp; Africa</v>
      </c>
      <c r="C136" s="28"/>
      <c r="D136" s="28"/>
      <c r="E136" s="94"/>
      <c r="F136" s="94"/>
      <c r="G136" s="94"/>
      <c r="H136" s="94"/>
      <c r="I136" s="148">
        <v>401</v>
      </c>
      <c r="J136" s="94">
        <f>306-K136</f>
        <v>105</v>
      </c>
      <c r="K136" s="94">
        <f>201</f>
        <v>201</v>
      </c>
      <c r="L136" s="94">
        <v>192</v>
      </c>
      <c r="M136" s="94">
        <v>51</v>
      </c>
      <c r="N136" s="148">
        <v>549</v>
      </c>
      <c r="O136" s="94">
        <v>126</v>
      </c>
      <c r="P136" s="94">
        <v>218</v>
      </c>
      <c r="Q136" s="94">
        <v>199</v>
      </c>
      <c r="R136" s="94">
        <v>64</v>
      </c>
      <c r="S136" s="148">
        <v>607</v>
      </c>
      <c r="T136" s="94">
        <v>139</v>
      </c>
      <c r="U136" s="94">
        <v>247</v>
      </c>
      <c r="V136" s="94">
        <v>297</v>
      </c>
      <c r="W136" s="94">
        <v>46</v>
      </c>
      <c r="X136" s="148">
        <v>712</v>
      </c>
      <c r="Y136" s="94">
        <v>155</v>
      </c>
      <c r="Z136" s="94">
        <v>267</v>
      </c>
      <c r="AA136" s="94">
        <v>235</v>
      </c>
      <c r="AB136" s="94">
        <v>51</v>
      </c>
      <c r="AC136" s="148">
        <f>+Y136+Z136+AA136+AB136</f>
        <v>708</v>
      </c>
      <c r="AD136" s="196">
        <v>146</v>
      </c>
      <c r="AE136" s="196">
        <v>299</v>
      </c>
      <c r="AF136" s="196">
        <v>285</v>
      </c>
      <c r="AG136" s="94">
        <v>166</v>
      </c>
      <c r="AH136" s="148">
        <f>+AD136+AE136+AF136+AG136</f>
        <v>896</v>
      </c>
      <c r="AI136" s="196">
        <v>157</v>
      </c>
      <c r="AJ136" s="196">
        <v>310</v>
      </c>
      <c r="AK136" s="196">
        <v>323</v>
      </c>
      <c r="AL136" s="196">
        <v>135</v>
      </c>
      <c r="AM136" s="148">
        <f>+AI136+AJ136+AK136+AL136</f>
        <v>925</v>
      </c>
      <c r="AN136" s="94">
        <v>185</v>
      </c>
      <c r="AO136" s="94">
        <f>525</f>
        <v>525</v>
      </c>
      <c r="AP136" s="94">
        <v>296</v>
      </c>
      <c r="AQ136" s="94">
        <v>194</v>
      </c>
      <c r="AR136" s="148">
        <f>+AN136+AO136+AP136+AQ136</f>
        <v>1200</v>
      </c>
      <c r="AS136" s="286">
        <v>198</v>
      </c>
      <c r="AT136" s="286">
        <v>388</v>
      </c>
      <c r="AU136" s="286">
        <f>317</f>
        <v>317</v>
      </c>
      <c r="AV136" s="94">
        <v>177</v>
      </c>
      <c r="AW136" s="148">
        <f>+AS136+AT136+AU136+AV136</f>
        <v>1080</v>
      </c>
      <c r="AX136" s="94">
        <v>244</v>
      </c>
      <c r="AY136" s="94">
        <v>392</v>
      </c>
      <c r="AZ136" s="94"/>
      <c r="BA136" s="94"/>
      <c r="BB136" s="148"/>
      <c r="BC136" s="94"/>
      <c r="BD136" s="94"/>
      <c r="BE136" s="94"/>
      <c r="BF136" s="94"/>
      <c r="BG136" s="148"/>
      <c r="BH136" s="94"/>
      <c r="BI136" s="94"/>
      <c r="BJ136" s="94"/>
      <c r="BK136" s="94"/>
      <c r="BL136" s="148"/>
      <c r="BM136" s="94"/>
      <c r="BN136" s="94"/>
      <c r="BO136" s="94"/>
      <c r="BP136" s="94"/>
      <c r="BQ136" s="148"/>
      <c r="BR136" s="94"/>
      <c r="BS136" s="94"/>
      <c r="BT136" s="94"/>
      <c r="BU136" s="94"/>
      <c r="BV136" s="148"/>
      <c r="BW136" s="94"/>
      <c r="BX136" s="94"/>
      <c r="BY136" s="94"/>
      <c r="BZ136" s="94"/>
      <c r="CA136" s="148"/>
      <c r="CB136" s="94"/>
      <c r="CC136" s="94"/>
      <c r="CD136" s="94"/>
      <c r="CE136" s="94"/>
      <c r="CF136" s="148"/>
      <c r="CG136" s="94"/>
      <c r="CH136" s="94"/>
      <c r="CI136" s="94"/>
      <c r="CJ136" s="94"/>
      <c r="CK136" s="148"/>
      <c r="CL136"/>
      <c r="CM136"/>
      <c r="CN136" s="27"/>
      <c r="CO136" s="27"/>
      <c r="CP136" s="27"/>
      <c r="CQ136" s="27"/>
      <c r="CR136" s="27"/>
      <c r="CS136" s="27"/>
      <c r="CT136" s="27"/>
      <c r="CU136" s="27"/>
      <c r="CV136" s="27"/>
      <c r="CW136" s="27"/>
      <c r="CX136" s="27"/>
      <c r="CY136" s="27"/>
    </row>
    <row r="137" spans="1:103" hidden="1" outlineLevel="1" x14ac:dyDescent="0.2">
      <c r="A137" s="26"/>
      <c r="B137" s="26" t="s">
        <v>48</v>
      </c>
      <c r="C137" s="26"/>
      <c r="D137" s="26"/>
      <c r="E137" s="34"/>
      <c r="F137" s="34"/>
      <c r="G137" s="34"/>
      <c r="H137" s="34"/>
      <c r="I137" s="133"/>
      <c r="J137" s="34"/>
      <c r="K137" s="34"/>
      <c r="L137" s="34"/>
      <c r="M137" s="34"/>
      <c r="N137" s="133">
        <f t="shared" ref="N137:S137" si="154">+N136/I136-1</f>
        <v>0.36907730673316719</v>
      </c>
      <c r="O137" s="34">
        <f t="shared" si="154"/>
        <v>0.19999999999999996</v>
      </c>
      <c r="P137" s="34">
        <f t="shared" si="154"/>
        <v>8.4577114427860645E-2</v>
      </c>
      <c r="Q137" s="34">
        <f t="shared" si="154"/>
        <v>3.6458333333333259E-2</v>
      </c>
      <c r="R137" s="34">
        <f t="shared" si="154"/>
        <v>0.25490196078431371</v>
      </c>
      <c r="S137" s="133">
        <f t="shared" si="154"/>
        <v>0.10564663023679421</v>
      </c>
      <c r="T137" s="34">
        <f t="shared" ref="T137:AM137" si="155">+T136/O136-1</f>
        <v>0.10317460317460325</v>
      </c>
      <c r="U137" s="34">
        <f t="shared" si="155"/>
        <v>0.1330275229357798</v>
      </c>
      <c r="V137" s="34">
        <f t="shared" si="155"/>
        <v>0.49246231155778886</v>
      </c>
      <c r="W137" s="34">
        <f t="shared" si="155"/>
        <v>-0.28125</v>
      </c>
      <c r="X137" s="178">
        <v>0.20098846787479396</v>
      </c>
      <c r="Y137" s="205">
        <v>0.15107913669064743</v>
      </c>
      <c r="Z137" s="205">
        <v>0.12145748987854255</v>
      </c>
      <c r="AA137" s="205">
        <v>-0.17845117845117842</v>
      </c>
      <c r="AB137" s="205">
        <v>0.32608695652173902</v>
      </c>
      <c r="AC137" s="178">
        <v>1.7832647462277196E-2</v>
      </c>
      <c r="AD137" s="116">
        <f t="shared" si="155"/>
        <v>-5.8064516129032295E-2</v>
      </c>
      <c r="AE137" s="116">
        <f t="shared" si="155"/>
        <v>0.11985018726591767</v>
      </c>
      <c r="AF137" s="116">
        <f t="shared" si="155"/>
        <v>0.2127659574468086</v>
      </c>
      <c r="AG137" s="34">
        <f t="shared" si="155"/>
        <v>2.2549019607843137</v>
      </c>
      <c r="AH137" s="133">
        <f t="shared" si="155"/>
        <v>0.26553672316384191</v>
      </c>
      <c r="AI137" s="116">
        <f t="shared" si="155"/>
        <v>7.5342465753424737E-2</v>
      </c>
      <c r="AJ137" s="116">
        <f t="shared" si="155"/>
        <v>3.6789297658862852E-2</v>
      </c>
      <c r="AK137" s="116">
        <f t="shared" si="155"/>
        <v>0.1333333333333333</v>
      </c>
      <c r="AL137" s="116">
        <f t="shared" si="155"/>
        <v>-0.18674698795180722</v>
      </c>
      <c r="AM137" s="133">
        <f t="shared" si="155"/>
        <v>3.2366071428571397E-2</v>
      </c>
      <c r="AN137" s="34">
        <f t="shared" ref="AN137:AY137" si="156">+AN136/AI136-1</f>
        <v>0.17834394904458595</v>
      </c>
      <c r="AO137" s="34">
        <f t="shared" si="156"/>
        <v>0.69354838709677424</v>
      </c>
      <c r="AP137" s="34">
        <f t="shared" si="156"/>
        <v>-8.3591331269349811E-2</v>
      </c>
      <c r="AQ137" s="34">
        <f t="shared" si="156"/>
        <v>0.43703703703703711</v>
      </c>
      <c r="AR137" s="133">
        <f t="shared" si="156"/>
        <v>0.29729729729729737</v>
      </c>
      <c r="AS137" s="117">
        <f t="shared" si="156"/>
        <v>7.0270270270270219E-2</v>
      </c>
      <c r="AT137" s="117">
        <f t="shared" si="156"/>
        <v>-0.26095238095238094</v>
      </c>
      <c r="AU137" s="34">
        <f t="shared" si="156"/>
        <v>7.0945945945946054E-2</v>
      </c>
      <c r="AV137" s="34">
        <f t="shared" si="156"/>
        <v>-8.7628865979381465E-2</v>
      </c>
      <c r="AW137" s="133">
        <f t="shared" si="156"/>
        <v>-9.9999999999999978E-2</v>
      </c>
      <c r="AX137" s="34">
        <f t="shared" si="156"/>
        <v>0.23232323232323226</v>
      </c>
      <c r="AY137" s="34">
        <f t="shared" si="156"/>
        <v>1.0309278350515427E-2</v>
      </c>
      <c r="AZ137" s="34"/>
      <c r="BA137" s="34"/>
      <c r="BB137" s="133"/>
      <c r="BC137" s="34"/>
      <c r="BD137" s="34"/>
      <c r="BE137" s="34"/>
      <c r="BF137" s="34"/>
      <c r="BG137" s="133"/>
      <c r="BH137" s="34"/>
      <c r="BI137" s="34"/>
      <c r="BJ137" s="34"/>
      <c r="BK137" s="34"/>
      <c r="BL137" s="133"/>
      <c r="BM137" s="34"/>
      <c r="BN137" s="34"/>
      <c r="BO137" s="34"/>
      <c r="BP137" s="34"/>
      <c r="BQ137" s="133"/>
      <c r="BR137" s="34"/>
      <c r="BS137" s="34"/>
      <c r="BT137" s="34"/>
      <c r="BU137" s="34"/>
      <c r="BV137" s="133"/>
      <c r="BW137" s="34"/>
      <c r="BX137" s="34"/>
      <c r="BY137" s="34"/>
      <c r="BZ137" s="34"/>
      <c r="CA137" s="133"/>
      <c r="CB137" s="34"/>
      <c r="CC137" s="34"/>
      <c r="CD137" s="34"/>
      <c r="CE137" s="34"/>
      <c r="CF137" s="133"/>
      <c r="CG137" s="34"/>
      <c r="CH137" s="34"/>
      <c r="CI137" s="34"/>
      <c r="CJ137" s="34"/>
      <c r="CK137" s="133"/>
      <c r="CL137"/>
      <c r="CM137"/>
    </row>
    <row r="138" spans="1:103" hidden="1" outlineLevel="1" x14ac:dyDescent="0.2">
      <c r="A138" s="26"/>
      <c r="B138" s="26" t="s">
        <v>10</v>
      </c>
      <c r="C138" s="26"/>
      <c r="D138" s="26"/>
      <c r="E138" s="34"/>
      <c r="F138" s="34"/>
      <c r="G138" s="34"/>
      <c r="H138" s="34"/>
      <c r="I138" s="133"/>
      <c r="J138" s="34"/>
      <c r="K138" s="34"/>
      <c r="L138" s="34"/>
      <c r="M138" s="34"/>
      <c r="N138" s="133">
        <v>0.37</v>
      </c>
      <c r="O138" s="34"/>
      <c r="P138" s="34"/>
      <c r="Q138" s="34"/>
      <c r="R138" s="34"/>
      <c r="S138" s="133">
        <f>682/N136-1</f>
        <v>0.24225865209471764</v>
      </c>
      <c r="T138" s="34">
        <v>0.12</v>
      </c>
      <c r="U138" s="34">
        <v>0.21</v>
      </c>
      <c r="V138" s="34">
        <v>0.52</v>
      </c>
      <c r="W138" s="34">
        <v>-0.42</v>
      </c>
      <c r="X138" s="178">
        <v>0.23</v>
      </c>
      <c r="Y138" s="205">
        <v>0.12</v>
      </c>
      <c r="Z138" s="179">
        <v>0.06</v>
      </c>
      <c r="AA138" s="179">
        <v>-0.19</v>
      </c>
      <c r="AB138" s="179">
        <v>0.23</v>
      </c>
      <c r="AC138" s="178">
        <v>-0.02</v>
      </c>
      <c r="AD138" s="116">
        <f>AD137-3%</f>
        <v>-8.8064516129032294E-2</v>
      </c>
      <c r="AE138" s="116">
        <f>AE137-2%</f>
        <v>9.985018726591767E-2</v>
      </c>
      <c r="AF138" s="116">
        <f>AF137-4%</f>
        <v>0.17276595744680859</v>
      </c>
      <c r="AG138" s="116">
        <f>AG137+5%</f>
        <v>2.3049019607843135</v>
      </c>
      <c r="AH138" s="133">
        <f>AH137-2.5%</f>
        <v>0.24053672316384192</v>
      </c>
      <c r="AI138" s="116">
        <f>AI137-1%</f>
        <v>6.5342465753424742E-2</v>
      </c>
      <c r="AJ138" s="116">
        <f>AJ137+3%</f>
        <v>6.6789297658862851E-2</v>
      </c>
      <c r="AK138" s="116">
        <f>AK137+1%</f>
        <v>0.14333333333333331</v>
      </c>
      <c r="AL138" s="116">
        <f>AL137-1%</f>
        <v>-0.19674698795180723</v>
      </c>
      <c r="AM138" s="133">
        <f>AM137+1%</f>
        <v>4.2366071428571399E-2</v>
      </c>
      <c r="AN138" s="117">
        <f>AN137+1%</f>
        <v>0.18834394904458596</v>
      </c>
      <c r="AO138" s="117">
        <f>AO137+2%</f>
        <v>0.71354838709677426</v>
      </c>
      <c r="AP138" s="117">
        <f>AP137+1.5%</f>
        <v>-6.8591331269349812E-2</v>
      </c>
      <c r="AQ138" s="117">
        <f>AQ137+4.5%</f>
        <v>0.4820370370370371</v>
      </c>
      <c r="AR138" s="133">
        <f>AR137+2%</f>
        <v>0.31729729729729739</v>
      </c>
      <c r="AS138" s="117">
        <f>AS137+3%</f>
        <v>0.10027027027027022</v>
      </c>
      <c r="AT138" s="117">
        <f>AT137+2%</f>
        <v>-0.24095238095238095</v>
      </c>
      <c r="AU138" s="117">
        <f>AU137+1%</f>
        <v>8.0945945945946049E-2</v>
      </c>
      <c r="AV138" s="117">
        <f>AV137+2%</f>
        <v>-6.7628865979381461E-2</v>
      </c>
      <c r="AW138" s="133">
        <f>AW137+2%</f>
        <v>-7.9999999999999974E-2</v>
      </c>
      <c r="AX138" s="117">
        <f>AX137+2%</f>
        <v>0.25232323232323228</v>
      </c>
      <c r="AY138" s="117"/>
      <c r="AZ138" s="117"/>
      <c r="BA138" s="117"/>
      <c r="BB138" s="133"/>
      <c r="BC138" s="117"/>
      <c r="BD138" s="117"/>
      <c r="BE138" s="117"/>
      <c r="BF138" s="117"/>
      <c r="BG138" s="133"/>
      <c r="BH138" s="117"/>
      <c r="BI138" s="117"/>
      <c r="BJ138" s="117"/>
      <c r="BK138" s="117"/>
      <c r="BL138" s="133"/>
      <c r="BM138" s="117"/>
      <c r="BN138" s="117"/>
      <c r="BO138" s="117"/>
      <c r="BP138" s="117"/>
      <c r="BQ138" s="133"/>
      <c r="BR138" s="117"/>
      <c r="BS138" s="117"/>
      <c r="BT138" s="117"/>
      <c r="BU138" s="117"/>
      <c r="BV138" s="133"/>
      <c r="BW138" s="117"/>
      <c r="BX138" s="117"/>
      <c r="BY138" s="117"/>
      <c r="BZ138" s="117"/>
      <c r="CA138" s="133"/>
      <c r="CB138" s="117"/>
      <c r="CC138" s="117"/>
      <c r="CD138" s="117"/>
      <c r="CE138" s="117"/>
      <c r="CF138" s="133"/>
      <c r="CG138" s="117"/>
      <c r="CH138" s="117"/>
      <c r="CI138" s="117"/>
      <c r="CJ138" s="117"/>
      <c r="CK138" s="133"/>
      <c r="CL138"/>
      <c r="CM138"/>
    </row>
    <row r="139" spans="1:103" collapsed="1" x14ac:dyDescent="0.2">
      <c r="A139" s="28"/>
      <c r="B139" s="28" t="s">
        <v>9</v>
      </c>
      <c r="C139" s="28"/>
      <c r="D139" s="28"/>
      <c r="E139" s="94"/>
      <c r="F139" s="94"/>
      <c r="G139" s="94"/>
      <c r="H139" s="94"/>
      <c r="I139" s="148">
        <v>-738</v>
      </c>
      <c r="J139" s="94">
        <f>N139-M139-L139-K139</f>
        <v>-161</v>
      </c>
      <c r="K139" s="94">
        <f>-173-13</f>
        <v>-186</v>
      </c>
      <c r="L139" s="94">
        <v>-133</v>
      </c>
      <c r="M139" s="94">
        <v>-292</v>
      </c>
      <c r="N139" s="148">
        <v>-772</v>
      </c>
      <c r="O139" s="94">
        <v>-154</v>
      </c>
      <c r="P139" s="94">
        <v>-163</v>
      </c>
      <c r="Q139" s="94">
        <v>-152</v>
      </c>
      <c r="R139" s="94">
        <v>-182</v>
      </c>
      <c r="S139" s="148">
        <v>-651</v>
      </c>
      <c r="T139" s="94">
        <v>-169</v>
      </c>
      <c r="U139" s="94">
        <v>-177</v>
      </c>
      <c r="V139" s="94">
        <v>-170</v>
      </c>
      <c r="W139" s="94">
        <v>-275</v>
      </c>
      <c r="X139" s="148">
        <v>-791</v>
      </c>
      <c r="Y139" s="94">
        <v>-158</v>
      </c>
      <c r="Z139" s="94">
        <v>-198</v>
      </c>
      <c r="AA139" s="94">
        <v>-155</v>
      </c>
      <c r="AB139" s="94">
        <v>-342</v>
      </c>
      <c r="AC139" s="148">
        <f>+Y139+Z139+AA139+AB139</f>
        <v>-853</v>
      </c>
      <c r="AD139" s="94">
        <v>-189</v>
      </c>
      <c r="AE139" s="196">
        <v>-208</v>
      </c>
      <c r="AF139" s="196">
        <v>-192</v>
      </c>
      <c r="AG139" s="94">
        <v>-372</v>
      </c>
      <c r="AH139" s="148">
        <f>+AD139+AE139+AF139+AG139</f>
        <v>-961</v>
      </c>
      <c r="AI139" s="196">
        <v>-268</v>
      </c>
      <c r="AJ139" s="196">
        <v>-257</v>
      </c>
      <c r="AK139" s="196">
        <v>-243</v>
      </c>
      <c r="AL139" s="196">
        <v>-394</v>
      </c>
      <c r="AM139" s="148">
        <f>+AI139+AJ139+AK139+AL139</f>
        <v>-1162</v>
      </c>
      <c r="AN139" s="94">
        <v>-262</v>
      </c>
      <c r="AO139" s="94">
        <v>-279</v>
      </c>
      <c r="AP139" s="94">
        <v>-250</v>
      </c>
      <c r="AQ139" s="94">
        <v>-455</v>
      </c>
      <c r="AR139" s="148">
        <f>+AN139+AO139+AP139+AQ139</f>
        <v>-1246</v>
      </c>
      <c r="AS139" s="286">
        <v>-259</v>
      </c>
      <c r="AT139" s="286">
        <v>-226</v>
      </c>
      <c r="AU139" s="286">
        <v>-239</v>
      </c>
      <c r="AV139" s="94">
        <v>-425</v>
      </c>
      <c r="AW139" s="148">
        <f>+AS139+AT139+AU139+AV139</f>
        <v>-1149</v>
      </c>
      <c r="AX139" s="94">
        <v>-229</v>
      </c>
      <c r="AY139" s="94">
        <v>-188</v>
      </c>
      <c r="AZ139" s="94">
        <v>-250</v>
      </c>
      <c r="BA139" s="94">
        <v>-443</v>
      </c>
      <c r="BB139" s="148">
        <f>+AX139+AY139+AZ139+BA139</f>
        <v>-1110</v>
      </c>
      <c r="BC139" s="94">
        <f>-187+(112-242-2)/4</f>
        <v>-220</v>
      </c>
      <c r="BD139" s="94">
        <f>-207+(112-242-2)/4</f>
        <v>-240</v>
      </c>
      <c r="BE139" s="94">
        <f>-231+(112-242-2)/4</f>
        <v>-264</v>
      </c>
      <c r="BF139" s="94">
        <f>-390+(112-242-2)/4</f>
        <v>-423</v>
      </c>
      <c r="BG139" s="148">
        <f>+BC139+BD139+BE139+BF139</f>
        <v>-1147</v>
      </c>
      <c r="BH139" s="94">
        <f>-185-50-1</f>
        <v>-236</v>
      </c>
      <c r="BI139" s="94">
        <f>-212-47</f>
        <v>-259</v>
      </c>
      <c r="BJ139" s="94">
        <f>-187-49-1</f>
        <v>-237</v>
      </c>
      <c r="BK139" s="94">
        <f>-379-26-31</f>
        <v>-436</v>
      </c>
      <c r="BL139" s="148">
        <f>+BH139+BI139+BJ139+BK139</f>
        <v>-1168</v>
      </c>
      <c r="BM139" s="94">
        <f>+BH139*(1+BM140)</f>
        <v>-224.2</v>
      </c>
      <c r="BN139" s="94">
        <f>+BI139*(1+BN140)</f>
        <v>-246.04999999999998</v>
      </c>
      <c r="BO139" s="94">
        <f>+BJ139*(1+BO140)</f>
        <v>-225.14999999999998</v>
      </c>
      <c r="BP139" s="94">
        <f>+BK139*(1+BP140)</f>
        <v>-414.2</v>
      </c>
      <c r="BQ139" s="148">
        <f>+BM139+BN139+BO139+BP139</f>
        <v>-1109.5999999999999</v>
      </c>
      <c r="BR139" s="94">
        <f>+BM139*(1+BR140)</f>
        <v>-218.59499999999997</v>
      </c>
      <c r="BS139" s="94">
        <f>+BN139*(1+BS140)</f>
        <v>-239.89874999999998</v>
      </c>
      <c r="BT139" s="94">
        <f>+BO139*(1+BT140)</f>
        <v>-219.52124999999998</v>
      </c>
      <c r="BU139" s="94">
        <f>+BP139*(1+BU140)</f>
        <v>-403.84499999999997</v>
      </c>
      <c r="BV139" s="148">
        <f>+BR139+BS139+BT139+BU139</f>
        <v>-1081.8599999999999</v>
      </c>
      <c r="BW139" s="94">
        <f>+BR139*(1+BW140)</f>
        <v>-214.22309999999996</v>
      </c>
      <c r="BX139" s="94">
        <f>+BS139*(1+BX140)</f>
        <v>-235.10077499999997</v>
      </c>
      <c r="BY139" s="94">
        <f>+BT139*(1+BY140)</f>
        <v>-215.13082499999999</v>
      </c>
      <c r="BZ139" s="94">
        <f>+BU139*(1+BZ140)</f>
        <v>-395.76809999999995</v>
      </c>
      <c r="CA139" s="148">
        <f>+BW139+BX139+BY139+BZ139</f>
        <v>-1060.2227999999998</v>
      </c>
      <c r="CB139" s="94">
        <f>+BW139*(1+CB140)</f>
        <v>-211.00975349999996</v>
      </c>
      <c r="CC139" s="94">
        <f>+BX139*(1+CC140)</f>
        <v>-231.57426337499996</v>
      </c>
      <c r="CD139" s="94">
        <f>+BY139*(1+CD140)</f>
        <v>-211.90386262499999</v>
      </c>
      <c r="CE139" s="94">
        <f>+BZ139*(1+CE140)</f>
        <v>-389.83157849999992</v>
      </c>
      <c r="CF139" s="148">
        <f>+CB139+CC139+CD139+CE139</f>
        <v>-1044.3194579999999</v>
      </c>
      <c r="CG139" s="94">
        <f>+CB139*(1+CG140)</f>
        <v>-207.84460719749995</v>
      </c>
      <c r="CH139" s="94">
        <f>+CC139*(1+CH140)</f>
        <v>-228.10064942437495</v>
      </c>
      <c r="CI139" s="94">
        <f>+CD139*(1+CI140)</f>
        <v>-208.72530468562499</v>
      </c>
      <c r="CJ139" s="94">
        <f>+CE139*(1+CJ140)</f>
        <v>-383.98410482249994</v>
      </c>
      <c r="CK139" s="148">
        <f>+CG139+CH139+CI139+CJ139</f>
        <v>-1028.6546661299999</v>
      </c>
      <c r="CL139"/>
      <c r="CM139"/>
      <c r="CN139" s="27"/>
      <c r="CO139" s="27"/>
      <c r="CP139" s="27"/>
      <c r="CQ139" s="27"/>
      <c r="CR139" s="27"/>
      <c r="CS139" s="27"/>
      <c r="CT139" s="27"/>
      <c r="CU139" s="27"/>
      <c r="CV139" s="27"/>
      <c r="CW139" s="27"/>
      <c r="CX139" s="27"/>
      <c r="CY139" s="27"/>
    </row>
    <row r="140" spans="1:103" x14ac:dyDescent="0.2">
      <c r="A140" s="26"/>
      <c r="B140" s="26" t="s">
        <v>48</v>
      </c>
      <c r="C140" s="26"/>
      <c r="D140" s="26"/>
      <c r="E140" s="34"/>
      <c r="F140" s="34"/>
      <c r="G140" s="34"/>
      <c r="H140" s="34"/>
      <c r="I140" s="133"/>
      <c r="J140" s="34"/>
      <c r="K140" s="34"/>
      <c r="L140" s="34"/>
      <c r="M140" s="34"/>
      <c r="N140" s="133">
        <f t="shared" ref="N140:S140" si="157">+N139/I139-1</f>
        <v>4.6070460704606964E-2</v>
      </c>
      <c r="O140" s="34">
        <f t="shared" si="157"/>
        <v>-4.3478260869565188E-2</v>
      </c>
      <c r="P140" s="34">
        <f t="shared" si="157"/>
        <v>-0.12365591397849462</v>
      </c>
      <c r="Q140" s="34">
        <f t="shared" si="157"/>
        <v>0.14285714285714279</v>
      </c>
      <c r="R140" s="34">
        <f t="shared" si="157"/>
        <v>-0.37671232876712324</v>
      </c>
      <c r="S140" s="133">
        <f t="shared" si="157"/>
        <v>-0.15673575129533679</v>
      </c>
      <c r="T140" s="34">
        <f t="shared" ref="T140:AQ140" si="158">+T139/O139-1</f>
        <v>9.740259740259738E-2</v>
      </c>
      <c r="U140" s="34">
        <f t="shared" si="158"/>
        <v>8.5889570552147187E-2</v>
      </c>
      <c r="V140" s="34">
        <f t="shared" si="158"/>
        <v>0.11842105263157898</v>
      </c>
      <c r="W140" s="34">
        <f t="shared" si="158"/>
        <v>0.51098901098901095</v>
      </c>
      <c r="X140" s="133">
        <f t="shared" si="158"/>
        <v>0.21505376344086025</v>
      </c>
      <c r="Y140" s="34">
        <f t="shared" si="158"/>
        <v>-6.5088757396449703E-2</v>
      </c>
      <c r="Z140" s="34">
        <f t="shared" si="158"/>
        <v>0.11864406779661008</v>
      </c>
      <c r="AA140" s="34">
        <f t="shared" si="158"/>
        <v>-8.8235294117647078E-2</v>
      </c>
      <c r="AB140" s="34">
        <f t="shared" si="158"/>
        <v>0.24363636363636365</v>
      </c>
      <c r="AC140" s="133">
        <f>+AC139/X139-1</f>
        <v>7.8381795195954451E-2</v>
      </c>
      <c r="AD140" s="34">
        <f t="shared" si="158"/>
        <v>0.19620253164556956</v>
      </c>
      <c r="AE140" s="34">
        <f t="shared" si="158"/>
        <v>5.0505050505050608E-2</v>
      </c>
      <c r="AF140" s="116">
        <f t="shared" si="158"/>
        <v>0.23870967741935489</v>
      </c>
      <c r="AG140" s="116">
        <f t="shared" si="158"/>
        <v>8.7719298245614086E-2</v>
      </c>
      <c r="AH140" s="133">
        <f>+AH139/AC139-1</f>
        <v>0.12661195779601409</v>
      </c>
      <c r="AI140" s="116">
        <f t="shared" si="158"/>
        <v>0.41798941798941791</v>
      </c>
      <c r="AJ140" s="116">
        <f t="shared" si="158"/>
        <v>0.23557692307692313</v>
      </c>
      <c r="AK140" s="116">
        <f t="shared" si="158"/>
        <v>0.265625</v>
      </c>
      <c r="AL140" s="116">
        <f t="shared" si="158"/>
        <v>5.9139784946236507E-2</v>
      </c>
      <c r="AM140" s="133">
        <f>+AM139/AH139-1</f>
        <v>0.2091571279916753</v>
      </c>
      <c r="AN140" s="116">
        <f t="shared" si="158"/>
        <v>-2.2388059701492491E-2</v>
      </c>
      <c r="AO140" s="116">
        <f t="shared" si="158"/>
        <v>8.5603112840466844E-2</v>
      </c>
      <c r="AP140" s="116">
        <f t="shared" si="158"/>
        <v>2.8806584362139898E-2</v>
      </c>
      <c r="AQ140" s="116">
        <f t="shared" si="158"/>
        <v>0.15482233502538079</v>
      </c>
      <c r="AR140" s="133">
        <f t="shared" ref="AR140:AX140" si="159">+AR139/AM139-1</f>
        <v>7.2289156626506035E-2</v>
      </c>
      <c r="AS140" s="116">
        <f t="shared" si="159"/>
        <v>-1.1450381679389277E-2</v>
      </c>
      <c r="AT140" s="116">
        <f t="shared" si="159"/>
        <v>-0.18996415770609321</v>
      </c>
      <c r="AU140" s="116">
        <f t="shared" si="159"/>
        <v>-4.4000000000000039E-2</v>
      </c>
      <c r="AV140" s="116">
        <f t="shared" si="159"/>
        <v>-6.5934065934065922E-2</v>
      </c>
      <c r="AW140" s="133">
        <f t="shared" si="159"/>
        <v>-7.7849117174959903E-2</v>
      </c>
      <c r="AX140" s="116">
        <f t="shared" si="159"/>
        <v>-0.11583011583011582</v>
      </c>
      <c r="AY140" s="116">
        <f>+AY139/AT139-1</f>
        <v>-0.16814159292035402</v>
      </c>
      <c r="AZ140" s="116">
        <f>+AZ139/AU139-1</f>
        <v>4.6025104602510414E-2</v>
      </c>
      <c r="BA140" s="116">
        <f>+BA139/AV139-1</f>
        <v>4.2352941176470482E-2</v>
      </c>
      <c r="BB140" s="133">
        <f>+BB139/AW139-1</f>
        <v>-3.394255874673624E-2</v>
      </c>
      <c r="BC140" s="116">
        <f t="shared" ref="BC140:BK140" si="160">+BC139/AX139-1</f>
        <v>-3.9301310043668103E-2</v>
      </c>
      <c r="BD140" s="116">
        <f t="shared" si="160"/>
        <v>0.27659574468085113</v>
      </c>
      <c r="BE140" s="116">
        <f t="shared" si="160"/>
        <v>5.600000000000005E-2</v>
      </c>
      <c r="BF140" s="116">
        <f t="shared" si="160"/>
        <v>-4.5146726862302478E-2</v>
      </c>
      <c r="BG140" s="133">
        <f>+BG139/BB139-1</f>
        <v>3.3333333333333437E-2</v>
      </c>
      <c r="BH140" s="116">
        <f t="shared" si="160"/>
        <v>7.2727272727272751E-2</v>
      </c>
      <c r="BI140" s="116">
        <f t="shared" si="160"/>
        <v>7.9166666666666607E-2</v>
      </c>
      <c r="BJ140" s="116">
        <f t="shared" si="160"/>
        <v>-0.10227272727272729</v>
      </c>
      <c r="BK140" s="116">
        <f t="shared" si="160"/>
        <v>3.0732860520094496E-2</v>
      </c>
      <c r="BL140" s="133">
        <f>+BL139/BG139-1</f>
        <v>1.8308631211856996E-2</v>
      </c>
      <c r="BM140" s="183">
        <v>-0.05</v>
      </c>
      <c r="BN140" s="183">
        <v>-0.05</v>
      </c>
      <c r="BO140" s="183">
        <v>-0.05</v>
      </c>
      <c r="BP140" s="183">
        <v>-0.05</v>
      </c>
      <c r="BQ140" s="133">
        <f>+BQ139/BL139-1</f>
        <v>-5.0000000000000044E-2</v>
      </c>
      <c r="BR140" s="183">
        <v>-2.5000000000000001E-2</v>
      </c>
      <c r="BS140" s="183">
        <v>-2.5000000000000001E-2</v>
      </c>
      <c r="BT140" s="183">
        <v>-2.5000000000000001E-2</v>
      </c>
      <c r="BU140" s="183">
        <v>-2.5000000000000001E-2</v>
      </c>
      <c r="BV140" s="133">
        <f>+BV139/BQ139-1</f>
        <v>-2.5000000000000022E-2</v>
      </c>
      <c r="BW140" s="183">
        <v>-0.02</v>
      </c>
      <c r="BX140" s="183">
        <v>-0.02</v>
      </c>
      <c r="BY140" s="183">
        <v>-0.02</v>
      </c>
      <c r="BZ140" s="183">
        <v>-0.02</v>
      </c>
      <c r="CA140" s="133">
        <f>+CA139/BV139-1</f>
        <v>-2.0000000000000129E-2</v>
      </c>
      <c r="CB140" s="183">
        <v>-1.4999999999999999E-2</v>
      </c>
      <c r="CC140" s="183">
        <v>-1.4999999999999999E-2</v>
      </c>
      <c r="CD140" s="183">
        <v>-1.4999999999999999E-2</v>
      </c>
      <c r="CE140" s="183">
        <v>-1.4999999999999999E-2</v>
      </c>
      <c r="CF140" s="133">
        <f>+CF139/CA139-1</f>
        <v>-1.4999999999999902E-2</v>
      </c>
      <c r="CG140" s="183">
        <f>+CB140</f>
        <v>-1.4999999999999999E-2</v>
      </c>
      <c r="CH140" s="183">
        <f>+CC140</f>
        <v>-1.4999999999999999E-2</v>
      </c>
      <c r="CI140" s="183">
        <f>+CD140</f>
        <v>-1.4999999999999999E-2</v>
      </c>
      <c r="CJ140" s="183">
        <f>+CE140</f>
        <v>-1.4999999999999999E-2</v>
      </c>
      <c r="CK140" s="133">
        <f>+CK139/CF139-1</f>
        <v>-1.5000000000000013E-2</v>
      </c>
      <c r="CL140"/>
      <c r="CM140"/>
    </row>
    <row r="141" spans="1:103" x14ac:dyDescent="0.2">
      <c r="A141" s="26"/>
      <c r="B141" s="26"/>
      <c r="C141" s="26"/>
      <c r="D141" s="26"/>
      <c r="E141" s="206"/>
      <c r="F141" s="206"/>
      <c r="G141" s="206"/>
      <c r="H141" s="206"/>
      <c r="I141" s="207"/>
      <c r="J141" s="206"/>
      <c r="K141" s="206"/>
      <c r="L141" s="206"/>
      <c r="M141" s="206"/>
      <c r="N141" s="207"/>
      <c r="O141" s="206"/>
      <c r="P141" s="206"/>
      <c r="Q141" s="206"/>
      <c r="R141" s="206"/>
      <c r="S141" s="207"/>
      <c r="T141" s="206"/>
      <c r="U141" s="206"/>
      <c r="V141" s="206"/>
      <c r="W141" s="206"/>
      <c r="X141" s="207"/>
      <c r="Y141" s="208"/>
      <c r="Z141" s="208"/>
      <c r="AA141" s="208"/>
      <c r="AB141" s="208"/>
      <c r="AC141" s="209"/>
      <c r="AD141" s="208"/>
      <c r="AE141" s="208"/>
      <c r="AF141" s="208"/>
      <c r="AG141" s="208"/>
      <c r="AH141" s="148"/>
      <c r="AI141" s="208"/>
      <c r="AJ141" s="197"/>
      <c r="AK141" s="230"/>
      <c r="AL141" s="230"/>
      <c r="AM141" s="211"/>
      <c r="AN141" s="210"/>
      <c r="AO141" s="210"/>
      <c r="AP141" s="210"/>
      <c r="AQ141" s="210"/>
      <c r="AR141" s="288"/>
      <c r="AS141" s="284"/>
      <c r="AT141" s="284"/>
      <c r="AU141" s="284"/>
      <c r="AV141" s="284"/>
      <c r="AW141" s="288"/>
      <c r="AX141" s="206"/>
      <c r="AY141" s="206"/>
      <c r="AZ141" s="206"/>
      <c r="BA141" s="206"/>
      <c r="BB141" s="148"/>
      <c r="BC141" s="206"/>
      <c r="BD141" s="29"/>
      <c r="BE141" s="206"/>
      <c r="BF141" s="29"/>
      <c r="BG141" s="148"/>
      <c r="BH141" s="206"/>
      <c r="BI141" s="29"/>
      <c r="BJ141" s="206"/>
      <c r="BK141" s="206"/>
      <c r="BL141" s="148"/>
      <c r="BM141" s="206"/>
      <c r="BN141" s="206"/>
      <c r="BO141" s="206"/>
      <c r="BP141" s="206"/>
      <c r="BQ141" s="148"/>
      <c r="BR141" s="206"/>
      <c r="BS141" s="206"/>
      <c r="BT141" s="206"/>
      <c r="BU141" s="206"/>
      <c r="BV141" s="148"/>
      <c r="BW141" s="206"/>
      <c r="BX141" s="206"/>
      <c r="BY141" s="206"/>
      <c r="BZ141" s="206"/>
      <c r="CA141" s="148"/>
      <c r="CB141" s="206"/>
      <c r="CC141" s="206"/>
      <c r="CD141" s="206"/>
      <c r="CE141" s="206"/>
      <c r="CF141" s="148"/>
      <c r="CG141" s="206"/>
      <c r="CH141" s="206"/>
      <c r="CI141" s="206"/>
      <c r="CJ141" s="206"/>
      <c r="CK141" s="148"/>
      <c r="CL141"/>
      <c r="CM141"/>
    </row>
    <row r="142" spans="1:103" ht="16.5" customHeight="1" x14ac:dyDescent="0.2">
      <c r="A142" s="28" t="s">
        <v>55</v>
      </c>
      <c r="B142" s="28"/>
      <c r="C142" s="28"/>
      <c r="D142" s="28"/>
      <c r="E142" s="212"/>
      <c r="F142" s="212"/>
      <c r="G142" s="212"/>
      <c r="H142" s="212"/>
      <c r="I142" s="213">
        <f t="shared" ref="I142:AN142" si="161">+I102/I6</f>
        <v>0.18695392321484475</v>
      </c>
      <c r="J142" s="212">
        <f t="shared" si="161"/>
        <v>0.19074829931972789</v>
      </c>
      <c r="K142" s="212">
        <f t="shared" si="161"/>
        <v>0.20256063287186427</v>
      </c>
      <c r="L142" s="212">
        <f t="shared" si="161"/>
        <v>0.20558450496509684</v>
      </c>
      <c r="M142" s="212">
        <f t="shared" si="161"/>
        <v>0.1469301798153248</v>
      </c>
      <c r="N142" s="213">
        <f t="shared" si="161"/>
        <v>0.18374119673709277</v>
      </c>
      <c r="O142" s="212">
        <f t="shared" si="161"/>
        <v>0.18732749309972399</v>
      </c>
      <c r="P142" s="212">
        <f t="shared" si="161"/>
        <v>0.19460941068981269</v>
      </c>
      <c r="Q142" s="212">
        <f t="shared" si="161"/>
        <v>0.19272500889363217</v>
      </c>
      <c r="R142" s="212">
        <f t="shared" si="161"/>
        <v>0.15633592583863617</v>
      </c>
      <c r="S142" s="213">
        <f t="shared" si="161"/>
        <v>0.18145245196642854</v>
      </c>
      <c r="T142" s="212">
        <f t="shared" si="161"/>
        <v>0.18770422364758563</v>
      </c>
      <c r="U142" s="212">
        <f t="shared" si="161"/>
        <v>0.19835725075528701</v>
      </c>
      <c r="V142" s="212">
        <f t="shared" si="161"/>
        <v>0.19891696750902527</v>
      </c>
      <c r="W142" s="212">
        <f t="shared" si="161"/>
        <v>0.15040986688726782</v>
      </c>
      <c r="X142" s="213">
        <f t="shared" si="161"/>
        <v>0.18171724648408585</v>
      </c>
      <c r="Y142" s="212">
        <f t="shared" si="161"/>
        <v>0.18381725021349274</v>
      </c>
      <c r="Z142" s="212">
        <f t="shared" si="161"/>
        <v>0.18214985473954462</v>
      </c>
      <c r="AA142" s="212">
        <f t="shared" si="161"/>
        <v>0.18499419878819132</v>
      </c>
      <c r="AB142" s="212">
        <f t="shared" si="161"/>
        <v>0.13687689341779125</v>
      </c>
      <c r="AC142" s="213">
        <f t="shared" si="161"/>
        <v>0.16897195615339397</v>
      </c>
      <c r="AD142" s="212">
        <f t="shared" si="161"/>
        <v>0.14945128591773477</v>
      </c>
      <c r="AE142" s="212">
        <f t="shared" si="161"/>
        <v>0.16788494681167171</v>
      </c>
      <c r="AF142" s="115">
        <f t="shared" si="161"/>
        <v>0.17102718689568877</v>
      </c>
      <c r="AG142" s="115">
        <f t="shared" si="161"/>
        <v>0.14087535193242898</v>
      </c>
      <c r="AH142" s="213">
        <f t="shared" si="161"/>
        <v>0.15737466037248979</v>
      </c>
      <c r="AI142" s="212">
        <f t="shared" si="161"/>
        <v>0.13461538461538461</v>
      </c>
      <c r="AJ142" s="212">
        <f t="shared" si="161"/>
        <v>0.16241341596791833</v>
      </c>
      <c r="AK142" s="212">
        <f t="shared" si="161"/>
        <v>0.16598606773961086</v>
      </c>
      <c r="AL142" s="115">
        <f t="shared" si="161"/>
        <v>0.12889646186228326</v>
      </c>
      <c r="AM142" s="213">
        <f t="shared" si="161"/>
        <v>0.14783485005802235</v>
      </c>
      <c r="AN142" s="115">
        <f t="shared" si="161"/>
        <v>0.14283443287497019</v>
      </c>
      <c r="AO142" s="115">
        <f t="shared" ref="AO142:BT142" si="162">+AO102/AO6</f>
        <v>0.17409412744689712</v>
      </c>
      <c r="AP142" s="115">
        <f t="shared" si="162"/>
        <v>0.16647938967413803</v>
      </c>
      <c r="AQ142" s="212">
        <f t="shared" si="162"/>
        <v>0.12541008052490307</v>
      </c>
      <c r="AR142" s="213">
        <f t="shared" si="162"/>
        <v>0.15148686290747573</v>
      </c>
      <c r="AS142" s="212">
        <f t="shared" si="162"/>
        <v>0.14822150043571258</v>
      </c>
      <c r="AT142" s="212">
        <f t="shared" si="162"/>
        <v>0.17503255593701905</v>
      </c>
      <c r="AU142" s="212">
        <f t="shared" si="162"/>
        <v>0.17121616912533394</v>
      </c>
      <c r="AV142" s="212">
        <f t="shared" si="162"/>
        <v>0.12718066974132744</v>
      </c>
      <c r="AW142" s="213">
        <f t="shared" si="162"/>
        <v>0.15465710900829296</v>
      </c>
      <c r="AX142" s="212">
        <f t="shared" si="162"/>
        <v>0.15011868707538675</v>
      </c>
      <c r="AY142" s="212">
        <f t="shared" si="162"/>
        <v>0.1812472524021855</v>
      </c>
      <c r="AZ142" s="212">
        <f>+AZ102/AZ6</f>
        <v>0.17702528932704673</v>
      </c>
      <c r="BA142" s="212">
        <f t="shared" si="162"/>
        <v>0.12515469464622006</v>
      </c>
      <c r="BB142" s="213">
        <f>+BB102/BB6</f>
        <v>0.15759007866023853</v>
      </c>
      <c r="BC142" s="212">
        <f t="shared" si="162"/>
        <v>0.16177710335525206</v>
      </c>
      <c r="BD142" s="212">
        <f t="shared" si="162"/>
        <v>0.18551477752517051</v>
      </c>
      <c r="BE142" s="212">
        <f t="shared" ref="BE142:BF142" si="163">+BE102/BE6</f>
        <v>0.17657702626817245</v>
      </c>
      <c r="BF142" s="212">
        <f t="shared" si="163"/>
        <v>0.13118114271073533</v>
      </c>
      <c r="BG142" s="213">
        <f t="shared" si="162"/>
        <v>0.16186563480310195</v>
      </c>
      <c r="BH142" s="212">
        <f t="shared" si="162"/>
        <v>0.15793841812598555</v>
      </c>
      <c r="BI142" s="212">
        <f t="shared" ref="BI142:BJ142" si="164">+BI102/BI6</f>
        <v>0.1895607893061744</v>
      </c>
      <c r="BJ142" s="212">
        <f t="shared" si="164"/>
        <v>0.17875615763546798</v>
      </c>
      <c r="BK142" s="212">
        <f t="shared" ref="BK142" si="165">+BK102/BK6</f>
        <v>0.13858445150056334</v>
      </c>
      <c r="BL142" s="213">
        <f t="shared" si="162"/>
        <v>0.16513183785911059</v>
      </c>
      <c r="BM142" s="212">
        <f t="shared" si="162"/>
        <v>0.14481525114698274</v>
      </c>
      <c r="BN142" s="212">
        <f t="shared" si="162"/>
        <v>0.18608526899721137</v>
      </c>
      <c r="BO142" s="212">
        <f t="shared" si="162"/>
        <v>0.19067619032659125</v>
      </c>
      <c r="BP142" s="212">
        <f t="shared" si="162"/>
        <v>0.14488955698687228</v>
      </c>
      <c r="BQ142" s="213">
        <f t="shared" si="162"/>
        <v>0.16674297146822747</v>
      </c>
      <c r="BR142" s="212">
        <f t="shared" si="162"/>
        <v>0.15088171786498766</v>
      </c>
      <c r="BS142" s="212">
        <f t="shared" si="162"/>
        <v>0.19160449283758221</v>
      </c>
      <c r="BT142" s="212">
        <f t="shared" si="162"/>
        <v>0.19591071577477792</v>
      </c>
      <c r="BU142" s="212">
        <f t="shared" ref="BU142:CK142" si="166">+BU102/BU6</f>
        <v>0.1505399619974864</v>
      </c>
      <c r="BV142" s="213">
        <f t="shared" si="166"/>
        <v>0.17233468585744138</v>
      </c>
      <c r="BW142" s="212">
        <f t="shared" si="166"/>
        <v>0.15683746727948916</v>
      </c>
      <c r="BX142" s="212">
        <f t="shared" si="166"/>
        <v>0.19699717835479158</v>
      </c>
      <c r="BY142" s="212">
        <f t="shared" si="166"/>
        <v>0.2010740380345909</v>
      </c>
      <c r="BZ142" s="212">
        <f t="shared" si="166"/>
        <v>0.15608755918924588</v>
      </c>
      <c r="CA142" s="213">
        <f t="shared" si="166"/>
        <v>0.17782243622079003</v>
      </c>
      <c r="CB142" s="212">
        <f t="shared" si="166"/>
        <v>0.16267902498399839</v>
      </c>
      <c r="CC142" s="212">
        <f t="shared" si="166"/>
        <v>0.20229304085952848</v>
      </c>
      <c r="CD142" s="212">
        <f t="shared" si="166"/>
        <v>0.20615341821741059</v>
      </c>
      <c r="CE142" s="212">
        <f t="shared" si="166"/>
        <v>0.1615013513692152</v>
      </c>
      <c r="CF142" s="213">
        <f t="shared" si="166"/>
        <v>0.18320206345035067</v>
      </c>
      <c r="CG142" s="212">
        <f t="shared" si="166"/>
        <v>0.16849311762960581</v>
      </c>
      <c r="CH142" s="212">
        <f t="shared" si="166"/>
        <v>0.20756517184540613</v>
      </c>
      <c r="CI142" s="212">
        <f t="shared" si="166"/>
        <v>0.21121340524235729</v>
      </c>
      <c r="CJ142" s="212">
        <f t="shared" si="166"/>
        <v>0.16688016121968999</v>
      </c>
      <c r="CK142" s="213">
        <f t="shared" si="166"/>
        <v>0.18855496424290855</v>
      </c>
      <c r="CL142"/>
      <c r="CM142"/>
    </row>
    <row r="143" spans="1:103" ht="16.5" hidden="1" customHeight="1" outlineLevel="1" x14ac:dyDescent="0.2">
      <c r="A143" s="26"/>
      <c r="B143" s="26" t="str">
        <f>+B105</f>
        <v>Pepsi Americas Food</v>
      </c>
      <c r="C143" s="26"/>
      <c r="D143" s="26"/>
      <c r="E143" s="34"/>
      <c r="F143" s="34"/>
      <c r="G143" s="34"/>
      <c r="H143" s="34"/>
      <c r="I143" s="133">
        <f t="shared" ref="I143:AN143" si="167">+I105/I13</f>
        <v>0.23460958697618331</v>
      </c>
      <c r="J143" s="34">
        <f t="shared" si="167"/>
        <v>0.24127750939345141</v>
      </c>
      <c r="K143" s="34">
        <f t="shared" si="167"/>
        <v>0.2342557251908397</v>
      </c>
      <c r="L143" s="34">
        <f t="shared" si="167"/>
        <v>0.23593995070580326</v>
      </c>
      <c r="M143" s="34">
        <f t="shared" si="167"/>
        <v>0.21222839818089945</v>
      </c>
      <c r="N143" s="133">
        <f t="shared" si="167"/>
        <v>0.22895512610547003</v>
      </c>
      <c r="O143" s="34">
        <f t="shared" si="167"/>
        <v>0.2302192564346997</v>
      </c>
      <c r="P143" s="34">
        <f t="shared" si="167"/>
        <v>0.22771059643369543</v>
      </c>
      <c r="Q143" s="34">
        <f t="shared" si="167"/>
        <v>0.22916666666666666</v>
      </c>
      <c r="R143" s="34">
        <f t="shared" si="167"/>
        <v>0.22382555715889049</v>
      </c>
      <c r="S143" s="133">
        <f t="shared" si="167"/>
        <v>0.22739361702127658</v>
      </c>
      <c r="T143" s="34">
        <f t="shared" si="167"/>
        <v>0.23943014705882354</v>
      </c>
      <c r="U143" s="34">
        <f t="shared" si="167"/>
        <v>0.23513843648208468</v>
      </c>
      <c r="V143" s="34">
        <f t="shared" si="167"/>
        <v>0.2298483639265762</v>
      </c>
      <c r="W143" s="34">
        <f t="shared" si="167"/>
        <v>0.22142310635042081</v>
      </c>
      <c r="X143" s="133">
        <f t="shared" si="167"/>
        <v>0.23045504781125367</v>
      </c>
      <c r="Y143" s="34">
        <f t="shared" si="167"/>
        <v>0.23576158940397351</v>
      </c>
      <c r="Z143" s="34">
        <f t="shared" si="167"/>
        <v>0.23317683881064163</v>
      </c>
      <c r="AA143" s="34">
        <f t="shared" si="167"/>
        <v>0.24475255151165029</v>
      </c>
      <c r="AB143" s="34">
        <f t="shared" si="167"/>
        <v>0.23699508123416307</v>
      </c>
      <c r="AC143" s="133">
        <f t="shared" si="167"/>
        <v>0.23769959153360565</v>
      </c>
      <c r="AD143" s="34">
        <f t="shared" si="167"/>
        <v>0.24914015477214102</v>
      </c>
      <c r="AE143" s="34">
        <f t="shared" si="167"/>
        <v>0.23608830505382231</v>
      </c>
      <c r="AF143" s="116">
        <f t="shared" si="167"/>
        <v>0.24342572850035538</v>
      </c>
      <c r="AG143" s="116">
        <f t="shared" si="167"/>
        <v>0.24480271531607975</v>
      </c>
      <c r="AH143" s="133">
        <f t="shared" si="167"/>
        <v>0.2432550805886475</v>
      </c>
      <c r="AI143" s="34">
        <f t="shared" si="167"/>
        <v>0.24013968775677896</v>
      </c>
      <c r="AJ143" s="34">
        <f t="shared" si="167"/>
        <v>0.22554157931516422</v>
      </c>
      <c r="AK143" s="34">
        <f t="shared" si="167"/>
        <v>0.23027570660655453</v>
      </c>
      <c r="AL143" s="116">
        <f t="shared" si="167"/>
        <v>0.22395492071812345</v>
      </c>
      <c r="AM143" s="133">
        <f t="shared" si="167"/>
        <v>0.22913714047519801</v>
      </c>
      <c r="AN143" s="116">
        <f t="shared" si="167"/>
        <v>0.23985167837626853</v>
      </c>
      <c r="AO143" s="116">
        <f t="shared" ref="AO143:AY143" si="168">+AO105/AO13</f>
        <v>0.22589211618257263</v>
      </c>
      <c r="AP143" s="116">
        <f t="shared" si="168"/>
        <v>0.23218693434260326</v>
      </c>
      <c r="AQ143" s="34">
        <f t="shared" si="168"/>
        <v>0.22513355380310354</v>
      </c>
      <c r="AR143" s="133">
        <f t="shared" si="168"/>
        <v>0.23003029336734693</v>
      </c>
      <c r="AS143" s="34">
        <f t="shared" si="168"/>
        <v>0.24369100366018109</v>
      </c>
      <c r="AT143" s="34">
        <f t="shared" si="168"/>
        <v>0.23332784455787914</v>
      </c>
      <c r="AU143" s="34">
        <f t="shared" si="168"/>
        <v>0.2411764705882353</v>
      </c>
      <c r="AV143" s="34">
        <f t="shared" si="168"/>
        <v>0.22292033174164363</v>
      </c>
      <c r="AW143" s="133">
        <f t="shared" si="168"/>
        <v>0.23412511759172155</v>
      </c>
      <c r="AX143" s="34">
        <f t="shared" si="168"/>
        <v>0.23524918846667939</v>
      </c>
      <c r="AY143" s="34">
        <f t="shared" si="168"/>
        <v>0.23841280426808936</v>
      </c>
      <c r="AZ143" s="34"/>
      <c r="BA143" s="34"/>
      <c r="BB143" s="133"/>
      <c r="BC143" s="34"/>
      <c r="BD143" s="34"/>
      <c r="BE143" s="34"/>
      <c r="BF143" s="34"/>
      <c r="BG143" s="133"/>
      <c r="BH143" s="34"/>
      <c r="BI143" s="34"/>
      <c r="BJ143" s="34"/>
      <c r="BK143" s="34"/>
      <c r="BL143" s="133"/>
      <c r="BM143" s="34"/>
      <c r="BN143" s="34"/>
      <c r="BO143" s="34"/>
      <c r="BP143" s="34"/>
      <c r="BQ143" s="133"/>
      <c r="BR143" s="34"/>
      <c r="BS143" s="34"/>
      <c r="BT143" s="34"/>
      <c r="BU143" s="34"/>
      <c r="BV143" s="133"/>
      <c r="BW143" s="34"/>
      <c r="BX143" s="34"/>
      <c r="BY143" s="34"/>
      <c r="BZ143" s="34"/>
      <c r="CA143" s="133"/>
      <c r="CB143" s="34"/>
      <c r="CC143" s="34"/>
      <c r="CD143" s="34"/>
      <c r="CE143" s="34"/>
      <c r="CF143" s="133"/>
      <c r="CG143" s="34"/>
      <c r="CH143" s="34"/>
      <c r="CI143" s="34"/>
      <c r="CJ143" s="34"/>
      <c r="CK143" s="133"/>
      <c r="CL143"/>
      <c r="CM143"/>
    </row>
    <row r="144" spans="1:103" ht="16.5" customHeight="1" collapsed="1" x14ac:dyDescent="0.2">
      <c r="A144" s="47"/>
      <c r="B144" s="26" t="str">
        <f>+B108</f>
        <v>Frito-Lay North America</v>
      </c>
      <c r="C144" s="47"/>
      <c r="D144" s="47"/>
      <c r="E144" s="154"/>
      <c r="F144" s="154"/>
      <c r="G144" s="154"/>
      <c r="H144" s="154"/>
      <c r="I144" s="152">
        <f t="shared" ref="I144:AX144" si="169">+I108/I20</f>
        <v>0.24732571007008483</v>
      </c>
      <c r="J144" s="154">
        <f t="shared" si="169"/>
        <v>0.23893458676067372</v>
      </c>
      <c r="K144" s="154">
        <f t="shared" si="169"/>
        <v>0.25045905251560779</v>
      </c>
      <c r="L144" s="154">
        <f t="shared" si="169"/>
        <v>0.26500000000000001</v>
      </c>
      <c r="M144" s="154">
        <f t="shared" si="169"/>
        <v>0.23903133903133902</v>
      </c>
      <c r="N144" s="523">
        <f t="shared" si="169"/>
        <v>0.24797168997065425</v>
      </c>
      <c r="O144" s="371">
        <f t="shared" si="169"/>
        <v>0.23186813186813188</v>
      </c>
      <c r="P144" s="371">
        <f t="shared" si="169"/>
        <v>0.24915254237288137</v>
      </c>
      <c r="Q144" s="371">
        <f t="shared" si="169"/>
        <v>0.2567877003598299</v>
      </c>
      <c r="R144" s="371">
        <f t="shared" si="169"/>
        <v>0.24244031830238727</v>
      </c>
      <c r="S144" s="523">
        <f t="shared" si="169"/>
        <v>0.24522267530183098</v>
      </c>
      <c r="T144" s="371">
        <f t="shared" si="169"/>
        <v>0.23300000000000001</v>
      </c>
      <c r="U144" s="371">
        <f t="shared" si="169"/>
        <v>0.24952198852772467</v>
      </c>
      <c r="V144" s="371">
        <f t="shared" si="169"/>
        <v>0.25703564727954969</v>
      </c>
      <c r="W144" s="371">
        <f t="shared" si="169"/>
        <v>0.24588477366255143</v>
      </c>
      <c r="X144" s="523">
        <f t="shared" si="169"/>
        <v>0.25006038161178651</v>
      </c>
      <c r="Y144" s="371">
        <f t="shared" si="169"/>
        <v>0.25418994413407819</v>
      </c>
      <c r="Z144" s="371">
        <f t="shared" si="169"/>
        <v>0.26737967914438504</v>
      </c>
      <c r="AA144" s="371">
        <f t="shared" si="169"/>
        <v>0.28393442622950821</v>
      </c>
      <c r="AB144" s="371">
        <f t="shared" si="169"/>
        <v>0.26779383692391601</v>
      </c>
      <c r="AC144" s="523">
        <f t="shared" si="169"/>
        <v>0.26851189055913466</v>
      </c>
      <c r="AD144" s="371">
        <f t="shared" si="169"/>
        <v>0.26652892561983471</v>
      </c>
      <c r="AE144" s="371">
        <f t="shared" si="169"/>
        <v>0.27605177993527508</v>
      </c>
      <c r="AF144" s="524">
        <f t="shared" si="169"/>
        <v>0.28931610463283958</v>
      </c>
      <c r="AG144" s="524">
        <f t="shared" si="169"/>
        <v>0.2772785622593068</v>
      </c>
      <c r="AH144" s="523">
        <f t="shared" si="169"/>
        <v>0.27752258459653956</v>
      </c>
      <c r="AI144" s="371">
        <f t="shared" si="169"/>
        <v>0.26179401993355483</v>
      </c>
      <c r="AJ144" s="371">
        <f t="shared" si="169"/>
        <v>0.26902599436266833</v>
      </c>
      <c r="AK144" s="371">
        <f t="shared" si="169"/>
        <v>0.28296115019883755</v>
      </c>
      <c r="AL144" s="524">
        <f t="shared" si="169"/>
        <v>0.27108727450024378</v>
      </c>
      <c r="AM144" s="523">
        <f t="shared" si="169"/>
        <v>0.27140120819213204</v>
      </c>
      <c r="AN144" s="524">
        <f t="shared" si="169"/>
        <v>0.26577009285943004</v>
      </c>
      <c r="AO144" s="524">
        <f t="shared" si="169"/>
        <v>0.27250900360144059</v>
      </c>
      <c r="AP144" s="524">
        <f t="shared" si="169"/>
        <v>0.28563084112149534</v>
      </c>
      <c r="AQ144" s="524">
        <f t="shared" si="169"/>
        <v>0.2778431834235931</v>
      </c>
      <c r="AR144" s="523">
        <f t="shared" si="169"/>
        <v>0.27580348293926094</v>
      </c>
      <c r="AS144" s="524">
        <f t="shared" si="169"/>
        <v>0.27182354768561667</v>
      </c>
      <c r="AT144" s="524">
        <f t="shared" si="169"/>
        <v>0.28048420431059934</v>
      </c>
      <c r="AU144" s="524">
        <f t="shared" si="169"/>
        <v>0.29325014180374359</v>
      </c>
      <c r="AV144" s="524">
        <f t="shared" si="169"/>
        <v>0.28443935926773456</v>
      </c>
      <c r="AW144" s="523">
        <f t="shared" si="169"/>
        <v>0.28285753689146326</v>
      </c>
      <c r="AX144" s="524">
        <f t="shared" si="169"/>
        <v>0.27899969870442903</v>
      </c>
      <c r="AY144" s="524">
        <f t="shared" ref="AY144:BD144" si="170">+AY108/AY20</f>
        <v>0.29229432213209733</v>
      </c>
      <c r="AZ144" s="524">
        <f t="shared" si="170"/>
        <v>0.30857946554149085</v>
      </c>
      <c r="BA144" s="524">
        <f t="shared" si="170"/>
        <v>0.29129263913824055</v>
      </c>
      <c r="BB144" s="523">
        <f t="shared" si="170"/>
        <v>0.29292382627519958</v>
      </c>
      <c r="BC144" s="524">
        <f t="shared" si="170"/>
        <v>0.29315389116442364</v>
      </c>
      <c r="BD144" s="524">
        <f t="shared" si="170"/>
        <v>0.30134680134680136</v>
      </c>
      <c r="BE144" s="524">
        <f t="shared" ref="BE144:BF144" si="171">+BE108/BE20</f>
        <v>0.30957562568008706</v>
      </c>
      <c r="BF144" s="524">
        <f t="shared" si="171"/>
        <v>0.28828460437538334</v>
      </c>
      <c r="BG144" s="523">
        <f>+BG108/BG20</f>
        <v>0.29738246832593734</v>
      </c>
      <c r="BH144" s="524">
        <f t="shared" ref="BH144:BI144" si="172">+BH108/BH20</f>
        <v>0.30037153472420691</v>
      </c>
      <c r="BI144" s="524">
        <f t="shared" si="172"/>
        <v>0.31158238172920066</v>
      </c>
      <c r="BJ144" s="524">
        <f t="shared" ref="BJ144:BK144" si="173">+BJ108/BJ20</f>
        <v>0.31645569620253167</v>
      </c>
      <c r="BK144" s="524">
        <f t="shared" si="173"/>
        <v>0.30026920687512942</v>
      </c>
      <c r="BL144" s="625">
        <f>+BL108/BL20</f>
        <v>0.30681098873275098</v>
      </c>
      <c r="BM144" s="371">
        <f t="shared" ref="BM144:BP149" si="174">+BH144+BM158/10000</f>
        <v>0.27787153472420689</v>
      </c>
      <c r="BN144" s="371">
        <f t="shared" si="174"/>
        <v>0.32158238172920067</v>
      </c>
      <c r="BO144" s="371">
        <f t="shared" si="174"/>
        <v>0.32645569620253168</v>
      </c>
      <c r="BP144" s="371">
        <f t="shared" si="174"/>
        <v>0.30826920687512943</v>
      </c>
      <c r="BQ144" s="523">
        <f>+BQ108/BQ20</f>
        <v>0.3089132044284047</v>
      </c>
      <c r="BR144" s="371">
        <f t="shared" ref="BR144:BU149" si="175">+BM144+BR158/10000</f>
        <v>0.2833715347242069</v>
      </c>
      <c r="BS144" s="371">
        <f t="shared" si="175"/>
        <v>0.32708238172920068</v>
      </c>
      <c r="BT144" s="371">
        <f t="shared" si="175"/>
        <v>0.33195569620253168</v>
      </c>
      <c r="BU144" s="371">
        <f t="shared" si="175"/>
        <v>0.31376920687512944</v>
      </c>
      <c r="BV144" s="523">
        <f>+BV108/BV20</f>
        <v>0.31442369840760248</v>
      </c>
      <c r="BW144" s="371">
        <f t="shared" ref="BW144:BZ149" si="176">+BR144+BW158/10000</f>
        <v>0.2888715347242069</v>
      </c>
      <c r="BX144" s="371">
        <f t="shared" si="176"/>
        <v>0.33258238172920068</v>
      </c>
      <c r="BY144" s="371">
        <f t="shared" si="176"/>
        <v>0.33745569620253169</v>
      </c>
      <c r="BZ144" s="371">
        <f t="shared" si="176"/>
        <v>0.31926920687512944</v>
      </c>
      <c r="CA144" s="523">
        <f>+CA108/CA20</f>
        <v>0.31992369840760249</v>
      </c>
      <c r="CB144" s="371">
        <f t="shared" ref="CB144:CE149" si="177">+BW144+CB158/10000</f>
        <v>0.29437153472420691</v>
      </c>
      <c r="CC144" s="371">
        <f t="shared" si="177"/>
        <v>0.33808238172920069</v>
      </c>
      <c r="CD144" s="371">
        <f t="shared" si="177"/>
        <v>0.34295569620253169</v>
      </c>
      <c r="CE144" s="371">
        <f t="shared" si="177"/>
        <v>0.32476920687512945</v>
      </c>
      <c r="CF144" s="523">
        <f>+CF108/CF20</f>
        <v>0.32542369840760255</v>
      </c>
      <c r="CG144" s="371">
        <f t="shared" ref="CG144:CJ149" si="178">+CB144+CG158/10000</f>
        <v>0.29987153472420691</v>
      </c>
      <c r="CH144" s="371">
        <f t="shared" si="178"/>
        <v>0.34358238172920069</v>
      </c>
      <c r="CI144" s="371">
        <f t="shared" si="178"/>
        <v>0.3484556962025317</v>
      </c>
      <c r="CJ144" s="371">
        <f t="shared" si="178"/>
        <v>0.33026920687512945</v>
      </c>
      <c r="CK144" s="523">
        <f>+CK108/CK20</f>
        <v>0.33092369840760244</v>
      </c>
      <c r="CL144"/>
      <c r="CM144"/>
      <c r="CN144" s="37"/>
      <c r="CO144" s="37"/>
      <c r="CP144" s="37"/>
      <c r="CQ144" s="37"/>
      <c r="CR144" s="37"/>
      <c r="CS144" s="37"/>
      <c r="CT144" s="37"/>
      <c r="CU144" s="37"/>
      <c r="CV144" s="37"/>
      <c r="CW144" s="37"/>
    </row>
    <row r="145" spans="1:101" ht="16.5" customHeight="1" x14ac:dyDescent="0.2">
      <c r="A145" s="47"/>
      <c r="B145" s="26" t="str">
        <f>+B111</f>
        <v>Quaker Foods North America</v>
      </c>
      <c r="C145" s="47"/>
      <c r="D145" s="47"/>
      <c r="E145" s="154"/>
      <c r="F145" s="154"/>
      <c r="G145" s="154"/>
      <c r="H145" s="154"/>
      <c r="I145" s="152">
        <f t="shared" ref="I145:AY145" si="179">+I111/I27</f>
        <v>0.31317128321085358</v>
      </c>
      <c r="J145" s="154">
        <f t="shared" si="179"/>
        <v>0.33693304535637147</v>
      </c>
      <c r="K145" s="154">
        <f t="shared" si="179"/>
        <v>0.3</v>
      </c>
      <c r="L145" s="154">
        <f t="shared" si="179"/>
        <v>0.30656934306569344</v>
      </c>
      <c r="M145" s="154">
        <f t="shared" si="179"/>
        <v>0.28355704697986578</v>
      </c>
      <c r="N145" s="523">
        <f t="shared" si="179"/>
        <v>0.30537634408602149</v>
      </c>
      <c r="O145" s="371">
        <f t="shared" si="179"/>
        <v>0.33535353535353535</v>
      </c>
      <c r="P145" s="371">
        <f t="shared" si="179"/>
        <v>0.30049261083743845</v>
      </c>
      <c r="Q145" s="371">
        <f t="shared" si="179"/>
        <v>0.34271099744245526</v>
      </c>
      <c r="R145" s="371">
        <f t="shared" si="179"/>
        <v>0.31311475409836065</v>
      </c>
      <c r="S145" s="523">
        <f t="shared" si="179"/>
        <v>0.32229232386961093</v>
      </c>
      <c r="T145" s="371">
        <f t="shared" si="179"/>
        <v>0.36288659793814432</v>
      </c>
      <c r="U145" s="371">
        <f t="shared" si="179"/>
        <v>0.33333333333333331</v>
      </c>
      <c r="V145" s="371">
        <f t="shared" si="179"/>
        <v>0.3133971291866029</v>
      </c>
      <c r="W145" s="371">
        <f t="shared" si="179"/>
        <v>0.3247863247863248</v>
      </c>
      <c r="X145" s="523">
        <f t="shared" si="179"/>
        <v>0.29140305173055453</v>
      </c>
      <c r="Y145" s="371">
        <f t="shared" si="179"/>
        <v>0.28550512445095166</v>
      </c>
      <c r="Z145" s="371">
        <f t="shared" si="179"/>
        <v>0.27319587628865977</v>
      </c>
      <c r="AA145" s="371">
        <f t="shared" si="179"/>
        <v>0.27787021630615638</v>
      </c>
      <c r="AB145" s="371">
        <f t="shared" si="179"/>
        <v>0.27848101265822783</v>
      </c>
      <c r="AC145" s="523">
        <f t="shared" si="179"/>
        <v>0.27899096385542171</v>
      </c>
      <c r="AD145" s="371">
        <f t="shared" si="179"/>
        <v>0.33437499999999998</v>
      </c>
      <c r="AE145" s="371">
        <f t="shared" si="179"/>
        <v>0.28644939965694682</v>
      </c>
      <c r="AF145" s="524">
        <f t="shared" si="179"/>
        <v>0.28827361563517917</v>
      </c>
      <c r="AG145" s="524">
        <f t="shared" si="179"/>
        <v>0.31531531531531531</v>
      </c>
      <c r="AH145" s="523">
        <f t="shared" si="179"/>
        <v>0.30719204284621271</v>
      </c>
      <c r="AI145" s="371">
        <f t="shared" si="179"/>
        <v>0.30818619582664525</v>
      </c>
      <c r="AJ145" s="371">
        <f t="shared" si="179"/>
        <v>0.2658662092624357</v>
      </c>
      <c r="AK145" s="371">
        <f t="shared" si="179"/>
        <v>0.25203252032520324</v>
      </c>
      <c r="AL145" s="524">
        <f t="shared" si="179"/>
        <v>0.24785276073619633</v>
      </c>
      <c r="AM145" s="523">
        <f t="shared" si="179"/>
        <v>0.26707132018209406</v>
      </c>
      <c r="AN145" s="524">
        <f t="shared" si="179"/>
        <v>0.28233438485804419</v>
      </c>
      <c r="AO145" s="524">
        <f t="shared" si="179"/>
        <v>0.23223570190641249</v>
      </c>
      <c r="AP145" s="524">
        <f t="shared" si="179"/>
        <v>0.22682119205298013</v>
      </c>
      <c r="AQ145" s="524">
        <f t="shared" si="179"/>
        <v>0.21455457967377667</v>
      </c>
      <c r="AR145" s="523">
        <f t="shared" si="179"/>
        <v>0.23774885145482388</v>
      </c>
      <c r="AS145" s="524">
        <f t="shared" si="179"/>
        <v>0.25552050473186122</v>
      </c>
      <c r="AT145" s="524">
        <f t="shared" si="179"/>
        <v>0.24645390070921985</v>
      </c>
      <c r="AU145" s="524">
        <f t="shared" si="179"/>
        <v>0.25597269624573377</v>
      </c>
      <c r="AV145" s="524">
        <f t="shared" si="179"/>
        <v>0.23469387755102042</v>
      </c>
      <c r="AW145" s="523">
        <f t="shared" si="179"/>
        <v>0.2472741433021807</v>
      </c>
      <c r="AX145" s="524">
        <f t="shared" si="179"/>
        <v>0.1564945226917058</v>
      </c>
      <c r="AY145" s="524">
        <f t="shared" si="179"/>
        <v>0.24175824175824176</v>
      </c>
      <c r="AZ145" s="524">
        <f t="shared" ref="AZ145:BE145" si="180">+AZ111/AZ27</f>
        <v>0.25900514579759865</v>
      </c>
      <c r="BA145" s="524">
        <f t="shared" si="180"/>
        <v>0.23225806451612904</v>
      </c>
      <c r="BB145" s="523">
        <f t="shared" si="180"/>
        <v>0.22139205662603226</v>
      </c>
      <c r="BC145" s="524">
        <f t="shared" si="180"/>
        <v>0.26742301458670986</v>
      </c>
      <c r="BD145" s="524">
        <f t="shared" si="180"/>
        <v>0.26024955436720143</v>
      </c>
      <c r="BE145" s="524">
        <f t="shared" si="180"/>
        <v>0.25043782837127848</v>
      </c>
      <c r="BF145" s="524">
        <f t="shared" ref="BF145:BH145" si="181">+BF111/BF27</f>
        <v>0.24049079754601227</v>
      </c>
      <c r="BG145" s="523">
        <f>+BG111/BG27</f>
        <v>0.2535101404056162</v>
      </c>
      <c r="BH145" s="524">
        <f t="shared" si="181"/>
        <v>0.27257525083612039</v>
      </c>
      <c r="BI145" s="524">
        <f t="shared" ref="BI145:BJ145" si="182">+BI111/BI27</f>
        <v>0.26220614828209765</v>
      </c>
      <c r="BJ145" s="524">
        <f t="shared" si="182"/>
        <v>0.2508650519031142</v>
      </c>
      <c r="BK145" s="524">
        <f t="shared" ref="BK145" si="183">+BK111/BK27</f>
        <v>0.25322997416020671</v>
      </c>
      <c r="BL145" s="625">
        <f>+BL111/BL27</f>
        <v>0.25928885337594887</v>
      </c>
      <c r="BM145" s="371">
        <f t="shared" si="174"/>
        <v>0.26457525083612038</v>
      </c>
      <c r="BN145" s="371">
        <f t="shared" si="174"/>
        <v>0.26820614828209766</v>
      </c>
      <c r="BO145" s="371">
        <f t="shared" si="174"/>
        <v>0.26586505190311421</v>
      </c>
      <c r="BP145" s="371">
        <f t="shared" si="174"/>
        <v>0.26222997416020671</v>
      </c>
      <c r="BQ145" s="523">
        <f>+BQ111/BQ27</f>
        <v>0.26494838835925966</v>
      </c>
      <c r="BR145" s="371">
        <f t="shared" si="175"/>
        <v>0.26857525083612038</v>
      </c>
      <c r="BS145" s="371">
        <f t="shared" si="175"/>
        <v>0.27220614828209766</v>
      </c>
      <c r="BT145" s="371">
        <f t="shared" si="175"/>
        <v>0.26986505190311422</v>
      </c>
      <c r="BU145" s="371">
        <f t="shared" si="175"/>
        <v>0.26622997416020672</v>
      </c>
      <c r="BV145" s="523">
        <f>+BV111/BV27</f>
        <v>0.2689450521355371</v>
      </c>
      <c r="BW145" s="371">
        <f t="shared" si="176"/>
        <v>0.27257525083612039</v>
      </c>
      <c r="BX145" s="371">
        <f t="shared" si="176"/>
        <v>0.27620614828209766</v>
      </c>
      <c r="BY145" s="371">
        <f t="shared" si="176"/>
        <v>0.27386505190311422</v>
      </c>
      <c r="BZ145" s="371">
        <f t="shared" si="176"/>
        <v>0.27022997416020672</v>
      </c>
      <c r="CA145" s="523">
        <f>+CA111/CA27</f>
        <v>0.2729416207930086</v>
      </c>
      <c r="CB145" s="371">
        <f t="shared" si="177"/>
        <v>0.27657525083612039</v>
      </c>
      <c r="CC145" s="371">
        <f t="shared" si="177"/>
        <v>0.28020614828209767</v>
      </c>
      <c r="CD145" s="371">
        <f t="shared" si="177"/>
        <v>0.27786505190311422</v>
      </c>
      <c r="CE145" s="371">
        <f t="shared" si="177"/>
        <v>0.27422997416020672</v>
      </c>
      <c r="CF145" s="523">
        <f>+CF111/CF27</f>
        <v>0.27693820007017073</v>
      </c>
      <c r="CG145" s="371">
        <f t="shared" si="178"/>
        <v>0.28057525083612039</v>
      </c>
      <c r="CH145" s="371">
        <f t="shared" si="178"/>
        <v>0.28420614828209767</v>
      </c>
      <c r="CI145" s="371">
        <f t="shared" si="178"/>
        <v>0.28186505190311423</v>
      </c>
      <c r="CJ145" s="371">
        <f t="shared" si="178"/>
        <v>0.27822997416020673</v>
      </c>
      <c r="CK145" s="523">
        <f>+CK111/CK27</f>
        <v>0.28093479020866008</v>
      </c>
      <c r="CL145"/>
      <c r="CM145"/>
      <c r="CN145" s="37"/>
      <c r="CO145" s="37"/>
      <c r="CP145" s="37"/>
      <c r="CQ145" s="37"/>
      <c r="CR145" s="37"/>
      <c r="CS145" s="37"/>
      <c r="CT145" s="37"/>
      <c r="CU145" s="37"/>
      <c r="CV145" s="37"/>
      <c r="CW145" s="37"/>
    </row>
    <row r="146" spans="1:101" ht="16.5" customHeight="1" x14ac:dyDescent="0.2">
      <c r="A146" s="47"/>
      <c r="B146" s="26" t="str">
        <f>+B114</f>
        <v>North America Beverages</v>
      </c>
      <c r="C146" s="26"/>
      <c r="D146" s="26"/>
      <c r="E146" s="34"/>
      <c r="F146" s="34"/>
      <c r="G146" s="34"/>
      <c r="H146" s="34"/>
      <c r="I146" s="133"/>
      <c r="J146" s="34"/>
      <c r="K146" s="34"/>
      <c r="L146" s="34"/>
      <c r="M146" s="34"/>
      <c r="N146" s="133"/>
      <c r="O146" s="34"/>
      <c r="P146" s="34"/>
      <c r="Q146" s="34"/>
      <c r="R146" s="34"/>
      <c r="S146" s="133"/>
      <c r="T146" s="34"/>
      <c r="U146" s="34"/>
      <c r="V146" s="34"/>
      <c r="W146" s="34"/>
      <c r="X146" s="133"/>
      <c r="Y146" s="34"/>
      <c r="Z146" s="34"/>
      <c r="AA146" s="34"/>
      <c r="AB146" s="34"/>
      <c r="AC146" s="133"/>
      <c r="AD146" s="34"/>
      <c r="AE146" s="34"/>
      <c r="AF146" s="116"/>
      <c r="AG146" s="116"/>
      <c r="AH146" s="133"/>
      <c r="AI146" s="34"/>
      <c r="AJ146" s="34"/>
      <c r="AK146" s="34"/>
      <c r="AL146" s="116"/>
      <c r="AM146" s="133"/>
      <c r="AN146" s="116"/>
      <c r="AO146" s="116"/>
      <c r="AP146" s="116"/>
      <c r="AQ146" s="116"/>
      <c r="AR146" s="133">
        <f>+AR114/AR34</f>
        <v>0.12996066324752278</v>
      </c>
      <c r="AS146" s="116">
        <f t="shared" ref="AS146:AX146" si="184">+AS114/AS34</f>
        <v>0.10267229254571027</v>
      </c>
      <c r="AT146" s="116">
        <f t="shared" si="184"/>
        <v>0.15614419438358892</v>
      </c>
      <c r="AU146" s="116">
        <f t="shared" si="184"/>
        <v>0.14898989898989898</v>
      </c>
      <c r="AV146" s="116">
        <f t="shared" si="184"/>
        <v>0.10652022315202231</v>
      </c>
      <c r="AW146" s="133">
        <f t="shared" si="184"/>
        <v>0.1288979227603986</v>
      </c>
      <c r="AX146" s="116">
        <f t="shared" si="184"/>
        <v>0.10725919032107957</v>
      </c>
      <c r="AY146" s="116">
        <f t="shared" ref="AY146:BD146" si="185">+AY114/AY34</f>
        <v>0.1642871112849599</v>
      </c>
      <c r="AZ146" s="116">
        <f t="shared" si="185"/>
        <v>0.15429104477611941</v>
      </c>
      <c r="BA146" s="116">
        <f t="shared" si="185"/>
        <v>0.10655036770993671</v>
      </c>
      <c r="BB146" s="133">
        <f t="shared" si="185"/>
        <v>0.13342710253176837</v>
      </c>
      <c r="BC146" s="116">
        <f t="shared" si="185"/>
        <v>0.11201559275395552</v>
      </c>
      <c r="BD146" s="116">
        <f t="shared" si="185"/>
        <v>0.17172011661807579</v>
      </c>
      <c r="BE146" s="116">
        <f t="shared" ref="BE146:BF146" si="186">+BE114/BE34</f>
        <v>0.16428053642624138</v>
      </c>
      <c r="BF146" s="116">
        <f t="shared" si="186"/>
        <v>0.1115617048346056</v>
      </c>
      <c r="BG146" s="133">
        <f>+BG114/BG34</f>
        <v>0.13982732732732733</v>
      </c>
      <c r="BH146" s="116">
        <f t="shared" ref="BH146:BI146" si="187">+BH114/BH34</f>
        <v>0.11278026905829597</v>
      </c>
      <c r="BI146" s="116">
        <f t="shared" si="187"/>
        <v>0.16959175887066005</v>
      </c>
      <c r="BJ146" s="116">
        <f t="shared" ref="BJ146:BK146" si="188">+BJ114/BJ34</f>
        <v>0.15191297824456115</v>
      </c>
      <c r="BK146" s="116">
        <f t="shared" si="188"/>
        <v>9.1663842765164358E-2</v>
      </c>
      <c r="BL146" s="625">
        <f>+BL114/BL34</f>
        <v>0.13101834161253342</v>
      </c>
      <c r="BM146" s="34">
        <f>+BH146+BM160/10000</f>
        <v>8.4780269058295971E-2</v>
      </c>
      <c r="BN146" s="34">
        <f t="shared" si="174"/>
        <v>0.15759175887066004</v>
      </c>
      <c r="BO146" s="34">
        <f t="shared" si="174"/>
        <v>0.16891297824456114</v>
      </c>
      <c r="BP146" s="34">
        <f t="shared" si="174"/>
        <v>0.11166384276516436</v>
      </c>
      <c r="BQ146" s="625">
        <f>+BQ114/BQ34</f>
        <v>0.13225595162234785</v>
      </c>
      <c r="BR146" s="34">
        <f>+BM146+BR160/10000</f>
        <v>8.8980269058295966E-2</v>
      </c>
      <c r="BS146" s="34">
        <f t="shared" si="175"/>
        <v>0.16179175887066005</v>
      </c>
      <c r="BT146" s="34">
        <f t="shared" si="175"/>
        <v>0.17311297824456115</v>
      </c>
      <c r="BU146" s="34">
        <f t="shared" si="175"/>
        <v>0.11586384276516436</v>
      </c>
      <c r="BV146" s="152">
        <f>+BV114/BV34</f>
        <v>0.13647263922056396</v>
      </c>
      <c r="BW146" s="34">
        <f>+BR146+BW160/10000</f>
        <v>9.3180269058295961E-2</v>
      </c>
      <c r="BX146" s="34">
        <f t="shared" si="176"/>
        <v>0.16599175887066006</v>
      </c>
      <c r="BY146" s="34">
        <f t="shared" si="176"/>
        <v>0.17731297824456116</v>
      </c>
      <c r="BZ146" s="34">
        <f t="shared" si="176"/>
        <v>0.12006384276516435</v>
      </c>
      <c r="CA146" s="152">
        <f>+CA114/CA34</f>
        <v>0.14067263922056397</v>
      </c>
      <c r="CB146" s="34">
        <f>+BW146+CB160/10000</f>
        <v>9.7380269058295957E-2</v>
      </c>
      <c r="CC146" s="34">
        <f t="shared" si="177"/>
        <v>0.17019175887066007</v>
      </c>
      <c r="CD146" s="34">
        <f t="shared" si="177"/>
        <v>0.18151297824456117</v>
      </c>
      <c r="CE146" s="34">
        <f t="shared" si="177"/>
        <v>0.12426384276516435</v>
      </c>
      <c r="CF146" s="152">
        <f>+CF114/CF34</f>
        <v>0.14487263922056395</v>
      </c>
      <c r="CG146" s="34">
        <f>+CB146+CG160/10000</f>
        <v>0.10158026905829595</v>
      </c>
      <c r="CH146" s="34">
        <f t="shared" si="178"/>
        <v>0.17439175887066008</v>
      </c>
      <c r="CI146" s="34">
        <f t="shared" si="178"/>
        <v>0.18571297824456118</v>
      </c>
      <c r="CJ146" s="34">
        <f t="shared" si="178"/>
        <v>0.12846384276516434</v>
      </c>
      <c r="CK146" s="152">
        <f>+CK114/CK34</f>
        <v>0.14907263922056396</v>
      </c>
      <c r="CL146"/>
      <c r="CM146"/>
      <c r="CN146" s="37"/>
      <c r="CO146" s="37"/>
      <c r="CP146" s="37"/>
      <c r="CQ146" s="37"/>
      <c r="CR146" s="37"/>
      <c r="CS146" s="37"/>
      <c r="CT146" s="37"/>
      <c r="CU146" s="37"/>
      <c r="CV146" s="37"/>
      <c r="CW146" s="37"/>
    </row>
    <row r="147" spans="1:101" ht="16.5" customHeight="1" x14ac:dyDescent="0.2">
      <c r="A147" s="47"/>
      <c r="B147" s="26" t="str">
        <f>$B$117</f>
        <v>Latin America</v>
      </c>
      <c r="C147" s="26"/>
      <c r="D147" s="26"/>
      <c r="E147" s="34"/>
      <c r="F147" s="34"/>
      <c r="G147" s="34"/>
      <c r="H147" s="34"/>
      <c r="I147" s="133"/>
      <c r="J147" s="34"/>
      <c r="K147" s="34"/>
      <c r="L147" s="34"/>
      <c r="M147" s="34"/>
      <c r="N147" s="133"/>
      <c r="O147" s="34"/>
      <c r="P147" s="34"/>
      <c r="Q147" s="34"/>
      <c r="R147" s="34"/>
      <c r="S147" s="133"/>
      <c r="T147" s="34"/>
      <c r="U147" s="34"/>
      <c r="V147" s="34"/>
      <c r="W147" s="34"/>
      <c r="X147" s="133"/>
      <c r="Y147" s="34"/>
      <c r="Z147" s="34"/>
      <c r="AA147" s="34"/>
      <c r="AB147" s="34"/>
      <c r="AC147" s="133"/>
      <c r="AD147" s="34"/>
      <c r="AE147" s="34"/>
      <c r="AF147" s="116"/>
      <c r="AG147" s="116"/>
      <c r="AH147" s="133"/>
      <c r="AI147" s="34"/>
      <c r="AJ147" s="34"/>
      <c r="AK147" s="34"/>
      <c r="AL147" s="116"/>
      <c r="AM147" s="133"/>
      <c r="AN147" s="116"/>
      <c r="AO147" s="116"/>
      <c r="AP147" s="116"/>
      <c r="AQ147" s="116"/>
      <c r="AR147" s="133">
        <f>+AR117/AR41</f>
        <v>0.17321906802356721</v>
      </c>
      <c r="AS147" s="116">
        <f t="shared" ref="AS147:AY147" si="189">+AS117/AS41</f>
        <v>0.20360480640854473</v>
      </c>
      <c r="AT147" s="116">
        <f t="shared" si="189"/>
        <v>0.18807724601175482</v>
      </c>
      <c r="AU147" s="116">
        <f t="shared" si="189"/>
        <v>0.18234562784915043</v>
      </c>
      <c r="AV147" s="116">
        <f t="shared" si="189"/>
        <v>0.14367816091954022</v>
      </c>
      <c r="AW147" s="133">
        <f t="shared" si="189"/>
        <v>0.17432360742705572</v>
      </c>
      <c r="AX147" s="116">
        <f t="shared" si="189"/>
        <v>0.15558698727015557</v>
      </c>
      <c r="AY147" s="116">
        <f t="shared" si="189"/>
        <v>0.16187050359712229</v>
      </c>
      <c r="AZ147" s="116">
        <f t="shared" ref="AZ147:BE147" si="190">+AZ117/AZ41</f>
        <v>0.16425755584756899</v>
      </c>
      <c r="BA147" s="116">
        <f t="shared" si="190"/>
        <v>0.10143042912873862</v>
      </c>
      <c r="BB147" s="133">
        <f t="shared" si="190"/>
        <v>0.14450656295576081</v>
      </c>
      <c r="BC147" s="116">
        <f t="shared" si="190"/>
        <v>0.17202495201535509</v>
      </c>
      <c r="BD147" s="116">
        <f t="shared" si="190"/>
        <v>0.1597262667443215</v>
      </c>
      <c r="BE147" s="116">
        <f t="shared" si="190"/>
        <v>0.14259364358683316</v>
      </c>
      <c r="BF147" s="116">
        <f t="shared" ref="BF147:BH147" si="191">+BF117/BF41</f>
        <v>9.8412353197042196E-2</v>
      </c>
      <c r="BG147" s="133">
        <f>+BG117/BG41</f>
        <v>0.13651026392961876</v>
      </c>
      <c r="BH147" s="116">
        <f t="shared" si="191"/>
        <v>0.1457753017641597</v>
      </c>
      <c r="BI147" s="116">
        <f t="shared" ref="BI147:BJ147" si="192">+BI117/BI41</f>
        <v>0.1387822270981898</v>
      </c>
      <c r="BJ147" s="116">
        <f t="shared" si="192"/>
        <v>0.15056059797116925</v>
      </c>
      <c r="BK147" s="116">
        <f t="shared" ref="BK147" si="193">+BK117/BK41</f>
        <v>0.11827515400410678</v>
      </c>
      <c r="BL147" s="625">
        <f>+BL117/BL41</f>
        <v>0.13596004439511652</v>
      </c>
      <c r="BM147" s="34">
        <f>+BH147+BM161/10000</f>
        <v>0.15427530176415971</v>
      </c>
      <c r="BN147" s="34">
        <f t="shared" si="174"/>
        <v>0.16378222709818979</v>
      </c>
      <c r="BO147" s="34">
        <f t="shared" si="174"/>
        <v>0.15856059797116925</v>
      </c>
      <c r="BP147" s="34">
        <f>+BK147+BP161/10000</f>
        <v>0.12627515400410677</v>
      </c>
      <c r="BQ147" s="625">
        <f>+BQ117/BQ41</f>
        <v>0.14801379605478623</v>
      </c>
      <c r="BR147" s="34">
        <f>+BM147+BR161/10000</f>
        <v>0.15927530176415972</v>
      </c>
      <c r="BS147" s="34">
        <f t="shared" si="175"/>
        <v>0.1687822270981898</v>
      </c>
      <c r="BT147" s="34">
        <f t="shared" si="175"/>
        <v>0.16356059797116926</v>
      </c>
      <c r="BU147" s="34">
        <f>+BP147+BU161/10000</f>
        <v>0.13127515400410678</v>
      </c>
      <c r="BV147" s="152">
        <f>+BV117/BV41</f>
        <v>0.15301482595053426</v>
      </c>
      <c r="BW147" s="34">
        <f>+BR147+BW161/10000</f>
        <v>0.16427530176415972</v>
      </c>
      <c r="BX147" s="34">
        <f t="shared" si="176"/>
        <v>0.1737822270981898</v>
      </c>
      <c r="BY147" s="34">
        <f t="shared" si="176"/>
        <v>0.16856059797116926</v>
      </c>
      <c r="BZ147" s="34">
        <f>+BU147+BZ161/10000</f>
        <v>0.13627515400410678</v>
      </c>
      <c r="CA147" s="152">
        <f>+CA117/CA41</f>
        <v>0.15801482595053429</v>
      </c>
      <c r="CB147" s="34">
        <f>+BW147+CB161/10000</f>
        <v>0.16927530176415972</v>
      </c>
      <c r="CC147" s="34">
        <f t="shared" si="177"/>
        <v>0.17878222709818981</v>
      </c>
      <c r="CD147" s="34">
        <f t="shared" si="177"/>
        <v>0.17356059797116927</v>
      </c>
      <c r="CE147" s="34">
        <f>+BZ147+CE161/10000</f>
        <v>0.14127515400410678</v>
      </c>
      <c r="CF147" s="152">
        <f>+CF117/CF41</f>
        <v>0.16301482595053426</v>
      </c>
      <c r="CG147" s="34">
        <f>+CB147+CG161/10000</f>
        <v>0.17427530176415973</v>
      </c>
      <c r="CH147" s="34">
        <f t="shared" si="178"/>
        <v>0.18378222709818981</v>
      </c>
      <c r="CI147" s="34">
        <f t="shared" si="178"/>
        <v>0.17856059797116927</v>
      </c>
      <c r="CJ147" s="34">
        <f>+CE147+CJ161/10000</f>
        <v>0.14627515400410679</v>
      </c>
      <c r="CK147" s="152">
        <f>+CK117/CK41</f>
        <v>0.16801482595053427</v>
      </c>
      <c r="CL147"/>
      <c r="CM147"/>
      <c r="CN147" s="37"/>
      <c r="CO147" s="37"/>
      <c r="CP147" s="37"/>
      <c r="CQ147" s="37"/>
      <c r="CR147" s="37"/>
      <c r="CS147" s="37"/>
      <c r="CT147" s="37"/>
      <c r="CU147" s="37"/>
      <c r="CV147" s="37"/>
      <c r="CW147" s="37"/>
    </row>
    <row r="148" spans="1:101" ht="16.5" customHeight="1" x14ac:dyDescent="0.2">
      <c r="A148" s="47"/>
      <c r="B148" s="26" t="str">
        <f>$B$120</f>
        <v>Europe Sub-Saharan Africa</v>
      </c>
      <c r="C148" s="26"/>
      <c r="D148" s="26"/>
      <c r="E148" s="34"/>
      <c r="F148" s="34"/>
      <c r="G148" s="34"/>
      <c r="H148" s="34"/>
      <c r="I148" s="133"/>
      <c r="J148" s="34"/>
      <c r="K148" s="34"/>
      <c r="L148" s="34"/>
      <c r="M148" s="34"/>
      <c r="N148" s="133"/>
      <c r="O148" s="34"/>
      <c r="P148" s="34"/>
      <c r="Q148" s="34"/>
      <c r="R148" s="34"/>
      <c r="S148" s="133"/>
      <c r="T148" s="34"/>
      <c r="U148" s="34"/>
      <c r="V148" s="34"/>
      <c r="W148" s="34"/>
      <c r="X148" s="133"/>
      <c r="Y148" s="34"/>
      <c r="Z148" s="34"/>
      <c r="AA148" s="34"/>
      <c r="AB148" s="34"/>
      <c r="AC148" s="133"/>
      <c r="AD148" s="34"/>
      <c r="AE148" s="34"/>
      <c r="AF148" s="116"/>
      <c r="AG148" s="116"/>
      <c r="AH148" s="133"/>
      <c r="AI148" s="34"/>
      <c r="AJ148" s="34"/>
      <c r="AK148" s="34"/>
      <c r="AL148" s="116"/>
      <c r="AM148" s="133"/>
      <c r="AN148" s="116"/>
      <c r="AO148" s="116"/>
      <c r="AP148" s="116"/>
      <c r="AQ148" s="116"/>
      <c r="AR148" s="133">
        <f>+AR120/AR50</f>
        <v>0.10102690193809662</v>
      </c>
      <c r="AS148" s="116">
        <f t="shared" ref="AS148:AY148" si="194">+AS120/AS50</f>
        <v>8.2323232323232326E-2</v>
      </c>
      <c r="AT148" s="116">
        <f t="shared" si="194"/>
        <v>0.13293543136190994</v>
      </c>
      <c r="AU148" s="116">
        <f t="shared" si="194"/>
        <v>0.13046916183447549</v>
      </c>
      <c r="AV148" s="116">
        <f t="shared" si="194"/>
        <v>7.9207920792079209E-2</v>
      </c>
      <c r="AW148" s="133">
        <f t="shared" si="194"/>
        <v>0.10896335547428912</v>
      </c>
      <c r="AX148" s="116">
        <f t="shared" si="194"/>
        <v>8.2887700534759357E-2</v>
      </c>
      <c r="AY148" s="116">
        <f t="shared" si="194"/>
        <v>0.1269107714184145</v>
      </c>
      <c r="AZ148" s="116">
        <f t="shared" ref="AZ148:BE148" si="195">+AZ120/AZ50</f>
        <v>0.14256339958875944</v>
      </c>
      <c r="BA148" s="116">
        <f t="shared" si="195"/>
        <v>8.3155650319829424E-2</v>
      </c>
      <c r="BB148" s="133">
        <f t="shared" si="195"/>
        <v>0.11132254995242626</v>
      </c>
      <c r="BC148" s="116">
        <f t="shared" si="195"/>
        <v>5.4635761589403975E-2</v>
      </c>
      <c r="BD148" s="116">
        <f t="shared" si="195"/>
        <v>0.12528195488721805</v>
      </c>
      <c r="BE148" s="116">
        <f t="shared" si="195"/>
        <v>0.13521298882681565</v>
      </c>
      <c r="BF148" s="116">
        <f t="shared" ref="BF148:BH148" si="196">+BF120/BF50</f>
        <v>9.7884788478847878E-2</v>
      </c>
      <c r="BG148" s="133">
        <f>+BG120/BG50</f>
        <v>0.10972983555207518</v>
      </c>
      <c r="BH148" s="116">
        <f t="shared" si="196"/>
        <v>6.9204152249134954E-2</v>
      </c>
      <c r="BI148" s="116">
        <f t="shared" ref="BI148:BJ148" si="197">+BI120/BI50</f>
        <v>0.17603129445234708</v>
      </c>
      <c r="BJ148" s="116">
        <f t="shared" si="197"/>
        <v>0.14170432537120722</v>
      </c>
      <c r="BK148" s="116">
        <f t="shared" ref="BK148" si="198">+BK120/BK50</f>
        <v>9.0663058186738837E-2</v>
      </c>
      <c r="BL148" s="625">
        <f>+BL120/BL50</f>
        <v>0.12389140271493213</v>
      </c>
      <c r="BM148" s="34">
        <f>+BH148+BM162/10000</f>
        <v>6.7204152249134952E-2</v>
      </c>
      <c r="BN148" s="34">
        <f t="shared" si="174"/>
        <v>0.13603129445234707</v>
      </c>
      <c r="BO148" s="34">
        <f t="shared" si="174"/>
        <v>0.15170432537120723</v>
      </c>
      <c r="BP148" s="34">
        <f>+BK148+BP162/10000</f>
        <v>0.10866305818673884</v>
      </c>
      <c r="BQ148" s="625">
        <f>+BQ120/BQ50</f>
        <v>0.12193748189389246</v>
      </c>
      <c r="BR148" s="34">
        <f>+BM148+BR162/10000</f>
        <v>7.1204152249134955E-2</v>
      </c>
      <c r="BS148" s="34">
        <f t="shared" si="175"/>
        <v>0.14003129445234708</v>
      </c>
      <c r="BT148" s="34">
        <f t="shared" si="175"/>
        <v>0.15570432537120724</v>
      </c>
      <c r="BU148" s="34">
        <f>+BP148+BU162/10000</f>
        <v>0.11266305818673884</v>
      </c>
      <c r="BV148" s="152">
        <f>+BV120/BV50</f>
        <v>0.12591133139571198</v>
      </c>
      <c r="BW148" s="34">
        <f>+BR148+BW162/10000</f>
        <v>7.5204152249134959E-2</v>
      </c>
      <c r="BX148" s="34">
        <f t="shared" si="176"/>
        <v>0.14403129445234708</v>
      </c>
      <c r="BY148" s="34">
        <f t="shared" si="176"/>
        <v>0.15970432537120724</v>
      </c>
      <c r="BZ148" s="34">
        <f>+BU148+BZ162/10000</f>
        <v>0.11666305818673885</v>
      </c>
      <c r="CA148" s="152">
        <f>+CA120/CA50</f>
        <v>0.12991133139571201</v>
      </c>
      <c r="CB148" s="34">
        <f>+BW148+CB162/10000</f>
        <v>7.9204152249134963E-2</v>
      </c>
      <c r="CC148" s="34">
        <f t="shared" si="177"/>
        <v>0.14803129445234708</v>
      </c>
      <c r="CD148" s="34">
        <f t="shared" si="177"/>
        <v>0.16370432537120724</v>
      </c>
      <c r="CE148" s="34">
        <f>+BZ148+CE162/10000</f>
        <v>0.12066305818673885</v>
      </c>
      <c r="CF148" s="152">
        <f>+CF120/CF50</f>
        <v>0.13391133139571199</v>
      </c>
      <c r="CG148" s="34">
        <f>+CB148+CG162/10000</f>
        <v>8.3204152249134966E-2</v>
      </c>
      <c r="CH148" s="34">
        <f t="shared" si="178"/>
        <v>0.15203129445234709</v>
      </c>
      <c r="CI148" s="34">
        <f t="shared" si="178"/>
        <v>0.16770432537120725</v>
      </c>
      <c r="CJ148" s="34">
        <f>+CE148+CJ162/10000</f>
        <v>0.12466305818673885</v>
      </c>
      <c r="CK148" s="152">
        <f>+CK120/CK50</f>
        <v>0.13791133139571199</v>
      </c>
      <c r="CL148"/>
      <c r="CM148"/>
      <c r="CN148" s="37"/>
      <c r="CO148" s="37"/>
      <c r="CP148" s="37"/>
      <c r="CQ148" s="37"/>
      <c r="CR148" s="37"/>
      <c r="CS148" s="37"/>
      <c r="CT148" s="37"/>
      <c r="CU148" s="37"/>
      <c r="CV148" s="37"/>
      <c r="CW148" s="37"/>
    </row>
    <row r="149" spans="1:101" ht="16.5" customHeight="1" x14ac:dyDescent="0.2">
      <c r="A149" s="47"/>
      <c r="B149" s="26" t="str">
        <f>$B$123</f>
        <v>Asia, Middle East and North Africa</v>
      </c>
      <c r="C149" s="26"/>
      <c r="D149" s="26"/>
      <c r="E149" s="34"/>
      <c r="F149" s="34"/>
      <c r="G149" s="34"/>
      <c r="H149" s="34"/>
      <c r="I149" s="133"/>
      <c r="J149" s="34"/>
      <c r="K149" s="34"/>
      <c r="L149" s="34"/>
      <c r="M149" s="34"/>
      <c r="N149" s="133"/>
      <c r="O149" s="34"/>
      <c r="P149" s="34"/>
      <c r="Q149" s="34"/>
      <c r="R149" s="34"/>
      <c r="S149" s="133"/>
      <c r="T149" s="34"/>
      <c r="U149" s="34"/>
      <c r="V149" s="34"/>
      <c r="W149" s="34"/>
      <c r="X149" s="133"/>
      <c r="Y149" s="34"/>
      <c r="Z149" s="34"/>
      <c r="AA149" s="34"/>
      <c r="AB149" s="34"/>
      <c r="AC149" s="133"/>
      <c r="AD149" s="34"/>
      <c r="AE149" s="34"/>
      <c r="AF149" s="116"/>
      <c r="AG149" s="116"/>
      <c r="AH149" s="133"/>
      <c r="AI149" s="34"/>
      <c r="AJ149" s="34"/>
      <c r="AK149" s="34"/>
      <c r="AL149" s="116"/>
      <c r="AM149" s="133"/>
      <c r="AN149" s="116"/>
      <c r="AO149" s="116"/>
      <c r="AP149" s="116"/>
      <c r="AQ149" s="116"/>
      <c r="AR149" s="133">
        <f>+AR123/AR59</f>
        <v>0.18130928315969522</v>
      </c>
      <c r="AS149" s="116">
        <f t="shared" ref="AS149:AY149" si="199">+AS123/AS59</f>
        <v>0.18226120857699804</v>
      </c>
      <c r="AT149" s="116">
        <f t="shared" si="199"/>
        <v>0.20064724919093851</v>
      </c>
      <c r="AU149" s="116">
        <f t="shared" si="199"/>
        <v>0.17190177041690463</v>
      </c>
      <c r="AV149" s="116">
        <f t="shared" si="199"/>
        <v>8.1529944640161042E-2</v>
      </c>
      <c r="AW149" s="133">
        <f>+AW123/AW59</f>
        <v>0.15442731943185253</v>
      </c>
      <c r="AX149" s="116">
        <f t="shared" si="199"/>
        <v>0.22074215033301617</v>
      </c>
      <c r="AY149" s="116">
        <f t="shared" si="199"/>
        <v>0.21183098591549296</v>
      </c>
      <c r="AZ149" s="116">
        <f t="shared" ref="AZ149:BE149" si="200">+AZ123/AZ59</f>
        <v>0.16850490196078433</v>
      </c>
      <c r="BA149" s="116">
        <f t="shared" si="200"/>
        <v>8.398539384454877E-2</v>
      </c>
      <c r="BB149" s="133">
        <f t="shared" si="200"/>
        <v>0.16376470588235295</v>
      </c>
      <c r="BC149" s="116">
        <f t="shared" si="200"/>
        <v>0.215962441314554</v>
      </c>
      <c r="BD149" s="116">
        <f t="shared" si="200"/>
        <v>0.2202517162471396</v>
      </c>
      <c r="BE149" s="116">
        <f t="shared" si="200"/>
        <v>0.16381418092909536</v>
      </c>
      <c r="BF149" s="116">
        <f t="shared" ref="BF149:BH149" si="201">+BF123/BF59</f>
        <v>6.5113816834303867E-2</v>
      </c>
      <c r="BG149" s="133">
        <f>+BG123/BG59</f>
        <v>0.15872514988955508</v>
      </c>
      <c r="BH149" s="116">
        <f t="shared" si="201"/>
        <v>0.17010309278350516</v>
      </c>
      <c r="BI149" s="116">
        <f t="shared" ref="BI149:BJ149" si="202">+BI123/BI59</f>
        <v>0.19288389513108614</v>
      </c>
      <c r="BJ149" s="116">
        <f t="shared" si="202"/>
        <v>0.16847479259731971</v>
      </c>
      <c r="BK149" s="116">
        <f t="shared" ref="BK149" si="203">+BK123/BK59</f>
        <v>0.17556848228450556</v>
      </c>
      <c r="BL149" s="625">
        <f>+BL123/BL59</f>
        <v>0.17744610281923714</v>
      </c>
      <c r="BM149" s="34">
        <f>+BH149+BM163/10000</f>
        <v>0.18810309278350515</v>
      </c>
      <c r="BN149" s="34">
        <f t="shared" si="174"/>
        <v>0.20288389513108615</v>
      </c>
      <c r="BO149" s="34">
        <f t="shared" si="174"/>
        <v>0.1664747925973197</v>
      </c>
      <c r="BP149" s="34">
        <f>+BK149+BP163/10000</f>
        <v>9.5568482284505554E-2</v>
      </c>
      <c r="BQ149" s="625">
        <f>+BQ123/BQ59</f>
        <v>0.1580406956282322</v>
      </c>
      <c r="BR149" s="34">
        <f>+BM149+BR163/10000</f>
        <v>0.19210309278350515</v>
      </c>
      <c r="BS149" s="34">
        <f t="shared" si="175"/>
        <v>0.20688389513108615</v>
      </c>
      <c r="BT149" s="34">
        <f t="shared" si="175"/>
        <v>0.17047479259731971</v>
      </c>
      <c r="BU149" s="34">
        <f>+BP149+BU163/10000</f>
        <v>9.9568482284505558E-2</v>
      </c>
      <c r="BV149" s="152">
        <f>+BV123/BV59</f>
        <v>0.16205708678666489</v>
      </c>
      <c r="BW149" s="34">
        <f>+BR149+BW163/10000</f>
        <v>0.19610309278350516</v>
      </c>
      <c r="BX149" s="34">
        <f t="shared" si="176"/>
        <v>0.21088389513108616</v>
      </c>
      <c r="BY149" s="34">
        <f t="shared" si="176"/>
        <v>0.17447479259731971</v>
      </c>
      <c r="BZ149" s="34">
        <f>+BU149+BZ163/10000</f>
        <v>0.10356848228450556</v>
      </c>
      <c r="CA149" s="152">
        <f>+CA123/CA59</f>
        <v>0.16605708678666486</v>
      </c>
      <c r="CB149" s="34">
        <f>+BW149+CB163/10000</f>
        <v>0.20010309278350516</v>
      </c>
      <c r="CC149" s="34">
        <f t="shared" si="177"/>
        <v>0.21488389513108616</v>
      </c>
      <c r="CD149" s="34">
        <f t="shared" si="177"/>
        <v>0.17847479259731971</v>
      </c>
      <c r="CE149" s="34">
        <f>+BZ149+CE163/10000</f>
        <v>0.10756848228450556</v>
      </c>
      <c r="CF149" s="152">
        <f>+CF123/CF59</f>
        <v>0.1700570867866649</v>
      </c>
      <c r="CG149" s="34">
        <f>+CB149+CG163/10000</f>
        <v>0.20410309278350516</v>
      </c>
      <c r="CH149" s="34">
        <f t="shared" si="178"/>
        <v>0.21888389513108616</v>
      </c>
      <c r="CI149" s="34">
        <f t="shared" si="178"/>
        <v>0.18247479259731972</v>
      </c>
      <c r="CJ149" s="34">
        <f>+CE149+CJ163/10000</f>
        <v>0.11156848228450557</v>
      </c>
      <c r="CK149" s="152">
        <f>+CK123/CK59</f>
        <v>0.17405708678666484</v>
      </c>
      <c r="CL149"/>
      <c r="CM149"/>
      <c r="CN149" s="37"/>
      <c r="CO149" s="37"/>
      <c r="CP149" s="37"/>
      <c r="CQ149" s="37"/>
      <c r="CR149" s="37"/>
      <c r="CS149" s="37"/>
      <c r="CT149" s="37"/>
      <c r="CU149" s="37"/>
      <c r="CV149" s="37"/>
      <c r="CW149" s="37"/>
    </row>
    <row r="150" spans="1:101" ht="16.5" hidden="1" customHeight="1" outlineLevel="1" x14ac:dyDescent="0.2">
      <c r="A150" s="520" t="s">
        <v>312</v>
      </c>
      <c r="B150" s="214"/>
      <c r="C150" s="47"/>
      <c r="D150" s="47"/>
      <c r="E150" s="154"/>
      <c r="F150" s="154"/>
      <c r="G150" s="154"/>
      <c r="H150" s="154"/>
      <c r="I150" s="152"/>
      <c r="J150" s="154"/>
      <c r="K150" s="154"/>
      <c r="L150" s="154"/>
      <c r="M150" s="154"/>
      <c r="N150" s="152"/>
      <c r="O150" s="154"/>
      <c r="P150" s="154"/>
      <c r="Q150" s="154"/>
      <c r="R150" s="154"/>
      <c r="S150" s="152"/>
      <c r="T150" s="154"/>
      <c r="U150" s="154"/>
      <c r="V150" s="154"/>
      <c r="W150" s="154"/>
      <c r="X150" s="152"/>
      <c r="Y150" s="154"/>
      <c r="Z150" s="154"/>
      <c r="AA150" s="154"/>
      <c r="AB150" s="154"/>
      <c r="AC150" s="152"/>
      <c r="AD150" s="154"/>
      <c r="AE150" s="154"/>
      <c r="AF150" s="162"/>
      <c r="AG150" s="162"/>
      <c r="AH150" s="152"/>
      <c r="AI150" s="154"/>
      <c r="AJ150" s="154"/>
      <c r="AK150" s="154"/>
      <c r="AL150" s="162"/>
      <c r="AM150" s="152"/>
      <c r="AN150" s="162"/>
      <c r="AO150" s="162"/>
      <c r="AP150" s="162"/>
      <c r="AQ150" s="162"/>
      <c r="AR150" s="152"/>
      <c r="AS150" s="162"/>
      <c r="AT150" s="162"/>
      <c r="AU150" s="162"/>
      <c r="AV150" s="162"/>
      <c r="AW150" s="152"/>
      <c r="AX150" s="162"/>
      <c r="AY150" s="162"/>
      <c r="AZ150" s="154"/>
      <c r="BA150" s="154"/>
      <c r="BB150" s="152"/>
      <c r="BC150" s="154"/>
      <c r="BD150" s="154"/>
      <c r="BE150" s="154"/>
      <c r="BF150" s="154"/>
      <c r="BG150" s="152"/>
      <c r="BH150" s="154"/>
      <c r="BI150" s="154"/>
      <c r="BJ150" s="154"/>
      <c r="BK150" s="154"/>
      <c r="BL150" s="152"/>
      <c r="BM150" s="154"/>
      <c r="BN150" s="154"/>
      <c r="BO150" s="154"/>
      <c r="BP150" s="154"/>
      <c r="BQ150" s="152"/>
      <c r="BR150" s="154"/>
      <c r="BS150" s="154"/>
      <c r="BT150" s="154"/>
      <c r="BU150" s="154"/>
      <c r="BV150" s="152"/>
      <c r="BW150" s="154"/>
      <c r="BX150" s="154"/>
      <c r="BY150" s="154"/>
      <c r="BZ150" s="154"/>
      <c r="CA150" s="152"/>
      <c r="CB150" s="154"/>
      <c r="CC150" s="154"/>
      <c r="CD150" s="154"/>
      <c r="CE150" s="154"/>
      <c r="CF150" s="152"/>
      <c r="CG150" s="154"/>
      <c r="CH150" s="154"/>
      <c r="CI150" s="154"/>
      <c r="CJ150" s="154"/>
      <c r="CK150" s="152"/>
      <c r="CL150"/>
      <c r="CM150"/>
      <c r="CN150" s="37"/>
      <c r="CO150" s="37"/>
      <c r="CP150" s="37"/>
      <c r="CQ150" s="37"/>
      <c r="CR150" s="37"/>
      <c r="CS150" s="37"/>
      <c r="CT150" s="37"/>
      <c r="CU150" s="37"/>
      <c r="CV150" s="37"/>
      <c r="CW150" s="37"/>
    </row>
    <row r="151" spans="1:101" ht="16.5" hidden="1" customHeight="1" outlineLevel="1" x14ac:dyDescent="0.2">
      <c r="A151" s="47"/>
      <c r="B151" s="214" t="str">
        <f>+B127</f>
        <v>Latin America Foods</v>
      </c>
      <c r="C151" s="47"/>
      <c r="D151" s="47"/>
      <c r="E151" s="154"/>
      <c r="F151" s="154"/>
      <c r="G151" s="154"/>
      <c r="H151" s="154"/>
      <c r="I151" s="152">
        <f t="shared" ref="I151:N151" si="204">+I127/I69</f>
        <v>0.16490433031218529</v>
      </c>
      <c r="J151" s="154">
        <f t="shared" si="204"/>
        <v>0.18732394366197183</v>
      </c>
      <c r="K151" s="154">
        <f t="shared" si="204"/>
        <v>0.16960148285449489</v>
      </c>
      <c r="L151" s="154">
        <f t="shared" si="204"/>
        <v>0.14776357827476039</v>
      </c>
      <c r="M151" s="154">
        <f t="shared" si="204"/>
        <v>0.13762971054068815</v>
      </c>
      <c r="N151" s="152">
        <f t="shared" si="204"/>
        <v>0.15455665024630541</v>
      </c>
      <c r="O151" s="154">
        <f t="shared" ref="O151:Z151" si="205">+O127/O69</f>
        <v>0.17198764160659114</v>
      </c>
      <c r="P151" s="154">
        <f t="shared" si="205"/>
        <v>0.16677609980302036</v>
      </c>
      <c r="Q151" s="154">
        <f t="shared" si="205"/>
        <v>0.14572538860103626</v>
      </c>
      <c r="R151" s="154">
        <f t="shared" si="205"/>
        <v>0.15670436187399031</v>
      </c>
      <c r="S151" s="152">
        <f t="shared" si="205"/>
        <v>0.15894826123833758</v>
      </c>
      <c r="T151" s="154">
        <f t="shared" si="205"/>
        <v>0.19261822376009227</v>
      </c>
      <c r="U151" s="154">
        <f t="shared" si="205"/>
        <v>0.17416545718432511</v>
      </c>
      <c r="V151" s="154">
        <f t="shared" si="205"/>
        <v>0.14255014326647564</v>
      </c>
      <c r="W151" s="154">
        <f t="shared" si="205"/>
        <v>0.14597478176527642</v>
      </c>
      <c r="X151" s="152">
        <f t="shared" si="205"/>
        <v>0.15903910222689813</v>
      </c>
      <c r="Y151" s="154">
        <f t="shared" si="205"/>
        <v>0.14750762970498474</v>
      </c>
      <c r="Z151" s="154">
        <f t="shared" si="205"/>
        <v>0.15149544863459039</v>
      </c>
      <c r="AA151" s="154">
        <f t="shared" ref="AA151:AF151" si="206">+AA127/AA69</f>
        <v>0.15434500648508431</v>
      </c>
      <c r="AB151" s="154">
        <f t="shared" si="206"/>
        <v>0.17229129662522202</v>
      </c>
      <c r="AC151" s="152">
        <f t="shared" si="206"/>
        <v>0.15898653998416468</v>
      </c>
      <c r="AD151" s="154">
        <f t="shared" si="206"/>
        <v>0.15433212996389892</v>
      </c>
      <c r="AE151" s="154">
        <f t="shared" si="206"/>
        <v>0.15154867256637169</v>
      </c>
      <c r="AF151" s="162">
        <f t="shared" si="206"/>
        <v>0.14937533948940793</v>
      </c>
      <c r="AG151" s="162">
        <f t="shared" ref="AG151:AM151" si="207">+AG127/AG69</f>
        <v>0.169237182159233</v>
      </c>
      <c r="AH151" s="152">
        <f t="shared" si="207"/>
        <v>0.15735047512576858</v>
      </c>
      <c r="AI151" s="154">
        <f t="shared" si="207"/>
        <v>0.15303643724696356</v>
      </c>
      <c r="AJ151" s="154">
        <f t="shared" si="207"/>
        <v>0.14219712525667352</v>
      </c>
      <c r="AK151" s="154">
        <f t="shared" si="207"/>
        <v>0.13170472650026555</v>
      </c>
      <c r="AL151" s="162">
        <f t="shared" si="207"/>
        <v>0.14554163596168018</v>
      </c>
      <c r="AM151" s="152">
        <f t="shared" si="207"/>
        <v>0.14254498714652955</v>
      </c>
      <c r="AN151" s="162">
        <f t="shared" ref="AN151:AS151" si="208">+AN127/AN69</f>
        <v>0.16093635698610095</v>
      </c>
      <c r="AO151" s="162">
        <f t="shared" si="208"/>
        <v>0.15075614366729678</v>
      </c>
      <c r="AP151" s="162">
        <f t="shared" si="208"/>
        <v>0.14446071254270376</v>
      </c>
      <c r="AQ151" s="162">
        <f t="shared" si="208"/>
        <v>0.14868701206529453</v>
      </c>
      <c r="AR151" s="152">
        <f t="shared" si="208"/>
        <v>0.15017964071856288</v>
      </c>
      <c r="AS151" s="162">
        <f t="shared" si="208"/>
        <v>0.17040358744394618</v>
      </c>
      <c r="AT151" s="162">
        <f t="shared" ref="AT151:AY151" si="209">+AT127/AT69</f>
        <v>0.15457115928369464</v>
      </c>
      <c r="AU151" s="162">
        <f t="shared" si="209"/>
        <v>0.15289256198347106</v>
      </c>
      <c r="AV151" s="162">
        <f t="shared" si="209"/>
        <v>0.12375178316690442</v>
      </c>
      <c r="AW151" s="152">
        <f t="shared" si="209"/>
        <v>0.14641080312722105</v>
      </c>
      <c r="AX151" s="162">
        <f t="shared" si="209"/>
        <v>0.16106333072713058</v>
      </c>
      <c r="AY151" s="162">
        <f t="shared" si="209"/>
        <v>0.14449999999999999</v>
      </c>
      <c r="AZ151" s="154"/>
      <c r="BA151" s="154"/>
      <c r="BB151" s="152"/>
      <c r="BC151" s="154"/>
      <c r="BD151" s="154"/>
      <c r="BE151" s="154"/>
      <c r="BF151" s="154"/>
      <c r="BG151" s="152"/>
      <c r="BH151" s="154"/>
      <c r="BI151" s="154"/>
      <c r="BJ151" s="154"/>
      <c r="BK151" s="154"/>
      <c r="BL151" s="152"/>
      <c r="BM151" s="154"/>
      <c r="BN151" s="154"/>
      <c r="BO151" s="154"/>
      <c r="BP151" s="154"/>
      <c r="BQ151" s="152"/>
      <c r="BR151" s="154"/>
      <c r="BS151" s="154"/>
      <c r="BT151" s="154"/>
      <c r="BU151" s="154"/>
      <c r="BV151" s="152"/>
      <c r="BW151" s="154"/>
      <c r="BX151" s="154"/>
      <c r="BY151" s="154"/>
      <c r="BZ151" s="154"/>
      <c r="CA151" s="152"/>
      <c r="CB151" s="154"/>
      <c r="CC151" s="154"/>
      <c r="CD151" s="154"/>
      <c r="CE151" s="154"/>
      <c r="CF151" s="152"/>
      <c r="CG151" s="154"/>
      <c r="CH151" s="154"/>
      <c r="CI151" s="154"/>
      <c r="CJ151" s="154"/>
      <c r="CK151" s="152"/>
      <c r="CL151"/>
      <c r="CM151"/>
      <c r="CN151" s="37"/>
      <c r="CO151" s="37"/>
      <c r="CP151" s="37"/>
      <c r="CQ151" s="37"/>
      <c r="CR151" s="37"/>
      <c r="CS151" s="37"/>
      <c r="CT151" s="37"/>
      <c r="CU151" s="37"/>
      <c r="CV151" s="37"/>
      <c r="CW151" s="37"/>
    </row>
    <row r="152" spans="1:101" ht="16.5" hidden="1" customHeight="1" outlineLevel="1" x14ac:dyDescent="0.2">
      <c r="A152" s="26"/>
      <c r="B152" s="26" t="str">
        <f>+B130</f>
        <v>PepsiCo Americas Beverages</v>
      </c>
      <c r="C152" s="26"/>
      <c r="D152" s="26"/>
      <c r="E152" s="34"/>
      <c r="F152" s="34"/>
      <c r="G152" s="34"/>
      <c r="H152" s="34"/>
      <c r="I152" s="133">
        <f t="shared" ref="I152:N152" si="210">+I130/I76</f>
        <v>0.22341246863539857</v>
      </c>
      <c r="J152" s="34">
        <f t="shared" si="210"/>
        <v>0.21306306306306305</v>
      </c>
      <c r="K152" s="34">
        <f t="shared" si="210"/>
        <v>0.25534150612959722</v>
      </c>
      <c r="L152" s="34">
        <f t="shared" si="210"/>
        <v>0.25324675324675322</v>
      </c>
      <c r="M152" s="34">
        <f t="shared" si="210"/>
        <v>0.17999352541275493</v>
      </c>
      <c r="N152" s="133">
        <f t="shared" si="210"/>
        <v>0.22533814247069431</v>
      </c>
      <c r="O152" s="34">
        <f t="shared" ref="O152:Z152" si="211">+O130/O76</f>
        <v>0.2135593220338983</v>
      </c>
      <c r="P152" s="34">
        <f t="shared" si="211"/>
        <v>0.23645833333333333</v>
      </c>
      <c r="Q152" s="34">
        <f t="shared" si="211"/>
        <v>0.22647964420116318</v>
      </c>
      <c r="R152" s="34">
        <f t="shared" si="211"/>
        <v>0.16870944484498918</v>
      </c>
      <c r="S152" s="133">
        <f t="shared" si="211"/>
        <v>0.21166681905458534</v>
      </c>
      <c r="T152" s="34">
        <f t="shared" si="211"/>
        <v>0.20977011494252873</v>
      </c>
      <c r="U152" s="34">
        <f t="shared" si="211"/>
        <v>0.23720397249809014</v>
      </c>
      <c r="V152" s="34">
        <f t="shared" si="211"/>
        <v>0.22853915662650603</v>
      </c>
      <c r="W152" s="34">
        <f t="shared" si="211"/>
        <v>0.18954248366013071</v>
      </c>
      <c r="X152" s="133">
        <f t="shared" si="211"/>
        <v>0.21629102412020562</v>
      </c>
      <c r="Y152" s="34">
        <f t="shared" si="211"/>
        <v>0.1945750452079566</v>
      </c>
      <c r="Z152" s="34">
        <f t="shared" si="211"/>
        <v>0.19664744051910599</v>
      </c>
      <c r="AA152" s="34">
        <f t="shared" ref="AA152:AF152" si="212">+AA130/AA76</f>
        <v>0.18508287292817679</v>
      </c>
      <c r="AB152" s="34">
        <f t="shared" si="212"/>
        <v>0.14151842439644219</v>
      </c>
      <c r="AC152" s="133">
        <f t="shared" si="212"/>
        <v>0.1760698004999755</v>
      </c>
      <c r="AD152" s="34">
        <f t="shared" si="212"/>
        <v>0.12977267711322005</v>
      </c>
      <c r="AE152" s="34">
        <f t="shared" si="212"/>
        <v>0.18102682536862674</v>
      </c>
      <c r="AF152" s="116">
        <f t="shared" si="212"/>
        <v>0.17134689759542626</v>
      </c>
      <c r="AG152" s="116">
        <f t="shared" ref="AG152:AM152" si="213">+AG130/AG76</f>
        <v>0.13714095965465714</v>
      </c>
      <c r="AH152" s="133">
        <f t="shared" si="213"/>
        <v>0.15598734749209217</v>
      </c>
      <c r="AI152" s="34">
        <f t="shared" si="213"/>
        <v>0.11982913669064749</v>
      </c>
      <c r="AJ152" s="34">
        <f t="shared" si="213"/>
        <v>0.16349028400597906</v>
      </c>
      <c r="AK152" s="34">
        <f t="shared" si="213"/>
        <v>0.15732368896925858</v>
      </c>
      <c r="AL152" s="116">
        <f t="shared" si="213"/>
        <v>0.12520565975649886</v>
      </c>
      <c r="AM152" s="133">
        <f t="shared" si="213"/>
        <v>0.14195627802690583</v>
      </c>
      <c r="AN152" s="116">
        <f t="shared" ref="AN152:AS152" si="214">+AN130/AN76</f>
        <v>0.1248868778280543</v>
      </c>
      <c r="AO152" s="116">
        <f t="shared" si="214"/>
        <v>0.16863117870722433</v>
      </c>
      <c r="AP152" s="116">
        <f t="shared" si="214"/>
        <v>0.15649278579356271</v>
      </c>
      <c r="AQ152" s="116">
        <f t="shared" si="214"/>
        <v>0.11501170177198261</v>
      </c>
      <c r="AR152" s="133">
        <f t="shared" si="214"/>
        <v>0.14111448642490981</v>
      </c>
      <c r="AS152" s="116">
        <f t="shared" si="214"/>
        <v>0.11635788522367826</v>
      </c>
      <c r="AT152" s="116">
        <f t="shared" ref="AT152:AY152" si="215">+AT130/AT76</f>
        <v>0.17117970081423972</v>
      </c>
      <c r="AU152" s="116">
        <f t="shared" si="215"/>
        <v>0.16236299461266951</v>
      </c>
      <c r="AV152" s="116">
        <f t="shared" si="215"/>
        <v>0.11774406332453825</v>
      </c>
      <c r="AW152" s="133">
        <f t="shared" si="215"/>
        <v>0.14214805710503925</v>
      </c>
      <c r="AX152" s="116">
        <f t="shared" si="215"/>
        <v>0.1071509136025265</v>
      </c>
      <c r="AY152" s="116">
        <f t="shared" si="215"/>
        <v>0.17069514708637812</v>
      </c>
      <c r="AZ152" s="34"/>
      <c r="BA152" s="34"/>
      <c r="BB152" s="133"/>
      <c r="BC152" s="34"/>
      <c r="BD152" s="34"/>
      <c r="BE152" s="34"/>
      <c r="BF152" s="34"/>
      <c r="BG152" s="133"/>
      <c r="BH152" s="34"/>
      <c r="BI152" s="34"/>
      <c r="BJ152" s="34"/>
      <c r="BK152" s="34"/>
      <c r="BL152" s="133"/>
      <c r="BM152" s="34"/>
      <c r="BN152" s="34"/>
      <c r="BO152" s="34"/>
      <c r="BP152" s="34"/>
      <c r="BQ152" s="133"/>
      <c r="BR152" s="34"/>
      <c r="BS152" s="34"/>
      <c r="BT152" s="34"/>
      <c r="BU152" s="34"/>
      <c r="BV152" s="133"/>
      <c r="BW152" s="34"/>
      <c r="BX152" s="34"/>
      <c r="BY152" s="34"/>
      <c r="BZ152" s="34"/>
      <c r="CA152" s="133"/>
      <c r="CB152" s="34"/>
      <c r="CC152" s="34"/>
      <c r="CD152" s="34"/>
      <c r="CE152" s="34"/>
      <c r="CF152" s="133"/>
      <c r="CG152" s="34"/>
      <c r="CH152" s="34"/>
      <c r="CI152" s="34"/>
      <c r="CJ152" s="34"/>
      <c r="CK152" s="133"/>
      <c r="CL152"/>
      <c r="CM152"/>
    </row>
    <row r="153" spans="1:101" ht="16.5" hidden="1" customHeight="1" outlineLevel="1" x14ac:dyDescent="0.2">
      <c r="A153" s="26"/>
      <c r="B153" s="26" t="str">
        <f>+B133</f>
        <v>Europe</v>
      </c>
      <c r="C153" s="26"/>
      <c r="D153" s="26"/>
      <c r="E153" s="215"/>
      <c r="F153" s="215"/>
      <c r="G153" s="215"/>
      <c r="H153" s="215"/>
      <c r="I153" s="133">
        <f t="shared" ref="I153:N153" si="216">+I133/I83</f>
        <v>0.14736842105263157</v>
      </c>
      <c r="J153" s="34">
        <f t="shared" si="216"/>
        <v>0.11621621621621622</v>
      </c>
      <c r="K153" s="34">
        <f t="shared" si="216"/>
        <v>0.15759312320916904</v>
      </c>
      <c r="L153" s="34">
        <f t="shared" si="216"/>
        <v>0.15668202764976957</v>
      </c>
      <c r="M153" s="34">
        <f t="shared" si="216"/>
        <v>0.13010342950462711</v>
      </c>
      <c r="N153" s="133">
        <f t="shared" si="216"/>
        <v>0.14257101238164602</v>
      </c>
      <c r="O153" s="34">
        <f t="shared" ref="O153:Z153" si="217">+O133/O83</f>
        <v>0.1209349593495935</v>
      </c>
      <c r="P153" s="34">
        <f t="shared" si="217"/>
        <v>0.15405552531301034</v>
      </c>
      <c r="Q153" s="34">
        <f t="shared" si="217"/>
        <v>0.16414009409304756</v>
      </c>
      <c r="R153" s="34">
        <f t="shared" si="217"/>
        <v>0.11312007417709782</v>
      </c>
      <c r="S153" s="133">
        <f t="shared" si="217"/>
        <v>0.1393121462777536</v>
      </c>
      <c r="T153" s="34">
        <f t="shared" si="217"/>
        <v>0.10665258711721225</v>
      </c>
      <c r="U153" s="34">
        <f t="shared" si="217"/>
        <v>0.15529841656516444</v>
      </c>
      <c r="V153" s="34">
        <f t="shared" si="217"/>
        <v>0.16969050160085378</v>
      </c>
      <c r="W153" s="34">
        <f t="shared" si="217"/>
        <v>0.11484098939929328</v>
      </c>
      <c r="X153" s="133">
        <f t="shared" si="217"/>
        <v>0.13531587933978373</v>
      </c>
      <c r="Y153" s="34">
        <f t="shared" si="217"/>
        <v>0.11398467432950192</v>
      </c>
      <c r="Z153" s="34">
        <f t="shared" si="217"/>
        <v>0.13771016813450759</v>
      </c>
      <c r="AA153" s="34">
        <f t="shared" ref="AA153:AF153" si="218">+AA133/AA83</f>
        <v>0.15695224719101122</v>
      </c>
      <c r="AB153" s="34">
        <f t="shared" si="218"/>
        <v>9.184308841843089E-2</v>
      </c>
      <c r="AC153" s="133">
        <f t="shared" si="218"/>
        <v>0.12549468860654031</v>
      </c>
      <c r="AD153" s="34">
        <f t="shared" si="218"/>
        <v>4.9200492004920049E-2</v>
      </c>
      <c r="AE153" s="34">
        <f t="shared" si="218"/>
        <v>0.11096468107538218</v>
      </c>
      <c r="AF153" s="116">
        <f t="shared" si="218"/>
        <v>0.1343054489639294</v>
      </c>
      <c r="AG153" s="116">
        <f t="shared" ref="AG153:AM153" si="219">+AG133/AG83</f>
        <v>9.5521676989042403E-2</v>
      </c>
      <c r="AH153" s="133">
        <f t="shared" si="219"/>
        <v>0.10549271826716937</v>
      </c>
      <c r="AI153" s="34">
        <f t="shared" si="219"/>
        <v>4.4444444444444446E-2</v>
      </c>
      <c r="AJ153" s="34">
        <f t="shared" si="219"/>
        <v>0.12551838540226706</v>
      </c>
      <c r="AK153" s="34">
        <f t="shared" si="219"/>
        <v>0.13167163370360335</v>
      </c>
      <c r="AL153" s="116">
        <f t="shared" si="219"/>
        <v>8.4188432835820892E-2</v>
      </c>
      <c r="AM153" s="133">
        <f t="shared" si="219"/>
        <v>0.10289412990104903</v>
      </c>
      <c r="AN153" s="116">
        <f t="shared" ref="AN153:AS153" si="220">+AN133/AN83</f>
        <v>4.7888774459320285E-2</v>
      </c>
      <c r="AO153" s="116">
        <f t="shared" si="220"/>
        <v>0.1182589652340542</v>
      </c>
      <c r="AP153" s="116">
        <f t="shared" si="220"/>
        <v>0.13410162388685176</v>
      </c>
      <c r="AQ153" s="116">
        <f t="shared" si="220"/>
        <v>7.5132519013597604E-2</v>
      </c>
      <c r="AR153" s="133">
        <f t="shared" si="220"/>
        <v>9.9112856311809189E-2</v>
      </c>
      <c r="AS153" s="116">
        <f t="shared" si="220"/>
        <v>7.7511473737888831E-2</v>
      </c>
      <c r="AT153" s="116">
        <f t="shared" ref="AT153:AY153" si="221">+AT133/AT83</f>
        <v>0.12961443806398687</v>
      </c>
      <c r="AU153" s="116">
        <f t="shared" si="221"/>
        <v>0.12725823591923485</v>
      </c>
      <c r="AV153" s="116">
        <f t="shared" si="221"/>
        <v>7.5997952917093145E-2</v>
      </c>
      <c r="AW153" s="133">
        <f t="shared" si="221"/>
        <v>0.1054928517682468</v>
      </c>
      <c r="AX153" s="116">
        <f t="shared" si="221"/>
        <v>7.582938388625593E-2</v>
      </c>
      <c r="AY153" s="116">
        <f t="shared" si="221"/>
        <v>0.12230989956958394</v>
      </c>
      <c r="AZ153" s="34"/>
      <c r="BA153" s="34"/>
      <c r="BB153" s="133"/>
      <c r="BC153" s="34"/>
      <c r="BD153" s="34"/>
      <c r="BE153" s="34"/>
      <c r="BF153" s="34"/>
      <c r="BG153" s="133"/>
      <c r="BH153" s="34"/>
      <c r="BI153" s="34"/>
      <c r="BJ153" s="34"/>
      <c r="BK153" s="34"/>
      <c r="BL153" s="133"/>
      <c r="BM153" s="34"/>
      <c r="BN153" s="34"/>
      <c r="BO153" s="34"/>
      <c r="BP153" s="34"/>
      <c r="BQ153" s="133"/>
      <c r="BR153" s="34"/>
      <c r="BS153" s="34"/>
      <c r="BT153" s="34"/>
      <c r="BU153" s="34"/>
      <c r="BV153" s="133"/>
      <c r="BW153" s="34"/>
      <c r="BX153" s="34"/>
      <c r="BY153" s="34"/>
      <c r="BZ153" s="34"/>
      <c r="CA153" s="133"/>
      <c r="CB153" s="34"/>
      <c r="CC153" s="34"/>
      <c r="CD153" s="34"/>
      <c r="CE153" s="34"/>
      <c r="CF153" s="133"/>
      <c r="CG153" s="34"/>
      <c r="CH153" s="34"/>
      <c r="CI153" s="34"/>
      <c r="CJ153" s="34"/>
      <c r="CK153" s="133"/>
      <c r="CL153"/>
      <c r="CM153"/>
    </row>
    <row r="154" spans="1:101" ht="16.5" hidden="1" customHeight="1" outlineLevel="1" x14ac:dyDescent="0.2">
      <c r="A154" s="26"/>
      <c r="B154" s="26" t="str">
        <f>+B136</f>
        <v>Asia, Middle East, &amp; Africa</v>
      </c>
      <c r="C154" s="26"/>
      <c r="D154" s="26"/>
      <c r="E154" s="34"/>
      <c r="F154" s="34"/>
      <c r="G154" s="34"/>
      <c r="H154" s="34"/>
      <c r="I154" s="133">
        <f t="shared" ref="I154:N154" si="222">+I136/I92</f>
        <v>0.11656976744186047</v>
      </c>
      <c r="J154" s="34">
        <f t="shared" si="222"/>
        <v>0.15813253012048192</v>
      </c>
      <c r="K154" s="34">
        <f t="shared" si="222"/>
        <v>0.17268041237113402</v>
      </c>
      <c r="L154" s="34">
        <f t="shared" si="222"/>
        <v>0.15201900237529692</v>
      </c>
      <c r="M154" s="34">
        <f t="shared" si="222"/>
        <v>3.4389750505731627E-2</v>
      </c>
      <c r="N154" s="133">
        <f t="shared" si="222"/>
        <v>0.120026235242676</v>
      </c>
      <c r="O154" s="34">
        <f t="shared" ref="O154:Z154" si="223">+O136/O92</f>
        <v>0.15889029003783103</v>
      </c>
      <c r="P154" s="34">
        <f t="shared" si="223"/>
        <v>0.16160118606375093</v>
      </c>
      <c r="Q154" s="34">
        <f t="shared" si="223"/>
        <v>0.1405367231638418</v>
      </c>
      <c r="R154" s="34">
        <f t="shared" si="223"/>
        <v>4.0999359385009607E-2</v>
      </c>
      <c r="S154" s="133">
        <f t="shared" si="223"/>
        <v>0.11857784723578824</v>
      </c>
      <c r="T154" s="34">
        <f t="shared" si="223"/>
        <v>0.158675799086758</v>
      </c>
      <c r="U154" s="34">
        <f t="shared" si="223"/>
        <v>0.17394366197183098</v>
      </c>
      <c r="V154" s="34">
        <f t="shared" si="223"/>
        <v>0.19310793237971391</v>
      </c>
      <c r="W154" s="34">
        <f t="shared" si="223"/>
        <v>2.6376146788990827E-2</v>
      </c>
      <c r="X154" s="133">
        <f t="shared" si="223"/>
        <v>0.13492514686374835</v>
      </c>
      <c r="Y154" s="34">
        <f t="shared" si="223"/>
        <v>0.15063168124392615</v>
      </c>
      <c r="Z154" s="34">
        <f t="shared" si="223"/>
        <v>0.16250760803408398</v>
      </c>
      <c r="AA154" s="34">
        <f t="shared" ref="AA154:AF154" si="224">+AA136/AA92</f>
        <v>0.13979773944080903</v>
      </c>
      <c r="AB154" s="34">
        <f t="shared" si="224"/>
        <v>2.6315789473684209E-2</v>
      </c>
      <c r="AC154" s="133">
        <f t="shared" si="224"/>
        <v>0.11254172627563186</v>
      </c>
      <c r="AD154" s="34">
        <f t="shared" si="224"/>
        <v>0.12943262411347517</v>
      </c>
      <c r="AE154" s="34">
        <f t="shared" si="224"/>
        <v>0.15548621944877794</v>
      </c>
      <c r="AF154" s="116">
        <f t="shared" si="224"/>
        <v>0.13584366062917064</v>
      </c>
      <c r="AG154" s="116">
        <f t="shared" ref="AG154:AM154" si="225">+AG136/AG92</f>
        <v>7.4008024966562641E-2</v>
      </c>
      <c r="AH154" s="133">
        <f t="shared" si="225"/>
        <v>0.12121212121212122</v>
      </c>
      <c r="AI154" s="34">
        <f t="shared" si="225"/>
        <v>0.1239147592738753</v>
      </c>
      <c r="AJ154" s="34">
        <f t="shared" si="225"/>
        <v>0.17563739376770537</v>
      </c>
      <c r="AK154" s="34">
        <f t="shared" si="225"/>
        <v>0.19411057692307693</v>
      </c>
      <c r="AL154" s="116">
        <f t="shared" si="225"/>
        <v>6.8983137455288709E-2</v>
      </c>
      <c r="AM154" s="133">
        <f t="shared" si="225"/>
        <v>0.13903502179467908</v>
      </c>
      <c r="AN154" s="116">
        <f t="shared" ref="AN154:AS154" si="226">+AN136/AN92</f>
        <v>0.16894977168949771</v>
      </c>
      <c r="AO154" s="116">
        <f t="shared" si="226"/>
        <v>0.2808988764044944</v>
      </c>
      <c r="AP154" s="116">
        <f t="shared" si="226"/>
        <v>0.18407960199004975</v>
      </c>
      <c r="AQ154" s="116">
        <f t="shared" si="226"/>
        <v>0.10025839793281653</v>
      </c>
      <c r="AR154" s="133">
        <f t="shared" si="226"/>
        <v>0.18441678192715538</v>
      </c>
      <c r="AS154" s="116">
        <f t="shared" si="226"/>
        <v>0.18947368421052632</v>
      </c>
      <c r="AT154" s="116">
        <f t="shared" ref="AT154:AY154" si="227">+AT136/AT92</f>
        <v>0.20605416887944769</v>
      </c>
      <c r="AU154" s="116">
        <f t="shared" si="227"/>
        <v>0.17798989331836046</v>
      </c>
      <c r="AV154" s="116">
        <f t="shared" si="227"/>
        <v>8.7710604558969271E-2</v>
      </c>
      <c r="AW154" s="133">
        <f t="shared" si="227"/>
        <v>0.16054704920469748</v>
      </c>
      <c r="AX154" s="116">
        <f t="shared" si="227"/>
        <v>0.22803738317757008</v>
      </c>
      <c r="AY154" s="116">
        <f t="shared" si="227"/>
        <v>0.21777777777777776</v>
      </c>
      <c r="AZ154" s="34"/>
      <c r="BA154" s="34"/>
      <c r="BB154" s="133"/>
      <c r="BC154" s="34"/>
      <c r="BD154" s="34"/>
      <c r="BE154" s="34"/>
      <c r="BF154" s="34"/>
      <c r="BG154" s="133"/>
      <c r="BH154" s="34"/>
      <c r="BI154" s="34"/>
      <c r="BJ154" s="34"/>
      <c r="BK154" s="34"/>
      <c r="BL154" s="133"/>
      <c r="BM154" s="34"/>
      <c r="BN154" s="34"/>
      <c r="BO154" s="34"/>
      <c r="BP154" s="34"/>
      <c r="BQ154" s="133"/>
      <c r="BR154" s="34"/>
      <c r="BS154" s="34"/>
      <c r="BT154" s="34"/>
      <c r="BU154" s="34"/>
      <c r="BV154" s="133"/>
      <c r="BW154" s="34"/>
      <c r="BX154" s="34"/>
      <c r="BY154" s="34"/>
      <c r="BZ154" s="34"/>
      <c r="CA154" s="133"/>
      <c r="CB154" s="34"/>
      <c r="CC154" s="34"/>
      <c r="CD154" s="34"/>
      <c r="CE154" s="34"/>
      <c r="CF154" s="133"/>
      <c r="CG154" s="34"/>
      <c r="CH154" s="34"/>
      <c r="CI154" s="34"/>
      <c r="CJ154" s="34"/>
      <c r="CK154" s="133"/>
      <c r="CL154"/>
      <c r="CM154"/>
    </row>
    <row r="155" spans="1:101" ht="16.5" customHeight="1" collapsed="1" x14ac:dyDescent="0.2">
      <c r="A155" s="28"/>
      <c r="B155" s="28"/>
      <c r="C155" s="28"/>
      <c r="D155" s="28"/>
      <c r="E155" s="94"/>
      <c r="F155" s="94"/>
      <c r="G155" s="94"/>
      <c r="H155" s="94"/>
      <c r="I155" s="148"/>
      <c r="J155" s="94"/>
      <c r="K155" s="94"/>
      <c r="L155" s="94"/>
      <c r="M155" s="94"/>
      <c r="N155" s="148"/>
      <c r="O155" s="94"/>
      <c r="P155" s="94"/>
      <c r="Q155" s="94"/>
      <c r="R155" s="94"/>
      <c r="S155" s="148"/>
      <c r="T155" s="94"/>
      <c r="U155" s="94"/>
      <c r="V155" s="94"/>
      <c r="W155" s="94"/>
      <c r="X155" s="148"/>
      <c r="Y155" s="94"/>
      <c r="Z155" s="94"/>
      <c r="AA155" s="94"/>
      <c r="AB155" s="216"/>
      <c r="AC155" s="217"/>
      <c r="AD155" s="232"/>
      <c r="AE155" s="232"/>
      <c r="AF155" s="232"/>
      <c r="AG155" s="232"/>
      <c r="AH155" s="233"/>
      <c r="AI155" s="232"/>
      <c r="AJ155" s="232"/>
      <c r="AK155" s="232"/>
      <c r="AL155" s="232"/>
      <c r="AM155" s="233"/>
      <c r="AN155" s="232"/>
      <c r="AO155" s="232"/>
      <c r="AP155" s="232"/>
      <c r="AQ155" s="287"/>
      <c r="AR155" s="219"/>
      <c r="AS155" s="287"/>
      <c r="AT155" s="290"/>
      <c r="AU155" s="290"/>
      <c r="AV155" s="290"/>
      <c r="AW155" s="312"/>
      <c r="AX155" s="514"/>
      <c r="AY155" s="514"/>
      <c r="AZ155" s="528"/>
      <c r="BA155" s="514"/>
      <c r="BB155" s="311"/>
      <c r="BC155" s="290"/>
      <c r="BD155" s="290"/>
      <c r="BE155" s="290"/>
      <c r="BF155" s="290"/>
      <c r="BG155" s="311"/>
      <c r="BH155" s="216"/>
      <c r="BI155" s="216"/>
      <c r="BJ155" s="216"/>
      <c r="BK155" s="216"/>
      <c r="BL155" s="311"/>
      <c r="BM155" s="216"/>
      <c r="BN155" s="212"/>
      <c r="BO155" s="216"/>
      <c r="BP155" s="216"/>
      <c r="BQ155" s="217"/>
      <c r="BR155" s="216"/>
      <c r="BS155" s="216"/>
      <c r="BT155" s="216"/>
      <c r="BU155" s="216"/>
      <c r="BV155" s="217"/>
      <c r="BW155" s="216"/>
      <c r="BX155" s="216"/>
      <c r="BY155" s="216"/>
      <c r="BZ155" s="216"/>
      <c r="CA155" s="217"/>
      <c r="CB155" s="216"/>
      <c r="CC155" s="216"/>
      <c r="CD155" s="216"/>
      <c r="CE155" s="216"/>
      <c r="CF155" s="217"/>
      <c r="CG155" s="216"/>
      <c r="CH155" s="216"/>
      <c r="CI155" s="216"/>
      <c r="CJ155" s="216"/>
      <c r="CK155" s="217"/>
      <c r="CL155"/>
      <c r="CM155"/>
    </row>
    <row r="156" spans="1:101" ht="16.5" customHeight="1" x14ac:dyDescent="0.2">
      <c r="A156" s="28" t="s">
        <v>204</v>
      </c>
      <c r="B156" s="28"/>
      <c r="C156" s="28"/>
      <c r="D156" s="28"/>
      <c r="E156" s="216"/>
      <c r="F156" s="216"/>
      <c r="G156" s="216"/>
      <c r="H156" s="216"/>
      <c r="I156" s="217"/>
      <c r="J156" s="216"/>
      <c r="K156" s="216"/>
      <c r="L156" s="216"/>
      <c r="M156" s="216"/>
      <c r="N156" s="217">
        <f t="shared" ref="N156:W157" si="228">+(N142-I142)*10000</f>
        <v>-32.127264777519763</v>
      </c>
      <c r="O156" s="216">
        <f t="shared" si="228"/>
        <v>-34.208062200039024</v>
      </c>
      <c r="P156" s="216">
        <f t="shared" si="228"/>
        <v>-79.512221820515762</v>
      </c>
      <c r="Q156" s="216">
        <f t="shared" si="228"/>
        <v>-128.59496071464665</v>
      </c>
      <c r="R156" s="216">
        <f t="shared" si="228"/>
        <v>94.05746023311373</v>
      </c>
      <c r="S156" s="217">
        <f t="shared" si="228"/>
        <v>-22.887447706642362</v>
      </c>
      <c r="T156" s="216">
        <f t="shared" si="228"/>
        <v>3.7673054786163673</v>
      </c>
      <c r="U156" s="216">
        <f t="shared" si="228"/>
        <v>37.478400654743226</v>
      </c>
      <c r="V156" s="216">
        <f t="shared" si="228"/>
        <v>61.91958615393095</v>
      </c>
      <c r="W156" s="216">
        <f t="shared" si="228"/>
        <v>-59.26058951368357</v>
      </c>
      <c r="X156" s="217">
        <f t="shared" ref="X156:AG157" si="229">+(X142-S142)*10000</f>
        <v>2.6479451765731854</v>
      </c>
      <c r="Y156" s="216">
        <f t="shared" si="229"/>
        <v>-38.869734340928886</v>
      </c>
      <c r="Z156" s="216">
        <f t="shared" si="229"/>
        <v>-162.07396015742393</v>
      </c>
      <c r="AA156" s="216">
        <f t="shared" si="229"/>
        <v>-139.22768720833949</v>
      </c>
      <c r="AB156" s="216">
        <f t="shared" si="229"/>
        <v>-135.32973469476573</v>
      </c>
      <c r="AC156" s="217">
        <f t="shared" si="229"/>
        <v>-127.45290330691883</v>
      </c>
      <c r="AD156" s="216">
        <f t="shared" si="229"/>
        <v>-343.65964295757971</v>
      </c>
      <c r="AE156" s="216">
        <f t="shared" si="229"/>
        <v>-142.64907927872912</v>
      </c>
      <c r="AF156" s="218">
        <f t="shared" si="229"/>
        <v>-139.67011892502546</v>
      </c>
      <c r="AG156" s="218">
        <f t="shared" si="229"/>
        <v>39.984585146377313</v>
      </c>
      <c r="AH156" s="217">
        <f t="shared" ref="AH156:AQ157" si="230">+(AH142-AC142)*10000</f>
        <v>-115.97295780904182</v>
      </c>
      <c r="AI156" s="216">
        <f t="shared" si="230"/>
        <v>-148.35901302350157</v>
      </c>
      <c r="AJ156" s="216">
        <f t="shared" si="230"/>
        <v>-54.71530843753375</v>
      </c>
      <c r="AK156" s="216">
        <f t="shared" si="230"/>
        <v>-50.411191560779109</v>
      </c>
      <c r="AL156" s="216">
        <f t="shared" si="230"/>
        <v>-119.78890070145715</v>
      </c>
      <c r="AM156" s="217">
        <f t="shared" si="230"/>
        <v>-95.398103144674337</v>
      </c>
      <c r="AN156" s="216">
        <f t="shared" si="230"/>
        <v>82.190482595855812</v>
      </c>
      <c r="AO156" s="216">
        <f t="shared" si="230"/>
        <v>116.80711478978783</v>
      </c>
      <c r="AP156" s="216">
        <f t="shared" si="230"/>
        <v>4.9332193452716888</v>
      </c>
      <c r="AQ156" s="216">
        <f t="shared" si="230"/>
        <v>-34.863813373801896</v>
      </c>
      <c r="AR156" s="217">
        <f t="shared" ref="AR156:BA157" si="231">+(AR142-AM142)*10000</f>
        <v>36.520128494533786</v>
      </c>
      <c r="AS156" s="216">
        <f t="shared" si="231"/>
        <v>53.870675607423927</v>
      </c>
      <c r="AT156" s="216">
        <f t="shared" si="231"/>
        <v>9.3842849012193419</v>
      </c>
      <c r="AU156" s="216">
        <f t="shared" si="231"/>
        <v>47.367794511959104</v>
      </c>
      <c r="AV156" s="216">
        <f t="shared" si="231"/>
        <v>17.705892164243675</v>
      </c>
      <c r="AW156" s="217">
        <f t="shared" si="231"/>
        <v>31.70246100817231</v>
      </c>
      <c r="AX156" s="216">
        <f t="shared" si="231"/>
        <v>18.971866396741699</v>
      </c>
      <c r="AY156" s="216">
        <f t="shared" si="231"/>
        <v>62.146964651664526</v>
      </c>
      <c r="AZ156" s="216">
        <f>+(AZ142-AU142)*10000</f>
        <v>58.091202017127863</v>
      </c>
      <c r="BA156" s="216">
        <f t="shared" si="231"/>
        <v>-20.259750951073798</v>
      </c>
      <c r="BB156" s="217">
        <f t="shared" ref="BB156:BK156" si="232">+(BB142-AW142)*10000</f>
        <v>29.329696519455606</v>
      </c>
      <c r="BC156" s="216">
        <f t="shared" si="232"/>
        <v>116.58416279865303</v>
      </c>
      <c r="BD156" s="216">
        <f t="shared" si="232"/>
        <v>42.675251229850055</v>
      </c>
      <c r="BE156" s="216">
        <f t="shared" si="232"/>
        <v>-4.4826305887427083</v>
      </c>
      <c r="BF156" s="216">
        <f t="shared" si="232"/>
        <v>60.264480645152716</v>
      </c>
      <c r="BG156" s="217">
        <f t="shared" si="232"/>
        <v>42.755561428634294</v>
      </c>
      <c r="BH156" s="216">
        <f t="shared" si="232"/>
        <v>-38.386852292665033</v>
      </c>
      <c r="BI156" s="216">
        <f t="shared" si="232"/>
        <v>40.460117810038888</v>
      </c>
      <c r="BJ156" s="216">
        <f t="shared" si="232"/>
        <v>21.791313672955283</v>
      </c>
      <c r="BK156" s="216">
        <f t="shared" si="232"/>
        <v>74.033087898280058</v>
      </c>
      <c r="BL156" s="217">
        <f t="shared" ref="BL156:BU156" si="233">+(BL142-BG142)*10000</f>
        <v>32.662030560086372</v>
      </c>
      <c r="BM156" s="216">
        <f t="shared" si="233"/>
        <v>-131.23166979002815</v>
      </c>
      <c r="BN156" s="216">
        <f t="shared" si="233"/>
        <v>-34.755203089630314</v>
      </c>
      <c r="BO156" s="216">
        <f t="shared" si="233"/>
        <v>119.20032691123266</v>
      </c>
      <c r="BP156" s="216">
        <f t="shared" si="233"/>
        <v>63.051054863089426</v>
      </c>
      <c r="BQ156" s="217">
        <f t="shared" si="233"/>
        <v>16.111336091168827</v>
      </c>
      <c r="BR156" s="216">
        <f t="shared" si="233"/>
        <v>60.664667180049257</v>
      </c>
      <c r="BS156" s="216">
        <f t="shared" si="233"/>
        <v>55.192238403708458</v>
      </c>
      <c r="BT156" s="216">
        <f t="shared" si="233"/>
        <v>52.345254481866718</v>
      </c>
      <c r="BU156" s="216">
        <f t="shared" si="233"/>
        <v>56.504050106141179</v>
      </c>
      <c r="BV156" s="217">
        <f t="shared" ref="BV156:CE156" si="234">+(BV142-BQ142)*10000</f>
        <v>55.917143892139087</v>
      </c>
      <c r="BW156" s="216">
        <f t="shared" si="234"/>
        <v>59.557494145014985</v>
      </c>
      <c r="BX156" s="216">
        <f t="shared" si="234"/>
        <v>53.926855172093667</v>
      </c>
      <c r="BY156" s="216">
        <f t="shared" si="234"/>
        <v>51.633222598129748</v>
      </c>
      <c r="BZ156" s="216">
        <f t="shared" si="234"/>
        <v>55.475971917594848</v>
      </c>
      <c r="CA156" s="217">
        <f t="shared" si="234"/>
        <v>54.877503633486427</v>
      </c>
      <c r="CB156" s="216">
        <f t="shared" si="234"/>
        <v>58.415577045092263</v>
      </c>
      <c r="CC156" s="216">
        <f t="shared" si="234"/>
        <v>52.958625047369033</v>
      </c>
      <c r="CD156" s="216">
        <f t="shared" si="234"/>
        <v>50.793801828196983</v>
      </c>
      <c r="CE156" s="216">
        <f t="shared" si="234"/>
        <v>54.137921799693181</v>
      </c>
      <c r="CF156" s="217">
        <f t="shared" ref="CF156:CK156" si="235">+(CF142-CA142)*10000</f>
        <v>53.796272295606464</v>
      </c>
      <c r="CG156" s="216">
        <f t="shared" si="235"/>
        <v>58.140926456074219</v>
      </c>
      <c r="CH156" s="216">
        <f t="shared" si="235"/>
        <v>52.721309858776436</v>
      </c>
      <c r="CI156" s="216">
        <f t="shared" si="235"/>
        <v>50.599870249466996</v>
      </c>
      <c r="CJ156" s="216">
        <f t="shared" si="235"/>
        <v>53.788098504747865</v>
      </c>
      <c r="CK156" s="217">
        <f t="shared" si="235"/>
        <v>53.529007925578739</v>
      </c>
      <c r="CL156"/>
      <c r="CM156"/>
    </row>
    <row r="157" spans="1:101" ht="16.5" hidden="1" customHeight="1" outlineLevel="1" x14ac:dyDescent="0.2">
      <c r="A157" s="26"/>
      <c r="B157" s="26" t="str">
        <f t="shared" ref="B157:B163" si="236">+B143</f>
        <v>Pepsi Americas Food</v>
      </c>
      <c r="C157" s="26"/>
      <c r="D157" s="26"/>
      <c r="E157" s="220"/>
      <c r="F157" s="220"/>
      <c r="G157" s="220"/>
      <c r="H157" s="220"/>
      <c r="I157" s="221"/>
      <c r="J157" s="220"/>
      <c r="K157" s="220"/>
      <c r="L157" s="220"/>
      <c r="M157" s="220"/>
      <c r="N157" s="535">
        <f t="shared" si="228"/>
        <v>-56.544608707132795</v>
      </c>
      <c r="O157" s="536">
        <f t="shared" si="228"/>
        <v>-110.58252958751707</v>
      </c>
      <c r="P157" s="536">
        <f t="shared" si="228"/>
        <v>-65.451287571442748</v>
      </c>
      <c r="Q157" s="536">
        <f t="shared" si="228"/>
        <v>-67.732840391366011</v>
      </c>
      <c r="R157" s="536">
        <f t="shared" si="228"/>
        <v>115.97158977991046</v>
      </c>
      <c r="S157" s="535">
        <f t="shared" si="228"/>
        <v>-15.615090841934464</v>
      </c>
      <c r="T157" s="536">
        <f t="shared" si="228"/>
        <v>92.108906241238358</v>
      </c>
      <c r="U157" s="536">
        <f t="shared" si="228"/>
        <v>74.278400483892554</v>
      </c>
      <c r="V157" s="536">
        <f t="shared" si="228"/>
        <v>6.8169725990954717</v>
      </c>
      <c r="W157" s="536">
        <f t="shared" si="228"/>
        <v>-24.024508084696805</v>
      </c>
      <c r="X157" s="535">
        <f t="shared" si="229"/>
        <v>30.614307899770875</v>
      </c>
      <c r="Y157" s="536">
        <f t="shared" si="229"/>
        <v>-36.685576548500244</v>
      </c>
      <c r="Z157" s="536">
        <f t="shared" si="229"/>
        <v>-19.615976714430495</v>
      </c>
      <c r="AA157" s="536">
        <f t="shared" si="229"/>
        <v>149.04187585074087</v>
      </c>
      <c r="AB157" s="536">
        <f t="shared" si="229"/>
        <v>155.71974883742263</v>
      </c>
      <c r="AC157" s="535">
        <f t="shared" si="229"/>
        <v>72.445437223519761</v>
      </c>
      <c r="AD157" s="536">
        <f t="shared" si="229"/>
        <v>133.78565368167506</v>
      </c>
      <c r="AE157" s="536">
        <f t="shared" si="229"/>
        <v>29.114662431806714</v>
      </c>
      <c r="AF157" s="537">
        <f t="shared" si="229"/>
        <v>-13.268230112949142</v>
      </c>
      <c r="AG157" s="537">
        <f t="shared" si="229"/>
        <v>78.076340819166759</v>
      </c>
      <c r="AH157" s="535">
        <f t="shared" si="230"/>
        <v>55.55489055041857</v>
      </c>
      <c r="AI157" s="536">
        <f t="shared" si="230"/>
        <v>-90.004670153620566</v>
      </c>
      <c r="AJ157" s="536">
        <f t="shared" si="230"/>
        <v>-105.46725738658085</v>
      </c>
      <c r="AK157" s="536">
        <f t="shared" si="230"/>
        <v>-131.50021893800852</v>
      </c>
      <c r="AL157" s="536">
        <f t="shared" si="230"/>
        <v>-208.47794597956297</v>
      </c>
      <c r="AM157" s="535">
        <f t="shared" si="230"/>
        <v>-141.17940113449495</v>
      </c>
      <c r="AN157" s="536">
        <f t="shared" si="230"/>
        <v>-2.8800938051043445</v>
      </c>
      <c r="AO157" s="536">
        <f t="shared" si="230"/>
        <v>3.505368674084075</v>
      </c>
      <c r="AP157" s="536">
        <f t="shared" si="230"/>
        <v>19.112277360487372</v>
      </c>
      <c r="AQ157" s="536">
        <f t="shared" si="230"/>
        <v>11.786330849800908</v>
      </c>
      <c r="AR157" s="535">
        <f t="shared" si="231"/>
        <v>8.9315289214891855</v>
      </c>
      <c r="AS157" s="536">
        <f t="shared" si="231"/>
        <v>38.393252839125644</v>
      </c>
      <c r="AT157" s="536">
        <f t="shared" si="231"/>
        <v>74.357283753065104</v>
      </c>
      <c r="AU157" s="536">
        <f t="shared" si="231"/>
        <v>89.895362456320356</v>
      </c>
      <c r="AV157" s="536">
        <f t="shared" si="231"/>
        <v>-22.132220614599074</v>
      </c>
      <c r="AW157" s="535">
        <f t="shared" si="231"/>
        <v>40.948242243746272</v>
      </c>
      <c r="AX157" s="536"/>
      <c r="AY157" s="536"/>
      <c r="AZ157" s="538">
        <v>1.2854859006731612</v>
      </c>
      <c r="BA157" s="539">
        <v>1.1211800051373109</v>
      </c>
      <c r="BB157" s="540">
        <v>4.5588085568560732</v>
      </c>
      <c r="BC157" s="539">
        <v>0.85850905833309954</v>
      </c>
      <c r="BD157" s="539">
        <v>1.4140204792750091</v>
      </c>
      <c r="BE157" s="539">
        <v>1.4140204792750091</v>
      </c>
      <c r="BF157" s="539">
        <v>1.4140204792750091</v>
      </c>
      <c r="BG157" s="540">
        <v>4.8958388899652565</v>
      </c>
      <c r="BH157" s="539">
        <v>1.4140204792750091</v>
      </c>
      <c r="BI157" s="539">
        <v>1.4140204792750091</v>
      </c>
      <c r="BJ157" s="539">
        <v>1.4140204792750091</v>
      </c>
      <c r="BK157" s="539">
        <v>1.4140204792750091</v>
      </c>
      <c r="BL157" s="535"/>
      <c r="BM157" s="536"/>
      <c r="BN157" s="536"/>
      <c r="BO157" s="536"/>
      <c r="BP157" s="536"/>
      <c r="BQ157" s="535"/>
      <c r="BR157" s="536"/>
      <c r="BS157" s="536"/>
      <c r="BT157" s="536"/>
      <c r="BU157" s="536"/>
      <c r="BV157" s="535"/>
      <c r="BW157" s="536"/>
      <c r="BX157" s="536"/>
      <c r="BY157" s="536"/>
      <c r="BZ157" s="536"/>
      <c r="CA157" s="535"/>
      <c r="CB157" s="536"/>
      <c r="CC157" s="536"/>
      <c r="CD157" s="536"/>
      <c r="CE157" s="536"/>
      <c r="CF157" s="535"/>
      <c r="CG157" s="536"/>
      <c r="CH157" s="536"/>
      <c r="CI157" s="536"/>
      <c r="CJ157" s="536"/>
      <c r="CK157" s="535"/>
      <c r="CL157"/>
      <c r="CM157"/>
    </row>
    <row r="158" spans="1:101" ht="16.5" customHeight="1" collapsed="1" x14ac:dyDescent="0.2">
      <c r="A158" s="47"/>
      <c r="B158" s="426" t="str">
        <f t="shared" si="236"/>
        <v>Frito-Lay North America</v>
      </c>
      <c r="C158" s="47"/>
      <c r="D158" s="47"/>
      <c r="E158" s="223"/>
      <c r="F158" s="223"/>
      <c r="G158" s="223"/>
      <c r="H158" s="223"/>
      <c r="I158" s="224"/>
      <c r="J158" s="223"/>
      <c r="K158" s="223"/>
      <c r="L158" s="223"/>
      <c r="M158" s="223"/>
      <c r="N158" s="535">
        <f t="shared" ref="N158:W159" si="237">+(N144-I144)*10000</f>
        <v>6.4597990056941557</v>
      </c>
      <c r="O158" s="536">
        <f t="shared" si="237"/>
        <v>-70.664548925418458</v>
      </c>
      <c r="P158" s="536">
        <f t="shared" si="237"/>
        <v>-13.065101427264247</v>
      </c>
      <c r="Q158" s="536">
        <f t="shared" si="237"/>
        <v>-82.122996401701172</v>
      </c>
      <c r="R158" s="536">
        <f t="shared" si="237"/>
        <v>34.089792710482456</v>
      </c>
      <c r="S158" s="535">
        <f t="shared" si="237"/>
        <v>-27.490146688232684</v>
      </c>
      <c r="T158" s="536">
        <f t="shared" si="237"/>
        <v>11.318681318681357</v>
      </c>
      <c r="U158" s="536">
        <f t="shared" si="237"/>
        <v>3.6944615484330035</v>
      </c>
      <c r="V158" s="536">
        <f t="shared" si="237"/>
        <v>2.4794691971979921</v>
      </c>
      <c r="W158" s="536">
        <f t="shared" si="237"/>
        <v>34.444553601641616</v>
      </c>
      <c r="X158" s="535">
        <f t="shared" ref="X158:AG159" si="238">+(X144-S144)*10000</f>
        <v>48.377063099555308</v>
      </c>
      <c r="Y158" s="536">
        <f t="shared" si="238"/>
        <v>211.89944134078181</v>
      </c>
      <c r="Z158" s="536">
        <f t="shared" si="238"/>
        <v>178.57690616660372</v>
      </c>
      <c r="AA158" s="536">
        <f t="shared" si="238"/>
        <v>268.98778949958512</v>
      </c>
      <c r="AB158" s="536">
        <f t="shared" si="238"/>
        <v>219.09063261364577</v>
      </c>
      <c r="AC158" s="535">
        <f t="shared" si="238"/>
        <v>184.51508947348151</v>
      </c>
      <c r="AD158" s="536">
        <f t="shared" si="238"/>
        <v>123.38981485756517</v>
      </c>
      <c r="AE158" s="536">
        <f t="shared" si="238"/>
        <v>86.721007908900361</v>
      </c>
      <c r="AF158" s="537">
        <f t="shared" si="238"/>
        <v>53.816784033313695</v>
      </c>
      <c r="AG158" s="537">
        <f t="shared" si="238"/>
        <v>94.847253353907973</v>
      </c>
      <c r="AH158" s="535">
        <f t="shared" ref="AH158:AQ159" si="239">+(AH144-AC144)*10000</f>
        <v>90.106940374048989</v>
      </c>
      <c r="AI158" s="536">
        <f t="shared" si="239"/>
        <v>-47.349056862798776</v>
      </c>
      <c r="AJ158" s="536">
        <f t="shared" si="239"/>
        <v>-70.257855726067461</v>
      </c>
      <c r="AK158" s="536">
        <f t="shared" si="239"/>
        <v>-63.549544340020248</v>
      </c>
      <c r="AL158" s="537">
        <f t="shared" si="239"/>
        <v>-61.912877590630245</v>
      </c>
      <c r="AM158" s="535">
        <f t="shared" si="239"/>
        <v>-61.213764044075191</v>
      </c>
      <c r="AN158" s="537">
        <f t="shared" si="239"/>
        <v>39.760729258752072</v>
      </c>
      <c r="AO158" s="537">
        <f t="shared" si="239"/>
        <v>34.830092387722608</v>
      </c>
      <c r="AP158" s="537">
        <f t="shared" si="239"/>
        <v>26.696909226577858</v>
      </c>
      <c r="AQ158" s="537">
        <f t="shared" si="239"/>
        <v>67.559089233493182</v>
      </c>
      <c r="AR158" s="535">
        <f t="shared" ref="AR158:BK159" si="240">+(AR144-AM144)*10000</f>
        <v>44.02274747128898</v>
      </c>
      <c r="AS158" s="537">
        <f t="shared" si="240"/>
        <v>60.534548261866327</v>
      </c>
      <c r="AT158" s="537">
        <f t="shared" si="240"/>
        <v>79.752007091587473</v>
      </c>
      <c r="AU158" s="537">
        <f t="shared" si="240"/>
        <v>76.193006822482531</v>
      </c>
      <c r="AV158" s="537">
        <f t="shared" si="240"/>
        <v>65.961758441414602</v>
      </c>
      <c r="AW158" s="535">
        <f t="shared" si="240"/>
        <v>70.540539522023209</v>
      </c>
      <c r="AX158" s="537">
        <f t="shared" si="240"/>
        <v>71.761510188123594</v>
      </c>
      <c r="AY158" s="537">
        <f t="shared" si="240"/>
        <v>118.1011782149799</v>
      </c>
      <c r="AZ158" s="537">
        <f t="shared" si="240"/>
        <v>153.29323737747259</v>
      </c>
      <c r="BA158" s="537">
        <f t="shared" si="240"/>
        <v>68.532798705059903</v>
      </c>
      <c r="BB158" s="535">
        <f t="shared" ref="BB158:BB163" si="241">+(BB144-AW144)*10000</f>
        <v>100.66289383736327</v>
      </c>
      <c r="BC158" s="537">
        <f t="shared" si="240"/>
        <v>141.54192459994607</v>
      </c>
      <c r="BD158" s="537">
        <f t="shared" si="240"/>
        <v>90.524792147040344</v>
      </c>
      <c r="BE158" s="537">
        <f t="shared" si="240"/>
        <v>9.9616013859621368</v>
      </c>
      <c r="BF158" s="537">
        <f t="shared" si="240"/>
        <v>-30.080347628572145</v>
      </c>
      <c r="BG158" s="535">
        <f t="shared" ref="BG158:BG163" si="242">+(BG144-BB144)*10000</f>
        <v>44.586420507377596</v>
      </c>
      <c r="BH158" s="537">
        <f t="shared" si="240"/>
        <v>72.176435597832707</v>
      </c>
      <c r="BI158" s="537">
        <f t="shared" si="240"/>
        <v>102.35580382399301</v>
      </c>
      <c r="BJ158" s="537">
        <f t="shared" si="240"/>
        <v>68.800705224446034</v>
      </c>
      <c r="BK158" s="537">
        <f t="shared" si="240"/>
        <v>119.84602499746089</v>
      </c>
      <c r="BL158" s="535">
        <f t="shared" ref="BL158:BL163" si="243">+(BL144-BG144)*10000</f>
        <v>94.285204068136338</v>
      </c>
      <c r="BM158" s="541">
        <v>-225</v>
      </c>
      <c r="BN158" s="541">
        <v>100</v>
      </c>
      <c r="BO158" s="541">
        <v>100</v>
      </c>
      <c r="BP158" s="541">
        <v>80</v>
      </c>
      <c r="BQ158" s="535">
        <f t="shared" ref="BQ158:BQ163" si="244">+(BQ144-BL144)*10000</f>
        <v>21.022156956537195</v>
      </c>
      <c r="BR158" s="541">
        <v>55</v>
      </c>
      <c r="BS158" s="541">
        <v>55</v>
      </c>
      <c r="BT158" s="541">
        <v>55</v>
      </c>
      <c r="BU158" s="541">
        <v>55</v>
      </c>
      <c r="BV158" s="535">
        <f t="shared" ref="BV158:BV163" si="245">+(BV144-BQ144)*10000</f>
        <v>55.104939791977834</v>
      </c>
      <c r="BW158" s="541">
        <f t="shared" ref="BW158:BZ158" si="246">+BR158</f>
        <v>55</v>
      </c>
      <c r="BX158" s="541">
        <f t="shared" si="246"/>
        <v>55</v>
      </c>
      <c r="BY158" s="541">
        <f t="shared" si="246"/>
        <v>55</v>
      </c>
      <c r="BZ158" s="541">
        <f t="shared" si="246"/>
        <v>55</v>
      </c>
      <c r="CA158" s="535">
        <f t="shared" ref="CA158:CA163" si="247">+(CA144-BV144)*10000</f>
        <v>55.00000000000005</v>
      </c>
      <c r="CB158" s="541">
        <f t="shared" ref="CB158:CE159" si="248">+BW158</f>
        <v>55</v>
      </c>
      <c r="CC158" s="541">
        <f t="shared" si="248"/>
        <v>55</v>
      </c>
      <c r="CD158" s="541">
        <f t="shared" si="248"/>
        <v>55</v>
      </c>
      <c r="CE158" s="541">
        <f t="shared" si="248"/>
        <v>55</v>
      </c>
      <c r="CF158" s="535">
        <f t="shared" ref="CF158:CF163" si="249">+(CF144-CA144)*10000</f>
        <v>55.000000000000604</v>
      </c>
      <c r="CG158" s="541">
        <f t="shared" ref="CG158:CJ159" si="250">+CB158</f>
        <v>55</v>
      </c>
      <c r="CH158" s="541">
        <f t="shared" si="250"/>
        <v>55</v>
      </c>
      <c r="CI158" s="541">
        <f t="shared" si="250"/>
        <v>55</v>
      </c>
      <c r="CJ158" s="541">
        <f t="shared" si="250"/>
        <v>55</v>
      </c>
      <c r="CK158" s="535">
        <f t="shared" ref="CK158:CK163" si="251">+(CK144-CF144)*10000</f>
        <v>54.999999999998941</v>
      </c>
      <c r="CL158"/>
      <c r="CM158"/>
      <c r="CN158" s="37"/>
      <c r="CO158" s="37"/>
      <c r="CP158" s="37"/>
      <c r="CQ158" s="37"/>
      <c r="CR158" s="37"/>
      <c r="CS158" s="37"/>
      <c r="CT158" s="37"/>
      <c r="CU158" s="37"/>
      <c r="CV158" s="37"/>
      <c r="CW158" s="37"/>
    </row>
    <row r="159" spans="1:101" ht="16.5" customHeight="1" x14ac:dyDescent="0.2">
      <c r="A159" s="47"/>
      <c r="B159" s="426" t="str">
        <f t="shared" si="236"/>
        <v>Quaker Foods North America</v>
      </c>
      <c r="C159" s="47"/>
      <c r="D159" s="47"/>
      <c r="E159" s="223"/>
      <c r="F159" s="223"/>
      <c r="G159" s="223"/>
      <c r="H159" s="223"/>
      <c r="I159" s="224"/>
      <c r="J159" s="223"/>
      <c r="K159" s="223"/>
      <c r="L159" s="223"/>
      <c r="M159" s="223"/>
      <c r="N159" s="535">
        <f t="shared" si="237"/>
        <v>-77.949391248320893</v>
      </c>
      <c r="O159" s="536">
        <f t="shared" si="237"/>
        <v>-15.795100028361265</v>
      </c>
      <c r="P159" s="536">
        <f t="shared" si="237"/>
        <v>4.9261083743845635</v>
      </c>
      <c r="Q159" s="536">
        <f t="shared" si="237"/>
        <v>361.41654376761812</v>
      </c>
      <c r="R159" s="536">
        <f t="shared" si="237"/>
        <v>295.57707118494869</v>
      </c>
      <c r="S159" s="535">
        <f t="shared" si="237"/>
        <v>169.15979783589441</v>
      </c>
      <c r="T159" s="536">
        <f t="shared" si="237"/>
        <v>275.33062584608967</v>
      </c>
      <c r="U159" s="536">
        <f t="shared" si="237"/>
        <v>328.40722495894869</v>
      </c>
      <c r="V159" s="536">
        <f t="shared" si="237"/>
        <v>-293.13868255852361</v>
      </c>
      <c r="W159" s="536">
        <f t="shared" si="237"/>
        <v>116.7157068796415</v>
      </c>
      <c r="X159" s="535">
        <f t="shared" si="238"/>
        <v>-308.89272139056402</v>
      </c>
      <c r="Y159" s="536">
        <f t="shared" si="238"/>
        <v>-773.81473487192659</v>
      </c>
      <c r="Z159" s="536">
        <f t="shared" si="238"/>
        <v>-601.37457044673545</v>
      </c>
      <c r="AA159" s="536">
        <f t="shared" si="238"/>
        <v>-355.26912880446514</v>
      </c>
      <c r="AB159" s="536">
        <f t="shared" si="238"/>
        <v>-463.05312128096966</v>
      </c>
      <c r="AC159" s="535">
        <f t="shared" si="238"/>
        <v>-124.12087875132815</v>
      </c>
      <c r="AD159" s="536">
        <f t="shared" si="238"/>
        <v>488.69875549048317</v>
      </c>
      <c r="AE159" s="536">
        <f t="shared" si="238"/>
        <v>132.53523368287057</v>
      </c>
      <c r="AF159" s="537">
        <f t="shared" si="238"/>
        <v>104.03399329022788</v>
      </c>
      <c r="AG159" s="537">
        <f t="shared" si="238"/>
        <v>368.34302657087483</v>
      </c>
      <c r="AH159" s="535">
        <f t="shared" si="239"/>
        <v>282.01078990790995</v>
      </c>
      <c r="AI159" s="536">
        <f t="shared" si="239"/>
        <v>-261.88804173354731</v>
      </c>
      <c r="AJ159" s="536">
        <f t="shared" si="239"/>
        <v>-205.83190394511121</v>
      </c>
      <c r="AK159" s="536">
        <f t="shared" si="239"/>
        <v>-362.41095309975935</v>
      </c>
      <c r="AL159" s="537">
        <f t="shared" si="239"/>
        <v>-674.62554579118978</v>
      </c>
      <c r="AM159" s="535">
        <f t="shared" si="239"/>
        <v>-401.20722664118648</v>
      </c>
      <c r="AN159" s="537">
        <f t="shared" si="239"/>
        <v>-258.51810968601063</v>
      </c>
      <c r="AO159" s="537">
        <f t="shared" si="239"/>
        <v>-336.30507356023213</v>
      </c>
      <c r="AP159" s="537">
        <f t="shared" si="239"/>
        <v>-252.11328272223111</v>
      </c>
      <c r="AQ159" s="537">
        <f t="shared" si="239"/>
        <v>-332.98181062419661</v>
      </c>
      <c r="AR159" s="535">
        <f t="shared" si="240"/>
        <v>-293.22468727270177</v>
      </c>
      <c r="AS159" s="537">
        <f t="shared" si="240"/>
        <v>-268.13880126182966</v>
      </c>
      <c r="AT159" s="537">
        <f t="shared" si="240"/>
        <v>142.18198802807365</v>
      </c>
      <c r="AU159" s="537">
        <f t="shared" si="240"/>
        <v>291.5150419275364</v>
      </c>
      <c r="AV159" s="537">
        <f t="shared" si="240"/>
        <v>201.39297877243752</v>
      </c>
      <c r="AW159" s="535">
        <f t="shared" si="240"/>
        <v>95.252918473568144</v>
      </c>
      <c r="AX159" s="537">
        <f t="shared" si="240"/>
        <v>-990.25982040155418</v>
      </c>
      <c r="AY159" s="537">
        <f t="shared" si="240"/>
        <v>-46.956589509780933</v>
      </c>
      <c r="AZ159" s="537">
        <f t="shared" si="240"/>
        <v>30.324495518648796</v>
      </c>
      <c r="BA159" s="537">
        <f t="shared" si="240"/>
        <v>-24.358130348913765</v>
      </c>
      <c r="BB159" s="535">
        <f t="shared" si="241"/>
        <v>-258.82086676148441</v>
      </c>
      <c r="BC159" s="537">
        <f t="shared" si="240"/>
        <v>1109.2849189500407</v>
      </c>
      <c r="BD159" s="537">
        <f t="shared" si="240"/>
        <v>184.91312608959672</v>
      </c>
      <c r="BE159" s="537">
        <f t="shared" si="240"/>
        <v>-85.673174263201645</v>
      </c>
      <c r="BF159" s="537">
        <f t="shared" si="240"/>
        <v>82.327330298832265</v>
      </c>
      <c r="BG159" s="535">
        <f t="shared" si="242"/>
        <v>321.18083779583947</v>
      </c>
      <c r="BH159" s="537">
        <f t="shared" si="240"/>
        <v>51.522362494105245</v>
      </c>
      <c r="BI159" s="537">
        <f t="shared" si="240"/>
        <v>19.565939148962208</v>
      </c>
      <c r="BJ159" s="537">
        <f t="shared" si="240"/>
        <v>4.2722353183571871</v>
      </c>
      <c r="BK159" s="537">
        <f t="shared" si="240"/>
        <v>127.39176614194436</v>
      </c>
      <c r="BL159" s="535">
        <f t="shared" si="243"/>
        <v>57.78712970332667</v>
      </c>
      <c r="BM159" s="541">
        <v>-80</v>
      </c>
      <c r="BN159" s="541">
        <v>60</v>
      </c>
      <c r="BO159" s="541">
        <v>150</v>
      </c>
      <c r="BP159" s="541">
        <v>90</v>
      </c>
      <c r="BQ159" s="535">
        <f t="shared" si="244"/>
        <v>56.595349833107875</v>
      </c>
      <c r="BR159" s="541">
        <v>40</v>
      </c>
      <c r="BS159" s="541">
        <v>40</v>
      </c>
      <c r="BT159" s="541">
        <v>40</v>
      </c>
      <c r="BU159" s="541">
        <v>40</v>
      </c>
      <c r="BV159" s="535">
        <f t="shared" si="245"/>
        <v>39.966637762774425</v>
      </c>
      <c r="BW159" s="541">
        <f t="shared" ref="BW159:BW160" si="252">+BR159</f>
        <v>40</v>
      </c>
      <c r="BX159" s="541">
        <f t="shared" ref="BX159:BX160" si="253">+BS159</f>
        <v>40</v>
      </c>
      <c r="BY159" s="541">
        <f t="shared" ref="BY159:BY160" si="254">+BT159</f>
        <v>40</v>
      </c>
      <c r="BZ159" s="541">
        <f t="shared" ref="BZ159:BZ160" si="255">+BU159</f>
        <v>40</v>
      </c>
      <c r="CA159" s="535">
        <f t="shared" si="247"/>
        <v>39.965686574715001</v>
      </c>
      <c r="CB159" s="541">
        <f t="shared" si="248"/>
        <v>40</v>
      </c>
      <c r="CC159" s="541">
        <f t="shared" si="248"/>
        <v>40</v>
      </c>
      <c r="CD159" s="541">
        <f t="shared" si="248"/>
        <v>40</v>
      </c>
      <c r="CE159" s="541">
        <f t="shared" si="248"/>
        <v>40</v>
      </c>
      <c r="CF159" s="535">
        <f t="shared" si="249"/>
        <v>39.965792771621267</v>
      </c>
      <c r="CG159" s="541">
        <f t="shared" si="250"/>
        <v>40</v>
      </c>
      <c r="CH159" s="541">
        <f t="shared" si="250"/>
        <v>40</v>
      </c>
      <c r="CI159" s="541">
        <f t="shared" si="250"/>
        <v>40</v>
      </c>
      <c r="CJ159" s="541">
        <f t="shared" si="250"/>
        <v>40</v>
      </c>
      <c r="CK159" s="535">
        <f t="shared" si="251"/>
        <v>39.965901384893534</v>
      </c>
      <c r="CL159"/>
      <c r="CM159"/>
      <c r="CN159" s="37"/>
      <c r="CO159" s="37"/>
      <c r="CP159" s="37"/>
      <c r="CQ159" s="37"/>
      <c r="CR159" s="37"/>
      <c r="CS159" s="37"/>
      <c r="CT159" s="37"/>
      <c r="CU159" s="37"/>
      <c r="CV159" s="37"/>
      <c r="CW159" s="37"/>
    </row>
    <row r="160" spans="1:101" ht="16.5" customHeight="1" x14ac:dyDescent="0.2">
      <c r="A160" s="26"/>
      <c r="B160" s="26" t="str">
        <f t="shared" si="236"/>
        <v>North America Beverages</v>
      </c>
      <c r="C160" s="26"/>
      <c r="D160" s="26"/>
      <c r="E160" s="215"/>
      <c r="F160" s="215"/>
      <c r="G160" s="215"/>
      <c r="H160" s="215"/>
      <c r="I160" s="227"/>
      <c r="J160" s="215"/>
      <c r="K160" s="215"/>
      <c r="L160" s="215"/>
      <c r="M160" s="215"/>
      <c r="N160" s="535"/>
      <c r="O160" s="536"/>
      <c r="P160" s="536"/>
      <c r="Q160" s="536"/>
      <c r="R160" s="536"/>
      <c r="S160" s="535"/>
      <c r="T160" s="536"/>
      <c r="U160" s="536"/>
      <c r="V160" s="536"/>
      <c r="W160" s="536"/>
      <c r="X160" s="535"/>
      <c r="Y160" s="536"/>
      <c r="Z160" s="536"/>
      <c r="AA160" s="536"/>
      <c r="AB160" s="536"/>
      <c r="AC160" s="535"/>
      <c r="AD160" s="536"/>
      <c r="AE160" s="536"/>
      <c r="AF160" s="537"/>
      <c r="AG160" s="537"/>
      <c r="AH160" s="535"/>
      <c r="AI160" s="536"/>
      <c r="AJ160" s="536"/>
      <c r="AK160" s="536"/>
      <c r="AL160" s="537"/>
      <c r="AM160" s="535"/>
      <c r="AN160" s="537"/>
      <c r="AO160" s="537"/>
      <c r="AP160" s="537"/>
      <c r="AQ160" s="537"/>
      <c r="AR160" s="535"/>
      <c r="AS160" s="537"/>
      <c r="AT160" s="537"/>
      <c r="AU160" s="537"/>
      <c r="AV160" s="537"/>
      <c r="AW160" s="535">
        <f t="shared" ref="AW160:BK163" si="256">+(AW146-AR146)*10000</f>
        <v>-10.627404871241808</v>
      </c>
      <c r="AX160" s="537">
        <f t="shared" si="256"/>
        <v>45.868977753693031</v>
      </c>
      <c r="AY160" s="537">
        <f t="shared" si="256"/>
        <v>81.429169013709782</v>
      </c>
      <c r="AZ160" s="537">
        <f t="shared" si="256"/>
        <v>53.011457862204296</v>
      </c>
      <c r="BA160" s="537">
        <f t="shared" si="256"/>
        <v>0.30144557914404957</v>
      </c>
      <c r="BB160" s="535">
        <f t="shared" si="241"/>
        <v>45.291797713697676</v>
      </c>
      <c r="BC160" s="537">
        <f t="shared" si="256"/>
        <v>47.564024328759501</v>
      </c>
      <c r="BD160" s="537">
        <f t="shared" si="256"/>
        <v>74.330053331158879</v>
      </c>
      <c r="BE160" s="537">
        <f t="shared" si="256"/>
        <v>99.89491650121974</v>
      </c>
      <c r="BF160" s="537">
        <f t="shared" si="256"/>
        <v>50.113371246688907</v>
      </c>
      <c r="BG160" s="535">
        <f>+(BG146-BB146)*10000</f>
        <v>64.002247955589624</v>
      </c>
      <c r="BH160" s="537">
        <f t="shared" si="256"/>
        <v>7.6467630434044755</v>
      </c>
      <c r="BI160" s="537">
        <f t="shared" si="256"/>
        <v>-21.283577474157379</v>
      </c>
      <c r="BJ160" s="537">
        <f t="shared" si="256"/>
        <v>-123.67558181680226</v>
      </c>
      <c r="BK160" s="537">
        <f t="shared" si="256"/>
        <v>-198.97862069441246</v>
      </c>
      <c r="BL160" s="535">
        <f t="shared" si="243"/>
        <v>-88.089857147939099</v>
      </c>
      <c r="BM160" s="541">
        <v>-280</v>
      </c>
      <c r="BN160" s="541">
        <v>-120</v>
      </c>
      <c r="BO160" s="541">
        <v>170</v>
      </c>
      <c r="BP160" s="541">
        <v>200</v>
      </c>
      <c r="BQ160" s="535">
        <f t="shared" si="244"/>
        <v>12.376100098144271</v>
      </c>
      <c r="BR160" s="541">
        <v>42</v>
      </c>
      <c r="BS160" s="541">
        <v>42</v>
      </c>
      <c r="BT160" s="541">
        <v>42</v>
      </c>
      <c r="BU160" s="541">
        <v>42</v>
      </c>
      <c r="BV160" s="535">
        <f t="shared" si="245"/>
        <v>42.166875982161123</v>
      </c>
      <c r="BW160" s="541">
        <f t="shared" si="252"/>
        <v>42</v>
      </c>
      <c r="BX160" s="541">
        <f t="shared" si="253"/>
        <v>42</v>
      </c>
      <c r="BY160" s="541">
        <f t="shared" si="254"/>
        <v>42</v>
      </c>
      <c r="BZ160" s="541">
        <f t="shared" si="255"/>
        <v>42</v>
      </c>
      <c r="CA160" s="535">
        <f t="shared" si="247"/>
        <v>42.000000000000092</v>
      </c>
      <c r="CB160" s="541">
        <f t="shared" ref="CB160:CE163" si="257">+BW160</f>
        <v>42</v>
      </c>
      <c r="CC160" s="541">
        <f t="shared" si="257"/>
        <v>42</v>
      </c>
      <c r="CD160" s="541">
        <f t="shared" si="257"/>
        <v>42</v>
      </c>
      <c r="CE160" s="541">
        <f t="shared" si="257"/>
        <v>42</v>
      </c>
      <c r="CF160" s="535">
        <f t="shared" si="249"/>
        <v>41.999999999999815</v>
      </c>
      <c r="CG160" s="541">
        <f t="shared" ref="CG160:CJ163" si="258">+CB160</f>
        <v>42</v>
      </c>
      <c r="CH160" s="541">
        <f t="shared" si="258"/>
        <v>42</v>
      </c>
      <c r="CI160" s="541">
        <f t="shared" si="258"/>
        <v>42</v>
      </c>
      <c r="CJ160" s="541">
        <f t="shared" si="258"/>
        <v>42</v>
      </c>
      <c r="CK160" s="535">
        <f t="shared" si="251"/>
        <v>42.000000000000092</v>
      </c>
      <c r="CL160"/>
      <c r="CM160"/>
    </row>
    <row r="161" spans="1:101" ht="16.5" customHeight="1" x14ac:dyDescent="0.2">
      <c r="A161" s="26"/>
      <c r="B161" s="26" t="str">
        <f t="shared" si="236"/>
        <v>Latin America</v>
      </c>
      <c r="C161" s="26"/>
      <c r="D161" s="26"/>
      <c r="E161" s="215"/>
      <c r="F161" s="215"/>
      <c r="G161" s="215"/>
      <c r="H161" s="215"/>
      <c r="I161" s="227"/>
      <c r="J161" s="215"/>
      <c r="K161" s="215"/>
      <c r="L161" s="215"/>
      <c r="M161" s="215"/>
      <c r="N161" s="535"/>
      <c r="O161" s="536"/>
      <c r="P161" s="536"/>
      <c r="Q161" s="536"/>
      <c r="R161" s="536"/>
      <c r="S161" s="535"/>
      <c r="T161" s="536"/>
      <c r="U161" s="536"/>
      <c r="V161" s="536"/>
      <c r="W161" s="536"/>
      <c r="X161" s="535"/>
      <c r="Y161" s="536"/>
      <c r="Z161" s="536"/>
      <c r="AA161" s="536"/>
      <c r="AB161" s="536"/>
      <c r="AC161" s="535"/>
      <c r="AD161" s="536"/>
      <c r="AE161" s="536"/>
      <c r="AF161" s="537"/>
      <c r="AG161" s="537"/>
      <c r="AH161" s="535"/>
      <c r="AI161" s="536"/>
      <c r="AJ161" s="536"/>
      <c r="AK161" s="536"/>
      <c r="AL161" s="537"/>
      <c r="AM161" s="535"/>
      <c r="AN161" s="537"/>
      <c r="AO161" s="537"/>
      <c r="AP161" s="537"/>
      <c r="AQ161" s="537"/>
      <c r="AR161" s="535"/>
      <c r="AS161" s="537"/>
      <c r="AT161" s="537"/>
      <c r="AU161" s="537"/>
      <c r="AV161" s="537"/>
      <c r="AW161" s="535">
        <f t="shared" si="256"/>
        <v>11.045394034885081</v>
      </c>
      <c r="AX161" s="537">
        <f t="shared" si="256"/>
        <v>-480.17819138389149</v>
      </c>
      <c r="AY161" s="537">
        <f t="shared" si="256"/>
        <v>-262.06742414632527</v>
      </c>
      <c r="AZ161" s="537">
        <f t="shared" si="256"/>
        <v>-180.8807200158144</v>
      </c>
      <c r="BA161" s="537">
        <f t="shared" si="256"/>
        <v>-422.477317908016</v>
      </c>
      <c r="BB161" s="535">
        <f t="shared" si="241"/>
        <v>-298.17044471294906</v>
      </c>
      <c r="BC161" s="537">
        <f t="shared" si="256"/>
        <v>164.37964745199511</v>
      </c>
      <c r="BD161" s="537">
        <f t="shared" si="256"/>
        <v>-21.442368528007961</v>
      </c>
      <c r="BE161" s="537">
        <f t="shared" si="256"/>
        <v>-216.6391226073583</v>
      </c>
      <c r="BF161" s="537">
        <f t="shared" si="256"/>
        <v>-30.180759316964235</v>
      </c>
      <c r="BG161" s="535">
        <f>+(BG147-BB147)*10000</f>
        <v>-79.962990261420458</v>
      </c>
      <c r="BH161" s="537">
        <f t="shared" si="256"/>
        <v>-262.49650251195385</v>
      </c>
      <c r="BI161" s="537">
        <f t="shared" si="256"/>
        <v>-209.44039646131702</v>
      </c>
      <c r="BJ161" s="537">
        <f t="shared" si="256"/>
        <v>79.669543843360884</v>
      </c>
      <c r="BK161" s="537">
        <f t="shared" si="256"/>
        <v>198.62800807064582</v>
      </c>
      <c r="BL161" s="535">
        <f t="shared" si="243"/>
        <v>-5.5021953450223871</v>
      </c>
      <c r="BM161" s="541">
        <v>85</v>
      </c>
      <c r="BN161" s="541">
        <v>250</v>
      </c>
      <c r="BO161" s="541">
        <v>80</v>
      </c>
      <c r="BP161" s="541">
        <v>80</v>
      </c>
      <c r="BQ161" s="535">
        <f t="shared" si="244"/>
        <v>120.53751659669709</v>
      </c>
      <c r="BR161" s="541">
        <v>50</v>
      </c>
      <c r="BS161" s="541">
        <v>50</v>
      </c>
      <c r="BT161" s="541">
        <v>50</v>
      </c>
      <c r="BU161" s="541">
        <v>50</v>
      </c>
      <c r="BV161" s="535">
        <f t="shared" si="245"/>
        <v>50.010298957480217</v>
      </c>
      <c r="BW161" s="541">
        <f t="shared" ref="BW161:BZ163" si="259">+BR161</f>
        <v>50</v>
      </c>
      <c r="BX161" s="541">
        <f t="shared" si="259"/>
        <v>50</v>
      </c>
      <c r="BY161" s="541">
        <f t="shared" si="259"/>
        <v>50</v>
      </c>
      <c r="BZ161" s="541">
        <f t="shared" si="259"/>
        <v>50</v>
      </c>
      <c r="CA161" s="535">
        <f t="shared" si="247"/>
        <v>50.00000000000032</v>
      </c>
      <c r="CB161" s="541">
        <f t="shared" si="257"/>
        <v>50</v>
      </c>
      <c r="CC161" s="541">
        <f t="shared" si="257"/>
        <v>50</v>
      </c>
      <c r="CD161" s="541">
        <f t="shared" si="257"/>
        <v>50</v>
      </c>
      <c r="CE161" s="541">
        <f t="shared" si="257"/>
        <v>50</v>
      </c>
      <c r="CF161" s="535">
        <f t="shared" si="249"/>
        <v>49.999999999999766</v>
      </c>
      <c r="CG161" s="541">
        <f t="shared" si="258"/>
        <v>50</v>
      </c>
      <c r="CH161" s="541">
        <f t="shared" si="258"/>
        <v>50</v>
      </c>
      <c r="CI161" s="541">
        <f t="shared" si="258"/>
        <v>50</v>
      </c>
      <c r="CJ161" s="541">
        <f t="shared" si="258"/>
        <v>50</v>
      </c>
      <c r="CK161" s="535">
        <f t="shared" si="251"/>
        <v>50.000000000000043</v>
      </c>
      <c r="CL161"/>
      <c r="CM161"/>
    </row>
    <row r="162" spans="1:101" ht="16.5" customHeight="1" x14ac:dyDescent="0.2">
      <c r="A162" s="26"/>
      <c r="B162" s="26" t="str">
        <f t="shared" si="236"/>
        <v>Europe Sub-Saharan Africa</v>
      </c>
      <c r="C162" s="26"/>
      <c r="D162" s="26"/>
      <c r="E162" s="215"/>
      <c r="F162" s="215"/>
      <c r="G162" s="215"/>
      <c r="H162" s="215"/>
      <c r="I162" s="227"/>
      <c r="J162" s="215"/>
      <c r="K162" s="215"/>
      <c r="L162" s="215"/>
      <c r="M162" s="215"/>
      <c r="N162" s="535"/>
      <c r="O162" s="536"/>
      <c r="P162" s="536"/>
      <c r="Q162" s="536"/>
      <c r="R162" s="536"/>
      <c r="S162" s="535"/>
      <c r="T162" s="536"/>
      <c r="U162" s="536"/>
      <c r="V162" s="536"/>
      <c r="W162" s="536"/>
      <c r="X162" s="535"/>
      <c r="Y162" s="536"/>
      <c r="Z162" s="536"/>
      <c r="AA162" s="536"/>
      <c r="AB162" s="536"/>
      <c r="AC162" s="535"/>
      <c r="AD162" s="536"/>
      <c r="AE162" s="536"/>
      <c r="AF162" s="537"/>
      <c r="AG162" s="537"/>
      <c r="AH162" s="535"/>
      <c r="AI162" s="536"/>
      <c r="AJ162" s="536"/>
      <c r="AK162" s="536"/>
      <c r="AL162" s="537"/>
      <c r="AM162" s="535"/>
      <c r="AN162" s="537"/>
      <c r="AO162" s="537"/>
      <c r="AP162" s="537"/>
      <c r="AQ162" s="537"/>
      <c r="AR162" s="535"/>
      <c r="AS162" s="537"/>
      <c r="AT162" s="537"/>
      <c r="AU162" s="537"/>
      <c r="AV162" s="537"/>
      <c r="AW162" s="535">
        <f t="shared" si="256"/>
        <v>79.364535361925036</v>
      </c>
      <c r="AX162" s="537">
        <f t="shared" si="256"/>
        <v>5.6446821152703048</v>
      </c>
      <c r="AY162" s="537">
        <f t="shared" si="256"/>
        <v>-60.246599434954362</v>
      </c>
      <c r="AZ162" s="537">
        <f t="shared" si="256"/>
        <v>120.94237754283948</v>
      </c>
      <c r="BA162" s="537">
        <f t="shared" si="256"/>
        <v>39.477295277502158</v>
      </c>
      <c r="BB162" s="535">
        <f t="shared" si="241"/>
        <v>23.59194478137136</v>
      </c>
      <c r="BC162" s="537">
        <f t="shared" si="256"/>
        <v>-282.5193894535538</v>
      </c>
      <c r="BD162" s="537">
        <f t="shared" si="256"/>
        <v>-16.28816531196453</v>
      </c>
      <c r="BE162" s="537">
        <f t="shared" si="256"/>
        <v>-73.504107619437875</v>
      </c>
      <c r="BF162" s="537">
        <f t="shared" si="256"/>
        <v>147.29138159018453</v>
      </c>
      <c r="BG162" s="535">
        <f t="shared" si="242"/>
        <v>-15.927144003510808</v>
      </c>
      <c r="BH162" s="537">
        <f t="shared" si="256"/>
        <v>145.6839065973098</v>
      </c>
      <c r="BI162" s="537">
        <f t="shared" si="256"/>
        <v>507.49339565129031</v>
      </c>
      <c r="BJ162" s="537">
        <f t="shared" si="256"/>
        <v>64.913365443915737</v>
      </c>
      <c r="BK162" s="537">
        <f t="shared" si="256"/>
        <v>-72.217302921090408</v>
      </c>
      <c r="BL162" s="535">
        <f t="shared" si="243"/>
        <v>141.61567162856949</v>
      </c>
      <c r="BM162" s="541">
        <v>-20</v>
      </c>
      <c r="BN162" s="541">
        <v>-400</v>
      </c>
      <c r="BO162" s="541">
        <v>100</v>
      </c>
      <c r="BP162" s="541">
        <v>180</v>
      </c>
      <c r="BQ162" s="535">
        <f t="shared" si="244"/>
        <v>-19.539208210396648</v>
      </c>
      <c r="BR162" s="541">
        <v>40</v>
      </c>
      <c r="BS162" s="541">
        <v>40</v>
      </c>
      <c r="BT162" s="541">
        <v>40</v>
      </c>
      <c r="BU162" s="541">
        <v>40</v>
      </c>
      <c r="BV162" s="535">
        <f t="shared" si="245"/>
        <v>39.738495018195181</v>
      </c>
      <c r="BW162" s="541">
        <f t="shared" si="259"/>
        <v>40</v>
      </c>
      <c r="BX162" s="541">
        <f t="shared" si="259"/>
        <v>40</v>
      </c>
      <c r="BY162" s="541">
        <f t="shared" si="259"/>
        <v>40</v>
      </c>
      <c r="BZ162" s="541">
        <f t="shared" si="259"/>
        <v>40</v>
      </c>
      <c r="CA162" s="535">
        <f t="shared" si="247"/>
        <v>40.000000000000313</v>
      </c>
      <c r="CB162" s="541">
        <f t="shared" si="257"/>
        <v>40</v>
      </c>
      <c r="CC162" s="541">
        <f t="shared" si="257"/>
        <v>40</v>
      </c>
      <c r="CD162" s="541">
        <f t="shared" si="257"/>
        <v>40</v>
      </c>
      <c r="CE162" s="541">
        <f t="shared" si="257"/>
        <v>40</v>
      </c>
      <c r="CF162" s="535">
        <f t="shared" si="249"/>
        <v>39.999999999999758</v>
      </c>
      <c r="CG162" s="541">
        <f t="shared" si="258"/>
        <v>40</v>
      </c>
      <c r="CH162" s="541">
        <f t="shared" si="258"/>
        <v>40</v>
      </c>
      <c r="CI162" s="541">
        <f t="shared" si="258"/>
        <v>40</v>
      </c>
      <c r="CJ162" s="541">
        <f t="shared" si="258"/>
        <v>40</v>
      </c>
      <c r="CK162" s="535">
        <f t="shared" si="251"/>
        <v>40.000000000000036</v>
      </c>
      <c r="CL162"/>
      <c r="CM162"/>
    </row>
    <row r="163" spans="1:101" ht="16.5" customHeight="1" x14ac:dyDescent="0.2">
      <c r="A163" s="26"/>
      <c r="B163" s="26" t="str">
        <f t="shared" si="236"/>
        <v>Asia, Middle East and North Africa</v>
      </c>
      <c r="C163" s="26"/>
      <c r="D163" s="26"/>
      <c r="E163" s="215"/>
      <c r="F163" s="215"/>
      <c r="G163" s="215"/>
      <c r="H163" s="215"/>
      <c r="I163" s="227"/>
      <c r="J163" s="215"/>
      <c r="K163" s="215"/>
      <c r="L163" s="215"/>
      <c r="M163" s="215"/>
      <c r="N163" s="535"/>
      <c r="O163" s="536"/>
      <c r="P163" s="536"/>
      <c r="Q163" s="536"/>
      <c r="R163" s="536"/>
      <c r="S163" s="535"/>
      <c r="T163" s="536"/>
      <c r="U163" s="536"/>
      <c r="V163" s="536"/>
      <c r="W163" s="536"/>
      <c r="X163" s="535"/>
      <c r="Y163" s="536"/>
      <c r="Z163" s="536"/>
      <c r="AA163" s="536"/>
      <c r="AB163" s="536"/>
      <c r="AC163" s="535"/>
      <c r="AD163" s="536"/>
      <c r="AE163" s="536"/>
      <c r="AF163" s="537"/>
      <c r="AG163" s="537"/>
      <c r="AH163" s="535"/>
      <c r="AI163" s="536"/>
      <c r="AJ163" s="536"/>
      <c r="AK163" s="536"/>
      <c r="AL163" s="537"/>
      <c r="AM163" s="535"/>
      <c r="AN163" s="537"/>
      <c r="AO163" s="537"/>
      <c r="AP163" s="537"/>
      <c r="AQ163" s="537"/>
      <c r="AR163" s="535"/>
      <c r="AS163" s="537"/>
      <c r="AT163" s="537"/>
      <c r="AU163" s="537"/>
      <c r="AV163" s="537"/>
      <c r="AW163" s="535">
        <f t="shared" si="256"/>
        <v>-268.81963727842685</v>
      </c>
      <c r="AX163" s="537">
        <f t="shared" si="256"/>
        <v>384.80941756018126</v>
      </c>
      <c r="AY163" s="537">
        <f t="shared" si="256"/>
        <v>111.83736724554444</v>
      </c>
      <c r="AZ163" s="537">
        <f t="shared" si="256"/>
        <v>-33.968684561203055</v>
      </c>
      <c r="BA163" s="537">
        <f t="shared" si="256"/>
        <v>24.554492043877275</v>
      </c>
      <c r="BB163" s="535">
        <f t="shared" si="241"/>
        <v>93.373864505004178</v>
      </c>
      <c r="BC163" s="537">
        <f t="shared" si="256"/>
        <v>-47.797090184621695</v>
      </c>
      <c r="BD163" s="537">
        <f t="shared" si="256"/>
        <v>84.207303316466422</v>
      </c>
      <c r="BE163" s="537">
        <f t="shared" si="256"/>
        <v>-46.90721031688966</v>
      </c>
      <c r="BF163" s="537">
        <f t="shared" si="256"/>
        <v>-188.71577010244903</v>
      </c>
      <c r="BG163" s="535">
        <f t="shared" si="242"/>
        <v>-50.395559927978731</v>
      </c>
      <c r="BH163" s="537">
        <f t="shared" si="256"/>
        <v>-458.5934853104884</v>
      </c>
      <c r="BI163" s="537">
        <f t="shared" si="256"/>
        <v>-273.6782111605346</v>
      </c>
      <c r="BJ163" s="537">
        <f t="shared" si="256"/>
        <v>46.60611668224346</v>
      </c>
      <c r="BK163" s="537">
        <f t="shared" si="256"/>
        <v>1104.546654502017</v>
      </c>
      <c r="BL163" s="535">
        <f t="shared" si="243"/>
        <v>187.20952929682068</v>
      </c>
      <c r="BM163" s="541">
        <v>180</v>
      </c>
      <c r="BN163" s="541">
        <v>100</v>
      </c>
      <c r="BO163" s="541">
        <v>-20</v>
      </c>
      <c r="BP163" s="541">
        <v>-800</v>
      </c>
      <c r="BQ163" s="535">
        <f t="shared" si="244"/>
        <v>-194.05407191004949</v>
      </c>
      <c r="BR163" s="541">
        <v>40</v>
      </c>
      <c r="BS163" s="541">
        <v>40</v>
      </c>
      <c r="BT163" s="541">
        <v>40</v>
      </c>
      <c r="BU163" s="541">
        <v>40</v>
      </c>
      <c r="BV163" s="535">
        <f t="shared" si="245"/>
        <v>40.163911584326918</v>
      </c>
      <c r="BW163" s="541">
        <f t="shared" si="259"/>
        <v>40</v>
      </c>
      <c r="BX163" s="541">
        <f t="shared" si="259"/>
        <v>40</v>
      </c>
      <c r="BY163" s="541">
        <f t="shared" si="259"/>
        <v>40</v>
      </c>
      <c r="BZ163" s="541">
        <f t="shared" si="259"/>
        <v>40</v>
      </c>
      <c r="CA163" s="535">
        <f t="shared" si="247"/>
        <v>39.999999999999758</v>
      </c>
      <c r="CB163" s="541">
        <f t="shared" si="257"/>
        <v>40</v>
      </c>
      <c r="CC163" s="541">
        <f t="shared" si="257"/>
        <v>40</v>
      </c>
      <c r="CD163" s="541">
        <f t="shared" si="257"/>
        <v>40</v>
      </c>
      <c r="CE163" s="541">
        <f t="shared" si="257"/>
        <v>40</v>
      </c>
      <c r="CF163" s="535">
        <f t="shared" si="249"/>
        <v>40.000000000000313</v>
      </c>
      <c r="CG163" s="541">
        <f t="shared" si="258"/>
        <v>40</v>
      </c>
      <c r="CH163" s="541">
        <f t="shared" si="258"/>
        <v>40</v>
      </c>
      <c r="CI163" s="541">
        <f t="shared" si="258"/>
        <v>40</v>
      </c>
      <c r="CJ163" s="541">
        <f t="shared" si="258"/>
        <v>40</v>
      </c>
      <c r="CK163" s="535">
        <f t="shared" si="251"/>
        <v>39.999999999999481</v>
      </c>
      <c r="CL163"/>
      <c r="CM163"/>
    </row>
    <row r="164" spans="1:101" ht="16.5" hidden="1" customHeight="1" outlineLevel="1" x14ac:dyDescent="0.2">
      <c r="A164" s="520" t="s">
        <v>312</v>
      </c>
      <c r="B164" s="47"/>
      <c r="C164" s="47"/>
      <c r="D164" s="47"/>
      <c r="E164" s="223"/>
      <c r="F164" s="223"/>
      <c r="G164" s="223"/>
      <c r="H164" s="223"/>
      <c r="I164" s="224"/>
      <c r="J164" s="223"/>
      <c r="K164" s="223"/>
      <c r="L164" s="223"/>
      <c r="M164" s="223"/>
      <c r="N164" s="224"/>
      <c r="O164" s="223"/>
      <c r="P164" s="223"/>
      <c r="Q164" s="223"/>
      <c r="R164" s="223"/>
      <c r="S164" s="224"/>
      <c r="T164" s="223"/>
      <c r="U164" s="223"/>
      <c r="V164" s="223"/>
      <c r="W164" s="223"/>
      <c r="X164" s="224"/>
      <c r="Y164" s="223"/>
      <c r="Z164" s="223"/>
      <c r="AA164" s="223"/>
      <c r="AB164" s="223"/>
      <c r="AC164" s="224"/>
      <c r="AD164" s="223"/>
      <c r="AE164" s="223"/>
      <c r="AF164" s="225"/>
      <c r="AG164" s="225"/>
      <c r="AH164" s="224"/>
      <c r="AI164" s="223"/>
      <c r="AJ164" s="223"/>
      <c r="AK164" s="223"/>
      <c r="AL164" s="225"/>
      <c r="AM164" s="224"/>
      <c r="AN164" s="225"/>
      <c r="AO164" s="225"/>
      <c r="AP164" s="225"/>
      <c r="AQ164" s="225"/>
      <c r="AR164" s="224"/>
      <c r="AS164" s="225"/>
      <c r="AT164" s="225"/>
      <c r="AU164" s="225"/>
      <c r="AV164" s="225"/>
      <c r="AW164" s="224"/>
      <c r="AX164" s="225"/>
      <c r="AY164" s="225"/>
      <c r="AZ164" s="226"/>
      <c r="BA164" s="226"/>
      <c r="BB164" s="224"/>
      <c r="BC164" s="226"/>
      <c r="BD164" s="226"/>
      <c r="BE164" s="226"/>
      <c r="BF164" s="226"/>
      <c r="BG164" s="224"/>
      <c r="BH164" s="226"/>
      <c r="BI164" s="226"/>
      <c r="BJ164" s="226"/>
      <c r="BK164" s="226"/>
      <c r="BL164" s="224"/>
      <c r="BM164" s="226"/>
      <c r="BN164" s="226"/>
      <c r="BO164" s="226"/>
      <c r="BP164" s="226"/>
      <c r="BQ164" s="224"/>
      <c r="BR164" s="226"/>
      <c r="BS164" s="226"/>
      <c r="BT164" s="226"/>
      <c r="BU164" s="226"/>
      <c r="BV164" s="224"/>
      <c r="BW164" s="226"/>
      <c r="BX164" s="226"/>
      <c r="BY164" s="226"/>
      <c r="BZ164" s="226"/>
      <c r="CA164" s="224"/>
      <c r="CB164" s="226"/>
      <c r="CC164" s="226"/>
      <c r="CD164" s="226"/>
      <c r="CE164" s="226"/>
      <c r="CF164" s="224"/>
      <c r="CG164" s="226"/>
      <c r="CH164" s="226"/>
      <c r="CI164" s="226"/>
      <c r="CJ164" s="226"/>
      <c r="CK164" s="224"/>
      <c r="CL164"/>
      <c r="CM164"/>
      <c r="CN164" s="37"/>
      <c r="CO164" s="37"/>
      <c r="CP164" s="37"/>
      <c r="CQ164" s="37"/>
      <c r="CR164" s="37"/>
      <c r="CS164" s="37"/>
      <c r="CT164" s="37"/>
      <c r="CU164" s="37"/>
      <c r="CV164" s="37"/>
      <c r="CW164" s="37"/>
    </row>
    <row r="165" spans="1:101" ht="16.5" hidden="1" customHeight="1" outlineLevel="1" x14ac:dyDescent="0.2">
      <c r="A165" s="47"/>
      <c r="B165" s="47" t="str">
        <f>+B151</f>
        <v>Latin America Foods</v>
      </c>
      <c r="C165" s="47"/>
      <c r="D165" s="47"/>
      <c r="E165" s="223"/>
      <c r="F165" s="223"/>
      <c r="G165" s="223"/>
      <c r="H165" s="223"/>
      <c r="I165" s="224"/>
      <c r="J165" s="223"/>
      <c r="K165" s="223"/>
      <c r="L165" s="223"/>
      <c r="M165" s="223"/>
      <c r="N165" s="224">
        <f t="shared" ref="N165:W167" si="260">+(N151-I151)*10000</f>
        <v>-103.47680065879882</v>
      </c>
      <c r="O165" s="223">
        <f t="shared" si="260"/>
        <v>-153.36302055380696</v>
      </c>
      <c r="P165" s="223">
        <f t="shared" si="260"/>
        <v>-28.253830514745339</v>
      </c>
      <c r="Q165" s="223">
        <f t="shared" si="260"/>
        <v>-20.381896737241277</v>
      </c>
      <c r="R165" s="223">
        <f t="shared" si="260"/>
        <v>190.74651333302162</v>
      </c>
      <c r="S165" s="224">
        <f t="shared" si="260"/>
        <v>43.916109920321688</v>
      </c>
      <c r="T165" s="223">
        <f t="shared" si="260"/>
        <v>206.30582153501138</v>
      </c>
      <c r="U165" s="223">
        <f t="shared" si="260"/>
        <v>73.89357381304751</v>
      </c>
      <c r="V165" s="223">
        <f t="shared" si="260"/>
        <v>-31.752453345606224</v>
      </c>
      <c r="W165" s="223">
        <f t="shared" si="260"/>
        <v>-107.29580108713887</v>
      </c>
      <c r="X165" s="224">
        <f t="shared" ref="X165:AG167" si="261">+(X151-S151)*10000</f>
        <v>0.90840988560547675</v>
      </c>
      <c r="Y165" s="223">
        <f t="shared" si="261"/>
        <v>-451.10594055107532</v>
      </c>
      <c r="Z165" s="223">
        <f t="shared" si="261"/>
        <v>-226.7000854973472</v>
      </c>
      <c r="AA165" s="223">
        <f t="shared" si="261"/>
        <v>117.94863218608675</v>
      </c>
      <c r="AB165" s="223">
        <f t="shared" si="261"/>
        <v>263.16514859945602</v>
      </c>
      <c r="AC165" s="224">
        <f t="shared" si="261"/>
        <v>-0.52562242733450448</v>
      </c>
      <c r="AD165" s="223">
        <f t="shared" si="261"/>
        <v>68.245002589141791</v>
      </c>
      <c r="AE165" s="223">
        <f t="shared" si="261"/>
        <v>0.53223931781309908</v>
      </c>
      <c r="AF165" s="225">
        <f t="shared" si="261"/>
        <v>-49.696669956763863</v>
      </c>
      <c r="AG165" s="225">
        <f t="shared" si="261"/>
        <v>-30.541144659890218</v>
      </c>
      <c r="AH165" s="224">
        <f t="shared" ref="AH165:AQ167" si="262">+(AH151-AC151)*10000</f>
        <v>-16.36064858396097</v>
      </c>
      <c r="AI165" s="223">
        <f t="shared" si="262"/>
        <v>-12.956927169353595</v>
      </c>
      <c r="AJ165" s="223">
        <f t="shared" si="262"/>
        <v>-93.515473096981722</v>
      </c>
      <c r="AK165" s="223">
        <f t="shared" si="262"/>
        <v>-176.70612989142381</v>
      </c>
      <c r="AL165" s="225">
        <f t="shared" si="262"/>
        <v>-236.95546197552818</v>
      </c>
      <c r="AM165" s="224">
        <f t="shared" si="262"/>
        <v>-148.0548797923903</v>
      </c>
      <c r="AN165" s="225">
        <f t="shared" si="262"/>
        <v>78.999197391373954</v>
      </c>
      <c r="AO165" s="225">
        <f t="shared" si="262"/>
        <v>85.590184106232599</v>
      </c>
      <c r="AP165" s="225">
        <f t="shared" si="262"/>
        <v>127.55986042438217</v>
      </c>
      <c r="AQ165" s="225">
        <f t="shared" si="262"/>
        <v>31.453761036143447</v>
      </c>
      <c r="AR165" s="224">
        <f t="shared" ref="AR165:AY167" si="263">+(AR151-AM151)*10000</f>
        <v>76.346535720333293</v>
      </c>
      <c r="AS165" s="225">
        <f t="shared" si="263"/>
        <v>94.67230457845227</v>
      </c>
      <c r="AT165" s="225">
        <f t="shared" si="263"/>
        <v>38.150156163978544</v>
      </c>
      <c r="AU165" s="225">
        <f t="shared" si="263"/>
        <v>84.318494407673029</v>
      </c>
      <c r="AV165" s="225">
        <f t="shared" si="263"/>
        <v>-249.35228898390102</v>
      </c>
      <c r="AW165" s="224">
        <f t="shared" si="263"/>
        <v>-37.688375913418341</v>
      </c>
      <c r="AX165" s="225">
        <f t="shared" si="263"/>
        <v>-93.402567168155983</v>
      </c>
      <c r="AY165" s="225">
        <f t="shared" si="263"/>
        <v>-100.71159283694648</v>
      </c>
      <c r="AZ165" s="226"/>
      <c r="BA165" s="226"/>
      <c r="BB165" s="224"/>
      <c r="BC165" s="226"/>
      <c r="BD165" s="226"/>
      <c r="BE165" s="226"/>
      <c r="BF165" s="226"/>
      <c r="BG165" s="224"/>
      <c r="BH165" s="226"/>
      <c r="BI165" s="226"/>
      <c r="BJ165" s="226"/>
      <c r="BK165" s="226"/>
      <c r="BL165" s="224"/>
      <c r="BM165" s="226"/>
      <c r="BN165" s="226"/>
      <c r="BO165" s="226"/>
      <c r="BP165" s="226"/>
      <c r="BQ165" s="224"/>
      <c r="BR165" s="226"/>
      <c r="BS165" s="226"/>
      <c r="BT165" s="226"/>
      <c r="BU165" s="226"/>
      <c r="BV165" s="224"/>
      <c r="BW165" s="226"/>
      <c r="BX165" s="226"/>
      <c r="BY165" s="226"/>
      <c r="BZ165" s="226"/>
      <c r="CA165" s="224"/>
      <c r="CB165" s="226"/>
      <c r="CC165" s="226"/>
      <c r="CD165" s="226"/>
      <c r="CE165" s="226"/>
      <c r="CF165" s="224"/>
      <c r="CG165" s="226"/>
      <c r="CH165" s="226"/>
      <c r="CI165" s="226"/>
      <c r="CJ165" s="226"/>
      <c r="CK165" s="224"/>
      <c r="CL165"/>
      <c r="CM165"/>
      <c r="CN165" s="37"/>
      <c r="CO165" s="37"/>
      <c r="CP165" s="37"/>
      <c r="CQ165" s="37"/>
      <c r="CR165" s="37"/>
      <c r="CS165" s="37"/>
      <c r="CT165" s="37"/>
      <c r="CU165" s="37"/>
      <c r="CV165" s="37"/>
      <c r="CW165" s="37"/>
    </row>
    <row r="166" spans="1:101" ht="16.5" hidden="1" customHeight="1" outlineLevel="1" x14ac:dyDescent="0.2">
      <c r="A166" s="26"/>
      <c r="B166" s="26" t="str">
        <f>+B152</f>
        <v>PepsiCo Americas Beverages</v>
      </c>
      <c r="C166" s="26"/>
      <c r="D166" s="26"/>
      <c r="E166" s="215"/>
      <c r="F166" s="215"/>
      <c r="G166" s="215"/>
      <c r="H166" s="215"/>
      <c r="I166" s="227"/>
      <c r="J166" s="215"/>
      <c r="K166" s="215"/>
      <c r="L166" s="215"/>
      <c r="M166" s="215"/>
      <c r="N166" s="221">
        <f t="shared" si="260"/>
        <v>19.256738352957381</v>
      </c>
      <c r="O166" s="220">
        <f t="shared" si="260"/>
        <v>4.9625897083524499</v>
      </c>
      <c r="P166" s="220">
        <f t="shared" si="260"/>
        <v>-188.83172796263892</v>
      </c>
      <c r="Q166" s="220">
        <f t="shared" si="260"/>
        <v>-267.67109045590041</v>
      </c>
      <c r="R166" s="220">
        <f t="shared" si="260"/>
        <v>-112.84080567765753</v>
      </c>
      <c r="S166" s="221">
        <f t="shared" si="260"/>
        <v>-136.71323416108964</v>
      </c>
      <c r="T166" s="220">
        <f t="shared" si="260"/>
        <v>-37.892070913695676</v>
      </c>
      <c r="U166" s="220">
        <f t="shared" si="260"/>
        <v>7.4563916475681165</v>
      </c>
      <c r="V166" s="220">
        <f t="shared" si="260"/>
        <v>20.595124253428576</v>
      </c>
      <c r="W166" s="220">
        <f t="shared" si="260"/>
        <v>208.33038815141535</v>
      </c>
      <c r="X166" s="221">
        <f t="shared" si="261"/>
        <v>46.242050656202792</v>
      </c>
      <c r="Y166" s="220">
        <f t="shared" si="261"/>
        <v>-151.9506973457213</v>
      </c>
      <c r="Z166" s="220">
        <f t="shared" si="261"/>
        <v>-405.56531978984151</v>
      </c>
      <c r="AA166" s="220">
        <f t="shared" si="261"/>
        <v>-434.56283698329241</v>
      </c>
      <c r="AB166" s="220">
        <f t="shared" si="261"/>
        <v>-480.24059263688525</v>
      </c>
      <c r="AC166" s="221">
        <f t="shared" si="261"/>
        <v>-402.2122362023012</v>
      </c>
      <c r="AD166" s="220">
        <f t="shared" si="261"/>
        <v>-648.02368094736551</v>
      </c>
      <c r="AE166" s="220">
        <f t="shared" si="261"/>
        <v>-156.20615150479244</v>
      </c>
      <c r="AF166" s="222">
        <f t="shared" si="261"/>
        <v>-137.35975332750533</v>
      </c>
      <c r="AG166" s="222">
        <f t="shared" si="261"/>
        <v>-43.774647417850474</v>
      </c>
      <c r="AH166" s="221">
        <f t="shared" si="262"/>
        <v>-200.82453007883333</v>
      </c>
      <c r="AI166" s="220">
        <f t="shared" si="262"/>
        <v>-99.435404225725605</v>
      </c>
      <c r="AJ166" s="220">
        <f t="shared" si="262"/>
        <v>-175.36541362647679</v>
      </c>
      <c r="AK166" s="220">
        <f t="shared" si="262"/>
        <v>-140.23208626167681</v>
      </c>
      <c r="AL166" s="225">
        <f t="shared" si="262"/>
        <v>-119.3529989815828</v>
      </c>
      <c r="AM166" s="221">
        <f t="shared" si="262"/>
        <v>-140.3106946518634</v>
      </c>
      <c r="AN166" s="225">
        <f t="shared" si="262"/>
        <v>50.577411374068127</v>
      </c>
      <c r="AO166" s="225">
        <f t="shared" si="262"/>
        <v>51.408947012452636</v>
      </c>
      <c r="AP166" s="225">
        <f t="shared" si="262"/>
        <v>-8.3090317569586851</v>
      </c>
      <c r="AQ166" s="225">
        <f t="shared" si="262"/>
        <v>-101.9395798451625</v>
      </c>
      <c r="AR166" s="221">
        <f t="shared" si="263"/>
        <v>-8.4179160199601704</v>
      </c>
      <c r="AS166" s="225">
        <f t="shared" si="263"/>
        <v>-85.289926043760346</v>
      </c>
      <c r="AT166" s="225">
        <f t="shared" si="263"/>
        <v>25.485221070153941</v>
      </c>
      <c r="AU166" s="225">
        <f t="shared" si="263"/>
        <v>58.702088191067979</v>
      </c>
      <c r="AV166" s="225">
        <f t="shared" si="263"/>
        <v>27.323615525556427</v>
      </c>
      <c r="AW166" s="221">
        <f t="shared" si="263"/>
        <v>10.335706801294364</v>
      </c>
      <c r="AX166" s="225">
        <f t="shared" si="263"/>
        <v>-92.06971621151763</v>
      </c>
      <c r="AY166" s="225">
        <f t="shared" si="263"/>
        <v>-4.84553727861603</v>
      </c>
      <c r="AZ166" s="226"/>
      <c r="BA166" s="226"/>
      <c r="BB166" s="221"/>
      <c r="BC166" s="226"/>
      <c r="BD166" s="226"/>
      <c r="BE166" s="226"/>
      <c r="BF166" s="226"/>
      <c r="BG166" s="221"/>
      <c r="BH166" s="226"/>
      <c r="BI166" s="226"/>
      <c r="BJ166" s="226"/>
      <c r="BK166" s="226"/>
      <c r="BL166" s="221"/>
      <c r="BM166" s="228"/>
      <c r="BN166" s="228"/>
      <c r="BO166" s="228"/>
      <c r="BP166" s="228"/>
      <c r="BQ166" s="221"/>
      <c r="BR166" s="228"/>
      <c r="BS166" s="228"/>
      <c r="BT166" s="228"/>
      <c r="BU166" s="228"/>
      <c r="BV166" s="221"/>
      <c r="BW166" s="228"/>
      <c r="BX166" s="228"/>
      <c r="BY166" s="228"/>
      <c r="BZ166" s="228"/>
      <c r="CA166" s="221"/>
      <c r="CB166" s="228"/>
      <c r="CC166" s="228"/>
      <c r="CD166" s="228"/>
      <c r="CE166" s="228"/>
      <c r="CF166" s="221"/>
      <c r="CG166" s="228"/>
      <c r="CH166" s="228"/>
      <c r="CI166" s="228"/>
      <c r="CJ166" s="228"/>
      <c r="CK166" s="221"/>
      <c r="CL166"/>
      <c r="CM166"/>
    </row>
    <row r="167" spans="1:101" ht="16.5" hidden="1" customHeight="1" outlineLevel="1" x14ac:dyDescent="0.2">
      <c r="A167" s="26"/>
      <c r="B167" s="26" t="str">
        <f>+B153</f>
        <v>Europe</v>
      </c>
      <c r="C167" s="26"/>
      <c r="D167" s="26"/>
      <c r="E167" s="220"/>
      <c r="F167" s="220"/>
      <c r="G167" s="220"/>
      <c r="H167" s="220"/>
      <c r="I167" s="221"/>
      <c r="J167" s="220"/>
      <c r="K167" s="220"/>
      <c r="L167" s="220"/>
      <c r="M167" s="220"/>
      <c r="N167" s="221">
        <f t="shared" si="260"/>
        <v>-47.974086709855477</v>
      </c>
      <c r="O167" s="220">
        <f t="shared" si="260"/>
        <v>47.187431333772793</v>
      </c>
      <c r="P167" s="220">
        <f t="shared" si="260"/>
        <v>-35.375978961587066</v>
      </c>
      <c r="Q167" s="220">
        <f t="shared" si="260"/>
        <v>74.580664432779827</v>
      </c>
      <c r="R167" s="220">
        <f t="shared" si="260"/>
        <v>-169.83355327529287</v>
      </c>
      <c r="S167" s="221">
        <f t="shared" si="260"/>
        <v>-32.588661038924215</v>
      </c>
      <c r="T167" s="220">
        <f t="shared" si="260"/>
        <v>-142.82372232381255</v>
      </c>
      <c r="U167" s="220">
        <f t="shared" si="260"/>
        <v>12.42891252154099</v>
      </c>
      <c r="V167" s="220">
        <f t="shared" si="260"/>
        <v>55.504075078062208</v>
      </c>
      <c r="W167" s="220">
        <f t="shared" si="260"/>
        <v>17.2091522219546</v>
      </c>
      <c r="X167" s="221">
        <f t="shared" si="261"/>
        <v>-39.962669379698667</v>
      </c>
      <c r="Y167" s="220">
        <f t="shared" si="261"/>
        <v>73.320872122896731</v>
      </c>
      <c r="Z167" s="220">
        <f t="shared" si="261"/>
        <v>-175.88248430656844</v>
      </c>
      <c r="AA167" s="220">
        <f t="shared" si="261"/>
        <v>-127.38254409842553</v>
      </c>
      <c r="AB167" s="220">
        <f t="shared" si="261"/>
        <v>-229.97900980862394</v>
      </c>
      <c r="AC167" s="221">
        <f t="shared" si="261"/>
        <v>-98.21190733243418</v>
      </c>
      <c r="AD167" s="220">
        <f t="shared" si="261"/>
        <v>-647.84182324581866</v>
      </c>
      <c r="AE167" s="220">
        <f t="shared" si="261"/>
        <v>-267.45487059125412</v>
      </c>
      <c r="AF167" s="222">
        <f t="shared" si="261"/>
        <v>-226.46798227081823</v>
      </c>
      <c r="AG167" s="222">
        <f t="shared" si="261"/>
        <v>36.785885706115131</v>
      </c>
      <c r="AH167" s="221">
        <f t="shared" si="262"/>
        <v>-200.01970339370942</v>
      </c>
      <c r="AI167" s="220">
        <f t="shared" si="262"/>
        <v>-47.560475604756029</v>
      </c>
      <c r="AJ167" s="220">
        <f t="shared" si="262"/>
        <v>145.53704326884881</v>
      </c>
      <c r="AK167" s="220">
        <f t="shared" si="262"/>
        <v>-26.3381526032605</v>
      </c>
      <c r="AL167" s="222">
        <f t="shared" si="262"/>
        <v>-113.33244153221511</v>
      </c>
      <c r="AM167" s="221">
        <f t="shared" si="262"/>
        <v>-25.985883661203413</v>
      </c>
      <c r="AN167" s="222">
        <f t="shared" si="262"/>
        <v>34.443300148758389</v>
      </c>
      <c r="AO167" s="222">
        <f t="shared" si="262"/>
        <v>-72.594201682128627</v>
      </c>
      <c r="AP167" s="222">
        <f t="shared" si="262"/>
        <v>24.299901832484096</v>
      </c>
      <c r="AQ167" s="222">
        <f t="shared" si="262"/>
        <v>-90.559138222232889</v>
      </c>
      <c r="AR167" s="221">
        <f t="shared" si="263"/>
        <v>-37.812735892398393</v>
      </c>
      <c r="AS167" s="222">
        <f t="shared" si="263"/>
        <v>296.22699278568547</v>
      </c>
      <c r="AT167" s="222">
        <f t="shared" si="263"/>
        <v>113.5547282993267</v>
      </c>
      <c r="AU167" s="222">
        <f t="shared" si="263"/>
        <v>-68.433879676169099</v>
      </c>
      <c r="AV167" s="222">
        <f t="shared" si="263"/>
        <v>8.6543390349554112</v>
      </c>
      <c r="AW167" s="221">
        <f t="shared" si="263"/>
        <v>63.799954564376094</v>
      </c>
      <c r="AX167" s="222">
        <f t="shared" si="263"/>
        <v>-16.820898516329009</v>
      </c>
      <c r="AY167" s="222">
        <f t="shared" si="263"/>
        <v>-73.045384944029351</v>
      </c>
      <c r="AZ167" s="226"/>
      <c r="BA167" s="226"/>
      <c r="BB167" s="221"/>
      <c r="BC167" s="226"/>
      <c r="BD167" s="226"/>
      <c r="BE167" s="226"/>
      <c r="BF167" s="226"/>
      <c r="BG167" s="221"/>
      <c r="BH167" s="226"/>
      <c r="BI167" s="226"/>
      <c r="BJ167" s="226"/>
      <c r="BK167" s="226"/>
      <c r="BL167" s="221"/>
      <c r="BM167" s="228"/>
      <c r="BN167" s="228"/>
      <c r="BO167" s="228"/>
      <c r="BP167" s="228"/>
      <c r="BQ167" s="221"/>
      <c r="BR167" s="228"/>
      <c r="BS167" s="228"/>
      <c r="BT167" s="228"/>
      <c r="BU167" s="228"/>
      <c r="BV167" s="221"/>
      <c r="BW167" s="228"/>
      <c r="BX167" s="228"/>
      <c r="BY167" s="228"/>
      <c r="BZ167" s="228"/>
      <c r="CA167" s="221"/>
      <c r="CB167" s="228"/>
      <c r="CC167" s="228"/>
      <c r="CD167" s="228"/>
      <c r="CE167" s="228"/>
      <c r="CF167" s="221"/>
      <c r="CG167" s="228"/>
      <c r="CH167" s="228"/>
      <c r="CI167" s="228"/>
      <c r="CJ167" s="228"/>
      <c r="CK167" s="221"/>
      <c r="CL167"/>
      <c r="CM167"/>
    </row>
    <row r="168" spans="1:101" ht="16.5" hidden="1" customHeight="1" outlineLevel="1" x14ac:dyDescent="0.2">
      <c r="A168" s="26"/>
      <c r="B168" s="26" t="str">
        <f>+B154</f>
        <v>Asia, Middle East, &amp; Africa</v>
      </c>
      <c r="C168" s="26"/>
      <c r="D168" s="26"/>
      <c r="E168" s="220"/>
      <c r="F168" s="220"/>
      <c r="G168" s="220"/>
      <c r="H168" s="220"/>
      <c r="I168" s="221"/>
      <c r="J168" s="220"/>
      <c r="K168" s="220"/>
      <c r="L168" s="220"/>
      <c r="M168" s="220"/>
      <c r="N168" s="221">
        <f t="shared" ref="N168:AI168" si="264">+(N154-I154)*10000</f>
        <v>34.564678008155298</v>
      </c>
      <c r="O168" s="220">
        <f t="shared" si="264"/>
        <v>7.5775991734911008</v>
      </c>
      <c r="P168" s="220">
        <f t="shared" si="264"/>
        <v>-110.79226307383088</v>
      </c>
      <c r="Q168" s="220">
        <f t="shared" si="264"/>
        <v>-114.82279211455115</v>
      </c>
      <c r="R168" s="220">
        <f t="shared" si="264"/>
        <v>66.096088792779796</v>
      </c>
      <c r="S168" s="221">
        <f t="shared" si="264"/>
        <v>-14.48388006887763</v>
      </c>
      <c r="T168" s="220">
        <f t="shared" si="264"/>
        <v>-2.1449095107303751</v>
      </c>
      <c r="U168" s="220">
        <f t="shared" si="264"/>
        <v>123.42475908080047</v>
      </c>
      <c r="V168" s="220">
        <f t="shared" si="264"/>
        <v>525.71209215872102</v>
      </c>
      <c r="W168" s="220">
        <f t="shared" si="264"/>
        <v>-146.2321259601878</v>
      </c>
      <c r="X168" s="221">
        <f t="shared" si="264"/>
        <v>163.47299627960109</v>
      </c>
      <c r="Y168" s="220">
        <f t="shared" si="264"/>
        <v>-80.441178428318494</v>
      </c>
      <c r="Z168" s="220">
        <f t="shared" si="264"/>
        <v>-114.36053937746993</v>
      </c>
      <c r="AA168" s="220">
        <f t="shared" si="264"/>
        <v>-533.10192938904879</v>
      </c>
      <c r="AB168" s="220">
        <f t="shared" si="264"/>
        <v>-0.60357315306618087</v>
      </c>
      <c r="AC168" s="221">
        <f>+(AC154-X154)*10000</f>
        <v>-223.83420588116488</v>
      </c>
      <c r="AD168" s="220">
        <f t="shared" si="264"/>
        <v>-211.99057130450976</v>
      </c>
      <c r="AE168" s="220">
        <f t="shared" si="264"/>
        <v>-70.213885853060432</v>
      </c>
      <c r="AF168" s="222">
        <f t="shared" si="264"/>
        <v>-39.540788116383951</v>
      </c>
      <c r="AG168" s="222">
        <f t="shared" si="264"/>
        <v>476.92235492878433</v>
      </c>
      <c r="AH168" s="221">
        <f>+(AH154-AC154)*10000</f>
        <v>86.70394936489356</v>
      </c>
      <c r="AI168" s="220">
        <f t="shared" si="264"/>
        <v>-55.178648395998728</v>
      </c>
      <c r="AJ168" s="220">
        <f t="shared" ref="AJ168:AY168" si="265">+(AJ154-AE154)*10000</f>
        <v>201.51174318927434</v>
      </c>
      <c r="AK168" s="220">
        <f t="shared" si="265"/>
        <v>582.66916293906286</v>
      </c>
      <c r="AL168" s="222">
        <f t="shared" si="265"/>
        <v>-50.248875112739313</v>
      </c>
      <c r="AM168" s="221">
        <f t="shared" si="265"/>
        <v>178.22900582557867</v>
      </c>
      <c r="AN168" s="222">
        <f t="shared" si="265"/>
        <v>450.35012415622413</v>
      </c>
      <c r="AO168" s="222">
        <f t="shared" si="265"/>
        <v>1052.6148263678904</v>
      </c>
      <c r="AP168" s="222">
        <f t="shared" si="265"/>
        <v>-100.30974933027181</v>
      </c>
      <c r="AQ168" s="222">
        <f t="shared" si="265"/>
        <v>312.7526047752782</v>
      </c>
      <c r="AR168" s="221">
        <f t="shared" si="265"/>
        <v>453.81760132476302</v>
      </c>
      <c r="AS168" s="222">
        <f t="shared" si="265"/>
        <v>205.23912521028615</v>
      </c>
      <c r="AT168" s="222">
        <f t="shared" si="265"/>
        <v>-748.44707525046715</v>
      </c>
      <c r="AU168" s="222">
        <f t="shared" si="265"/>
        <v>-60.897086716892865</v>
      </c>
      <c r="AV168" s="222">
        <f t="shared" si="265"/>
        <v>-125.4779337384726</v>
      </c>
      <c r="AW168" s="221">
        <f t="shared" si="265"/>
        <v>-238.69732722457903</v>
      </c>
      <c r="AX168" s="222">
        <f t="shared" si="265"/>
        <v>385.63698967043757</v>
      </c>
      <c r="AY168" s="222">
        <f t="shared" si="265"/>
        <v>117.23608898330073</v>
      </c>
      <c r="AZ168" s="226"/>
      <c r="BA168" s="226"/>
      <c r="BB168" s="221"/>
      <c r="BC168" s="226"/>
      <c r="BD168" s="226"/>
      <c r="BE168" s="226"/>
      <c r="BF168" s="226"/>
      <c r="BG168" s="221"/>
      <c r="BH168" s="226"/>
      <c r="BI168" s="226"/>
      <c r="BJ168" s="226"/>
      <c r="BK168" s="226"/>
      <c r="BL168" s="221"/>
      <c r="BM168" s="228"/>
      <c r="BN168" s="228"/>
      <c r="BO168" s="228"/>
      <c r="BP168" s="228"/>
      <c r="BQ168" s="221"/>
      <c r="BR168" s="228"/>
      <c r="BS168" s="228"/>
      <c r="BT168" s="228"/>
      <c r="BU168" s="228"/>
      <c r="BV168" s="221"/>
      <c r="BW168" s="228"/>
      <c r="BX168" s="228"/>
      <c r="BY168" s="228"/>
      <c r="BZ168" s="228"/>
      <c r="CA168" s="221"/>
      <c r="CB168" s="228"/>
      <c r="CC168" s="228"/>
      <c r="CD168" s="228"/>
      <c r="CE168" s="228"/>
      <c r="CF168" s="221"/>
      <c r="CG168" s="228"/>
      <c r="CH168" s="228"/>
      <c r="CI168" s="228"/>
      <c r="CJ168" s="228"/>
      <c r="CK168" s="221"/>
      <c r="CL168"/>
      <c r="CM168"/>
    </row>
    <row r="169" spans="1:101" ht="16.5" customHeight="1" collapsed="1" x14ac:dyDescent="0.2">
      <c r="A169" s="30"/>
      <c r="B169" s="30"/>
      <c r="C169" s="30"/>
      <c r="D169" s="30"/>
      <c r="E169" s="239"/>
      <c r="F169" s="239"/>
      <c r="G169" s="239"/>
      <c r="H169" s="240"/>
      <c r="I169" s="241"/>
      <c r="J169" s="240"/>
      <c r="K169" s="240"/>
      <c r="L169" s="240"/>
      <c r="M169" s="240"/>
      <c r="N169" s="242"/>
      <c r="O169" s="240"/>
      <c r="P169" s="240"/>
      <c r="Q169" s="240"/>
      <c r="R169" s="240"/>
      <c r="S169" s="242"/>
      <c r="T169" s="240"/>
      <c r="U169" s="240"/>
      <c r="V169" s="240"/>
      <c r="W169" s="240"/>
      <c r="X169" s="242"/>
      <c r="Y169" s="240"/>
      <c r="Z169" s="240"/>
      <c r="AA169" s="240"/>
      <c r="AB169" s="240"/>
      <c r="AC169" s="241"/>
      <c r="AD169" s="240"/>
      <c r="AE169" s="240"/>
      <c r="AF169" s="240"/>
      <c r="AG169" s="240"/>
      <c r="AH169" s="241"/>
      <c r="AI169" s="243"/>
      <c r="AJ169" s="244"/>
      <c r="AK169" s="244"/>
      <c r="AL169" s="244"/>
      <c r="AM169" s="244"/>
      <c r="AN169" s="245"/>
      <c r="AO169" s="240"/>
      <c r="AP169" s="240"/>
      <c r="AQ169" s="240"/>
      <c r="AR169" s="244"/>
      <c r="AS169" s="240"/>
      <c r="AT169" s="240"/>
      <c r="AU169" s="240"/>
      <c r="AV169" s="240"/>
      <c r="AW169" s="244"/>
      <c r="AX169" s="240"/>
      <c r="AY169" s="240"/>
      <c r="AZ169" s="240"/>
      <c r="BA169" s="240"/>
      <c r="BB169" s="244"/>
      <c r="BC169" s="244"/>
      <c r="BD169" s="244"/>
      <c r="BE169" s="244"/>
      <c r="BF169" s="244"/>
      <c r="BG169" s="244"/>
      <c r="BH169" s="244"/>
      <c r="BI169" s="244"/>
      <c r="BJ169" s="244"/>
      <c r="BK169" s="244"/>
      <c r="BL169" s="244"/>
      <c r="BM169" s="244"/>
      <c r="BN169" s="244"/>
      <c r="BO169" s="244"/>
      <c r="BP169" s="646"/>
      <c r="BQ169" s="244"/>
      <c r="BR169" s="240"/>
      <c r="BS169" s="240"/>
      <c r="BT169" s="240"/>
      <c r="BU169" s="240"/>
      <c r="BV169" s="244"/>
      <c r="BW169" s="240"/>
      <c r="BX169" s="240"/>
      <c r="BY169" s="240"/>
      <c r="BZ169" s="240"/>
      <c r="CA169" s="244"/>
      <c r="CB169" s="240"/>
      <c r="CC169" s="240"/>
      <c r="CD169" s="240"/>
      <c r="CE169" s="240"/>
      <c r="CF169" s="244"/>
      <c r="CG169" s="240"/>
      <c r="CH169" s="240"/>
      <c r="CI169" s="240"/>
      <c r="CJ169" s="240"/>
      <c r="CK169" s="244"/>
      <c r="CL169"/>
      <c r="CM169"/>
    </row>
    <row r="170" spans="1:101" ht="16.5" hidden="1" customHeight="1" outlineLevel="1" collapsed="1" x14ac:dyDescent="0.2">
      <c r="A170" s="26"/>
      <c r="B170" s="26"/>
      <c r="C170" s="26"/>
      <c r="D170" s="26"/>
      <c r="E170" s="34"/>
      <c r="F170" s="34"/>
      <c r="G170" s="34"/>
      <c r="H170" s="34"/>
      <c r="I170" s="133"/>
      <c r="J170" s="34"/>
      <c r="K170" s="34"/>
      <c r="L170" s="34"/>
      <c r="M170" s="34"/>
      <c r="N170" s="133"/>
      <c r="O170" s="34"/>
      <c r="P170" s="34"/>
      <c r="Q170" s="34"/>
      <c r="R170" s="34"/>
      <c r="S170" s="133"/>
      <c r="T170" s="34"/>
      <c r="U170" s="34"/>
      <c r="V170" s="34"/>
      <c r="W170" s="34"/>
      <c r="X170" s="133"/>
      <c r="Y170" s="34"/>
      <c r="Z170" s="34"/>
      <c r="AA170" s="34"/>
      <c r="AB170" s="34"/>
      <c r="AC170" s="133"/>
      <c r="AD170" s="246">
        <f>+AD102</f>
        <v>1784</v>
      </c>
      <c r="AE170" s="246">
        <f>+AE102</f>
        <v>2825</v>
      </c>
      <c r="AF170" s="246">
        <f>+AF102</f>
        <v>3007</v>
      </c>
      <c r="AG170" s="246">
        <f>+AG102</f>
        <v>2752</v>
      </c>
      <c r="AH170" s="247">
        <f>+AH102</f>
        <v>10368</v>
      </c>
      <c r="AI170" s="34"/>
      <c r="AJ170" s="248"/>
      <c r="AK170" s="248"/>
      <c r="AL170" s="248"/>
      <c r="AM170" s="249"/>
      <c r="AN170" s="248"/>
      <c r="AO170" s="34"/>
      <c r="AP170" s="34"/>
      <c r="AQ170" s="34"/>
      <c r="AR170" s="249"/>
      <c r="AS170" s="34"/>
      <c r="AT170" s="34"/>
      <c r="AU170" s="34"/>
      <c r="AV170" s="34"/>
      <c r="AW170" s="133"/>
      <c r="AX170" s="34"/>
      <c r="AY170" s="34"/>
      <c r="AZ170" s="34"/>
      <c r="BA170" s="34"/>
      <c r="BB170" s="133"/>
      <c r="BC170" s="34"/>
      <c r="BD170" s="34"/>
      <c r="BE170" s="34"/>
      <c r="BF170" s="34"/>
      <c r="BG170" s="133"/>
      <c r="BH170" s="34"/>
      <c r="BI170" s="34"/>
      <c r="BJ170" s="34"/>
      <c r="BK170" s="34"/>
      <c r="BL170" s="133"/>
      <c r="BM170" s="34"/>
      <c r="BN170" s="34"/>
      <c r="BO170" s="34"/>
      <c r="BP170" s="34"/>
      <c r="BQ170" s="133"/>
      <c r="BR170" s="34"/>
      <c r="BS170" s="34"/>
      <c r="BT170" s="34"/>
      <c r="BU170" s="34"/>
      <c r="BV170" s="133"/>
      <c r="BW170" s="34"/>
      <c r="BX170" s="34"/>
      <c r="BY170" s="34"/>
      <c r="BZ170" s="34"/>
      <c r="CA170" s="133"/>
      <c r="CB170" s="34"/>
      <c r="CC170" s="34"/>
      <c r="CD170" s="34"/>
      <c r="CE170" s="34"/>
      <c r="CF170" s="133"/>
      <c r="CG170" s="34"/>
      <c r="CH170" s="34"/>
      <c r="CI170" s="34"/>
      <c r="CJ170" s="34"/>
      <c r="CK170" s="133"/>
      <c r="CL170"/>
      <c r="CM170"/>
    </row>
    <row r="171" spans="1:101" ht="16.5" hidden="1" customHeight="1" outlineLevel="1" collapsed="1" x14ac:dyDescent="0.2">
      <c r="A171" s="28" t="s">
        <v>252</v>
      </c>
      <c r="B171" s="26"/>
      <c r="C171" s="26"/>
      <c r="D171" s="26"/>
      <c r="E171" s="34"/>
      <c r="F171" s="34"/>
      <c r="G171" s="34"/>
      <c r="H171" s="34"/>
      <c r="I171" s="133"/>
      <c r="J171" s="34"/>
      <c r="K171" s="34"/>
      <c r="L171" s="34"/>
      <c r="M171" s="34"/>
      <c r="N171" s="133"/>
      <c r="O171" s="34"/>
      <c r="P171" s="34"/>
      <c r="Q171" s="34"/>
      <c r="R171" s="34"/>
      <c r="S171" s="133"/>
      <c r="T171" s="34"/>
      <c r="U171" s="34"/>
      <c r="V171" s="34"/>
      <c r="W171" s="34"/>
      <c r="X171" s="133"/>
      <c r="Y171" s="34"/>
      <c r="Z171" s="34"/>
      <c r="AA171" s="34"/>
      <c r="AB171" s="34"/>
      <c r="AC171" s="133">
        <f t="shared" ref="AC171:AH171" si="266">(AC102-X102)/(AC6-X6)</f>
        <v>0.13124743256196084</v>
      </c>
      <c r="AD171" s="117">
        <f t="shared" si="266"/>
        <v>2.4133904242896069E-2</v>
      </c>
      <c r="AE171" s="117">
        <f t="shared" si="266"/>
        <v>6.3672260612043438E-2</v>
      </c>
      <c r="AF171" s="117">
        <f t="shared" si="266"/>
        <v>6.6247582205029007E-2</v>
      </c>
      <c r="AG171" s="117">
        <f t="shared" si="266"/>
        <v>0.19347826086956521</v>
      </c>
      <c r="AH171" s="133">
        <f t="shared" si="266"/>
        <v>7.3977371627502175E-2</v>
      </c>
      <c r="AI171" s="34"/>
      <c r="AJ171" s="248"/>
      <c r="AK171" s="248"/>
      <c r="AL171" s="248"/>
      <c r="AM171" s="249"/>
      <c r="AN171" s="248"/>
      <c r="AO171" s="34"/>
      <c r="AP171" s="34"/>
      <c r="AQ171" s="34"/>
      <c r="AR171" s="249"/>
      <c r="AS171" s="34"/>
      <c r="AT171" s="34"/>
      <c r="AU171" s="34"/>
      <c r="AV171" s="34"/>
      <c r="AW171" s="133"/>
      <c r="AX171" s="34"/>
      <c r="AY171" s="34"/>
      <c r="AZ171" s="34"/>
      <c r="BA171" s="34"/>
      <c r="BB171" s="133"/>
      <c r="BC171" s="34"/>
      <c r="BD171" s="34"/>
      <c r="BE171" s="34"/>
      <c r="BF171" s="34"/>
      <c r="BG171" s="133"/>
      <c r="BH171" s="34"/>
      <c r="BI171" s="34"/>
      <c r="BJ171" s="34"/>
      <c r="BK171" s="34"/>
      <c r="BL171" s="133"/>
      <c r="BM171" s="34"/>
      <c r="BN171" s="34"/>
      <c r="BO171" s="34"/>
      <c r="BP171" s="34"/>
      <c r="BQ171" s="133"/>
      <c r="BR171" s="34"/>
      <c r="BS171" s="34"/>
      <c r="BT171" s="34"/>
      <c r="BU171" s="34"/>
      <c r="BV171" s="133"/>
      <c r="BW171" s="34"/>
      <c r="BX171" s="34"/>
      <c r="BY171" s="34"/>
      <c r="BZ171" s="34"/>
      <c r="CA171" s="133"/>
      <c r="CB171" s="34"/>
      <c r="CC171" s="34"/>
      <c r="CD171" s="34"/>
      <c r="CE171" s="34"/>
      <c r="CF171" s="133"/>
      <c r="CG171" s="34"/>
      <c r="CH171" s="34"/>
      <c r="CI171" s="34"/>
      <c r="CJ171" s="34"/>
      <c r="CK171" s="133"/>
      <c r="CL171"/>
      <c r="CM171"/>
    </row>
    <row r="172" spans="1:101" ht="16.5" hidden="1" customHeight="1" outlineLevel="1" collapsed="1" x14ac:dyDescent="0.2">
      <c r="A172" s="26"/>
      <c r="B172" s="26" t="s">
        <v>67</v>
      </c>
      <c r="C172" s="26"/>
      <c r="D172" s="26"/>
      <c r="E172" s="34"/>
      <c r="F172" s="34"/>
      <c r="G172" s="34"/>
      <c r="H172" s="34"/>
      <c r="I172" s="133"/>
      <c r="J172" s="34"/>
      <c r="K172" s="34"/>
      <c r="L172" s="34"/>
      <c r="M172" s="34"/>
      <c r="N172" s="133">
        <f>(N105-I105)/(N13-I13)</f>
        <v>0.17484131563762262</v>
      </c>
      <c r="O172" s="34"/>
      <c r="P172" s="34"/>
      <c r="Q172" s="34"/>
      <c r="R172" s="34"/>
      <c r="S172" s="133">
        <f>(S105-N105)/(S13-N13)</f>
        <v>0.21299093655589124</v>
      </c>
      <c r="T172" s="34"/>
      <c r="U172" s="34"/>
      <c r="V172" s="34"/>
      <c r="W172" s="34"/>
      <c r="X172" s="133">
        <f>(X105-S105)/(X13-S13)</f>
        <v>0.35305719921104539</v>
      </c>
      <c r="Y172" s="34"/>
      <c r="Z172" s="34"/>
      <c r="AA172" s="34"/>
      <c r="AB172" s="34"/>
      <c r="AC172" s="133">
        <f>(AC105-X105)/(AC13-X13)</f>
        <v>0.44338335607094131</v>
      </c>
      <c r="AD172" s="205">
        <f t="shared" ref="AD172:AD178" si="267">AVERAGE(N172:AC172)</f>
        <v>0.29606820186887511</v>
      </c>
      <c r="AE172" s="34"/>
      <c r="AF172" s="34"/>
      <c r="AG172" s="34"/>
      <c r="AH172" s="133">
        <f>(AH105-AC105)/(AH13-AC13)</f>
        <v>0.33618012422360249</v>
      </c>
      <c r="AI172" s="34"/>
      <c r="AJ172" s="248"/>
      <c r="AK172" s="248"/>
      <c r="AL172" s="248"/>
      <c r="AM172" s="249"/>
      <c r="AN172" s="248"/>
      <c r="AO172" s="34"/>
      <c r="AP172" s="34"/>
      <c r="AQ172" s="34"/>
      <c r="AR172" s="249"/>
      <c r="AS172" s="34"/>
      <c r="AT172" s="34"/>
      <c r="AU172" s="34"/>
      <c r="AV172" s="34"/>
      <c r="AW172" s="133"/>
      <c r="AX172" s="34"/>
      <c r="AY172" s="34"/>
      <c r="AZ172" s="34"/>
      <c r="BA172" s="34"/>
      <c r="BB172" s="133"/>
      <c r="BC172" s="34"/>
      <c r="BD172" s="34"/>
      <c r="BE172" s="34"/>
      <c r="BF172" s="34"/>
      <c r="BG172" s="133"/>
      <c r="BH172" s="34"/>
      <c r="BI172" s="34"/>
      <c r="BJ172" s="34"/>
      <c r="BK172" s="34"/>
      <c r="BL172" s="133"/>
      <c r="BM172" s="34"/>
      <c r="BN172" s="34"/>
      <c r="BO172" s="34"/>
      <c r="BP172" s="34"/>
      <c r="BQ172" s="133"/>
      <c r="BR172" s="34"/>
      <c r="BS172" s="34"/>
      <c r="BT172" s="34"/>
      <c r="BU172" s="34"/>
      <c r="BV172" s="133"/>
      <c r="BW172" s="34"/>
      <c r="BX172" s="34"/>
      <c r="BY172" s="34"/>
      <c r="BZ172" s="34"/>
      <c r="CA172" s="133"/>
      <c r="CB172" s="34"/>
      <c r="CC172" s="34"/>
      <c r="CD172" s="34"/>
      <c r="CE172" s="34"/>
      <c r="CF172" s="133"/>
      <c r="CG172" s="34"/>
      <c r="CH172" s="34"/>
      <c r="CI172" s="34"/>
      <c r="CJ172" s="34"/>
      <c r="CK172" s="133"/>
      <c r="CL172"/>
      <c r="CM172"/>
    </row>
    <row r="173" spans="1:101" ht="16.5" hidden="1" customHeight="1" outlineLevel="1" collapsed="1" x14ac:dyDescent="0.2">
      <c r="A173" s="28"/>
      <c r="B173" s="26" t="s">
        <v>68</v>
      </c>
      <c r="C173" s="26"/>
      <c r="D173" s="26"/>
      <c r="E173" s="250"/>
      <c r="F173" s="250"/>
      <c r="G173" s="250"/>
      <c r="H173" s="250"/>
      <c r="I173" s="133"/>
      <c r="J173" s="250"/>
      <c r="K173" s="250"/>
      <c r="L173" s="250"/>
      <c r="M173" s="250"/>
      <c r="N173" s="133">
        <f>(N108-I108)/(N20-I20)</f>
        <v>0.25741239892183287</v>
      </c>
      <c r="O173" s="250"/>
      <c r="P173" s="250"/>
      <c r="Q173" s="250"/>
      <c r="R173" s="250"/>
      <c r="S173" s="133">
        <f>(S108-N108)/(S20-N20)</f>
        <v>0.21064060803474485</v>
      </c>
      <c r="T173" s="250"/>
      <c r="U173" s="250"/>
      <c r="V173" s="250"/>
      <c r="W173" s="250"/>
      <c r="X173" s="133">
        <f>(X108-S108)/(X20-S20)</f>
        <v>-0.45348837209302323</v>
      </c>
      <c r="Y173" s="250"/>
      <c r="Z173" s="250"/>
      <c r="AA173" s="250"/>
      <c r="AB173" s="250"/>
      <c r="AC173" s="133">
        <f>(AC108-X108)/(AC20-X20)</f>
        <v>1.7763157894736843</v>
      </c>
      <c r="AD173" s="205">
        <f t="shared" si="267"/>
        <v>0.44772010608430968</v>
      </c>
      <c r="AE173" s="250"/>
      <c r="AF173" s="250"/>
      <c r="AG173" s="250"/>
      <c r="AH173" s="133">
        <f>(AH108-AC108)/(AH20-AC20)</f>
        <v>0.50920245398773001</v>
      </c>
      <c r="AI173" s="250"/>
      <c r="AJ173" s="248"/>
      <c r="AK173" s="248"/>
      <c r="AL173" s="248"/>
      <c r="AM173" s="249"/>
      <c r="AN173" s="248"/>
      <c r="AO173" s="250"/>
      <c r="AP173" s="250"/>
      <c r="AQ173" s="250"/>
      <c r="AR173" s="249"/>
      <c r="AS173" s="250"/>
      <c r="AT173" s="250"/>
      <c r="AU173" s="250"/>
      <c r="AV173" s="250"/>
      <c r="AW173" s="251"/>
      <c r="AX173" s="250"/>
      <c r="AY173" s="250"/>
      <c r="AZ173" s="250"/>
      <c r="BA173" s="250"/>
      <c r="BB173" s="251"/>
      <c r="BC173" s="250"/>
      <c r="BD173" s="250"/>
      <c r="BE173" s="250"/>
      <c r="BF173" s="250"/>
      <c r="BG173" s="251"/>
      <c r="BH173" s="250"/>
      <c r="BI173" s="250"/>
      <c r="BJ173" s="250"/>
      <c r="BK173" s="250"/>
      <c r="BL173" s="251"/>
      <c r="BM173" s="250"/>
      <c r="BN173" s="250"/>
      <c r="BO173" s="250"/>
      <c r="BP173" s="250"/>
      <c r="BQ173" s="251"/>
      <c r="BR173" s="250"/>
      <c r="BS173" s="250"/>
      <c r="BT173" s="250"/>
      <c r="BU173" s="250"/>
      <c r="BV173" s="251"/>
      <c r="BW173" s="250"/>
      <c r="BX173" s="250"/>
      <c r="BY173" s="250"/>
      <c r="BZ173" s="250"/>
      <c r="CA173" s="251"/>
      <c r="CB173" s="250"/>
      <c r="CC173" s="250"/>
      <c r="CD173" s="250"/>
      <c r="CE173" s="250"/>
      <c r="CF173" s="251"/>
      <c r="CG173" s="250"/>
      <c r="CH173" s="250"/>
      <c r="CI173" s="250"/>
      <c r="CJ173" s="250"/>
      <c r="CK173" s="251"/>
      <c r="CL173"/>
      <c r="CM173"/>
    </row>
    <row r="174" spans="1:101" ht="16.5" hidden="1" customHeight="1" outlineLevel="1" collapsed="1" x14ac:dyDescent="0.2">
      <c r="A174" s="28"/>
      <c r="B174" s="26" t="s">
        <v>69</v>
      </c>
      <c r="C174" s="26"/>
      <c r="D174" s="26"/>
      <c r="E174" s="34"/>
      <c r="F174" s="34"/>
      <c r="G174" s="34"/>
      <c r="H174" s="34"/>
      <c r="I174" s="133"/>
      <c r="J174" s="250"/>
      <c r="K174" s="250"/>
      <c r="L174" s="250"/>
      <c r="M174" s="250"/>
      <c r="N174" s="133">
        <f>(N111-I111)/(N27-I27)</f>
        <v>0.15384615384615385</v>
      </c>
      <c r="O174" s="250"/>
      <c r="P174" s="250"/>
      <c r="Q174" s="250"/>
      <c r="R174" s="250"/>
      <c r="S174" s="133">
        <f>(S111-N111)/(S27-N27)</f>
        <v>1.0714285714285714</v>
      </c>
      <c r="T174" s="250"/>
      <c r="U174" s="250"/>
      <c r="V174" s="250"/>
      <c r="W174" s="250"/>
      <c r="X174" s="133">
        <f>(X111-S111)/(X27-S27)</f>
        <v>0.21656050955414013</v>
      </c>
      <c r="Y174" s="250"/>
      <c r="Z174" s="250"/>
      <c r="AA174" s="250"/>
      <c r="AB174" s="250"/>
      <c r="AC174" s="133">
        <f>(AC111-X111)/(AC27-X27)</f>
        <v>1.3548387096774193</v>
      </c>
      <c r="AD174" s="205">
        <f t="shared" si="267"/>
        <v>0.69916848612657123</v>
      </c>
      <c r="AE174" s="250"/>
      <c r="AF174" s="250"/>
      <c r="AG174" s="250"/>
      <c r="AH174" s="133">
        <f>(AH111-AC111)/(AH27-AC27)</f>
        <v>-1.4761904761904763</v>
      </c>
      <c r="AI174" s="250"/>
      <c r="AJ174" s="248"/>
      <c r="AK174" s="248"/>
      <c r="AL174" s="248"/>
      <c r="AM174" s="249"/>
      <c r="AN174" s="248"/>
      <c r="AO174" s="250"/>
      <c r="AP174" s="250"/>
      <c r="AQ174" s="250"/>
      <c r="AR174" s="249"/>
      <c r="AS174" s="250"/>
      <c r="AT174" s="250"/>
      <c r="AU174" s="250"/>
      <c r="AV174" s="250"/>
      <c r="AW174" s="251"/>
      <c r="AX174" s="250"/>
      <c r="AY174" s="250"/>
      <c r="AZ174" s="250"/>
      <c r="BA174" s="250"/>
      <c r="BB174" s="251"/>
      <c r="BC174" s="250"/>
      <c r="BD174" s="250"/>
      <c r="BE174" s="250"/>
      <c r="BF174" s="250"/>
      <c r="BG174" s="251"/>
      <c r="BH174" s="250"/>
      <c r="BI174" s="250"/>
      <c r="BJ174" s="250"/>
      <c r="BK174" s="250"/>
      <c r="BL174" s="251"/>
      <c r="BM174" s="250"/>
      <c r="BN174" s="250"/>
      <c r="BO174" s="250"/>
      <c r="BP174" s="250"/>
      <c r="BQ174" s="251"/>
      <c r="BR174" s="250"/>
      <c r="BS174" s="250"/>
      <c r="BT174" s="250"/>
      <c r="BU174" s="250"/>
      <c r="BV174" s="251"/>
      <c r="BW174" s="250"/>
      <c r="BX174" s="250"/>
      <c r="BY174" s="250"/>
      <c r="BZ174" s="250"/>
      <c r="CA174" s="251"/>
      <c r="CB174" s="250"/>
      <c r="CC174" s="250"/>
      <c r="CD174" s="250"/>
      <c r="CE174" s="250"/>
      <c r="CF174" s="251"/>
      <c r="CG174" s="250"/>
      <c r="CH174" s="250"/>
      <c r="CI174" s="250"/>
      <c r="CJ174" s="250"/>
      <c r="CK174" s="251"/>
      <c r="CL174"/>
      <c r="CM174"/>
    </row>
    <row r="175" spans="1:101" ht="16.5" hidden="1" customHeight="1" outlineLevel="1" collapsed="1" x14ac:dyDescent="0.2">
      <c r="B175" s="25" t="s">
        <v>70</v>
      </c>
      <c r="I175" s="133"/>
      <c r="N175" s="133">
        <f>(N127-I127)/(N69-I69)</f>
        <v>0.10888888888888888</v>
      </c>
      <c r="S175" s="133">
        <f>(S127-N127)/(S69-N69)</f>
        <v>0.1798631476050831</v>
      </c>
      <c r="X175" s="133">
        <f>(X127-S127)/(X69-S69)</f>
        <v>0.15625</v>
      </c>
      <c r="AC175" s="133">
        <f>(AC127-X127)/(AC69-X69)</f>
        <v>0.15849673202614378</v>
      </c>
      <c r="AD175" s="205">
        <f t="shared" si="267"/>
        <v>0.15087469213002894</v>
      </c>
      <c r="AH175" s="133">
        <f>(AH127-AC127)/(AH69-AC69)</f>
        <v>0.14506539833531509</v>
      </c>
      <c r="AJ175" s="252"/>
      <c r="AK175" s="252"/>
      <c r="AL175" s="252"/>
      <c r="AM175" s="249"/>
      <c r="AN175" s="252"/>
      <c r="AR175" s="249"/>
      <c r="CL175"/>
      <c r="CM175"/>
    </row>
    <row r="176" spans="1:101" ht="16.5" hidden="1" customHeight="1" outlineLevel="1" collapsed="1" x14ac:dyDescent="0.2">
      <c r="B176" s="25" t="s">
        <v>71</v>
      </c>
      <c r="I176" s="133"/>
      <c r="N176" s="133">
        <f>(N130-I130)/(N76-I76)</f>
        <v>0.25274725274725274</v>
      </c>
      <c r="S176" s="133">
        <f>(S130-N130)/(S76-N76)</f>
        <v>1.2026143790849673</v>
      </c>
      <c r="X176" s="133">
        <f>(X130-S130)/(X76-S76)</f>
        <v>0.15468940316686966</v>
      </c>
      <c r="AC176" s="133">
        <f>(AC130-X130)/(AC76-X76)</f>
        <v>0.13650947982498784</v>
      </c>
      <c r="AD176" s="205">
        <f t="shared" si="267"/>
        <v>0.43664012870601943</v>
      </c>
      <c r="AH176" s="133">
        <f>(AH130-AC130)/(AH76-AC76)</f>
        <v>-8.0971659919028341E-2</v>
      </c>
      <c r="AJ176" s="252"/>
      <c r="AK176" s="252"/>
      <c r="AL176" s="252"/>
      <c r="AM176" s="249"/>
      <c r="AN176" s="252"/>
      <c r="AR176" s="249"/>
      <c r="CL176"/>
      <c r="CM176"/>
    </row>
    <row r="177" spans="1:91" hidden="1" outlineLevel="1" x14ac:dyDescent="0.2">
      <c r="B177" s="25" t="s">
        <v>72</v>
      </c>
      <c r="I177" s="133"/>
      <c r="N177" s="133">
        <f>(N133-I133)/(N83-I83)</f>
        <v>0.11185983827493262</v>
      </c>
      <c r="S177" s="133">
        <f>(S133-N133)/(S83-N83)</f>
        <v>0.12651894210150108</v>
      </c>
      <c r="X177" s="133">
        <f>(X133-S133)/(X83-S83)</f>
        <v>-6.569343065693431E-2</v>
      </c>
      <c r="AC177" s="133">
        <f>(AC133-X133)/(AC83-X83)</f>
        <v>9.8679098679098673E-2</v>
      </c>
      <c r="AD177" s="205">
        <f t="shared" si="267"/>
        <v>6.784111209964952E-2</v>
      </c>
      <c r="AH177" s="133">
        <f>(AH133-AC133)/(AH83-AC83)</f>
        <v>5.6560509554140125E-2</v>
      </c>
      <c r="AJ177" s="252"/>
      <c r="AK177" s="252"/>
      <c r="AL177" s="252"/>
      <c r="AM177" s="249"/>
      <c r="AN177" s="252"/>
      <c r="AR177" s="249"/>
      <c r="CL177"/>
      <c r="CM177"/>
    </row>
    <row r="178" spans="1:91" hidden="1" outlineLevel="1" x14ac:dyDescent="0.2">
      <c r="B178" s="25" t="s">
        <v>33</v>
      </c>
      <c r="I178" s="133"/>
      <c r="N178" s="133">
        <f>(N136-I136)/(N92-I92)</f>
        <v>0.13051146384479717</v>
      </c>
      <c r="S178" s="133">
        <f>(S136-N136)/(S92-N92)</f>
        <v>0.10642201834862386</v>
      </c>
      <c r="X178" s="133">
        <f>(X136-S136)/(X92-S92)</f>
        <v>0.66455696202531644</v>
      </c>
      <c r="AC178" s="133">
        <f>(AC136-X136)/(AC92-X92)</f>
        <v>-3.9447731755424065E-3</v>
      </c>
      <c r="AD178" s="205">
        <f t="shared" si="267"/>
        <v>0.22438641776079876</v>
      </c>
      <c r="AH178" s="133">
        <f>(AH136-AC136)/(AH92-AC92)</f>
        <v>0.17075386012715713</v>
      </c>
      <c r="AJ178" s="252"/>
      <c r="AK178" s="252"/>
      <c r="AL178" s="252"/>
      <c r="AM178" s="249"/>
      <c r="AN178" s="252"/>
      <c r="AR178" s="249"/>
      <c r="CL178"/>
      <c r="CM178"/>
    </row>
    <row r="179" spans="1:91" hidden="1" outlineLevel="1" x14ac:dyDescent="0.2">
      <c r="AJ179" s="252"/>
      <c r="AK179" s="252"/>
      <c r="AL179" s="252"/>
      <c r="AM179" s="252"/>
      <c r="AN179" s="252"/>
      <c r="AR179" s="252"/>
      <c r="CL179"/>
      <c r="CM179"/>
    </row>
    <row r="180" spans="1:91" hidden="1" outlineLevel="1" x14ac:dyDescent="0.2">
      <c r="B180" s="25" t="s">
        <v>253</v>
      </c>
      <c r="AC180" s="42">
        <f>+AC105+0.5*AC133+0.5*AC136</f>
        <v>6077.5</v>
      </c>
      <c r="AH180" s="42">
        <f>+AH105+0.5*AH133+0.5*AH136</f>
        <v>6715.5</v>
      </c>
      <c r="AJ180" s="252"/>
      <c r="AK180" s="252"/>
      <c r="AL180" s="252"/>
      <c r="AM180" s="253"/>
      <c r="AN180" s="252"/>
      <c r="AR180" s="253"/>
      <c r="CL180"/>
      <c r="CM180"/>
    </row>
    <row r="181" spans="1:91" hidden="1" outlineLevel="1" x14ac:dyDescent="0.2">
      <c r="B181" s="25" t="s">
        <v>254</v>
      </c>
      <c r="AC181" s="42">
        <f>(AC102-AC139)-AC180</f>
        <v>4548.5</v>
      </c>
      <c r="AH181" s="42">
        <f>(AH102-AH139)-AH180</f>
        <v>4613.5</v>
      </c>
      <c r="AJ181" s="252"/>
      <c r="AK181" s="252"/>
      <c r="AL181" s="252"/>
      <c r="AM181" s="253"/>
      <c r="AN181" s="252"/>
      <c r="AR181" s="253"/>
      <c r="CL181"/>
      <c r="CM181"/>
    </row>
    <row r="182" spans="1:91" collapsed="1" x14ac:dyDescent="0.2">
      <c r="AI182" s="254"/>
      <c r="AJ182" s="255"/>
      <c r="AK182" s="255"/>
      <c r="AL182" s="255"/>
      <c r="AM182" s="255"/>
      <c r="AN182" s="252"/>
      <c r="AR182" s="255"/>
      <c r="CL182"/>
      <c r="CM182"/>
    </row>
    <row r="183" spans="1:91" x14ac:dyDescent="0.2">
      <c r="A183" s="14" t="s">
        <v>255</v>
      </c>
      <c r="CL183"/>
      <c r="CM183"/>
    </row>
    <row r="184" spans="1:91" s="1" customFormat="1" hidden="1" outlineLevel="1" x14ac:dyDescent="0.2">
      <c r="B184" s="1" t="s">
        <v>67</v>
      </c>
      <c r="E184" s="256"/>
      <c r="F184" s="256"/>
      <c r="G184" s="256"/>
      <c r="H184" s="256"/>
      <c r="I184" s="256"/>
      <c r="J184" s="257">
        <f t="shared" ref="J184:AO184" si="268">J13/J6</f>
        <v>0.50693877551020405</v>
      </c>
      <c r="K184" s="257">
        <f t="shared" si="268"/>
        <v>0.43634849588841468</v>
      </c>
      <c r="L184" s="257">
        <f t="shared" si="268"/>
        <v>0.43879657850752141</v>
      </c>
      <c r="M184" s="257">
        <f t="shared" si="268"/>
        <v>0.48088449700307789</v>
      </c>
      <c r="N184" s="258">
        <f t="shared" si="268"/>
        <v>0.46405228758169936</v>
      </c>
      <c r="O184" s="258">
        <f t="shared" si="268"/>
        <v>0.50354014160566418</v>
      </c>
      <c r="P184" s="258">
        <f t="shared" si="268"/>
        <v>0.44577432617633622</v>
      </c>
      <c r="Q184" s="258">
        <f t="shared" si="268"/>
        <v>0.4439701173959445</v>
      </c>
      <c r="R184" s="258">
        <f t="shared" si="268"/>
        <v>0.48998350223898185</v>
      </c>
      <c r="S184" s="258">
        <f t="shared" si="268"/>
        <v>0.46944579316085178</v>
      </c>
      <c r="T184" s="258">
        <f t="shared" si="268"/>
        <v>0.52668522328452139</v>
      </c>
      <c r="U184" s="258">
        <f t="shared" si="268"/>
        <v>0.46374622356495471</v>
      </c>
      <c r="V184" s="258">
        <f t="shared" si="268"/>
        <v>0.4523465703971119</v>
      </c>
      <c r="W184" s="258">
        <f t="shared" si="268"/>
        <v>0.49146424005414757</v>
      </c>
      <c r="X184" s="258">
        <f t="shared" si="268"/>
        <v>0.48137953367875647</v>
      </c>
      <c r="Y184" s="258">
        <f t="shared" si="268"/>
        <v>0.48356105892399659</v>
      </c>
      <c r="Z184" s="258">
        <f t="shared" si="268"/>
        <v>0.34538206877913652</v>
      </c>
      <c r="AA184" s="258">
        <f t="shared" si="268"/>
        <v>0.33472992136135105</v>
      </c>
      <c r="AB184" s="258">
        <f t="shared" si="268"/>
        <v>0.3695400716056183</v>
      </c>
      <c r="AC184" s="258">
        <f t="shared" si="268"/>
        <v>0.37248867526539647</v>
      </c>
      <c r="AD184" s="258">
        <f t="shared" si="268"/>
        <v>0.38971265812180617</v>
      </c>
      <c r="AE184" s="258">
        <f t="shared" si="268"/>
        <v>0.32572651096452132</v>
      </c>
      <c r="AF184" s="258">
        <f t="shared" si="268"/>
        <v>0.32010010237743147</v>
      </c>
      <c r="AG184" s="258">
        <f t="shared" si="268"/>
        <v>0.36196570258510363</v>
      </c>
      <c r="AH184" s="258">
        <f t="shared" si="268"/>
        <v>0.34656425980176381</v>
      </c>
      <c r="AI184" s="258">
        <f t="shared" si="268"/>
        <v>0.39169616993884776</v>
      </c>
      <c r="AJ184" s="258">
        <f t="shared" si="268"/>
        <v>0.34779438570907767</v>
      </c>
      <c r="AK184" s="258">
        <f t="shared" si="268"/>
        <v>0.34632476579389865</v>
      </c>
      <c r="AL184" s="258">
        <f t="shared" si="268"/>
        <v>0.38242958805252081</v>
      </c>
      <c r="AM184" s="258">
        <f t="shared" si="268"/>
        <v>0.36630428143895438</v>
      </c>
      <c r="AN184" s="258">
        <f t="shared" si="268"/>
        <v>0.40728082028455609</v>
      </c>
      <c r="AO184" s="258">
        <f t="shared" si="268"/>
        <v>0.35848158505384659</v>
      </c>
      <c r="AP184" s="258">
        <f t="shared" ref="AP184:AY184" si="269">AP13/AP6</f>
        <v>0.35939440534626532</v>
      </c>
      <c r="AQ184" s="258">
        <f t="shared" si="269"/>
        <v>0.39079431355005467</v>
      </c>
      <c r="AR184" s="258">
        <f t="shared" si="269"/>
        <v>0.37774599111646467</v>
      </c>
      <c r="AS184" s="258">
        <f t="shared" si="269"/>
        <v>0.41123346272676858</v>
      </c>
      <c r="AT184" s="258">
        <f t="shared" si="269"/>
        <v>0.35947673730318458</v>
      </c>
      <c r="AU184" s="258">
        <f t="shared" si="269"/>
        <v>0.36531536763851785</v>
      </c>
      <c r="AV184" s="258">
        <f t="shared" si="269"/>
        <v>0.39893723681572085</v>
      </c>
      <c r="AW184" s="258">
        <f t="shared" si="269"/>
        <v>0.38258626636474063</v>
      </c>
      <c r="AX184" s="258">
        <f t="shared" si="269"/>
        <v>0.42866497503478757</v>
      </c>
      <c r="AY184" s="258">
        <f t="shared" si="269"/>
        <v>0.37668781008603908</v>
      </c>
      <c r="AZ184" s="258"/>
      <c r="BA184" s="258"/>
      <c r="BB184" s="258"/>
      <c r="BC184" s="258"/>
      <c r="BD184" s="258"/>
      <c r="BE184" s="258"/>
      <c r="BF184" s="258"/>
      <c r="BG184" s="258"/>
      <c r="BH184" s="258"/>
      <c r="BI184" s="258"/>
      <c r="BJ184" s="258"/>
      <c r="BK184" s="258"/>
      <c r="BL184" s="258"/>
      <c r="BM184" s="258"/>
      <c r="BN184" s="258"/>
      <c r="BO184" s="258"/>
      <c r="BP184" s="258"/>
      <c r="BQ184" s="258"/>
      <c r="BR184" s="258"/>
      <c r="BS184" s="258"/>
      <c r="BT184" s="258"/>
      <c r="BU184" s="258"/>
      <c r="BV184" s="258"/>
      <c r="BW184" s="258"/>
      <c r="BX184" s="258"/>
      <c r="BY184" s="258"/>
      <c r="BZ184" s="258"/>
      <c r="CA184" s="258"/>
      <c r="CB184" s="258"/>
      <c r="CC184" s="258"/>
      <c r="CD184" s="258"/>
      <c r="CE184" s="258"/>
      <c r="CF184" s="258"/>
      <c r="CG184" s="258"/>
      <c r="CH184" s="258"/>
      <c r="CI184" s="258"/>
      <c r="CJ184" s="258"/>
      <c r="CK184" s="258"/>
      <c r="CL184"/>
      <c r="CM184"/>
    </row>
    <row r="185" spans="1:91" collapsed="1" x14ac:dyDescent="0.2">
      <c r="B185" s="25" t="s">
        <v>68</v>
      </c>
      <c r="E185" s="259"/>
      <c r="F185" s="259"/>
      <c r="G185" s="259"/>
      <c r="H185" s="259"/>
      <c r="I185" s="259"/>
      <c r="J185" s="260">
        <f t="shared" ref="J185:AO185" si="270">J20/J6</f>
        <v>0.34734693877551021</v>
      </c>
      <c r="K185" s="260">
        <f t="shared" si="270"/>
        <v>0.28343915894660143</v>
      </c>
      <c r="L185" s="260">
        <f t="shared" si="270"/>
        <v>0.27529249827942187</v>
      </c>
      <c r="M185" s="260">
        <f t="shared" si="270"/>
        <v>0.28430260813218855</v>
      </c>
      <c r="N185" s="261">
        <f t="shared" si="270"/>
        <v>0.29350965192278461</v>
      </c>
      <c r="O185" s="261">
        <f t="shared" si="270"/>
        <v>0.32761310452418096</v>
      </c>
      <c r="P185" s="261">
        <f t="shared" si="270"/>
        <v>0.26952946550936502</v>
      </c>
      <c r="Q185" s="261">
        <f t="shared" si="270"/>
        <v>0.27187833511205978</v>
      </c>
      <c r="R185" s="261">
        <f t="shared" si="270"/>
        <v>0.29617409065912481</v>
      </c>
      <c r="S185" s="261">
        <f t="shared" si="270"/>
        <v>0.2891725046819727</v>
      </c>
      <c r="T185" s="261">
        <f t="shared" si="270"/>
        <v>0.36306426237444028</v>
      </c>
      <c r="U185" s="261">
        <f t="shared" si="270"/>
        <v>0.29626132930513593</v>
      </c>
      <c r="V185" s="261">
        <f t="shared" si="270"/>
        <v>0.28862815884476534</v>
      </c>
      <c r="W185" s="261">
        <f t="shared" si="270"/>
        <v>0.2923967812288486</v>
      </c>
      <c r="X185" s="261">
        <f t="shared" si="270"/>
        <v>0.28731032568467801</v>
      </c>
      <c r="Y185" s="261">
        <f t="shared" si="270"/>
        <v>0.30572160546541416</v>
      </c>
      <c r="Z185" s="261">
        <f t="shared" si="270"/>
        <v>0.20214850347949462</v>
      </c>
      <c r="AA185" s="261">
        <f t="shared" si="270"/>
        <v>0.19659662240556916</v>
      </c>
      <c r="AB185" s="261">
        <f t="shared" si="270"/>
        <v>0.20198292481410079</v>
      </c>
      <c r="AC185" s="261">
        <f t="shared" si="270"/>
        <v>0.21738303537466716</v>
      </c>
      <c r="AD185" s="261">
        <f t="shared" si="270"/>
        <v>0.24327720532797184</v>
      </c>
      <c r="AE185" s="261">
        <f t="shared" si="270"/>
        <v>0.18363344624710287</v>
      </c>
      <c r="AF185" s="261">
        <f t="shared" si="270"/>
        <v>0.18046866113070184</v>
      </c>
      <c r="AG185" s="261">
        <f t="shared" si="270"/>
        <v>0.19938571794215509</v>
      </c>
      <c r="AH185" s="261">
        <f t="shared" si="270"/>
        <v>0.19826657154566568</v>
      </c>
      <c r="AI185" s="261">
        <f t="shared" si="270"/>
        <v>0.24219504345027357</v>
      </c>
      <c r="AJ185" s="261">
        <f t="shared" si="270"/>
        <v>0.19400899258719165</v>
      </c>
      <c r="AK185" s="261">
        <f t="shared" si="270"/>
        <v>0.19631275522459765</v>
      </c>
      <c r="AL185" s="261">
        <f t="shared" si="270"/>
        <v>0.20557281748020448</v>
      </c>
      <c r="AM185" s="261">
        <f t="shared" si="270"/>
        <v>0.20726195565870642</v>
      </c>
      <c r="AN185" s="261">
        <f t="shared" si="270"/>
        <v>0.2482314601383038</v>
      </c>
      <c r="AO185" s="261">
        <f t="shared" si="270"/>
        <v>0.19825072886297376</v>
      </c>
      <c r="AP185" s="261">
        <f t="shared" ref="AP185:BU185" si="271">AP20/AP6</f>
        <v>0.20249571234253946</v>
      </c>
      <c r="AQ185" s="261">
        <f t="shared" si="271"/>
        <v>0.21110448354707229</v>
      </c>
      <c r="AR185" s="261">
        <f t="shared" si="271"/>
        <v>0.2126929157569826</v>
      </c>
      <c r="AS185" s="261">
        <f t="shared" si="271"/>
        <v>0.25501069476352689</v>
      </c>
      <c r="AT185" s="261">
        <f t="shared" si="271"/>
        <v>0.20048537942464781</v>
      </c>
      <c r="AU185" s="261">
        <f t="shared" si="271"/>
        <v>0.20478568939481936</v>
      </c>
      <c r="AV185" s="261">
        <f t="shared" si="271"/>
        <v>0.21906958091036696</v>
      </c>
      <c r="AW185" s="261">
        <f>AW20/AW6</f>
        <v>0.21747671820404002</v>
      </c>
      <c r="AX185" s="261">
        <f t="shared" si="271"/>
        <v>0.27167062290251287</v>
      </c>
      <c r="AY185" s="261">
        <f t="shared" si="271"/>
        <v>0.21679331784211517</v>
      </c>
      <c r="AZ185" s="261">
        <f>AZ20/AZ6</f>
        <v>0.2176841589614843</v>
      </c>
      <c r="BA185" s="261">
        <f t="shared" si="271"/>
        <v>0.23976324993274145</v>
      </c>
      <c r="BB185" s="261">
        <f t="shared" si="271"/>
        <v>0.23442654148693226</v>
      </c>
      <c r="BC185" s="261">
        <f t="shared" si="271"/>
        <v>0.28814702411060528</v>
      </c>
      <c r="BD185" s="261">
        <f t="shared" si="271"/>
        <v>0.23150373497888924</v>
      </c>
      <c r="BE185" s="261">
        <f t="shared" si="271"/>
        <v>0.22936295002183815</v>
      </c>
      <c r="BF185" s="261">
        <f t="shared" si="271"/>
        <v>0.25062772226492441</v>
      </c>
      <c r="BG185" s="261">
        <f t="shared" si="271"/>
        <v>0.24759948406821763</v>
      </c>
      <c r="BH185" s="261">
        <f t="shared" si="271"/>
        <v>0.29039754336459456</v>
      </c>
      <c r="BI185" s="261">
        <f t="shared" si="271"/>
        <v>0.23411839592616168</v>
      </c>
      <c r="BJ185" s="261">
        <f t="shared" si="271"/>
        <v>0.23349753694581279</v>
      </c>
      <c r="BK185" s="261">
        <f t="shared" si="271"/>
        <v>0.24731127727133054</v>
      </c>
      <c r="BL185" s="261">
        <f t="shared" si="271"/>
        <v>0.24868949232585597</v>
      </c>
      <c r="BM185" s="261">
        <f t="shared" si="271"/>
        <v>0.29347730794762772</v>
      </c>
      <c r="BN185" s="261">
        <f t="shared" si="271"/>
        <v>0.23478556328602024</v>
      </c>
      <c r="BO185" s="261">
        <f t="shared" si="271"/>
        <v>0.23283990889892159</v>
      </c>
      <c r="BP185" s="261">
        <f t="shared" si="271"/>
        <v>0.2450930384896059</v>
      </c>
      <c r="BQ185" s="261">
        <f t="shared" si="271"/>
        <v>0.24860215271452887</v>
      </c>
      <c r="BR185" s="261">
        <f t="shared" si="271"/>
        <v>0.29474544347861992</v>
      </c>
      <c r="BS185" s="261">
        <f t="shared" si="271"/>
        <v>0.23570281941623963</v>
      </c>
      <c r="BT185" s="261">
        <f t="shared" si="271"/>
        <v>0.233929812902166</v>
      </c>
      <c r="BU185" s="261">
        <f t="shared" si="271"/>
        <v>0.2459690205425871</v>
      </c>
      <c r="BV185" s="261">
        <f t="shared" ref="BV185:CK185" si="272">BV20/BV6</f>
        <v>0.24960366728060368</v>
      </c>
      <c r="BW185" s="261">
        <f t="shared" si="272"/>
        <v>0.29657098629336109</v>
      </c>
      <c r="BX185" s="261">
        <f t="shared" si="272"/>
        <v>0.23681423142849475</v>
      </c>
      <c r="BY185" s="261">
        <f t="shared" si="272"/>
        <v>0.23518427372811082</v>
      </c>
      <c r="BZ185" s="261">
        <f t="shared" si="272"/>
        <v>0.24702425933402675</v>
      </c>
      <c r="CA185" s="261">
        <f t="shared" si="272"/>
        <v>0.25085900378863257</v>
      </c>
      <c r="CB185" s="261">
        <f t="shared" si="272"/>
        <v>0.29834098648820268</v>
      </c>
      <c r="CC185" s="261">
        <f t="shared" si="272"/>
        <v>0.23787099132025236</v>
      </c>
      <c r="CD185" s="261">
        <f t="shared" si="272"/>
        <v>0.23638139381054238</v>
      </c>
      <c r="CE185" s="261">
        <f t="shared" si="272"/>
        <v>0.24802278553849613</v>
      </c>
      <c r="CF185" s="261">
        <f t="shared" si="272"/>
        <v>0.25205753190519947</v>
      </c>
      <c r="CG185" s="261">
        <f t="shared" si="272"/>
        <v>0.30005444698696732</v>
      </c>
      <c r="CH185" s="261">
        <f t="shared" si="272"/>
        <v>0.23887268413424279</v>
      </c>
      <c r="CI185" s="261">
        <f t="shared" si="272"/>
        <v>0.23752077446742303</v>
      </c>
      <c r="CJ185" s="261">
        <f t="shared" si="272"/>
        <v>0.24896431681186096</v>
      </c>
      <c r="CK185" s="261">
        <f t="shared" si="272"/>
        <v>0.25319877784451916</v>
      </c>
      <c r="CL185"/>
      <c r="CM185"/>
    </row>
    <row r="186" spans="1:91" x14ac:dyDescent="0.2">
      <c r="B186" s="25" t="s">
        <v>69</v>
      </c>
      <c r="E186" s="259"/>
      <c r="F186" s="259"/>
      <c r="G186" s="259"/>
      <c r="H186" s="259"/>
      <c r="I186" s="259"/>
      <c r="J186" s="260">
        <f t="shared" ref="J186:AO186" si="273">J27/J6</f>
        <v>6.2993197278911561E-2</v>
      </c>
      <c r="K186" s="260">
        <f t="shared" si="273"/>
        <v>4.0595399188092018E-2</v>
      </c>
      <c r="L186" s="260">
        <f t="shared" si="273"/>
        <v>4.0409005997443716E-2</v>
      </c>
      <c r="M186" s="260">
        <f t="shared" si="273"/>
        <v>4.8274744856633731E-2</v>
      </c>
      <c r="N186" s="261">
        <f t="shared" si="273"/>
        <v>4.7119623043015653E-2</v>
      </c>
      <c r="O186" s="261">
        <f t="shared" si="273"/>
        <v>5.9402376095043799E-2</v>
      </c>
      <c r="P186" s="261">
        <f t="shared" si="273"/>
        <v>3.7094563727729554E-2</v>
      </c>
      <c r="Q186" s="261">
        <f t="shared" si="273"/>
        <v>3.4774101743151903E-2</v>
      </c>
      <c r="R186" s="261">
        <f t="shared" si="273"/>
        <v>4.7922067719380942E-2</v>
      </c>
      <c r="S186" s="261">
        <f t="shared" si="273"/>
        <v>4.3975861829784281E-2</v>
      </c>
      <c r="T186" s="261">
        <f t="shared" si="273"/>
        <v>5.8695389083867844E-2</v>
      </c>
      <c r="U186" s="261">
        <f t="shared" si="273"/>
        <v>3.7386706948640484E-2</v>
      </c>
      <c r="V186" s="261">
        <f t="shared" si="273"/>
        <v>3.772563176895307E-2</v>
      </c>
      <c r="W186" s="261">
        <f t="shared" si="273"/>
        <v>4.3994886064525833E-2</v>
      </c>
      <c r="X186" s="261">
        <f t="shared" si="273"/>
        <v>6.2153034789045151E-2</v>
      </c>
      <c r="Y186" s="261">
        <f t="shared" si="273"/>
        <v>7.2907771135781382E-2</v>
      </c>
      <c r="Z186" s="261">
        <f t="shared" si="273"/>
        <v>3.9321667454901697E-2</v>
      </c>
      <c r="AA186" s="261">
        <f t="shared" si="273"/>
        <v>3.873920330024494E-2</v>
      </c>
      <c r="AB186" s="261">
        <f t="shared" si="273"/>
        <v>4.3514183420545305E-2</v>
      </c>
      <c r="AC186" s="261">
        <f t="shared" si="273"/>
        <v>4.5921366575607733E-2</v>
      </c>
      <c r="AD186" s="261">
        <f t="shared" si="273"/>
        <v>5.3614811091564046E-2</v>
      </c>
      <c r="AE186" s="261">
        <f t="shared" si="273"/>
        <v>3.4646698757948534E-2</v>
      </c>
      <c r="AF186" s="261">
        <f t="shared" si="273"/>
        <v>3.4922079399385735E-2</v>
      </c>
      <c r="AG186" s="261">
        <f t="shared" si="273"/>
        <v>3.9774763245456875E-2</v>
      </c>
      <c r="AH186" s="261">
        <f t="shared" si="273"/>
        <v>3.9677600522153578E-2</v>
      </c>
      <c r="AI186" s="261">
        <f t="shared" si="273"/>
        <v>5.0128741551335697E-2</v>
      </c>
      <c r="AJ186" s="261">
        <f t="shared" si="273"/>
        <v>3.5423502248146797E-2</v>
      </c>
      <c r="AK186" s="261">
        <f t="shared" si="273"/>
        <v>3.6932500600528467E-2</v>
      </c>
      <c r="AL186" s="261">
        <f t="shared" si="273"/>
        <v>4.0843941064448233E-2</v>
      </c>
      <c r="AM186" s="261">
        <f t="shared" si="273"/>
        <v>4.0249190740853848E-2</v>
      </c>
      <c r="AN186" s="261">
        <f t="shared" si="273"/>
        <v>5.0393450441141401E-2</v>
      </c>
      <c r="AO186" s="261">
        <f t="shared" si="273"/>
        <v>3.4330933539596598E-2</v>
      </c>
      <c r="AP186" s="261">
        <f t="shared" ref="AP186:BU186" si="274">AP27/AP6</f>
        <v>3.5720622153882546E-2</v>
      </c>
      <c r="AQ186" s="261">
        <f t="shared" si="274"/>
        <v>3.9616264042151308E-2</v>
      </c>
      <c r="AR186" s="261">
        <f t="shared" si="274"/>
        <v>3.9328464955205901E-2</v>
      </c>
      <c r="AS186" s="261">
        <f t="shared" si="274"/>
        <v>5.0225778341123344E-2</v>
      </c>
      <c r="AT186" s="261">
        <f t="shared" si="274"/>
        <v>3.3384633597727004E-2</v>
      </c>
      <c r="AU186" s="261">
        <f t="shared" si="274"/>
        <v>3.4034150307817403E-2</v>
      </c>
      <c r="AV186" s="261">
        <f t="shared" si="274"/>
        <v>3.9302185682775215E-2</v>
      </c>
      <c r="AW186" s="261">
        <f t="shared" si="274"/>
        <v>3.8510564911596656E-2</v>
      </c>
      <c r="AX186" s="261">
        <f t="shared" si="274"/>
        <v>5.2304166325611849E-2</v>
      </c>
      <c r="AY186" s="261">
        <f t="shared" si="274"/>
        <v>3.4290020724737802E-2</v>
      </c>
      <c r="AZ186" s="261">
        <f t="shared" si="274"/>
        <v>3.5698977404935398E-2</v>
      </c>
      <c r="BA186" s="261">
        <f t="shared" si="274"/>
        <v>4.1700295937584071E-2</v>
      </c>
      <c r="BB186" s="261">
        <f t="shared" si="274"/>
        <v>4.0329231159604163E-2</v>
      </c>
      <c r="BC186" s="261">
        <f t="shared" si="274"/>
        <v>5.201483729556567E-2</v>
      </c>
      <c r="BD186" s="261">
        <f t="shared" si="274"/>
        <v>3.6440402728158496E-2</v>
      </c>
      <c r="BE186" s="261">
        <f t="shared" si="274"/>
        <v>3.5627378798277903E-2</v>
      </c>
      <c r="BF186" s="261">
        <f t="shared" si="274"/>
        <v>4.1762746605175503E-2</v>
      </c>
      <c r="BG186" s="261">
        <f t="shared" si="274"/>
        <v>4.0828675615853759E-2</v>
      </c>
      <c r="BH186" s="261">
        <f t="shared" si="274"/>
        <v>4.9630674744792096E-2</v>
      </c>
      <c r="BI186" s="261">
        <f t="shared" si="274"/>
        <v>3.5200509229789942E-2</v>
      </c>
      <c r="BJ186" s="261">
        <f t="shared" si="274"/>
        <v>3.5591133004926105E-2</v>
      </c>
      <c r="BK186" s="261">
        <f t="shared" si="274"/>
        <v>3.9639455085526992E-2</v>
      </c>
      <c r="BL186" s="261">
        <f t="shared" si="274"/>
        <v>3.9401810310901217E-2</v>
      </c>
      <c r="BM186" s="261">
        <f t="shared" si="274"/>
        <v>4.8682276010399761E-2</v>
      </c>
      <c r="BN186" s="261">
        <f t="shared" si="274"/>
        <v>3.4085904411737554E-2</v>
      </c>
      <c r="BO186" s="261">
        <f t="shared" si="274"/>
        <v>3.3962707220097574E-2</v>
      </c>
      <c r="BP186" s="261">
        <f t="shared" si="274"/>
        <v>3.8149157866285727E-2</v>
      </c>
      <c r="BQ186" s="261">
        <f t="shared" si="274"/>
        <v>3.8075848003343932E-2</v>
      </c>
      <c r="BR186" s="261">
        <f t="shared" si="274"/>
        <v>4.7964345962173201E-2</v>
      </c>
      <c r="BS186" s="261">
        <f t="shared" si="274"/>
        <v>3.3061903987088505E-2</v>
      </c>
      <c r="BT186" s="261">
        <f t="shared" si="274"/>
        <v>3.2638132322952602E-2</v>
      </c>
      <c r="BU186" s="261">
        <f t="shared" si="274"/>
        <v>3.6990827050155113E-2</v>
      </c>
      <c r="BV186" s="261">
        <f t="shared" ref="BV186:CK186" si="275">BV27/BV6</f>
        <v>3.6988674303607472E-2</v>
      </c>
      <c r="BW186" s="261">
        <f t="shared" si="275"/>
        <v>4.7328831335824453E-2</v>
      </c>
      <c r="BX186" s="261">
        <f t="shared" si="275"/>
        <v>3.2094493849985702E-2</v>
      </c>
      <c r="BY186" s="261">
        <f t="shared" si="275"/>
        <v>3.1386497053316219E-2</v>
      </c>
      <c r="BZ186" s="261">
        <f t="shared" si="275"/>
        <v>3.5893258419805771E-2</v>
      </c>
      <c r="CA186" s="261">
        <f t="shared" si="275"/>
        <v>3.596907581724524E-2</v>
      </c>
      <c r="CB186" s="261">
        <f t="shared" si="275"/>
        <v>4.6691274979600864E-2</v>
      </c>
      <c r="CC186" s="261">
        <f t="shared" si="275"/>
        <v>3.1147548143197572E-2</v>
      </c>
      <c r="CD186" s="261">
        <f t="shared" si="275"/>
        <v>3.0174682149758623E-2</v>
      </c>
      <c r="CE186" s="261">
        <f t="shared" si="275"/>
        <v>3.481965878088595E-2</v>
      </c>
      <c r="CF186" s="261">
        <f t="shared" si="275"/>
        <v>3.4971467859047735E-2</v>
      </c>
      <c r="CG186" s="261">
        <f t="shared" si="275"/>
        <v>4.6052008047469839E-2</v>
      </c>
      <c r="CH186" s="261">
        <f t="shared" si="275"/>
        <v>3.0220978584066659E-2</v>
      </c>
      <c r="CI186" s="261">
        <f t="shared" si="275"/>
        <v>2.900186057934356E-2</v>
      </c>
      <c r="CJ186" s="261">
        <f t="shared" si="275"/>
        <v>3.3769893110191414E-2</v>
      </c>
      <c r="CK186" s="261">
        <f t="shared" si="275"/>
        <v>3.3995646823919097E-2</v>
      </c>
      <c r="CL186"/>
      <c r="CM186"/>
    </row>
    <row r="187" spans="1:91" x14ac:dyDescent="0.2">
      <c r="B187" s="25" t="s">
        <v>309</v>
      </c>
      <c r="E187" s="259"/>
      <c r="F187" s="259"/>
      <c r="G187" s="259"/>
      <c r="H187" s="259"/>
      <c r="I187" s="259"/>
      <c r="J187" s="260">
        <f t="shared" ref="J187:M189" si="276">J28/J7</f>
        <v>0.84963201155153611</v>
      </c>
      <c r="K187" s="260">
        <f t="shared" si="276"/>
        <v>0.73875696098421961</v>
      </c>
      <c r="L187" s="260">
        <f t="shared" si="276"/>
        <v>0.31256264900904662</v>
      </c>
      <c r="M187" s="260">
        <f t="shared" si="276"/>
        <v>0.69496328047214617</v>
      </c>
      <c r="N187" s="261"/>
      <c r="O187" s="261"/>
      <c r="P187" s="261"/>
      <c r="Q187" s="261"/>
      <c r="R187" s="261"/>
      <c r="S187" s="261"/>
      <c r="T187" s="261"/>
      <c r="U187" s="261"/>
      <c r="V187" s="261"/>
      <c r="W187" s="261"/>
      <c r="X187" s="261"/>
      <c r="Y187" s="261"/>
      <c r="Z187" s="261"/>
      <c r="AA187" s="261"/>
      <c r="AB187" s="261"/>
      <c r="AC187" s="261"/>
      <c r="AD187" s="261"/>
      <c r="AE187" s="261"/>
      <c r="AF187" s="261"/>
      <c r="AG187" s="261"/>
      <c r="AH187" s="261"/>
      <c r="AI187" s="261"/>
      <c r="AJ187" s="261"/>
      <c r="AK187" s="261"/>
      <c r="AL187" s="261"/>
      <c r="AM187" s="261"/>
      <c r="AN187" s="261"/>
      <c r="AO187" s="261"/>
      <c r="AP187" s="261"/>
      <c r="AQ187" s="261"/>
      <c r="AR187" s="261">
        <f>AR34/AR$6</f>
        <v>0.30238650907174586</v>
      </c>
      <c r="AS187" s="261">
        <f t="shared" ref="AS187:CK187" si="277">AS34/AS$6</f>
        <v>0.33795452744989307</v>
      </c>
      <c r="AT187" s="261">
        <f t="shared" si="277"/>
        <v>0.29720610867763703</v>
      </c>
      <c r="AU187" s="261">
        <f t="shared" si="277"/>
        <v>0.29898942966662795</v>
      </c>
      <c r="AV187" s="261">
        <f t="shared" si="277"/>
        <v>0.28754762382193705</v>
      </c>
      <c r="AW187" s="261">
        <f t="shared" si="277"/>
        <v>0.30249088973201566</v>
      </c>
      <c r="AX187" s="261">
        <f t="shared" si="277"/>
        <v>0.35180486207743311</v>
      </c>
      <c r="AY187" s="261">
        <f t="shared" si="277"/>
        <v>0.32110783143879923</v>
      </c>
      <c r="AZ187" s="261">
        <f t="shared" si="277"/>
        <v>0.32821015247076113</v>
      </c>
      <c r="BA187" s="261">
        <f t="shared" si="277"/>
        <v>0.31460855528652137</v>
      </c>
      <c r="BB187" s="261">
        <f t="shared" si="277"/>
        <v>0.32697919309819845</v>
      </c>
      <c r="BC187" s="261">
        <f t="shared" si="277"/>
        <v>0.36764457932894956</v>
      </c>
      <c r="BD187" s="261">
        <f t="shared" si="277"/>
        <v>0.33419941539460862</v>
      </c>
      <c r="BE187" s="261">
        <f t="shared" si="277"/>
        <v>0.34429400386847198</v>
      </c>
      <c r="BF187" s="261">
        <f t="shared" si="277"/>
        <v>0.32221368178324367</v>
      </c>
      <c r="BG187" s="261">
        <f t="shared" si="277"/>
        <v>0.3393684612812306</v>
      </c>
      <c r="BH187" s="261">
        <f t="shared" si="277"/>
        <v>0.37015519960162668</v>
      </c>
      <c r="BI187" s="261">
        <f t="shared" si="277"/>
        <v>0.33367281985996183</v>
      </c>
      <c r="BJ187" s="261">
        <f t="shared" si="277"/>
        <v>0.32832512315270934</v>
      </c>
      <c r="BK187" s="261">
        <f t="shared" si="277"/>
        <v>0.3022636484687084</v>
      </c>
      <c r="BL187" s="261">
        <f t="shared" si="277"/>
        <v>0.32957103502558049</v>
      </c>
      <c r="BM187" s="261">
        <f t="shared" si="277"/>
        <v>0.35099902810248196</v>
      </c>
      <c r="BN187" s="261">
        <f t="shared" si="277"/>
        <v>0.3185924276364121</v>
      </c>
      <c r="BO187" s="261">
        <f t="shared" si="277"/>
        <v>0.32575245115434609</v>
      </c>
      <c r="BP187" s="261">
        <f t="shared" si="277"/>
        <v>0.29661019930060822</v>
      </c>
      <c r="BQ187" s="261">
        <f t="shared" si="277"/>
        <v>0.31980582291369647</v>
      </c>
      <c r="BR187" s="261">
        <f t="shared" si="277"/>
        <v>0.34393936096382788</v>
      </c>
      <c r="BS187" s="261">
        <f t="shared" si="277"/>
        <v>0.31211156516651961</v>
      </c>
      <c r="BT187" s="261">
        <f t="shared" si="277"/>
        <v>0.31937202285218019</v>
      </c>
      <c r="BU187" s="261">
        <f t="shared" si="277"/>
        <v>0.29048020373919126</v>
      </c>
      <c r="BV187" s="261">
        <f t="shared" si="277"/>
        <v>0.31333408040092514</v>
      </c>
      <c r="BW187" s="261">
        <f t="shared" si="277"/>
        <v>0.33771042356682962</v>
      </c>
      <c r="BX187" s="261">
        <f t="shared" si="277"/>
        <v>0.30600879307449352</v>
      </c>
      <c r="BY187" s="261">
        <f t="shared" si="277"/>
        <v>0.31332900358108046</v>
      </c>
      <c r="BZ187" s="261">
        <f t="shared" si="277"/>
        <v>0.28467986981088467</v>
      </c>
      <c r="CA187" s="261">
        <f t="shared" si="277"/>
        <v>0.30730341726778565</v>
      </c>
      <c r="CB187" s="261">
        <f t="shared" si="277"/>
        <v>0.33152001198655695</v>
      </c>
      <c r="CC187" s="261">
        <f t="shared" si="277"/>
        <v>0.29994982614998167</v>
      </c>
      <c r="CD187" s="261">
        <f t="shared" si="277"/>
        <v>0.30731703374315494</v>
      </c>
      <c r="CE187" s="261">
        <f t="shared" si="277"/>
        <v>0.27892648727493918</v>
      </c>
      <c r="CF187" s="261">
        <f t="shared" si="277"/>
        <v>0.30131336796354896</v>
      </c>
      <c r="CG187" s="261">
        <f t="shared" si="277"/>
        <v>0.32537030892126861</v>
      </c>
      <c r="CH187" s="261">
        <f t="shared" si="277"/>
        <v>0.29393726283063254</v>
      </c>
      <c r="CI187" s="261">
        <f t="shared" si="277"/>
        <v>0.30133943400677465</v>
      </c>
      <c r="CJ187" s="261">
        <f t="shared" si="277"/>
        <v>0.27322240281995547</v>
      </c>
      <c r="CK187" s="261">
        <f t="shared" si="277"/>
        <v>0.29536657666129407</v>
      </c>
      <c r="CL187"/>
      <c r="CM187"/>
    </row>
    <row r="188" spans="1:91" x14ac:dyDescent="0.2">
      <c r="B188" s="25" t="s">
        <v>209</v>
      </c>
      <c r="E188" s="259"/>
      <c r="F188" s="259"/>
      <c r="G188" s="259"/>
      <c r="H188" s="259"/>
      <c r="I188" s="259"/>
      <c r="J188" s="260">
        <f t="shared" si="276"/>
        <v>0</v>
      </c>
      <c r="K188" s="260">
        <f t="shared" si="276"/>
        <v>0</v>
      </c>
      <c r="L188" s="260">
        <f t="shared" si="276"/>
        <v>0</v>
      </c>
      <c r="M188" s="260">
        <f t="shared" si="276"/>
        <v>0</v>
      </c>
      <c r="N188" s="261"/>
      <c r="O188" s="261"/>
      <c r="P188" s="261"/>
      <c r="Q188" s="261"/>
      <c r="R188" s="261"/>
      <c r="S188" s="261"/>
      <c r="T188" s="261"/>
      <c r="U188" s="261"/>
      <c r="V188" s="261"/>
      <c r="W188" s="261"/>
      <c r="X188" s="261"/>
      <c r="Y188" s="261"/>
      <c r="Z188" s="261"/>
      <c r="AA188" s="261"/>
      <c r="AB188" s="261"/>
      <c r="AC188" s="261"/>
      <c r="AD188" s="261"/>
      <c r="AE188" s="261"/>
      <c r="AF188" s="261"/>
      <c r="AG188" s="261"/>
      <c r="AH188" s="261"/>
      <c r="AI188" s="261"/>
      <c r="AJ188" s="261"/>
      <c r="AK188" s="261"/>
      <c r="AL188" s="261"/>
      <c r="AM188" s="261"/>
      <c r="AN188" s="261"/>
      <c r="AO188" s="261"/>
      <c r="AP188" s="261"/>
      <c r="AQ188" s="261"/>
      <c r="AR188" s="261">
        <f>AR41/AR$6</f>
        <v>0.14055559738010992</v>
      </c>
      <c r="AS188" s="261">
        <f t="shared" ref="AS188:CK188" si="278">AS41/AS$6</f>
        <v>0.11867226491325358</v>
      </c>
      <c r="AT188" s="261">
        <f t="shared" si="278"/>
        <v>0.14099680359891087</v>
      </c>
      <c r="AU188" s="261">
        <f t="shared" si="278"/>
        <v>0.14014403531188291</v>
      </c>
      <c r="AV188" s="261">
        <f t="shared" si="278"/>
        <v>0.15700822137557649</v>
      </c>
      <c r="AW188" s="261">
        <f>AW41/AW$6</f>
        <v>0.14134037160895579</v>
      </c>
      <c r="AX188" s="261">
        <f t="shared" si="278"/>
        <v>0.11574036179094704</v>
      </c>
      <c r="AY188" s="261">
        <f t="shared" si="278"/>
        <v>0.13967217232933493</v>
      </c>
      <c r="AZ188" s="261">
        <f t="shared" si="278"/>
        <v>0.13979548098707978</v>
      </c>
      <c r="BA188" s="261">
        <f t="shared" si="278"/>
        <v>0.12413236481033091</v>
      </c>
      <c r="BB188" s="261">
        <f t="shared" si="278"/>
        <v>0.1304871859934027</v>
      </c>
      <c r="BC188" s="261">
        <f t="shared" si="278"/>
        <v>8.7843533974034729E-2</v>
      </c>
      <c r="BD188" s="261">
        <f t="shared" si="278"/>
        <v>0.11152971744072751</v>
      </c>
      <c r="BE188" s="261">
        <f t="shared" si="278"/>
        <v>0.10993947713233918</v>
      </c>
      <c r="BF188" s="261">
        <f t="shared" si="278"/>
        <v>0.1178068152703049</v>
      </c>
      <c r="BG188" s="261">
        <f t="shared" si="278"/>
        <v>0.10860045542126467</v>
      </c>
      <c r="BH188" s="261">
        <f t="shared" si="278"/>
        <v>8.9385011204249312E-2</v>
      </c>
      <c r="BI188" s="261">
        <f t="shared" si="278"/>
        <v>0.11604073838319541</v>
      </c>
      <c r="BJ188" s="261">
        <f t="shared" si="278"/>
        <v>0.11533251231527093</v>
      </c>
      <c r="BK188" s="261">
        <f t="shared" si="278"/>
        <v>0.12470552084400287</v>
      </c>
      <c r="BL188" s="261">
        <f t="shared" si="278"/>
        <v>0.11346713892168438</v>
      </c>
      <c r="BM188" s="261">
        <f t="shared" si="278"/>
        <v>9.0739797819298154E-2</v>
      </c>
      <c r="BN188" s="261">
        <f t="shared" si="278"/>
        <v>0.11366592674860591</v>
      </c>
      <c r="BO188" s="261">
        <f t="shared" si="278"/>
        <v>0.11325233871283702</v>
      </c>
      <c r="BP188" s="261">
        <f t="shared" si="278"/>
        <v>0.12784565992548186</v>
      </c>
      <c r="BQ188" s="261">
        <f t="shared" si="278"/>
        <v>0.11357348060968685</v>
      </c>
      <c r="BR188" s="261">
        <f t="shared" si="278"/>
        <v>9.2554618180881426E-2</v>
      </c>
      <c r="BS188" s="261">
        <f t="shared" si="278"/>
        <v>0.11559127966152311</v>
      </c>
      <c r="BT188" s="261">
        <f t="shared" si="278"/>
        <v>0.11525949647971265</v>
      </c>
      <c r="BU188" s="261">
        <f t="shared" si="278"/>
        <v>0.12996811230992666</v>
      </c>
      <c r="BV188" s="261">
        <f t="shared" si="278"/>
        <v>0.11556933932826938</v>
      </c>
      <c r="BW188" s="261">
        <f t="shared" si="278"/>
        <v>9.4336778422515394E-2</v>
      </c>
      <c r="BX188" s="261">
        <f t="shared" si="278"/>
        <v>0.11764391755752654</v>
      </c>
      <c r="BY188" s="261">
        <f t="shared" si="278"/>
        <v>0.11738181180204833</v>
      </c>
      <c r="BZ188" s="261">
        <f t="shared" si="278"/>
        <v>0.13222007259736404</v>
      </c>
      <c r="CA188" s="261">
        <f t="shared" si="278"/>
        <v>0.11765834845661335</v>
      </c>
      <c r="CB188" s="261">
        <f t="shared" si="278"/>
        <v>9.6131714305284111E-2</v>
      </c>
      <c r="CC188" s="261">
        <f t="shared" si="278"/>
        <v>0.11970286602776979</v>
      </c>
      <c r="CD188" s="261">
        <f t="shared" si="278"/>
        <v>0.11951081436685296</v>
      </c>
      <c r="CE188" s="261">
        <f t="shared" si="278"/>
        <v>0.13447784851153163</v>
      </c>
      <c r="CF188" s="261">
        <f t="shared" si="278"/>
        <v>0.11975512825705353</v>
      </c>
      <c r="CG188" s="261">
        <f t="shared" si="278"/>
        <v>9.793889942694696E-2</v>
      </c>
      <c r="CH188" s="261">
        <f t="shared" si="278"/>
        <v>0.12176737447486993</v>
      </c>
      <c r="CI188" s="261">
        <f t="shared" si="278"/>
        <v>0.12164573963928829</v>
      </c>
      <c r="CJ188" s="261">
        <f t="shared" si="278"/>
        <v>0.13674065731854274</v>
      </c>
      <c r="CK188" s="261">
        <f t="shared" si="278"/>
        <v>0.12185895006416844</v>
      </c>
      <c r="CL188"/>
      <c r="CM188"/>
    </row>
    <row r="189" spans="1:91" x14ac:dyDescent="0.2">
      <c r="B189" s="25" t="s">
        <v>310</v>
      </c>
      <c r="E189" s="259"/>
      <c r="F189" s="259"/>
      <c r="G189" s="259"/>
      <c r="H189" s="259"/>
      <c r="I189" s="259"/>
      <c r="J189" s="260">
        <f t="shared" si="276"/>
        <v>2.0383460243303095</v>
      </c>
      <c r="K189" s="260">
        <f t="shared" si="276"/>
        <v>-0.59331381493838087</v>
      </c>
      <c r="L189" s="260">
        <f t="shared" si="276"/>
        <v>-4.6430296098614807</v>
      </c>
      <c r="M189" s="260">
        <f t="shared" si="276"/>
        <v>2.1434365283222929</v>
      </c>
      <c r="N189" s="261"/>
      <c r="O189" s="261"/>
      <c r="P189" s="261"/>
      <c r="Q189" s="261"/>
      <c r="R189" s="261"/>
      <c r="S189" s="261"/>
      <c r="T189" s="261"/>
      <c r="U189" s="261"/>
      <c r="V189" s="261"/>
      <c r="W189" s="261"/>
      <c r="X189" s="261"/>
      <c r="Y189" s="261"/>
      <c r="Z189" s="261"/>
      <c r="AA189" s="261"/>
      <c r="AB189" s="261"/>
      <c r="AC189" s="261"/>
      <c r="AD189" s="261"/>
      <c r="AE189" s="261"/>
      <c r="AF189" s="261"/>
      <c r="AG189" s="261"/>
      <c r="AH189" s="261"/>
      <c r="AI189" s="261"/>
      <c r="AJ189" s="261"/>
      <c r="AK189" s="261"/>
      <c r="AL189" s="261"/>
      <c r="AM189" s="261"/>
      <c r="AN189" s="261"/>
      <c r="AO189" s="261"/>
      <c r="AP189" s="261"/>
      <c r="AQ189" s="261"/>
      <c r="AR189" s="261">
        <f>AR50/AR$6</f>
        <v>0.20820597756530904</v>
      </c>
      <c r="AS189" s="261">
        <f t="shared" ref="AS189:CK189" si="279">AS50/AS$6</f>
        <v>0.15685653172779845</v>
      </c>
      <c r="AT189" s="261">
        <f t="shared" si="279"/>
        <v>0.21818397064046408</v>
      </c>
      <c r="AU189" s="261">
        <f t="shared" si="279"/>
        <v>0.22035079567894064</v>
      </c>
      <c r="AV189" s="261">
        <f t="shared" si="279"/>
        <v>0.19746340485261679</v>
      </c>
      <c r="AW189" s="261">
        <f t="shared" si="279"/>
        <v>0.20093577073616964</v>
      </c>
      <c r="AX189" s="261">
        <f t="shared" si="279"/>
        <v>0.1224523205369567</v>
      </c>
      <c r="AY189" s="261">
        <f t="shared" si="279"/>
        <v>0.17666268919173522</v>
      </c>
      <c r="AZ189" s="261">
        <f t="shared" si="279"/>
        <v>0.17867858673688078</v>
      </c>
      <c r="BA189" s="261">
        <f t="shared" si="279"/>
        <v>0.17664783427495293</v>
      </c>
      <c r="BB189" s="261">
        <f t="shared" si="279"/>
        <v>0.16667723927937073</v>
      </c>
      <c r="BC189" s="261">
        <f t="shared" si="279"/>
        <v>0.11456752655538695</v>
      </c>
      <c r="BD189" s="261">
        <f t="shared" si="279"/>
        <v>0.17278337122442353</v>
      </c>
      <c r="BE189" s="261">
        <f t="shared" si="279"/>
        <v>0.17869844637174767</v>
      </c>
      <c r="BF189" s="261">
        <f t="shared" si="279"/>
        <v>0.17079169869331284</v>
      </c>
      <c r="BG189" s="261">
        <f t="shared" si="279"/>
        <v>0.16267774964569501</v>
      </c>
      <c r="BH189" s="261">
        <f t="shared" si="279"/>
        <v>0.11992696489335214</v>
      </c>
      <c r="BI189" s="261">
        <f t="shared" si="279"/>
        <v>0.17899427116486313</v>
      </c>
      <c r="BJ189" s="261">
        <f t="shared" si="279"/>
        <v>0.19076354679802957</v>
      </c>
      <c r="BK189" s="261">
        <f t="shared" si="279"/>
        <v>0.18923486633207007</v>
      </c>
      <c r="BL189" s="261">
        <f t="shared" si="279"/>
        <v>0.17394726485635575</v>
      </c>
      <c r="BM189" s="261">
        <f t="shared" si="279"/>
        <v>0.13303199865960497</v>
      </c>
      <c r="BN189" s="261">
        <f t="shared" si="279"/>
        <v>0.19277789671492884</v>
      </c>
      <c r="BO189" s="261">
        <f t="shared" si="279"/>
        <v>0.19881182059702707</v>
      </c>
      <c r="BP189" s="261">
        <f t="shared" si="279"/>
        <v>0.19588101878134334</v>
      </c>
      <c r="BQ189" s="261">
        <f t="shared" si="279"/>
        <v>0.18393365645103499</v>
      </c>
      <c r="BR189" s="261">
        <f t="shared" si="279"/>
        <v>0.13472861148987289</v>
      </c>
      <c r="BS189" s="261">
        <f t="shared" si="279"/>
        <v>0.19418549081406858</v>
      </c>
      <c r="BT189" s="261">
        <f t="shared" si="279"/>
        <v>0.20041789951813613</v>
      </c>
      <c r="BU189" s="261">
        <f t="shared" si="279"/>
        <v>0.19724588020310116</v>
      </c>
      <c r="BV189" s="261">
        <f t="shared" si="279"/>
        <v>0.18545039915639991</v>
      </c>
      <c r="BW189" s="261">
        <f t="shared" si="279"/>
        <v>0.1360214958576467</v>
      </c>
      <c r="BX189" s="261">
        <f t="shared" si="279"/>
        <v>0.19576089801974669</v>
      </c>
      <c r="BY189" s="261">
        <f t="shared" si="279"/>
        <v>0.20217402707458096</v>
      </c>
      <c r="BZ189" s="261">
        <f t="shared" si="279"/>
        <v>0.19876196707882071</v>
      </c>
      <c r="CA189" s="261">
        <f t="shared" si="279"/>
        <v>0.18701336937869789</v>
      </c>
      <c r="CB189" s="261">
        <f t="shared" si="279"/>
        <v>0.13729602306025454</v>
      </c>
      <c r="CC189" s="261">
        <f t="shared" si="279"/>
        <v>0.19729940895952344</v>
      </c>
      <c r="CD189" s="261">
        <f t="shared" si="279"/>
        <v>0.20389028080276983</v>
      </c>
      <c r="CE189" s="261">
        <f t="shared" si="279"/>
        <v>0.20024026538142178</v>
      </c>
      <c r="CF189" s="261">
        <f t="shared" si="279"/>
        <v>0.18854229628283364</v>
      </c>
      <c r="CG189" s="261">
        <f t="shared" si="279"/>
        <v>0.13855150731682167</v>
      </c>
      <c r="CH189" s="261">
        <f t="shared" si="279"/>
        <v>0.19880025744050292</v>
      </c>
      <c r="CI189" s="261">
        <f t="shared" si="279"/>
        <v>0.20556585864405005</v>
      </c>
      <c r="CJ189" s="261">
        <f t="shared" si="279"/>
        <v>0.20168011864423979</v>
      </c>
      <c r="CK189" s="261">
        <f t="shared" si="279"/>
        <v>0.19003643245691232</v>
      </c>
    </row>
    <row r="190" spans="1:91" x14ac:dyDescent="0.2">
      <c r="B190" s="25" t="s">
        <v>311</v>
      </c>
      <c r="E190" s="259"/>
      <c r="F190" s="259"/>
      <c r="G190" s="259"/>
      <c r="H190" s="259"/>
      <c r="I190" s="259"/>
      <c r="J190" s="260"/>
      <c r="K190" s="260"/>
      <c r="L190" s="260"/>
      <c r="M190" s="260"/>
      <c r="N190" s="261"/>
      <c r="O190" s="261"/>
      <c r="P190" s="261"/>
      <c r="Q190" s="261"/>
      <c r="R190" s="261"/>
      <c r="S190" s="261"/>
      <c r="T190" s="261"/>
      <c r="U190" s="261"/>
      <c r="V190" s="261"/>
      <c r="W190" s="261"/>
      <c r="X190" s="261"/>
      <c r="Y190" s="261"/>
      <c r="Z190" s="261"/>
      <c r="AA190" s="261"/>
      <c r="AB190" s="261"/>
      <c r="AC190" s="261"/>
      <c r="AD190" s="261"/>
      <c r="AE190" s="261"/>
      <c r="AF190" s="261"/>
      <c r="AG190" s="261"/>
      <c r="AH190" s="261"/>
      <c r="AI190" s="261"/>
      <c r="AJ190" s="261"/>
      <c r="AK190" s="261"/>
      <c r="AL190" s="261"/>
      <c r="AM190" s="261"/>
      <c r="AN190" s="261"/>
      <c r="AO190" s="261"/>
      <c r="AP190" s="261"/>
      <c r="AQ190" s="261"/>
      <c r="AR190" s="261">
        <f>AR59/AR$6</f>
        <v>9.6830535270646695E-2</v>
      </c>
      <c r="AS190" s="261">
        <f t="shared" ref="AS190:CK190" si="280">AS59/AS$6</f>
        <v>8.1280202804404664E-2</v>
      </c>
      <c r="AT190" s="261">
        <f t="shared" si="280"/>
        <v>0.10974310406061323</v>
      </c>
      <c r="AU190" s="261">
        <f t="shared" si="280"/>
        <v>0.10169589963991173</v>
      </c>
      <c r="AV190" s="261">
        <f t="shared" si="280"/>
        <v>9.9608983356727493E-2</v>
      </c>
      <c r="AW190" s="261">
        <f t="shared" si="280"/>
        <v>9.9245684807222234E-2</v>
      </c>
      <c r="AX190" s="261">
        <f t="shared" si="280"/>
        <v>8.6027666366538427E-2</v>
      </c>
      <c r="AY190" s="261">
        <f t="shared" si="280"/>
        <v>0.11147396847327765</v>
      </c>
      <c r="AZ190" s="261">
        <f t="shared" si="280"/>
        <v>9.9932643438858618E-2</v>
      </c>
      <c r="BA190" s="261">
        <f t="shared" si="280"/>
        <v>0.10314769975786925</v>
      </c>
      <c r="BB190" s="261">
        <f t="shared" si="280"/>
        <v>0.10110060898249175</v>
      </c>
      <c r="BC190" s="261">
        <f t="shared" si="280"/>
        <v>8.9782498735457766E-2</v>
      </c>
      <c r="BD190" s="261">
        <f t="shared" si="280"/>
        <v>0.1135433582331926</v>
      </c>
      <c r="BE190" s="261">
        <f t="shared" si="280"/>
        <v>0.10207774380732514</v>
      </c>
      <c r="BF190" s="261">
        <f t="shared" si="280"/>
        <v>9.6797335383038682E-2</v>
      </c>
      <c r="BG190" s="261">
        <f t="shared" si="280"/>
        <v>0.10092517396773834</v>
      </c>
      <c r="BH190" s="261">
        <f t="shared" si="280"/>
        <v>8.0504606191385178E-2</v>
      </c>
      <c r="BI190" s="261">
        <f t="shared" si="280"/>
        <v>0.10197326543602801</v>
      </c>
      <c r="BJ190" s="261">
        <f t="shared" si="280"/>
        <v>9.6490147783251226E-2</v>
      </c>
      <c r="BK190" s="261">
        <f t="shared" si="280"/>
        <v>9.6845231998361161E-2</v>
      </c>
      <c r="BL190" s="261">
        <f t="shared" si="280"/>
        <v>9.4923258559622192E-2</v>
      </c>
      <c r="BM190" s="261">
        <f t="shared" si="280"/>
        <v>8.3069591460587455E-2</v>
      </c>
      <c r="BN190" s="261">
        <f t="shared" si="280"/>
        <v>0.1060922812022953</v>
      </c>
      <c r="BO190" s="261">
        <f t="shared" si="280"/>
        <v>9.5380773416770898E-2</v>
      </c>
      <c r="BP190" s="261">
        <f t="shared" si="280"/>
        <v>9.6420925636674995E-2</v>
      </c>
      <c r="BQ190" s="261">
        <f t="shared" si="280"/>
        <v>9.6009039307708988E-2</v>
      </c>
      <c r="BR190" s="261">
        <f t="shared" si="280"/>
        <v>8.6067619924624639E-2</v>
      </c>
      <c r="BS190" s="261">
        <f t="shared" si="280"/>
        <v>0.1093469409545606</v>
      </c>
      <c r="BT190" s="261">
        <f t="shared" si="280"/>
        <v>9.8382635924852455E-2</v>
      </c>
      <c r="BU190" s="261">
        <f t="shared" si="280"/>
        <v>9.934595615503862E-2</v>
      </c>
      <c r="BV190" s="261">
        <f t="shared" si="280"/>
        <v>9.9053839530194351E-2</v>
      </c>
      <c r="BW190" s="261">
        <f t="shared" si="280"/>
        <v>8.8031484523822617E-2</v>
      </c>
      <c r="BX190" s="261">
        <f t="shared" si="280"/>
        <v>0.11167766606975281</v>
      </c>
      <c r="BY190" s="261">
        <f t="shared" si="280"/>
        <v>0.1005443867608633</v>
      </c>
      <c r="BZ190" s="261">
        <f t="shared" si="280"/>
        <v>0.10142057275909792</v>
      </c>
      <c r="CA190" s="261">
        <f t="shared" si="280"/>
        <v>0.10119678529102506</v>
      </c>
      <c r="CB190" s="261">
        <f t="shared" si="280"/>
        <v>9.0019989180100818E-2</v>
      </c>
      <c r="CC190" s="261">
        <f t="shared" si="280"/>
        <v>0.11402935939927512</v>
      </c>
      <c r="CD190" s="261">
        <f t="shared" si="280"/>
        <v>0.10272579512692114</v>
      </c>
      <c r="CE190" s="261">
        <f t="shared" si="280"/>
        <v>0.10351295451272524</v>
      </c>
      <c r="CF190" s="261">
        <f t="shared" si="280"/>
        <v>0.10336020773231663</v>
      </c>
      <c r="CG190" s="261">
        <f t="shared" si="280"/>
        <v>9.203282930052567E-2</v>
      </c>
      <c r="CH190" s="261">
        <f t="shared" si="280"/>
        <v>0.11640144253568541</v>
      </c>
      <c r="CI190" s="261">
        <f t="shared" si="280"/>
        <v>0.10492633266312042</v>
      </c>
      <c r="CJ190" s="261">
        <f t="shared" si="280"/>
        <v>0.10562261129520965</v>
      </c>
      <c r="CK190" s="261">
        <f t="shared" si="280"/>
        <v>0.10554361614918702</v>
      </c>
    </row>
    <row r="191" spans="1:91" hidden="1" outlineLevel="1" x14ac:dyDescent="0.2">
      <c r="A191" s="520" t="s">
        <v>312</v>
      </c>
      <c r="E191" s="259"/>
      <c r="F191" s="259"/>
      <c r="G191" s="259"/>
      <c r="H191" s="259"/>
      <c r="I191" s="259"/>
      <c r="J191" s="260"/>
      <c r="K191" s="260"/>
      <c r="L191" s="260"/>
      <c r="M191" s="260"/>
      <c r="N191" s="261"/>
      <c r="O191" s="261"/>
      <c r="P191" s="261"/>
      <c r="Q191" s="261"/>
      <c r="R191" s="261"/>
      <c r="S191" s="261"/>
      <c r="T191" s="261"/>
      <c r="U191" s="261"/>
      <c r="V191" s="261"/>
      <c r="W191" s="261"/>
      <c r="X191" s="261"/>
      <c r="Y191" s="261"/>
      <c r="Z191" s="261"/>
      <c r="AA191" s="261"/>
      <c r="AB191" s="261"/>
      <c r="AC191" s="261"/>
      <c r="AD191" s="261"/>
      <c r="AE191" s="261"/>
      <c r="AF191" s="261"/>
      <c r="AG191" s="261"/>
      <c r="AH191" s="261"/>
      <c r="AI191" s="261"/>
      <c r="AJ191" s="261"/>
      <c r="AK191" s="261"/>
      <c r="AL191" s="261"/>
      <c r="AM191" s="261"/>
      <c r="AN191" s="261"/>
      <c r="AO191" s="261"/>
      <c r="AP191" s="261"/>
      <c r="AQ191" s="261"/>
      <c r="AR191" s="261"/>
      <c r="AS191" s="260"/>
      <c r="AT191" s="260"/>
      <c r="AU191" s="260"/>
      <c r="AV191" s="260"/>
      <c r="AW191" s="260"/>
      <c r="AX191" s="260"/>
      <c r="AY191" s="260"/>
      <c r="AZ191" s="260"/>
      <c r="BA191" s="260"/>
      <c r="BB191" s="260"/>
      <c r="BC191" s="260"/>
      <c r="BD191" s="260"/>
      <c r="BE191" s="260"/>
      <c r="BF191" s="260"/>
      <c r="BG191" s="260"/>
      <c r="BH191" s="260"/>
      <c r="BI191" s="260"/>
      <c r="BJ191" s="260"/>
      <c r="BK191" s="260"/>
      <c r="BL191" s="260"/>
      <c r="BM191" s="260"/>
      <c r="BN191" s="260"/>
      <c r="BO191" s="260"/>
      <c r="BP191" s="260"/>
      <c r="BQ191" s="260"/>
      <c r="BR191" s="260"/>
      <c r="BS191" s="260"/>
      <c r="BT191" s="260"/>
      <c r="BU191" s="260"/>
      <c r="BV191" s="260"/>
      <c r="BW191" s="260"/>
      <c r="BX191" s="260"/>
      <c r="BY191" s="260"/>
      <c r="BZ191" s="260"/>
      <c r="CA191" s="260"/>
      <c r="CB191" s="260"/>
      <c r="CC191" s="260"/>
      <c r="CD191" s="260"/>
      <c r="CE191" s="260"/>
      <c r="CF191" s="260"/>
      <c r="CG191" s="260"/>
      <c r="CH191" s="260"/>
      <c r="CI191" s="260"/>
      <c r="CJ191" s="260"/>
      <c r="CK191" s="260"/>
    </row>
    <row r="192" spans="1:91" s="1" customFormat="1" hidden="1" outlineLevel="1" x14ac:dyDescent="0.2">
      <c r="B192" s="25" t="s">
        <v>70</v>
      </c>
      <c r="C192" s="25"/>
      <c r="D192" s="25"/>
      <c r="E192" s="259"/>
      <c r="F192" s="259"/>
      <c r="G192" s="259"/>
      <c r="H192" s="259"/>
      <c r="I192" s="259"/>
      <c r="J192" s="260">
        <f t="shared" ref="J192:AO192" si="281">J69/J6</f>
        <v>9.6598639455782315E-2</v>
      </c>
      <c r="K192" s="260">
        <f t="shared" si="281"/>
        <v>0.11231393775372124</v>
      </c>
      <c r="L192" s="260">
        <f t="shared" si="281"/>
        <v>0.12309507423065578</v>
      </c>
      <c r="M192" s="260">
        <f t="shared" si="281"/>
        <v>0.14830714401425563</v>
      </c>
      <c r="N192" s="261">
        <f t="shared" si="281"/>
        <v>0.12342301261589907</v>
      </c>
      <c r="O192" s="261">
        <f t="shared" si="281"/>
        <v>0.11652466098643946</v>
      </c>
      <c r="P192" s="261">
        <f t="shared" si="281"/>
        <v>0.13915029693924166</v>
      </c>
      <c r="Q192" s="261">
        <f t="shared" si="281"/>
        <v>0.13731768054073284</v>
      </c>
      <c r="R192" s="261">
        <f t="shared" si="281"/>
        <v>0.14588734386047608</v>
      </c>
      <c r="S192" s="261">
        <f t="shared" si="281"/>
        <v>0.1362974266490948</v>
      </c>
      <c r="T192" s="261">
        <f t="shared" si="281"/>
        <v>0.10492557182621325</v>
      </c>
      <c r="U192" s="261">
        <f t="shared" si="281"/>
        <v>0.13009818731117825</v>
      </c>
      <c r="V192" s="261">
        <f t="shared" si="281"/>
        <v>0.12599277978339349</v>
      </c>
      <c r="W192" s="261">
        <f t="shared" si="281"/>
        <v>0.1550725727607731</v>
      </c>
      <c r="X192" s="261">
        <f t="shared" si="281"/>
        <v>0.13191617320503332</v>
      </c>
      <c r="Y192" s="261">
        <f t="shared" si="281"/>
        <v>0.10493168232280102</v>
      </c>
      <c r="Z192" s="261">
        <f t="shared" si="281"/>
        <v>0.10391189784474023</v>
      </c>
      <c r="AA192" s="261">
        <f t="shared" si="281"/>
        <v>9.9394095655536932E-2</v>
      </c>
      <c r="AB192" s="261">
        <f t="shared" si="281"/>
        <v>0.12404296337097219</v>
      </c>
      <c r="AC192" s="261">
        <f t="shared" si="281"/>
        <v>0.10918427331512155</v>
      </c>
      <c r="AD192" s="261">
        <f t="shared" si="281"/>
        <v>9.2820641702270251E-2</v>
      </c>
      <c r="AE192" s="261">
        <f t="shared" si="281"/>
        <v>0.10744636595946989</v>
      </c>
      <c r="AF192" s="261">
        <f t="shared" si="281"/>
        <v>0.10470936184734388</v>
      </c>
      <c r="AG192" s="261">
        <f t="shared" si="281"/>
        <v>0.12280522139749168</v>
      </c>
      <c r="AH192" s="261">
        <f t="shared" si="281"/>
        <v>0.10862008773394453</v>
      </c>
      <c r="AI192" s="261">
        <f t="shared" si="281"/>
        <v>9.9372384937238489E-2</v>
      </c>
      <c r="AJ192" s="261">
        <f t="shared" si="281"/>
        <v>0.11836189087373922</v>
      </c>
      <c r="AK192" s="261">
        <f t="shared" si="281"/>
        <v>0.11307950996877252</v>
      </c>
      <c r="AL192" s="261">
        <f t="shared" si="281"/>
        <v>0.13601282950786811</v>
      </c>
      <c r="AM192" s="261">
        <f t="shared" si="281"/>
        <v>0.11879313503939412</v>
      </c>
      <c r="AN192" s="261">
        <f t="shared" si="281"/>
        <v>0.10865590970511088</v>
      </c>
      <c r="AO192" s="261">
        <f t="shared" si="281"/>
        <v>0.12589992265127625</v>
      </c>
      <c r="AP192" s="261">
        <f t="shared" ref="AP192:BU192" si="282">AP69/AP6</f>
        <v>0.12117807084984328</v>
      </c>
      <c r="AQ192" s="261">
        <f t="shared" si="282"/>
        <v>0.14007356596083109</v>
      </c>
      <c r="AR192" s="261">
        <f t="shared" si="282"/>
        <v>0.12572461040427615</v>
      </c>
      <c r="AS192" s="261">
        <f t="shared" si="282"/>
        <v>0.10599698962211836</v>
      </c>
      <c r="AT192" s="261">
        <f t="shared" si="282"/>
        <v>0.12560672428080977</v>
      </c>
      <c r="AU192" s="261">
        <f t="shared" si="282"/>
        <v>0.12649552793588106</v>
      </c>
      <c r="AV192" s="261">
        <f t="shared" si="282"/>
        <v>0.1405654702225787</v>
      </c>
      <c r="AW192" s="261">
        <f t="shared" si="282"/>
        <v>0.12659898324910396</v>
      </c>
      <c r="AX192" s="261">
        <f t="shared" si="282"/>
        <v>0.10469018580666285</v>
      </c>
      <c r="AY192" s="261">
        <f t="shared" si="282"/>
        <v>0.12560447151918608</v>
      </c>
      <c r="AZ192" s="261">
        <f t="shared" si="282"/>
        <v>0</v>
      </c>
      <c r="BA192" s="261">
        <f t="shared" si="282"/>
        <v>0</v>
      </c>
      <c r="BB192" s="261">
        <f t="shared" si="282"/>
        <v>0</v>
      </c>
      <c r="BC192" s="261">
        <f t="shared" si="282"/>
        <v>0</v>
      </c>
      <c r="BD192" s="261">
        <f t="shared" si="282"/>
        <v>0</v>
      </c>
      <c r="BE192" s="261">
        <f t="shared" si="282"/>
        <v>0</v>
      </c>
      <c r="BF192" s="261">
        <f t="shared" si="282"/>
        <v>0</v>
      </c>
      <c r="BG192" s="261">
        <f t="shared" si="282"/>
        <v>0</v>
      </c>
      <c r="BH192" s="261">
        <f t="shared" si="282"/>
        <v>0</v>
      </c>
      <c r="BI192" s="261">
        <f t="shared" si="282"/>
        <v>0</v>
      </c>
      <c r="BJ192" s="261">
        <f t="shared" si="282"/>
        <v>0</v>
      </c>
      <c r="BK192" s="261">
        <f t="shared" si="282"/>
        <v>0</v>
      </c>
      <c r="BL192" s="261">
        <f t="shared" si="282"/>
        <v>0</v>
      </c>
      <c r="BM192" s="261">
        <f t="shared" si="282"/>
        <v>0</v>
      </c>
      <c r="BN192" s="261">
        <f t="shared" si="282"/>
        <v>0</v>
      </c>
      <c r="BO192" s="261">
        <f t="shared" si="282"/>
        <v>0</v>
      </c>
      <c r="BP192" s="261">
        <f t="shared" si="282"/>
        <v>0</v>
      </c>
      <c r="BQ192" s="261">
        <f t="shared" si="282"/>
        <v>0</v>
      </c>
      <c r="BR192" s="261">
        <f t="shared" si="282"/>
        <v>0</v>
      </c>
      <c r="BS192" s="261">
        <f t="shared" si="282"/>
        <v>0</v>
      </c>
      <c r="BT192" s="261">
        <f t="shared" si="282"/>
        <v>0</v>
      </c>
      <c r="BU192" s="261">
        <f t="shared" si="282"/>
        <v>0</v>
      </c>
      <c r="BV192" s="261">
        <f t="shared" ref="BV192:CK192" si="283">BV69/BV6</f>
        <v>0</v>
      </c>
      <c r="BW192" s="261">
        <f t="shared" si="283"/>
        <v>0</v>
      </c>
      <c r="BX192" s="261">
        <f t="shared" si="283"/>
        <v>0</v>
      </c>
      <c r="BY192" s="261">
        <f t="shared" si="283"/>
        <v>0</v>
      </c>
      <c r="BZ192" s="261">
        <f t="shared" si="283"/>
        <v>0</v>
      </c>
      <c r="CA192" s="261">
        <f t="shared" si="283"/>
        <v>0</v>
      </c>
      <c r="CB192" s="261">
        <f t="shared" si="283"/>
        <v>0</v>
      </c>
      <c r="CC192" s="261">
        <f t="shared" si="283"/>
        <v>0</v>
      </c>
      <c r="CD192" s="261">
        <f t="shared" si="283"/>
        <v>0</v>
      </c>
      <c r="CE192" s="261">
        <f t="shared" si="283"/>
        <v>0</v>
      </c>
      <c r="CF192" s="261">
        <f t="shared" si="283"/>
        <v>0</v>
      </c>
      <c r="CG192" s="261">
        <f t="shared" si="283"/>
        <v>0</v>
      </c>
      <c r="CH192" s="261">
        <f t="shared" si="283"/>
        <v>0</v>
      </c>
      <c r="CI192" s="261">
        <f t="shared" si="283"/>
        <v>0</v>
      </c>
      <c r="CJ192" s="261">
        <f t="shared" si="283"/>
        <v>0</v>
      </c>
      <c r="CK192" s="261">
        <f t="shared" si="283"/>
        <v>0</v>
      </c>
    </row>
    <row r="193" spans="1:89" s="1" customFormat="1" hidden="1" outlineLevel="1" x14ac:dyDescent="0.2">
      <c r="B193" s="1" t="s">
        <v>71</v>
      </c>
      <c r="E193" s="256"/>
      <c r="F193" s="256"/>
      <c r="G193" s="256"/>
      <c r="H193" s="256"/>
      <c r="I193" s="256"/>
      <c r="J193" s="257">
        <f t="shared" ref="J193:AO193" si="284">J76/J6</f>
        <v>0.30204081632653063</v>
      </c>
      <c r="K193" s="257">
        <f t="shared" si="284"/>
        <v>0.29717914021026337</v>
      </c>
      <c r="L193" s="257">
        <f t="shared" si="284"/>
        <v>0.28768066070199588</v>
      </c>
      <c r="M193" s="257">
        <f t="shared" si="284"/>
        <v>0.25020249473513689</v>
      </c>
      <c r="N193" s="258">
        <f t="shared" si="284"/>
        <v>0.28094441911131379</v>
      </c>
      <c r="O193" s="258">
        <f t="shared" si="284"/>
        <v>0.28321132845313812</v>
      </c>
      <c r="P193" s="258">
        <f t="shared" si="284"/>
        <v>0.26313385107354959</v>
      </c>
      <c r="Q193" s="258">
        <f t="shared" si="284"/>
        <v>0.25996086801849877</v>
      </c>
      <c r="R193" s="258">
        <f t="shared" si="284"/>
        <v>0.21792756697305365</v>
      </c>
      <c r="S193" s="258">
        <f t="shared" si="284"/>
        <v>0.25287276594760816</v>
      </c>
      <c r="T193" s="258">
        <f t="shared" si="284"/>
        <v>0.25269272661261044</v>
      </c>
      <c r="U193" s="258">
        <f t="shared" si="284"/>
        <v>0.24716767371601209</v>
      </c>
      <c r="V193" s="258">
        <f t="shared" si="284"/>
        <v>0.23971119133574006</v>
      </c>
      <c r="W193" s="258">
        <f t="shared" si="284"/>
        <v>0.20711438670376778</v>
      </c>
      <c r="X193" s="258">
        <f t="shared" si="284"/>
        <v>0.23399333826794966</v>
      </c>
      <c r="Y193" s="258">
        <f t="shared" si="284"/>
        <v>0.29515371477369767</v>
      </c>
      <c r="Z193" s="258">
        <f t="shared" si="284"/>
        <v>0.37483953786906288</v>
      </c>
      <c r="AA193" s="258">
        <f t="shared" si="284"/>
        <v>0.37334020884362512</v>
      </c>
      <c r="AB193" s="258">
        <f t="shared" si="284"/>
        <v>0.34679151748829523</v>
      </c>
      <c r="AC193" s="258">
        <f t="shared" si="284"/>
        <v>0.35272658114042671</v>
      </c>
      <c r="AD193" s="258">
        <f t="shared" si="284"/>
        <v>0.37957610789980734</v>
      </c>
      <c r="AE193" s="258">
        <f t="shared" si="284"/>
        <v>0.33452189932846021</v>
      </c>
      <c r="AF193" s="258">
        <f t="shared" si="284"/>
        <v>0.3382436582868843</v>
      </c>
      <c r="AG193" s="258">
        <f t="shared" si="284"/>
        <v>0.30831840286664958</v>
      </c>
      <c r="AH193" s="258">
        <f t="shared" si="284"/>
        <v>0.3359086838390431</v>
      </c>
      <c r="AI193" s="258">
        <f t="shared" si="284"/>
        <v>0.35790151271322818</v>
      </c>
      <c r="AJ193" s="258">
        <f t="shared" si="284"/>
        <v>0.32519139628144367</v>
      </c>
      <c r="AK193" s="258">
        <f t="shared" si="284"/>
        <v>0.33209224117223157</v>
      </c>
      <c r="AL193" s="258">
        <f t="shared" si="284"/>
        <v>0.30460058133707529</v>
      </c>
      <c r="AM193" s="258">
        <f t="shared" si="284"/>
        <v>0.32687961888474926</v>
      </c>
      <c r="AN193" s="258">
        <f t="shared" si="284"/>
        <v>0.35132342421111201</v>
      </c>
      <c r="AO193" s="258">
        <f t="shared" si="284"/>
        <v>0.3129648360802047</v>
      </c>
      <c r="AP193" s="258">
        <f t="shared" ref="AP193:BU193" si="285">AP76/AP6</f>
        <v>0.31971139629782958</v>
      </c>
      <c r="AQ193" s="258">
        <f t="shared" si="285"/>
        <v>0.29734566060244555</v>
      </c>
      <c r="AR193" s="258">
        <f t="shared" si="285"/>
        <v>0.31721749604757959</v>
      </c>
      <c r="AS193" s="258">
        <f t="shared" si="285"/>
        <v>0.35062980274102828</v>
      </c>
      <c r="AT193" s="258">
        <f t="shared" si="285"/>
        <v>0.31259618799573813</v>
      </c>
      <c r="AU193" s="258">
        <f t="shared" si="285"/>
        <v>0.31263793704262982</v>
      </c>
      <c r="AV193" s="258">
        <f t="shared" si="285"/>
        <v>0.30399037497493481</v>
      </c>
      <c r="AW193" s="258">
        <f t="shared" si="285"/>
        <v>0.31723227809186749</v>
      </c>
      <c r="AX193" s="258">
        <f t="shared" si="285"/>
        <v>0.36285503806171726</v>
      </c>
      <c r="AY193" s="258">
        <f t="shared" si="285"/>
        <v>0.33517553224894808</v>
      </c>
      <c r="AZ193" s="258">
        <f t="shared" si="285"/>
        <v>0</v>
      </c>
      <c r="BA193" s="258">
        <f t="shared" si="285"/>
        <v>0</v>
      </c>
      <c r="BB193" s="258">
        <f t="shared" si="285"/>
        <v>0</v>
      </c>
      <c r="BC193" s="258">
        <f t="shared" si="285"/>
        <v>0</v>
      </c>
      <c r="BD193" s="258">
        <f t="shared" si="285"/>
        <v>0</v>
      </c>
      <c r="BE193" s="258">
        <f t="shared" si="285"/>
        <v>0</v>
      </c>
      <c r="BF193" s="258">
        <f t="shared" si="285"/>
        <v>0</v>
      </c>
      <c r="BG193" s="258">
        <f t="shared" si="285"/>
        <v>0</v>
      </c>
      <c r="BH193" s="258">
        <f t="shared" si="285"/>
        <v>0</v>
      </c>
      <c r="BI193" s="258">
        <f t="shared" si="285"/>
        <v>0</v>
      </c>
      <c r="BJ193" s="258">
        <f t="shared" si="285"/>
        <v>0</v>
      </c>
      <c r="BK193" s="258">
        <f t="shared" si="285"/>
        <v>0</v>
      </c>
      <c r="BL193" s="258">
        <f t="shared" si="285"/>
        <v>0</v>
      </c>
      <c r="BM193" s="258">
        <f t="shared" si="285"/>
        <v>0</v>
      </c>
      <c r="BN193" s="258">
        <f t="shared" si="285"/>
        <v>0</v>
      </c>
      <c r="BO193" s="258">
        <f t="shared" si="285"/>
        <v>0</v>
      </c>
      <c r="BP193" s="258">
        <f t="shared" si="285"/>
        <v>0</v>
      </c>
      <c r="BQ193" s="258">
        <f t="shared" si="285"/>
        <v>0</v>
      </c>
      <c r="BR193" s="258">
        <f t="shared" si="285"/>
        <v>0</v>
      </c>
      <c r="BS193" s="258">
        <f t="shared" si="285"/>
        <v>0</v>
      </c>
      <c r="BT193" s="258">
        <f t="shared" si="285"/>
        <v>0</v>
      </c>
      <c r="BU193" s="258">
        <f t="shared" si="285"/>
        <v>0</v>
      </c>
      <c r="BV193" s="258">
        <f t="shared" ref="BV193:CK193" si="286">BV76/BV6</f>
        <v>0</v>
      </c>
      <c r="BW193" s="258">
        <f t="shared" si="286"/>
        <v>0</v>
      </c>
      <c r="BX193" s="258">
        <f t="shared" si="286"/>
        <v>0</v>
      </c>
      <c r="BY193" s="258">
        <f t="shared" si="286"/>
        <v>0</v>
      </c>
      <c r="BZ193" s="258">
        <f t="shared" si="286"/>
        <v>0</v>
      </c>
      <c r="CA193" s="258">
        <f t="shared" si="286"/>
        <v>0</v>
      </c>
      <c r="CB193" s="258">
        <f t="shared" si="286"/>
        <v>0</v>
      </c>
      <c r="CC193" s="258">
        <f t="shared" si="286"/>
        <v>0</v>
      </c>
      <c r="CD193" s="258">
        <f t="shared" si="286"/>
        <v>0</v>
      </c>
      <c r="CE193" s="258">
        <f t="shared" si="286"/>
        <v>0</v>
      </c>
      <c r="CF193" s="258">
        <f t="shared" si="286"/>
        <v>0</v>
      </c>
      <c r="CG193" s="258">
        <f t="shared" si="286"/>
        <v>0</v>
      </c>
      <c r="CH193" s="258">
        <f t="shared" si="286"/>
        <v>0</v>
      </c>
      <c r="CI193" s="258">
        <f t="shared" si="286"/>
        <v>0</v>
      </c>
      <c r="CJ193" s="258">
        <f t="shared" si="286"/>
        <v>0</v>
      </c>
      <c r="CK193" s="258">
        <f t="shared" si="286"/>
        <v>0</v>
      </c>
    </row>
    <row r="194" spans="1:89" s="1" customFormat="1" hidden="1" outlineLevel="1" x14ac:dyDescent="0.2">
      <c r="B194" s="1" t="s">
        <v>72</v>
      </c>
      <c r="E194" s="256"/>
      <c r="F194" s="256"/>
      <c r="G194" s="256"/>
      <c r="H194" s="256"/>
      <c r="I194" s="256"/>
      <c r="J194" s="257">
        <f t="shared" ref="J194:AO194" si="287">J83/J6</f>
        <v>0.10068027210884353</v>
      </c>
      <c r="K194" s="257">
        <f t="shared" si="287"/>
        <v>0.14531071093993964</v>
      </c>
      <c r="L194" s="257">
        <f t="shared" si="287"/>
        <v>0.14934618031658636</v>
      </c>
      <c r="M194" s="257">
        <f t="shared" si="287"/>
        <v>0.14879313137858416</v>
      </c>
      <c r="N194" s="258">
        <f t="shared" si="287"/>
        <v>0.13912955363023763</v>
      </c>
      <c r="O194" s="258">
        <f t="shared" si="287"/>
        <v>0.11808472338893555</v>
      </c>
      <c r="P194" s="258">
        <f t="shared" si="287"/>
        <v>0.16783919597989949</v>
      </c>
      <c r="Q194" s="258">
        <f t="shared" si="287"/>
        <v>0.17013518320882248</v>
      </c>
      <c r="R194" s="258">
        <f t="shared" si="287"/>
        <v>0.16945557388640115</v>
      </c>
      <c r="S194" s="258">
        <f t="shared" si="287"/>
        <v>0.15932579593535409</v>
      </c>
      <c r="T194" s="258">
        <f t="shared" si="287"/>
        <v>0.11460728548953164</v>
      </c>
      <c r="U194" s="258">
        <f t="shared" si="287"/>
        <v>0.1550226586102719</v>
      </c>
      <c r="V194" s="258">
        <f t="shared" si="287"/>
        <v>0.16913357400722021</v>
      </c>
      <c r="W194" s="258">
        <f t="shared" si="287"/>
        <v>0.17026396931638715</v>
      </c>
      <c r="X194" s="258">
        <f t="shared" si="287"/>
        <v>0.16256476683937823</v>
      </c>
      <c r="Y194" s="258">
        <f t="shared" si="287"/>
        <v>0.11144321093082835</v>
      </c>
      <c r="Z194" s="258">
        <f t="shared" si="287"/>
        <v>0.16877238024457808</v>
      </c>
      <c r="AA194" s="258">
        <f t="shared" si="287"/>
        <v>0.1835761247905118</v>
      </c>
      <c r="AB194" s="258">
        <f t="shared" si="287"/>
        <v>0.17692095841366015</v>
      </c>
      <c r="AC194" s="258">
        <f t="shared" si="287"/>
        <v>0.16601542238666619</v>
      </c>
      <c r="AD194" s="258">
        <f t="shared" si="287"/>
        <v>0.13621512942950489</v>
      </c>
      <c r="AE194" s="258">
        <f t="shared" si="287"/>
        <v>0.22547096927556903</v>
      </c>
      <c r="AF194" s="258">
        <f t="shared" si="287"/>
        <v>0.22232965532931406</v>
      </c>
      <c r="AG194" s="258">
        <f t="shared" si="287"/>
        <v>0.21489633990273868</v>
      </c>
      <c r="AH194" s="258">
        <f t="shared" si="287"/>
        <v>0.20532475220473279</v>
      </c>
      <c r="AI194" s="258">
        <f t="shared" si="287"/>
        <v>0.14845510138397167</v>
      </c>
      <c r="AJ194" s="258">
        <f t="shared" si="287"/>
        <v>0.21977153967675295</v>
      </c>
      <c r="AK194" s="258">
        <f t="shared" si="287"/>
        <v>0.2216550564496757</v>
      </c>
      <c r="AL194" s="258">
        <f t="shared" si="287"/>
        <v>0.21489425679061841</v>
      </c>
      <c r="AM194" s="258">
        <f t="shared" si="287"/>
        <v>0.20523117327307153</v>
      </c>
      <c r="AN194" s="258">
        <f t="shared" si="287"/>
        <v>0.15435974882759718</v>
      </c>
      <c r="AO194" s="258">
        <f t="shared" si="287"/>
        <v>0.21734991372642351</v>
      </c>
      <c r="AP194" s="258">
        <f t="shared" ref="AP194:BU194" si="288">AP83/AP6</f>
        <v>0.22579691288662843</v>
      </c>
      <c r="AQ194" s="258">
        <f t="shared" si="288"/>
        <v>0.21567750273387015</v>
      </c>
      <c r="AR194" s="258">
        <f t="shared" si="288"/>
        <v>0.20706165775803659</v>
      </c>
      <c r="AS194" s="258">
        <f t="shared" si="288"/>
        <v>0.15535134278697615</v>
      </c>
      <c r="AT194" s="258">
        <f t="shared" si="288"/>
        <v>0.21646738487036818</v>
      </c>
      <c r="AU194" s="258">
        <f t="shared" si="288"/>
        <v>0.21860843303519573</v>
      </c>
      <c r="AV194" s="258">
        <f t="shared" si="288"/>
        <v>0.19590936434730299</v>
      </c>
      <c r="AW194" s="258">
        <f t="shared" si="288"/>
        <v>0.1993011712130528</v>
      </c>
      <c r="AX194" s="258">
        <f t="shared" si="288"/>
        <v>0.12089711058361299</v>
      </c>
      <c r="AY194" s="258">
        <f t="shared" si="288"/>
        <v>0.17509263329774541</v>
      </c>
      <c r="AZ194" s="258">
        <f t="shared" si="288"/>
        <v>0</v>
      </c>
      <c r="BA194" s="258">
        <f t="shared" si="288"/>
        <v>0</v>
      </c>
      <c r="BB194" s="258">
        <f t="shared" si="288"/>
        <v>0</v>
      </c>
      <c r="BC194" s="258">
        <f t="shared" si="288"/>
        <v>0</v>
      </c>
      <c r="BD194" s="258">
        <f t="shared" si="288"/>
        <v>0</v>
      </c>
      <c r="BE194" s="258">
        <f t="shared" si="288"/>
        <v>0</v>
      </c>
      <c r="BF194" s="258">
        <f t="shared" si="288"/>
        <v>0</v>
      </c>
      <c r="BG194" s="258">
        <f t="shared" si="288"/>
        <v>0</v>
      </c>
      <c r="BH194" s="258">
        <f t="shared" si="288"/>
        <v>0</v>
      </c>
      <c r="BI194" s="258">
        <f t="shared" si="288"/>
        <v>0</v>
      </c>
      <c r="BJ194" s="258">
        <f t="shared" si="288"/>
        <v>0</v>
      </c>
      <c r="BK194" s="258">
        <f t="shared" si="288"/>
        <v>0</v>
      </c>
      <c r="BL194" s="258">
        <f t="shared" si="288"/>
        <v>0</v>
      </c>
      <c r="BM194" s="258">
        <f t="shared" si="288"/>
        <v>0</v>
      </c>
      <c r="BN194" s="258">
        <f t="shared" si="288"/>
        <v>0</v>
      </c>
      <c r="BO194" s="258">
        <f t="shared" si="288"/>
        <v>0</v>
      </c>
      <c r="BP194" s="258">
        <f t="shared" si="288"/>
        <v>0</v>
      </c>
      <c r="BQ194" s="258">
        <f t="shared" si="288"/>
        <v>0</v>
      </c>
      <c r="BR194" s="258">
        <f t="shared" si="288"/>
        <v>0</v>
      </c>
      <c r="BS194" s="258">
        <f t="shared" si="288"/>
        <v>0</v>
      </c>
      <c r="BT194" s="258">
        <f t="shared" si="288"/>
        <v>0</v>
      </c>
      <c r="BU194" s="258">
        <f t="shared" si="288"/>
        <v>0</v>
      </c>
      <c r="BV194" s="258">
        <f t="shared" ref="BV194:CK194" si="289">BV83/BV6</f>
        <v>0</v>
      </c>
      <c r="BW194" s="258">
        <f t="shared" si="289"/>
        <v>0</v>
      </c>
      <c r="BX194" s="258">
        <f t="shared" si="289"/>
        <v>0</v>
      </c>
      <c r="BY194" s="258">
        <f t="shared" si="289"/>
        <v>0</v>
      </c>
      <c r="BZ194" s="258">
        <f t="shared" si="289"/>
        <v>0</v>
      </c>
      <c r="CA194" s="258">
        <f t="shared" si="289"/>
        <v>0</v>
      </c>
      <c r="CB194" s="258">
        <f t="shared" si="289"/>
        <v>0</v>
      </c>
      <c r="CC194" s="258">
        <f t="shared" si="289"/>
        <v>0</v>
      </c>
      <c r="CD194" s="258">
        <f t="shared" si="289"/>
        <v>0</v>
      </c>
      <c r="CE194" s="258">
        <f t="shared" si="289"/>
        <v>0</v>
      </c>
      <c r="CF194" s="258">
        <f t="shared" si="289"/>
        <v>0</v>
      </c>
      <c r="CG194" s="258">
        <f t="shared" si="289"/>
        <v>0</v>
      </c>
      <c r="CH194" s="258">
        <f t="shared" si="289"/>
        <v>0</v>
      </c>
      <c r="CI194" s="258">
        <f t="shared" si="289"/>
        <v>0</v>
      </c>
      <c r="CJ194" s="258">
        <f t="shared" si="289"/>
        <v>0</v>
      </c>
      <c r="CK194" s="258">
        <f t="shared" si="289"/>
        <v>0</v>
      </c>
    </row>
    <row r="195" spans="1:89" s="1" customFormat="1" hidden="1" outlineLevel="1" x14ac:dyDescent="0.2">
      <c r="B195" s="1" t="s">
        <v>33</v>
      </c>
      <c r="E195" s="256"/>
      <c r="F195" s="256"/>
      <c r="G195" s="256"/>
      <c r="H195" s="256"/>
      <c r="I195" s="256"/>
      <c r="J195" s="257">
        <f t="shared" ref="J195:AO195" si="290">J92/J6</f>
        <v>9.0340136054421774E-2</v>
      </c>
      <c r="K195" s="257">
        <f t="shared" si="290"/>
        <v>0.12116165296138233</v>
      </c>
      <c r="L195" s="257">
        <f t="shared" si="290"/>
        <v>0.12417658047389638</v>
      </c>
      <c r="M195" s="257">
        <f t="shared" si="290"/>
        <v>0.12011987688320104</v>
      </c>
      <c r="N195" s="258">
        <f t="shared" si="290"/>
        <v>0.11587373967674926</v>
      </c>
      <c r="O195" s="258">
        <f t="shared" si="290"/>
        <v>9.5163806552262087E-2</v>
      </c>
      <c r="P195" s="258">
        <f t="shared" si="290"/>
        <v>0.12325262677021472</v>
      </c>
      <c r="Q195" s="258">
        <f t="shared" si="290"/>
        <v>0.12593383137673425</v>
      </c>
      <c r="R195" s="258">
        <f t="shared" si="290"/>
        <v>0.12263335690156336</v>
      </c>
      <c r="S195" s="258">
        <f t="shared" si="290"/>
        <v>0.11835564495618599</v>
      </c>
      <c r="T195" s="258">
        <f t="shared" si="290"/>
        <v>0.10601476461333656</v>
      </c>
      <c r="U195" s="258">
        <f t="shared" si="290"/>
        <v>0.13406344410876134</v>
      </c>
      <c r="V195" s="258">
        <f t="shared" si="290"/>
        <v>0.1388086642599278</v>
      </c>
      <c r="W195" s="258">
        <f t="shared" si="290"/>
        <v>0.13115740392569752</v>
      </c>
      <c r="X195" s="258">
        <f t="shared" si="290"/>
        <v>0.12206236121391562</v>
      </c>
      <c r="Y195" s="258">
        <f t="shared" si="290"/>
        <v>0.10984201537147736</v>
      </c>
      <c r="Z195" s="258">
        <f t="shared" si="290"/>
        <v>0.11100601310722248</v>
      </c>
      <c r="AA195" s="258">
        <f t="shared" si="290"/>
        <v>0.10835374500451206</v>
      </c>
      <c r="AB195" s="258">
        <f t="shared" si="290"/>
        <v>0.10674745249242633</v>
      </c>
      <c r="AC195" s="258">
        <f t="shared" si="290"/>
        <v>0.10876932120751064</v>
      </c>
      <c r="AD195" s="258">
        <f t="shared" si="290"/>
        <v>9.4496104548881632E-2</v>
      </c>
      <c r="AE195" s="258">
        <f t="shared" si="290"/>
        <v>0.11428062043144946</v>
      </c>
      <c r="AF195" s="258">
        <f t="shared" si="290"/>
        <v>0.11932658400637015</v>
      </c>
      <c r="AG195" s="258">
        <f t="shared" si="290"/>
        <v>0.11481955464550807</v>
      </c>
      <c r="AH195" s="258">
        <f t="shared" si="290"/>
        <v>0.11220230415446031</v>
      </c>
      <c r="AI195" s="258">
        <f t="shared" si="290"/>
        <v>0.10194721596395237</v>
      </c>
      <c r="AJ195" s="258">
        <f t="shared" si="290"/>
        <v>0.10724267833272573</v>
      </c>
      <c r="AK195" s="258">
        <f t="shared" si="290"/>
        <v>9.9927936584194091E-2</v>
      </c>
      <c r="AL195" s="258">
        <f t="shared" si="290"/>
        <v>9.8075573819785503E-2</v>
      </c>
      <c r="AM195" s="258">
        <f t="shared" si="290"/>
        <v>0.10158492640322482</v>
      </c>
      <c r="AN195" s="258">
        <f t="shared" si="290"/>
        <v>8.7036006676734765E-2</v>
      </c>
      <c r="AO195" s="258">
        <f t="shared" si="290"/>
        <v>0.1112036651395252</v>
      </c>
      <c r="AP195" s="258">
        <f t="shared" ref="AP195:BU195" si="291">AP92/AP6</f>
        <v>9.5097285469276718E-2</v>
      </c>
      <c r="AQ195" s="258">
        <f t="shared" si="291"/>
        <v>9.6182523113629584E-2</v>
      </c>
      <c r="AR195" s="258">
        <f t="shared" si="291"/>
        <v>9.7974855077919143E-2</v>
      </c>
      <c r="AS195" s="258">
        <f t="shared" si="291"/>
        <v>8.2785391745226963E-2</v>
      </c>
      <c r="AT195" s="258">
        <f t="shared" si="291"/>
        <v>0.11145968983070913</v>
      </c>
      <c r="AU195" s="258">
        <f t="shared" si="291"/>
        <v>0.10343826228365664</v>
      </c>
      <c r="AV195" s="258">
        <f t="shared" si="291"/>
        <v>0.1011630238620413</v>
      </c>
      <c r="AW195" s="258">
        <f t="shared" si="291"/>
        <v>0.10088028433033906</v>
      </c>
      <c r="AX195" s="258">
        <f t="shared" si="291"/>
        <v>8.7582876319882125E-2</v>
      </c>
      <c r="AY195" s="258">
        <f t="shared" si="291"/>
        <v>0.11304402436726747</v>
      </c>
      <c r="AZ195" s="258">
        <f t="shared" si="291"/>
        <v>0</v>
      </c>
      <c r="BA195" s="258">
        <f t="shared" si="291"/>
        <v>0</v>
      </c>
      <c r="BB195" s="258">
        <f t="shared" si="291"/>
        <v>0</v>
      </c>
      <c r="BC195" s="258">
        <f t="shared" si="291"/>
        <v>0</v>
      </c>
      <c r="BD195" s="258">
        <f t="shared" si="291"/>
        <v>0</v>
      </c>
      <c r="BE195" s="258">
        <f t="shared" si="291"/>
        <v>0</v>
      </c>
      <c r="BF195" s="258">
        <f t="shared" si="291"/>
        <v>0</v>
      </c>
      <c r="BG195" s="258">
        <f t="shared" si="291"/>
        <v>0</v>
      </c>
      <c r="BH195" s="258">
        <f t="shared" si="291"/>
        <v>0</v>
      </c>
      <c r="BI195" s="258">
        <f t="shared" si="291"/>
        <v>0</v>
      </c>
      <c r="BJ195" s="258">
        <f t="shared" si="291"/>
        <v>0</v>
      </c>
      <c r="BK195" s="258">
        <f t="shared" si="291"/>
        <v>0</v>
      </c>
      <c r="BL195" s="258">
        <f t="shared" si="291"/>
        <v>0</v>
      </c>
      <c r="BM195" s="258">
        <f t="shared" si="291"/>
        <v>0</v>
      </c>
      <c r="BN195" s="258">
        <f t="shared" si="291"/>
        <v>0</v>
      </c>
      <c r="BO195" s="258">
        <f t="shared" si="291"/>
        <v>0</v>
      </c>
      <c r="BP195" s="258">
        <f t="shared" si="291"/>
        <v>0</v>
      </c>
      <c r="BQ195" s="258">
        <f t="shared" si="291"/>
        <v>0</v>
      </c>
      <c r="BR195" s="258">
        <f t="shared" si="291"/>
        <v>0</v>
      </c>
      <c r="BS195" s="258">
        <f t="shared" si="291"/>
        <v>0</v>
      </c>
      <c r="BT195" s="258">
        <f t="shared" si="291"/>
        <v>0</v>
      </c>
      <c r="BU195" s="258">
        <f t="shared" si="291"/>
        <v>0</v>
      </c>
      <c r="BV195" s="258">
        <f t="shared" ref="BV195:CK195" si="292">BV92/BV6</f>
        <v>0</v>
      </c>
      <c r="BW195" s="258">
        <f t="shared" si="292"/>
        <v>0</v>
      </c>
      <c r="BX195" s="258">
        <f t="shared" si="292"/>
        <v>0</v>
      </c>
      <c r="BY195" s="258">
        <f t="shared" si="292"/>
        <v>0</v>
      </c>
      <c r="BZ195" s="258">
        <f t="shared" si="292"/>
        <v>0</v>
      </c>
      <c r="CA195" s="258">
        <f t="shared" si="292"/>
        <v>0</v>
      </c>
      <c r="CB195" s="258">
        <f t="shared" si="292"/>
        <v>0</v>
      </c>
      <c r="CC195" s="258">
        <f t="shared" si="292"/>
        <v>0</v>
      </c>
      <c r="CD195" s="258">
        <f t="shared" si="292"/>
        <v>0</v>
      </c>
      <c r="CE195" s="258">
        <f t="shared" si="292"/>
        <v>0</v>
      </c>
      <c r="CF195" s="258">
        <f t="shared" si="292"/>
        <v>0</v>
      </c>
      <c r="CG195" s="258">
        <f t="shared" si="292"/>
        <v>0</v>
      </c>
      <c r="CH195" s="258">
        <f t="shared" si="292"/>
        <v>0</v>
      </c>
      <c r="CI195" s="258">
        <f t="shared" si="292"/>
        <v>0</v>
      </c>
      <c r="CJ195" s="258">
        <f t="shared" si="292"/>
        <v>0</v>
      </c>
      <c r="CK195" s="258">
        <f t="shared" si="292"/>
        <v>0</v>
      </c>
    </row>
    <row r="196" spans="1:89" collapsed="1" x14ac:dyDescent="0.2">
      <c r="J196" s="40"/>
      <c r="K196" s="40"/>
      <c r="L196" s="40"/>
      <c r="M196" s="40"/>
      <c r="N196" s="238"/>
      <c r="O196" s="238"/>
      <c r="P196" s="238"/>
      <c r="Q196" s="238"/>
      <c r="R196" s="238"/>
      <c r="S196" s="238"/>
      <c r="T196" s="238"/>
      <c r="U196" s="238"/>
      <c r="V196" s="238"/>
      <c r="W196" s="238"/>
      <c r="X196" s="238"/>
      <c r="Y196" s="238"/>
      <c r="Z196" s="238"/>
      <c r="AA196" s="238"/>
      <c r="AB196" s="238"/>
      <c r="AC196" s="238"/>
      <c r="AD196" s="238"/>
      <c r="AE196" s="238"/>
      <c r="AF196" s="238"/>
      <c r="AG196" s="238"/>
      <c r="AH196" s="238"/>
      <c r="AI196" s="238"/>
      <c r="AJ196" s="238"/>
      <c r="AK196" s="238"/>
      <c r="AL196" s="238"/>
      <c r="AM196" s="238"/>
      <c r="AN196" s="238"/>
      <c r="AO196" s="238"/>
      <c r="AP196" s="238"/>
      <c r="AQ196" s="238"/>
      <c r="AR196" s="238"/>
      <c r="AS196" s="40"/>
      <c r="AT196" s="40"/>
      <c r="AU196" s="40"/>
      <c r="AV196" s="40"/>
      <c r="AW196" s="40"/>
      <c r="AX196" s="40"/>
      <c r="AY196" s="40"/>
      <c r="AZ196" s="40"/>
      <c r="BA196" s="40"/>
      <c r="BB196" s="40"/>
      <c r="BC196" s="40"/>
      <c r="BD196" s="40"/>
      <c r="BE196" s="40"/>
      <c r="BF196" s="40"/>
      <c r="BG196" s="40"/>
      <c r="BH196" s="40"/>
      <c r="BI196" s="40"/>
      <c r="BJ196" s="40"/>
      <c r="BK196" s="40"/>
      <c r="BL196" s="40"/>
      <c r="BM196" s="40"/>
      <c r="BN196" s="40"/>
      <c r="BO196" s="40"/>
      <c r="BP196" s="40"/>
      <c r="BQ196" s="40"/>
      <c r="BR196" s="40"/>
      <c r="BS196" s="40"/>
      <c r="BT196" s="40"/>
      <c r="BU196" s="40"/>
      <c r="BV196" s="40"/>
      <c r="BW196" s="40"/>
      <c r="BX196" s="40"/>
      <c r="BY196" s="40"/>
      <c r="BZ196" s="40"/>
      <c r="CA196" s="40"/>
      <c r="CB196" s="40"/>
      <c r="CC196" s="40"/>
      <c r="CD196" s="40"/>
      <c r="CE196" s="40"/>
      <c r="CF196" s="40"/>
      <c r="CG196" s="40"/>
      <c r="CH196" s="40"/>
      <c r="CI196" s="40"/>
      <c r="CJ196" s="40"/>
      <c r="CK196" s="40"/>
    </row>
    <row r="197" spans="1:89" x14ac:dyDescent="0.2">
      <c r="A197" s="14" t="s">
        <v>256</v>
      </c>
      <c r="J197" s="40"/>
      <c r="K197" s="40"/>
      <c r="L197" s="40"/>
      <c r="M197" s="40"/>
      <c r="N197" s="238"/>
      <c r="O197" s="238"/>
      <c r="P197" s="238"/>
      <c r="Q197" s="238"/>
      <c r="R197" s="238"/>
      <c r="S197" s="238"/>
      <c r="T197" s="238"/>
      <c r="U197" s="238"/>
      <c r="V197" s="238"/>
      <c r="W197" s="238"/>
      <c r="X197" s="238"/>
      <c r="Y197" s="238"/>
      <c r="Z197" s="238"/>
      <c r="AA197" s="238"/>
      <c r="AB197" s="238"/>
      <c r="AC197" s="238"/>
      <c r="AD197" s="238"/>
      <c r="AE197" s="238"/>
      <c r="AF197" s="238"/>
      <c r="AG197" s="238"/>
      <c r="AH197" s="238"/>
      <c r="AI197" s="238"/>
      <c r="AJ197" s="238"/>
      <c r="AK197" s="238"/>
      <c r="AL197" s="238"/>
      <c r="AM197" s="238"/>
      <c r="AN197" s="238"/>
      <c r="AO197" s="238"/>
      <c r="AP197" s="238"/>
      <c r="AQ197" s="238"/>
      <c r="AR197" s="238"/>
      <c r="AS197" s="40"/>
      <c r="AT197" s="40"/>
      <c r="AU197" s="40"/>
      <c r="AV197" s="40"/>
      <c r="AW197" s="40"/>
      <c r="AX197" s="40"/>
      <c r="AY197" s="40"/>
      <c r="AZ197" s="40"/>
      <c r="BA197" s="40"/>
      <c r="BB197" s="40"/>
      <c r="BC197" s="40"/>
      <c r="BD197" s="40"/>
      <c r="BE197" s="40"/>
      <c r="BF197" s="40"/>
      <c r="BG197" s="40"/>
      <c r="BH197" s="40"/>
      <c r="BI197" s="40"/>
      <c r="BJ197" s="40"/>
      <c r="BK197" s="40"/>
      <c r="BL197" s="40"/>
      <c r="BM197" s="40"/>
      <c r="BN197" s="40"/>
      <c r="BO197" s="40"/>
      <c r="BP197" s="40"/>
      <c r="BQ197" s="40"/>
      <c r="BR197" s="40"/>
      <c r="BS197" s="40"/>
      <c r="BT197" s="40"/>
      <c r="BU197" s="40"/>
      <c r="BV197" s="40"/>
      <c r="BW197" s="40"/>
      <c r="BX197" s="40"/>
      <c r="BY197" s="40"/>
      <c r="BZ197" s="40"/>
      <c r="CA197" s="40"/>
      <c r="CB197" s="40"/>
      <c r="CC197" s="40"/>
      <c r="CD197" s="40"/>
      <c r="CE197" s="40"/>
      <c r="CF197" s="40"/>
      <c r="CG197" s="40"/>
      <c r="CH197" s="40"/>
      <c r="CI197" s="40"/>
      <c r="CJ197" s="40"/>
      <c r="CK197" s="40"/>
    </row>
    <row r="198" spans="1:89" s="1" customFormat="1" hidden="1" outlineLevel="1" x14ac:dyDescent="0.2">
      <c r="B198" s="1" t="s">
        <v>67</v>
      </c>
      <c r="J198" s="262">
        <f t="shared" ref="J198:AY198" si="293">J105/(J102-J139)</f>
        <v>0.57517594369801661</v>
      </c>
      <c r="K198" s="262">
        <f t="shared" si="293"/>
        <v>0.46060037523452158</v>
      </c>
      <c r="L198" s="262">
        <f t="shared" si="293"/>
        <v>0.47347122302158273</v>
      </c>
      <c r="M198" s="262">
        <f t="shared" si="293"/>
        <v>0.59829059829059827</v>
      </c>
      <c r="N198" s="263">
        <f t="shared" si="293"/>
        <v>0.52261682242990659</v>
      </c>
      <c r="O198" s="263">
        <f t="shared" si="293"/>
        <v>0.56326530612244896</v>
      </c>
      <c r="P198" s="263">
        <f t="shared" si="293"/>
        <v>0.48451809856083733</v>
      </c>
      <c r="Q198" s="263">
        <f t="shared" si="293"/>
        <v>0.49331608451918929</v>
      </c>
      <c r="R198" s="263">
        <f t="shared" si="293"/>
        <v>0.64272559852670352</v>
      </c>
      <c r="S198" s="263">
        <f t="shared" si="293"/>
        <v>0.54324038122132012</v>
      </c>
      <c r="T198" s="263">
        <f t="shared" si="293"/>
        <v>0.60581395348837208</v>
      </c>
      <c r="U198" s="263">
        <f t="shared" si="293"/>
        <v>0.50702370500438987</v>
      </c>
      <c r="V198" s="263">
        <f t="shared" si="293"/>
        <v>0.48525695029486099</v>
      </c>
      <c r="W198" s="263">
        <f t="shared" si="293"/>
        <v>0.63604395604395603</v>
      </c>
      <c r="X198" s="263">
        <f t="shared" si="293"/>
        <v>0.55464322886550244</v>
      </c>
      <c r="Y198" s="263">
        <f t="shared" si="293"/>
        <v>0.56808510638297871</v>
      </c>
      <c r="Z198" s="263">
        <f t="shared" si="293"/>
        <v>0.41188666205943331</v>
      </c>
      <c r="AA198" s="263">
        <f t="shared" si="293"/>
        <v>0.42016528925619834</v>
      </c>
      <c r="AB198" s="263">
        <f t="shared" si="293"/>
        <v>0.56243367527414223</v>
      </c>
      <c r="AC198" s="263">
        <f t="shared" si="293"/>
        <v>0.48193111236589498</v>
      </c>
      <c r="AD198" s="263">
        <f t="shared" si="293"/>
        <v>0.58743030917384698</v>
      </c>
      <c r="AE198" s="263">
        <f t="shared" si="293"/>
        <v>0.42664029014177385</v>
      </c>
      <c r="AF198" s="263">
        <f t="shared" si="293"/>
        <v>0.42825883088465144</v>
      </c>
      <c r="AG198" s="263">
        <f t="shared" si="293"/>
        <v>0.55409731113956462</v>
      </c>
      <c r="AH198" s="263">
        <f t="shared" si="293"/>
        <v>0.49024627063288906</v>
      </c>
      <c r="AI198" s="263">
        <f t="shared" si="293"/>
        <v>0.60226687274600721</v>
      </c>
      <c r="AJ198" s="263">
        <f t="shared" si="293"/>
        <v>0.44061433447098974</v>
      </c>
      <c r="AK198" s="263">
        <f t="shared" si="293"/>
        <v>0.44163618224143664</v>
      </c>
      <c r="AL198" s="263">
        <f t="shared" si="293"/>
        <v>0.57619689817936615</v>
      </c>
      <c r="AM198" s="263">
        <f t="shared" si="293"/>
        <v>0.50691626706012538</v>
      </c>
      <c r="AN198" s="263">
        <f t="shared" si="293"/>
        <v>0.59689169499757166</v>
      </c>
      <c r="AO198" s="263">
        <f t="shared" si="293"/>
        <v>0.4246489859594384</v>
      </c>
      <c r="AP198" s="263">
        <f t="shared" si="293"/>
        <v>0.46035889070146818</v>
      </c>
      <c r="AQ198" s="263">
        <f t="shared" si="293"/>
        <v>0.5943586299529886</v>
      </c>
      <c r="AR198" s="263">
        <f t="shared" si="293"/>
        <v>0.51039179269479085</v>
      </c>
      <c r="AS198" s="263">
        <f t="shared" si="293"/>
        <v>0.5938967136150235</v>
      </c>
      <c r="AT198" s="263">
        <f t="shared" si="293"/>
        <v>0.44517750549795793</v>
      </c>
      <c r="AU198" s="263">
        <f t="shared" si="293"/>
        <v>0.4759962347034829</v>
      </c>
      <c r="AV198" s="263">
        <f t="shared" si="293"/>
        <v>0.59891964888588789</v>
      </c>
      <c r="AW198" s="263">
        <f t="shared" si="293"/>
        <v>0.52111324376199619</v>
      </c>
      <c r="AX198" s="263">
        <f t="shared" si="293"/>
        <v>0.59718856034900625</v>
      </c>
      <c r="AY198" s="263">
        <f t="shared" si="293"/>
        <v>0.46519193233571893</v>
      </c>
      <c r="AZ198" s="263"/>
      <c r="BA198" s="263"/>
      <c r="BB198" s="263"/>
      <c r="BC198" s="263"/>
      <c r="BD198" s="263"/>
      <c r="BE198" s="263"/>
      <c r="BF198" s="263"/>
      <c r="BG198" s="263"/>
      <c r="BH198" s="263"/>
      <c r="BI198" s="263"/>
      <c r="BJ198" s="263"/>
      <c r="BK198" s="263"/>
      <c r="BL198" s="263"/>
      <c r="BM198" s="263"/>
      <c r="BN198" s="263"/>
      <c r="BO198" s="263"/>
      <c r="BP198" s="263"/>
      <c r="BQ198" s="263"/>
      <c r="BR198" s="263"/>
      <c r="BS198" s="263"/>
      <c r="BT198" s="263"/>
      <c r="BU198" s="263"/>
      <c r="BV198" s="263"/>
      <c r="BW198" s="263"/>
      <c r="BX198" s="263"/>
      <c r="BY198" s="263"/>
      <c r="BZ198" s="263"/>
      <c r="CA198" s="263"/>
      <c r="CB198" s="263"/>
      <c r="CC198" s="263"/>
      <c r="CD198" s="263"/>
      <c r="CE198" s="263"/>
      <c r="CF198" s="263"/>
      <c r="CG198" s="263"/>
      <c r="CH198" s="263"/>
      <c r="CI198" s="263"/>
      <c r="CJ198" s="263"/>
      <c r="CK198" s="263"/>
    </row>
    <row r="199" spans="1:89" collapsed="1" x14ac:dyDescent="0.2">
      <c r="B199" s="25" t="s">
        <v>68</v>
      </c>
      <c r="J199" s="264">
        <f t="shared" ref="J199:BU199" si="294">J108/(J102-J139)</f>
        <v>0.39027511196417147</v>
      </c>
      <c r="K199" s="264">
        <f t="shared" si="294"/>
        <v>0.31988742964352718</v>
      </c>
      <c r="L199" s="264">
        <f t="shared" si="294"/>
        <v>0.33363309352517984</v>
      </c>
      <c r="M199" s="264">
        <f t="shared" si="294"/>
        <v>0.39838556505223172</v>
      </c>
      <c r="N199" s="265">
        <f t="shared" si="294"/>
        <v>0.35800623052959502</v>
      </c>
      <c r="O199" s="265">
        <f t="shared" si="294"/>
        <v>0.36909620991253644</v>
      </c>
      <c r="P199" s="265">
        <f t="shared" si="294"/>
        <v>0.32054077627562144</v>
      </c>
      <c r="Q199" s="265">
        <f t="shared" si="294"/>
        <v>0.33850797757654161</v>
      </c>
      <c r="R199" s="265">
        <f t="shared" si="294"/>
        <v>0.42081031307550643</v>
      </c>
      <c r="S199" s="265">
        <f t="shared" si="294"/>
        <v>0.36086598423343924</v>
      </c>
      <c r="T199" s="265">
        <f t="shared" si="294"/>
        <v>0.40639534883720929</v>
      </c>
      <c r="U199" s="265">
        <f t="shared" si="294"/>
        <v>0.34372256365232662</v>
      </c>
      <c r="V199" s="265">
        <f t="shared" si="294"/>
        <v>0.34625105307497894</v>
      </c>
      <c r="W199" s="265">
        <f t="shared" si="294"/>
        <v>0.42021978021978024</v>
      </c>
      <c r="X199" s="265">
        <f t="shared" si="294"/>
        <v>0.35919972244709147</v>
      </c>
      <c r="Y199" s="265">
        <f t="shared" si="294"/>
        <v>0.38723404255319149</v>
      </c>
      <c r="Z199" s="265">
        <f t="shared" si="294"/>
        <v>0.27643400138217</v>
      </c>
      <c r="AA199" s="265">
        <f t="shared" si="294"/>
        <v>0.28628099173553717</v>
      </c>
      <c r="AB199" s="265">
        <f t="shared" si="294"/>
        <v>0.34736469755925009</v>
      </c>
      <c r="AC199" s="265">
        <f t="shared" si="294"/>
        <v>0.31771127423301337</v>
      </c>
      <c r="AD199" s="265">
        <f t="shared" si="294"/>
        <v>0.39229599594526104</v>
      </c>
      <c r="AE199" s="265">
        <f t="shared" si="294"/>
        <v>0.28123969666996373</v>
      </c>
      <c r="AF199" s="265">
        <f t="shared" si="294"/>
        <v>0.28696467646139417</v>
      </c>
      <c r="AG199" s="265">
        <f t="shared" si="294"/>
        <v>0.34571062740076824</v>
      </c>
      <c r="AH199" s="265">
        <f t="shared" si="294"/>
        <v>0.31997528466766706</v>
      </c>
      <c r="AI199" s="265">
        <f t="shared" si="294"/>
        <v>0.40597630087583719</v>
      </c>
      <c r="AJ199" s="265">
        <f t="shared" si="294"/>
        <v>0.2931740614334471</v>
      </c>
      <c r="AK199" s="265">
        <f t="shared" si="294"/>
        <v>0.30761556368473564</v>
      </c>
      <c r="AL199" s="265">
        <f t="shared" si="294"/>
        <v>0.37491571139581931</v>
      </c>
      <c r="AM199" s="265">
        <f t="shared" si="294"/>
        <v>0.3397270379933604</v>
      </c>
      <c r="AN199" s="265">
        <f t="shared" si="294"/>
        <v>0.40310830500242839</v>
      </c>
      <c r="AO199" s="265">
        <f t="shared" si="294"/>
        <v>0.28330733229329175</v>
      </c>
      <c r="AP199" s="265">
        <f t="shared" si="294"/>
        <v>0.31908646003262642</v>
      </c>
      <c r="AQ199" s="265">
        <f t="shared" si="294"/>
        <v>0.3962390866353257</v>
      </c>
      <c r="AR199" s="265">
        <f t="shared" si="294"/>
        <v>0.34456531352259662</v>
      </c>
      <c r="AS199" s="265">
        <f t="shared" si="294"/>
        <v>0.41079812206572769</v>
      </c>
      <c r="AT199" s="265">
        <f t="shared" si="294"/>
        <v>0.29846057178762175</v>
      </c>
      <c r="AU199" s="265">
        <f t="shared" si="294"/>
        <v>0.32444304989017886</v>
      </c>
      <c r="AV199" s="265">
        <f t="shared" si="294"/>
        <v>0.41964888588791355</v>
      </c>
      <c r="AW199" s="265">
        <f>AW108/(AW102-AW139)</f>
        <v>0.35787820624672834</v>
      </c>
      <c r="AX199" s="265">
        <f t="shared" si="294"/>
        <v>0.44886088221037324</v>
      </c>
      <c r="AY199" s="265">
        <f t="shared" si="294"/>
        <v>0.32823682498373452</v>
      </c>
      <c r="AZ199" s="265">
        <f>AZ108/(AZ102-AZ139)</f>
        <v>0.34925183062718879</v>
      </c>
      <c r="BA199" s="265">
        <f t="shared" si="294"/>
        <v>0.46876128566269409</v>
      </c>
      <c r="BB199" s="265">
        <f t="shared" si="294"/>
        <v>0.39196161853896988</v>
      </c>
      <c r="BC199" s="265">
        <f t="shared" si="294"/>
        <v>0.46844319775596072</v>
      </c>
      <c r="BD199" s="265">
        <f t="shared" si="294"/>
        <v>0.34689922480620156</v>
      </c>
      <c r="BE199" s="265">
        <f t="shared" si="294"/>
        <v>0.36780866192630901</v>
      </c>
      <c r="BF199" s="265">
        <f t="shared" si="294"/>
        <v>0.47267851156553803</v>
      </c>
      <c r="BG199" s="265">
        <f t="shared" si="294"/>
        <v>0.40876944837340878</v>
      </c>
      <c r="BH199" s="265">
        <f t="shared" si="294"/>
        <v>0.49135109864422627</v>
      </c>
      <c r="BI199" s="265">
        <f t="shared" si="294"/>
        <v>0.35403151065801669</v>
      </c>
      <c r="BJ199" s="265">
        <f t="shared" si="294"/>
        <v>0.38216560509554143</v>
      </c>
      <c r="BK199" s="265">
        <f t="shared" si="294"/>
        <v>0.4614894971355824</v>
      </c>
      <c r="BL199" s="265">
        <f t="shared" si="294"/>
        <v>0.41576599759821581</v>
      </c>
      <c r="BM199" s="265">
        <f t="shared" si="294"/>
        <v>0.50106362312333919</v>
      </c>
      <c r="BN199" s="265">
        <f t="shared" si="294"/>
        <v>0.37523086406081912</v>
      </c>
      <c r="BO199" s="265">
        <f t="shared" si="294"/>
        <v>0.37249477329962194</v>
      </c>
      <c r="BP199" s="265">
        <f t="shared" si="294"/>
        <v>0.45701311923780841</v>
      </c>
      <c r="BQ199" s="265">
        <f t="shared" si="294"/>
        <v>0.41829740306259294</v>
      </c>
      <c r="BR199" s="265">
        <f t="shared" si="294"/>
        <v>0.4975215742951814</v>
      </c>
      <c r="BS199" s="265">
        <f t="shared" si="294"/>
        <v>0.37439856154028661</v>
      </c>
      <c r="BT199" s="265">
        <f t="shared" si="294"/>
        <v>0.37230129776099402</v>
      </c>
      <c r="BU199" s="265">
        <f t="shared" si="294"/>
        <v>0.45436656566090855</v>
      </c>
      <c r="BV199" s="265">
        <f t="shared" ref="BV199:CF199" si="295">BV108/(BV102-BV139)</f>
        <v>0.41683900991584422</v>
      </c>
      <c r="BW199" s="265">
        <f t="shared" si="295"/>
        <v>0.49512357146079755</v>
      </c>
      <c r="BX199" s="265">
        <f t="shared" si="295"/>
        <v>0.37396069439068574</v>
      </c>
      <c r="BY199" s="265">
        <f t="shared" si="295"/>
        <v>0.37236846286076297</v>
      </c>
      <c r="BZ199" s="265">
        <f t="shared" si="295"/>
        <v>0.45207292228529444</v>
      </c>
      <c r="CA199" s="265">
        <f t="shared" si="295"/>
        <v>0.41584633170442731</v>
      </c>
      <c r="CB199" s="265">
        <f t="shared" si="295"/>
        <v>0.4928878837420918</v>
      </c>
      <c r="CC199" s="265">
        <f t="shared" si="295"/>
        <v>0.37351309605199862</v>
      </c>
      <c r="CD199" s="265">
        <f t="shared" si="295"/>
        <v>0.37240455646502973</v>
      </c>
      <c r="CE199" s="265">
        <f t="shared" si="295"/>
        <v>0.44986533068517792</v>
      </c>
      <c r="CF199" s="265">
        <f t="shared" si="295"/>
        <v>0.41487899827928393</v>
      </c>
      <c r="CG199" s="265">
        <f>CG108/(CG102-CG139)</f>
        <v>0.4907951908411346</v>
      </c>
      <c r="CH199" s="265">
        <f>CH108/(CH102-CH139)</f>
        <v>0.37305214443178708</v>
      </c>
      <c r="CI199" s="265">
        <f>CI108/(CI102-CI139)</f>
        <v>0.37240717983116783</v>
      </c>
      <c r="CJ199" s="265">
        <f>CJ108/(CJ102-CJ139)</f>
        <v>0.44773234279401286</v>
      </c>
      <c r="CK199" s="265">
        <f>CK108/(CK102-CK139)</f>
        <v>0.41393051506774037</v>
      </c>
    </row>
    <row r="200" spans="1:89" x14ac:dyDescent="0.2">
      <c r="B200" s="25" t="s">
        <v>69</v>
      </c>
      <c r="J200" s="264">
        <f t="shared" ref="J200:BU200" si="296">J111/(J102-J139)</f>
        <v>9.9808061420345484E-2</v>
      </c>
      <c r="K200" s="264">
        <f t="shared" si="296"/>
        <v>5.4878048780487805E-2</v>
      </c>
      <c r="L200" s="264">
        <f t="shared" si="296"/>
        <v>5.6654676258992807E-2</v>
      </c>
      <c r="M200" s="264">
        <f t="shared" si="296"/>
        <v>8.0246913580246909E-2</v>
      </c>
      <c r="N200" s="265">
        <f t="shared" si="296"/>
        <v>7.0778816199376954E-2</v>
      </c>
      <c r="O200" s="265">
        <f t="shared" si="296"/>
        <v>9.6793002915451898E-2</v>
      </c>
      <c r="P200" s="265">
        <f t="shared" si="296"/>
        <v>5.3205407762756216E-2</v>
      </c>
      <c r="Q200" s="265">
        <f t="shared" si="296"/>
        <v>5.7783527382492456E-2</v>
      </c>
      <c r="R200" s="265">
        <f t="shared" si="296"/>
        <v>8.7937384898710863E-2</v>
      </c>
      <c r="S200" s="265">
        <f t="shared" si="296"/>
        <v>7.2126132486174846E-2</v>
      </c>
      <c r="T200" s="265">
        <f t="shared" si="296"/>
        <v>0.10232558139534884</v>
      </c>
      <c r="U200" s="265">
        <f t="shared" si="296"/>
        <v>5.7945566286215978E-2</v>
      </c>
      <c r="V200" s="265">
        <f t="shared" si="296"/>
        <v>5.518112889637742E-2</v>
      </c>
      <c r="W200" s="265">
        <f t="shared" si="296"/>
        <v>8.3516483516483511E-2</v>
      </c>
      <c r="X200" s="265">
        <f t="shared" si="296"/>
        <v>9.0551636405689834E-2</v>
      </c>
      <c r="Y200" s="265">
        <f t="shared" si="296"/>
        <v>0.10372340425531915</v>
      </c>
      <c r="Z200" s="265">
        <f t="shared" si="296"/>
        <v>5.4941257774706286E-2</v>
      </c>
      <c r="AA200" s="265">
        <f t="shared" si="296"/>
        <v>5.5206611570247935E-2</v>
      </c>
      <c r="AB200" s="265">
        <f t="shared" si="296"/>
        <v>7.7821011673151752E-2</v>
      </c>
      <c r="AC200" s="265">
        <f t="shared" si="296"/>
        <v>6.973461321287408E-2</v>
      </c>
      <c r="AD200" s="265">
        <f t="shared" si="296"/>
        <v>0.10846426761277243</v>
      </c>
      <c r="AE200" s="265">
        <f t="shared" si="296"/>
        <v>5.5060995713814703E-2</v>
      </c>
      <c r="AF200" s="265">
        <f t="shared" si="296"/>
        <v>5.5329790559549862E-2</v>
      </c>
      <c r="AG200" s="265">
        <f t="shared" si="296"/>
        <v>7.8425096030729835E-2</v>
      </c>
      <c r="AH200" s="265">
        <f t="shared" si="296"/>
        <v>7.0880042369141139E-2</v>
      </c>
      <c r="AI200" s="265">
        <f t="shared" si="296"/>
        <v>9.8918083462132919E-2</v>
      </c>
      <c r="AJ200" s="265">
        <f t="shared" si="296"/>
        <v>5.2901023890784986E-2</v>
      </c>
      <c r="AK200" s="265">
        <f t="shared" si="296"/>
        <v>5.1546391752577317E-2</v>
      </c>
      <c r="AL200" s="265">
        <f t="shared" si="296"/>
        <v>6.8105192178017526E-2</v>
      </c>
      <c r="AM200" s="265">
        <f t="shared" si="296"/>
        <v>6.49206934710439E-2</v>
      </c>
      <c r="AN200" s="265">
        <f t="shared" si="296"/>
        <v>8.6935405536668287E-2</v>
      </c>
      <c r="AO200" s="265">
        <f t="shared" si="296"/>
        <v>4.1809672386895473E-2</v>
      </c>
      <c r="AP200" s="265">
        <f t="shared" si="296"/>
        <v>4.4698205546492661E-2</v>
      </c>
      <c r="AQ200" s="265">
        <f t="shared" si="296"/>
        <v>5.7421087978509068E-2</v>
      </c>
      <c r="AR200" s="265">
        <f>AR111/(AR102-AR139)</f>
        <v>5.4921729901830724E-2</v>
      </c>
      <c r="AS200" s="265">
        <f t="shared" si="296"/>
        <v>7.605633802816901E-2</v>
      </c>
      <c r="AT200" s="265">
        <f t="shared" si="296"/>
        <v>4.3669494187873074E-2</v>
      </c>
      <c r="AU200" s="265">
        <f t="shared" si="296"/>
        <v>4.7066206463759024E-2</v>
      </c>
      <c r="AV200" s="265">
        <f t="shared" si="296"/>
        <v>6.2120189061444966E-2</v>
      </c>
      <c r="AW200" s="265">
        <f t="shared" si="296"/>
        <v>5.5400453673006458E-2</v>
      </c>
      <c r="AX200" s="265">
        <f t="shared" si="296"/>
        <v>4.8473097430925836E-2</v>
      </c>
      <c r="AY200" s="265">
        <f t="shared" si="296"/>
        <v>4.2940793754066363E-2</v>
      </c>
      <c r="AZ200" s="265">
        <f>AZ111/(AZ102-AZ139)</f>
        <v>4.8073861827443491E-2</v>
      </c>
      <c r="BA200" s="265">
        <f t="shared" si="296"/>
        <v>6.500541711809317E-2</v>
      </c>
      <c r="BB200" s="265">
        <f t="shared" si="296"/>
        <v>5.0964062641441113E-2</v>
      </c>
      <c r="BC200" s="265">
        <f t="shared" si="296"/>
        <v>7.7138849929873771E-2</v>
      </c>
      <c r="BD200" s="265">
        <f t="shared" si="296"/>
        <v>4.7157622739018086E-2</v>
      </c>
      <c r="BE200" s="265">
        <f t="shared" si="296"/>
        <v>4.6218487394957986E-2</v>
      </c>
      <c r="BF200" s="265">
        <f t="shared" si="296"/>
        <v>6.5705665437479049E-2</v>
      </c>
      <c r="BG200" s="265">
        <f t="shared" si="296"/>
        <v>5.7461103253182461E-2</v>
      </c>
      <c r="BH200" s="265">
        <f t="shared" si="296"/>
        <v>7.6203833567087417E-2</v>
      </c>
      <c r="BI200" s="265">
        <f t="shared" si="296"/>
        <v>4.4794562866852024E-2</v>
      </c>
      <c r="BJ200" s="265">
        <f t="shared" si="296"/>
        <v>4.6178343949044583E-2</v>
      </c>
      <c r="BK200" s="265">
        <f t="shared" si="296"/>
        <v>6.2380649267982174E-2</v>
      </c>
      <c r="BL200" s="265">
        <f t="shared" si="296"/>
        <v>5.5669926230914393E-2</v>
      </c>
      <c r="BM200" s="265">
        <f t="shared" si="296"/>
        <v>7.9139696214940214E-2</v>
      </c>
      <c r="BN200" s="265">
        <f t="shared" si="296"/>
        <v>4.5433737863153398E-2</v>
      </c>
      <c r="BO200" s="265">
        <f t="shared" si="296"/>
        <v>4.4248857915802971E-2</v>
      </c>
      <c r="BP200" s="265">
        <f t="shared" si="296"/>
        <v>6.0511070199908236E-2</v>
      </c>
      <c r="BQ200" s="265">
        <f t="shared" si="296"/>
        <v>5.4948352723481614E-2</v>
      </c>
      <c r="BR200" s="265">
        <f t="shared" si="296"/>
        <v>7.6734932002911899E-2</v>
      </c>
      <c r="BS200" s="265">
        <f t="shared" si="296"/>
        <v>4.3705695248929102E-2</v>
      </c>
      <c r="BT200" s="265">
        <f t="shared" si="296"/>
        <v>4.2228027551453037E-2</v>
      </c>
      <c r="BU200" s="265">
        <f t="shared" si="296"/>
        <v>5.7978453420346826E-2</v>
      </c>
      <c r="BV200" s="265">
        <f t="shared" ref="BV200:CF200" si="297">BV111/(BV102-BV139)</f>
        <v>5.2836549363314909E-2</v>
      </c>
      <c r="BW200" s="265">
        <f t="shared" si="297"/>
        <v>7.455768131622105E-2</v>
      </c>
      <c r="BX200" s="265">
        <f t="shared" si="297"/>
        <v>4.2090374813107803E-2</v>
      </c>
      <c r="BY200" s="265">
        <f t="shared" si="297"/>
        <v>4.032991567814851E-2</v>
      </c>
      <c r="BZ200" s="265">
        <f t="shared" si="297"/>
        <v>5.559788376228985E-2</v>
      </c>
      <c r="CA200" s="265">
        <f t="shared" si="297"/>
        <v>5.0869306302953561E-2</v>
      </c>
      <c r="CB200" s="265">
        <f t="shared" si="297"/>
        <v>7.2475038879807968E-2</v>
      </c>
      <c r="CC200" s="265">
        <f t="shared" si="297"/>
        <v>4.0536228367510398E-2</v>
      </c>
      <c r="CD200" s="265">
        <f t="shared" si="297"/>
        <v>3.8515922831886783E-2</v>
      </c>
      <c r="CE200" s="265">
        <f t="shared" si="297"/>
        <v>5.332802909897566E-2</v>
      </c>
      <c r="CF200" s="265">
        <f t="shared" si="297"/>
        <v>4.8985700344804976E-2</v>
      </c>
      <c r="CG200" s="265">
        <f>CG111/(CG102-CG139)</f>
        <v>7.0479517179291129E-2</v>
      </c>
      <c r="CH200" s="265">
        <f>CH111/(CH102-CH139)</f>
        <v>3.9040390879454913E-2</v>
      </c>
      <c r="CI200" s="265">
        <f>CI111/(CI102-CI139)</f>
        <v>3.6782053216863377E-2</v>
      </c>
      <c r="CJ200" s="265">
        <f>CJ111/(CJ102-CJ139)</f>
        <v>5.1161925369804358E-2</v>
      </c>
      <c r="CK200" s="265">
        <f>CK111/(CK102-CK139)</f>
        <v>4.7180963182839514E-2</v>
      </c>
    </row>
    <row r="201" spans="1:89" x14ac:dyDescent="0.2">
      <c r="B201" s="25" t="s">
        <v>309</v>
      </c>
      <c r="J201" s="264"/>
      <c r="K201" s="264"/>
      <c r="L201" s="264"/>
      <c r="M201" s="264"/>
      <c r="N201" s="265"/>
      <c r="O201" s="265"/>
      <c r="P201" s="265"/>
      <c r="Q201" s="265"/>
      <c r="R201" s="265"/>
      <c r="S201" s="265"/>
      <c r="T201" s="265"/>
      <c r="U201" s="265"/>
      <c r="V201" s="265"/>
      <c r="W201" s="265"/>
      <c r="X201" s="265"/>
      <c r="Y201" s="265"/>
      <c r="Z201" s="265"/>
      <c r="AA201" s="265"/>
      <c r="AB201" s="265"/>
      <c r="AC201" s="265"/>
      <c r="AD201" s="265"/>
      <c r="AE201" s="265"/>
      <c r="AF201" s="265"/>
      <c r="AG201" s="265"/>
      <c r="AH201" s="265"/>
      <c r="AI201" s="265"/>
      <c r="AJ201" s="265"/>
      <c r="AK201" s="265"/>
      <c r="AL201" s="265"/>
      <c r="AM201" s="265"/>
      <c r="AN201" s="265"/>
      <c r="AO201" s="265"/>
      <c r="AP201" s="265"/>
      <c r="AQ201" s="265"/>
      <c r="AR201" s="265">
        <f>AR114/(AR$102-AR$139)</f>
        <v>0.23083045900769436</v>
      </c>
      <c r="AS201" s="265">
        <f t="shared" ref="AS201:CK201" si="298">AS114/(AS$102-AS$139)</f>
        <v>0.20563380281690141</v>
      </c>
      <c r="AT201" s="265">
        <f t="shared" si="298"/>
        <v>0.24630851398052153</v>
      </c>
      <c r="AU201" s="265">
        <f t="shared" si="298"/>
        <v>0.2406652023846878</v>
      </c>
      <c r="AV201" s="265">
        <f t="shared" si="298"/>
        <v>0.20627954085077652</v>
      </c>
      <c r="AW201" s="265">
        <f t="shared" si="298"/>
        <v>0.22683650322805793</v>
      </c>
      <c r="AX201" s="265">
        <f t="shared" si="298"/>
        <v>0.2234609791565681</v>
      </c>
      <c r="AY201" s="265">
        <f t="shared" si="298"/>
        <v>0.27325959661678595</v>
      </c>
      <c r="AZ201" s="265">
        <f>AZ114/(AZ$102-AZ$139)</f>
        <v>0.26329194524036931</v>
      </c>
      <c r="BA201" s="265">
        <f t="shared" si="298"/>
        <v>0.2249909714698447</v>
      </c>
      <c r="BB201" s="265">
        <f t="shared" si="298"/>
        <v>0.24902688512718385</v>
      </c>
      <c r="BC201" s="265">
        <f t="shared" si="298"/>
        <v>0.22837774661056567</v>
      </c>
      <c r="BD201" s="265">
        <f t="shared" si="298"/>
        <v>0.28536821705426357</v>
      </c>
      <c r="BE201" s="265">
        <f t="shared" si="298"/>
        <v>0.29298642533936653</v>
      </c>
      <c r="BF201" s="265">
        <f t="shared" si="298"/>
        <v>0.23516594032852833</v>
      </c>
      <c r="BG201" s="265">
        <f t="shared" si="298"/>
        <v>0.26343705799151346</v>
      </c>
      <c r="BH201" s="265">
        <f t="shared" si="298"/>
        <v>0.23515661524076673</v>
      </c>
      <c r="BI201" s="265">
        <f t="shared" si="298"/>
        <v>0.27463700957676862</v>
      </c>
      <c r="BJ201" s="265">
        <f t="shared" si="298"/>
        <v>0.25796178343949044</v>
      </c>
      <c r="BK201" s="265">
        <f t="shared" si="298"/>
        <v>0.17218332272437939</v>
      </c>
      <c r="BL201" s="265">
        <f t="shared" si="298"/>
        <v>0.23528907188196946</v>
      </c>
      <c r="BM201" s="265">
        <f t="shared" si="298"/>
        <v>0.18284159132775593</v>
      </c>
      <c r="BN201" s="265">
        <f t="shared" si="298"/>
        <v>0.24951914225296692</v>
      </c>
      <c r="BO201" s="265">
        <f t="shared" si="298"/>
        <v>0.26964304535162265</v>
      </c>
      <c r="BP201" s="265">
        <f t="shared" si="298"/>
        <v>0.20033932052143491</v>
      </c>
      <c r="BQ201" s="265">
        <f t="shared" si="298"/>
        <v>0.23038033344433401</v>
      </c>
      <c r="BR201" s="265">
        <f t="shared" si="298"/>
        <v>0.18229895972804297</v>
      </c>
      <c r="BS201" s="265">
        <f t="shared" si="298"/>
        <v>0.24523276814498057</v>
      </c>
      <c r="BT201" s="265">
        <f t="shared" si="298"/>
        <v>0.26506680809552752</v>
      </c>
      <c r="BU201" s="265">
        <f t="shared" si="298"/>
        <v>0.19814362481399461</v>
      </c>
      <c r="BV201" s="265">
        <f t="shared" si="298"/>
        <v>0.22711998285469084</v>
      </c>
      <c r="BW201" s="265">
        <f t="shared" si="298"/>
        <v>0.18186478678314677</v>
      </c>
      <c r="BX201" s="265">
        <f t="shared" si="298"/>
        <v>0.24117892402596994</v>
      </c>
      <c r="BY201" s="265">
        <f t="shared" si="298"/>
        <v>0.26066875202487239</v>
      </c>
      <c r="BZ201" s="265">
        <f t="shared" si="298"/>
        <v>0.19592093900838564</v>
      </c>
      <c r="CA201" s="265">
        <f t="shared" si="298"/>
        <v>0.22399266404978671</v>
      </c>
      <c r="CB201" s="265">
        <f t="shared" si="298"/>
        <v>0.18118411894406114</v>
      </c>
      <c r="CC201" s="265">
        <f t="shared" si="298"/>
        <v>0.23709858001339393</v>
      </c>
      <c r="CD201" s="265">
        <f t="shared" si="298"/>
        <v>0.2562465292623044</v>
      </c>
      <c r="CE201" s="265">
        <f t="shared" si="298"/>
        <v>0.1935756101604991</v>
      </c>
      <c r="CF201" s="265">
        <f t="shared" si="298"/>
        <v>0.22078896658468158</v>
      </c>
      <c r="CG201" s="265">
        <f t="shared" si="298"/>
        <v>0.18028195834004063</v>
      </c>
      <c r="CH201" s="265">
        <f t="shared" si="298"/>
        <v>0.23299830885150033</v>
      </c>
      <c r="CI201" s="265">
        <f t="shared" si="298"/>
        <v>0.25180659439107922</v>
      </c>
      <c r="CJ201" s="265">
        <f t="shared" si="298"/>
        <v>0.19112191743317503</v>
      </c>
      <c r="CK201" s="265">
        <f t="shared" si="298"/>
        <v>0.21751903072328593</v>
      </c>
    </row>
    <row r="202" spans="1:89" x14ac:dyDescent="0.2">
      <c r="B202" s="25" t="s">
        <v>209</v>
      </c>
      <c r="J202" s="264"/>
      <c r="K202" s="264"/>
      <c r="L202" s="264"/>
      <c r="M202" s="264"/>
      <c r="N202" s="265"/>
      <c r="O202" s="265"/>
      <c r="P202" s="265"/>
      <c r="Q202" s="265"/>
      <c r="R202" s="265"/>
      <c r="S202" s="265"/>
      <c r="T202" s="265"/>
      <c r="U202" s="265"/>
      <c r="V202" s="265"/>
      <c r="W202" s="265"/>
      <c r="X202" s="265"/>
      <c r="Y202" s="265"/>
      <c r="Z202" s="265"/>
      <c r="AA202" s="265"/>
      <c r="AB202" s="265"/>
      <c r="AC202" s="265"/>
      <c r="AD202" s="265"/>
      <c r="AE202" s="265"/>
      <c r="AF202" s="265"/>
      <c r="AG202" s="265"/>
      <c r="AH202" s="265"/>
      <c r="AI202" s="265"/>
      <c r="AJ202" s="265"/>
      <c r="AK202" s="265"/>
      <c r="AL202" s="265"/>
      <c r="AM202" s="265"/>
      <c r="AN202" s="265"/>
      <c r="AO202" s="265"/>
      <c r="AP202" s="265"/>
      <c r="AQ202" s="265"/>
      <c r="AR202" s="265">
        <f>AR117/(AR$102-AR$139)</f>
        <v>0.14300875563810028</v>
      </c>
      <c r="AS202" s="265">
        <f t="shared" ref="AS202:CK202" si="299">AS117/(AS$102-AS$139)</f>
        <v>0.14319248826291081</v>
      </c>
      <c r="AT202" s="265">
        <f t="shared" si="299"/>
        <v>0.14074772227458374</v>
      </c>
      <c r="AU202" s="265">
        <f t="shared" si="299"/>
        <v>0.13806087229369313</v>
      </c>
      <c r="AV202" s="265">
        <f t="shared" si="299"/>
        <v>0.15192437542201215</v>
      </c>
      <c r="AW202" s="265">
        <f t="shared" si="299"/>
        <v>0.14334322107834585</v>
      </c>
      <c r="AX202" s="265">
        <f t="shared" si="299"/>
        <v>0.10664081434803684</v>
      </c>
      <c r="AY202" s="265">
        <f t="shared" si="299"/>
        <v>0.11711125569290826</v>
      </c>
      <c r="AZ202" s="265">
        <f>AZ117/(AZ$102-AZ$139)</f>
        <v>0.11938872970391595</v>
      </c>
      <c r="BA202" s="265">
        <f t="shared" si="299"/>
        <v>8.4507042253521125E-2</v>
      </c>
      <c r="BB202" s="265">
        <f t="shared" si="299"/>
        <v>0.10763103104915361</v>
      </c>
      <c r="BC202" s="265">
        <f t="shared" si="299"/>
        <v>8.3800841514726512E-2</v>
      </c>
      <c r="BD202" s="265">
        <f t="shared" si="299"/>
        <v>8.8582041343669246E-2</v>
      </c>
      <c r="BE202" s="265">
        <f t="shared" si="299"/>
        <v>8.120555914673562E-2</v>
      </c>
      <c r="BF202" s="265">
        <f t="shared" si="299"/>
        <v>7.5846463291987937E-2</v>
      </c>
      <c r="BG202" s="265">
        <f t="shared" si="299"/>
        <v>8.2301980198019806E-2</v>
      </c>
      <c r="BH202" s="265">
        <f t="shared" si="299"/>
        <v>7.3398784478728371E-2</v>
      </c>
      <c r="BI202" s="265">
        <f t="shared" si="299"/>
        <v>7.8158789002162499E-2</v>
      </c>
      <c r="BJ202" s="265">
        <f t="shared" si="299"/>
        <v>8.9808917197452223E-2</v>
      </c>
      <c r="BK202" s="265">
        <f t="shared" si="299"/>
        <v>9.1661362189688095E-2</v>
      </c>
      <c r="BL202" s="265">
        <f t="shared" si="299"/>
        <v>8.4062446388745923E-2</v>
      </c>
      <c r="BM202" s="265">
        <f t="shared" si="299"/>
        <v>8.6013872302486596E-2</v>
      </c>
      <c r="BN202" s="265">
        <f t="shared" si="299"/>
        <v>9.2519225060404053E-2</v>
      </c>
      <c r="BO202" s="265">
        <f t="shared" si="299"/>
        <v>8.7999654262123625E-2</v>
      </c>
      <c r="BP202" s="265">
        <f t="shared" si="299"/>
        <v>9.7649818961953794E-2</v>
      </c>
      <c r="BQ202" s="265">
        <f t="shared" si="299"/>
        <v>9.1563617673195832E-2</v>
      </c>
      <c r="BR202" s="265">
        <f t="shared" si="299"/>
        <v>8.7812254187969008E-2</v>
      </c>
      <c r="BS202" s="265">
        <f t="shared" si="299"/>
        <v>9.474668576283049E-2</v>
      </c>
      <c r="BT202" s="265">
        <f t="shared" si="299"/>
        <v>9.0382481077508778E-2</v>
      </c>
      <c r="BU202" s="265">
        <f t="shared" si="299"/>
        <v>0.1004465402102921</v>
      </c>
      <c r="BV202" s="265">
        <f t="shared" si="299"/>
        <v>9.3924364483994202E-2</v>
      </c>
      <c r="BW202" s="265">
        <f t="shared" si="299"/>
        <v>8.9564005277934816E-2</v>
      </c>
      <c r="BX202" s="265">
        <f t="shared" si="299"/>
        <v>9.7071950750258595E-2</v>
      </c>
      <c r="BY202" s="265">
        <f t="shared" si="299"/>
        <v>9.2833499573152317E-2</v>
      </c>
      <c r="BZ202" s="265">
        <f t="shared" si="299"/>
        <v>0.10328230662579042</v>
      </c>
      <c r="CA202" s="265">
        <f t="shared" si="299"/>
        <v>9.633350344472269E-2</v>
      </c>
      <c r="CB202" s="265">
        <f t="shared" si="299"/>
        <v>9.1327105335049508E-2</v>
      </c>
      <c r="CC202" s="265">
        <f t="shared" si="299"/>
        <v>9.9396411097868981E-2</v>
      </c>
      <c r="CD202" s="265">
        <f t="shared" si="299"/>
        <v>9.5284447462386665E-2</v>
      </c>
      <c r="CE202" s="265">
        <f t="shared" si="299"/>
        <v>0.10610421615136406</v>
      </c>
      <c r="CF202" s="265">
        <f t="shared" si="299"/>
        <v>9.8740158440559653E-2</v>
      </c>
      <c r="CG202" s="265">
        <f t="shared" si="299"/>
        <v>9.3101365628199706E-2</v>
      </c>
      <c r="CH202" s="265">
        <f t="shared" si="299"/>
        <v>0.10172006225768757</v>
      </c>
      <c r="CI202" s="265">
        <f t="shared" si="299"/>
        <v>9.7735291230863663E-2</v>
      </c>
      <c r="CJ202" s="265">
        <f t="shared" si="299"/>
        <v>0.10891344762199538</v>
      </c>
      <c r="CK202" s="265">
        <f t="shared" si="299"/>
        <v>0.10114467139518095</v>
      </c>
    </row>
    <row r="203" spans="1:89" x14ac:dyDescent="0.2">
      <c r="B203" s="25" t="s">
        <v>310</v>
      </c>
      <c r="J203" s="264"/>
      <c r="K203" s="264"/>
      <c r="L203" s="264"/>
      <c r="M203" s="264"/>
      <c r="N203" s="265"/>
      <c r="O203" s="265"/>
      <c r="P203" s="265"/>
      <c r="Q203" s="265"/>
      <c r="R203" s="265"/>
      <c r="S203" s="265"/>
      <c r="T203" s="265"/>
      <c r="U203" s="265"/>
      <c r="V203" s="265"/>
      <c r="W203" s="265"/>
      <c r="X203" s="265"/>
      <c r="Y203" s="265"/>
      <c r="Z203" s="265"/>
      <c r="AA203" s="265"/>
      <c r="AB203" s="265"/>
      <c r="AC203" s="265"/>
      <c r="AD203" s="265"/>
      <c r="AE203" s="265"/>
      <c r="AF203" s="265"/>
      <c r="AG203" s="265"/>
      <c r="AH203" s="265"/>
      <c r="AI203" s="265"/>
      <c r="AJ203" s="265"/>
      <c r="AK203" s="265"/>
      <c r="AL203" s="265"/>
      <c r="AM203" s="265"/>
      <c r="AN203" s="265"/>
      <c r="AO203" s="265"/>
      <c r="AP203" s="265"/>
      <c r="AQ203" s="265"/>
      <c r="AR203" s="265">
        <f>AR120/(AR$102-AR$139)</f>
        <v>0.12355178208189617</v>
      </c>
      <c r="AS203" s="265">
        <f t="shared" ref="AS203:CK203" si="300">AS120/(AS$102-AS$139)</f>
        <v>7.6525821596244131E-2</v>
      </c>
      <c r="AT203" s="265">
        <f t="shared" si="300"/>
        <v>0.15394282123782596</v>
      </c>
      <c r="AU203" s="265">
        <f t="shared" si="300"/>
        <v>0.15531848133040477</v>
      </c>
      <c r="AV203" s="265">
        <f t="shared" si="300"/>
        <v>0.10533423362592843</v>
      </c>
      <c r="AW203" s="265">
        <f t="shared" si="300"/>
        <v>0.1273774210434479</v>
      </c>
      <c r="AX203" s="265">
        <f t="shared" si="300"/>
        <v>6.0106640814348036E-2</v>
      </c>
      <c r="AY203" s="265">
        <f t="shared" si="300"/>
        <v>0.11613532856213403</v>
      </c>
      <c r="AZ203" s="265">
        <f>AZ120/(AZ$102-AZ$139)</f>
        <v>0.13244189748487742</v>
      </c>
      <c r="BA203" s="265">
        <f t="shared" si="300"/>
        <v>9.8591549295774641E-2</v>
      </c>
      <c r="BB203" s="265">
        <f t="shared" si="300"/>
        <v>0.10591110708789717</v>
      </c>
      <c r="BC203" s="265">
        <f t="shared" si="300"/>
        <v>3.4712482468443197E-2</v>
      </c>
      <c r="BD203" s="265">
        <f t="shared" si="300"/>
        <v>0.1076388888888889</v>
      </c>
      <c r="BE203" s="265">
        <f t="shared" si="300"/>
        <v>0.12516160310277957</v>
      </c>
      <c r="BF203" s="265">
        <f t="shared" si="300"/>
        <v>0.10936976198457929</v>
      </c>
      <c r="BG203" s="265">
        <f t="shared" si="300"/>
        <v>9.9098302687411599E-2</v>
      </c>
      <c r="BH203" s="265">
        <f t="shared" si="300"/>
        <v>4.6750818139317439E-2</v>
      </c>
      <c r="BI203" s="265">
        <f t="shared" si="300"/>
        <v>0.15291936978683968</v>
      </c>
      <c r="BJ203" s="265">
        <f t="shared" si="300"/>
        <v>0.13980891719745223</v>
      </c>
      <c r="BK203" s="265">
        <f t="shared" si="300"/>
        <v>0.10661998726925526</v>
      </c>
      <c r="BL203" s="265">
        <f t="shared" si="300"/>
        <v>0.11743009092468691</v>
      </c>
      <c r="BM203" s="265">
        <f t="shared" si="300"/>
        <v>5.4932139079790096E-2</v>
      </c>
      <c r="BN203" s="265">
        <f t="shared" si="300"/>
        <v>0.13032597579814992</v>
      </c>
      <c r="BO203" s="265">
        <f t="shared" si="300"/>
        <v>0.14780144416916166</v>
      </c>
      <c r="BP203" s="265">
        <f t="shared" si="300"/>
        <v>0.12874839507436794</v>
      </c>
      <c r="BQ203" s="265">
        <f t="shared" si="300"/>
        <v>0.12216371676402883</v>
      </c>
      <c r="BR203" s="265">
        <f t="shared" si="300"/>
        <v>5.7144409573150486E-2</v>
      </c>
      <c r="BS203" s="265">
        <f t="shared" si="300"/>
        <v>0.13205477909481272</v>
      </c>
      <c r="BT203" s="265">
        <f t="shared" si="300"/>
        <v>0.14961186428528264</v>
      </c>
      <c r="BU203" s="265">
        <f t="shared" si="300"/>
        <v>0.13082932830026753</v>
      </c>
      <c r="BV203" s="265">
        <f t="shared" si="300"/>
        <v>0.12402085203052436</v>
      </c>
      <c r="BW203" s="265">
        <f t="shared" si="300"/>
        <v>5.9119337501214127E-2</v>
      </c>
      <c r="BX203" s="265">
        <f t="shared" si="300"/>
        <v>0.13387569331209506</v>
      </c>
      <c r="BY203" s="265">
        <f t="shared" si="300"/>
        <v>0.15149206690765857</v>
      </c>
      <c r="BZ203" s="265">
        <f t="shared" si="300"/>
        <v>0.13291637817141549</v>
      </c>
      <c r="CA203" s="265">
        <f t="shared" si="300"/>
        <v>0.1258857171524933</v>
      </c>
      <c r="CB203" s="265">
        <f t="shared" si="300"/>
        <v>6.1030273522609813E-2</v>
      </c>
      <c r="CC203" s="265">
        <f t="shared" si="300"/>
        <v>0.13565041692942625</v>
      </c>
      <c r="CD203" s="265">
        <f t="shared" si="300"/>
        <v>0.15332760600600312</v>
      </c>
      <c r="CE203" s="265">
        <f t="shared" si="300"/>
        <v>0.13494035243166741</v>
      </c>
      <c r="CF203" s="265">
        <f t="shared" si="300"/>
        <v>0.12770229875233069</v>
      </c>
      <c r="CG203" s="265">
        <f t="shared" si="300"/>
        <v>6.2881261162218371E-2</v>
      </c>
      <c r="CH203" s="265">
        <f t="shared" si="300"/>
        <v>0.13737955365285259</v>
      </c>
      <c r="CI203" s="265">
        <f t="shared" si="300"/>
        <v>0.15511868947364674</v>
      </c>
      <c r="CJ203" s="265">
        <f t="shared" si="300"/>
        <v>0.13690337139486486</v>
      </c>
      <c r="CK203" s="265">
        <f t="shared" si="300"/>
        <v>0.12947168181755908</v>
      </c>
    </row>
    <row r="204" spans="1:89" x14ac:dyDescent="0.2">
      <c r="B204" s="25" t="s">
        <v>311</v>
      </c>
      <c r="J204" s="264"/>
      <c r="K204" s="264"/>
      <c r="L204" s="264"/>
      <c r="M204" s="264"/>
      <c r="N204" s="265"/>
      <c r="O204" s="265"/>
      <c r="P204" s="265"/>
      <c r="Q204" s="265"/>
      <c r="R204" s="265"/>
      <c r="S204" s="265"/>
      <c r="T204" s="265"/>
      <c r="U204" s="265"/>
      <c r="V204" s="265"/>
      <c r="W204" s="265"/>
      <c r="X204" s="265"/>
      <c r="Y204" s="265"/>
      <c r="Z204" s="265"/>
      <c r="AA204" s="265"/>
      <c r="AB204" s="265"/>
      <c r="AC204" s="265"/>
      <c r="AD204" s="265"/>
      <c r="AE204" s="265"/>
      <c r="AF204" s="265"/>
      <c r="AG204" s="265"/>
      <c r="AH204" s="265"/>
      <c r="AI204" s="265"/>
      <c r="AJ204" s="265"/>
      <c r="AK204" s="265"/>
      <c r="AL204" s="265"/>
      <c r="AM204" s="265"/>
      <c r="AN204" s="265"/>
      <c r="AO204" s="265"/>
      <c r="AP204" s="265"/>
      <c r="AQ204" s="265"/>
      <c r="AR204" s="265">
        <f>AR123/(AR$102-AR$139)</f>
        <v>0.10312195984788185</v>
      </c>
      <c r="AS204" s="265">
        <f t="shared" ref="AS204:CK204" si="301">AS123/(AS$102-AS$139)</f>
        <v>8.7793427230046947E-2</v>
      </c>
      <c r="AT204" s="265">
        <f t="shared" si="301"/>
        <v>0.11687087653157399</v>
      </c>
      <c r="AU204" s="265">
        <f t="shared" si="301"/>
        <v>9.4446187637276441E-2</v>
      </c>
      <c r="AV204" s="265">
        <f t="shared" si="301"/>
        <v>5.4692775151924375E-2</v>
      </c>
      <c r="AW204" s="265">
        <f t="shared" si="301"/>
        <v>8.9164194730413537E-2</v>
      </c>
      <c r="AX204" s="265">
        <f t="shared" si="301"/>
        <v>0.11245758603974794</v>
      </c>
      <c r="AY204" s="265">
        <f t="shared" si="301"/>
        <v>0.12231620039037085</v>
      </c>
      <c r="AZ204" s="265">
        <f>AZ123/(AZ$102-AZ$139)</f>
        <v>8.7551735116205023E-2</v>
      </c>
      <c r="BA204" s="265">
        <f t="shared" si="301"/>
        <v>5.8143734200072225E-2</v>
      </c>
      <c r="BB204" s="265">
        <f t="shared" si="301"/>
        <v>9.4505295555354391E-2</v>
      </c>
      <c r="BC204" s="265">
        <f t="shared" si="301"/>
        <v>0.10752688172043011</v>
      </c>
      <c r="BD204" s="265">
        <f t="shared" si="301"/>
        <v>0.12435400516795865</v>
      </c>
      <c r="BE204" s="265">
        <f t="shared" si="301"/>
        <v>8.6619263089851323E-2</v>
      </c>
      <c r="BF204" s="265">
        <f t="shared" si="301"/>
        <v>4.1233657391887363E-2</v>
      </c>
      <c r="BG204" s="265">
        <f t="shared" si="301"/>
        <v>8.8932107496463936E-2</v>
      </c>
      <c r="BH204" s="265">
        <f t="shared" si="301"/>
        <v>7.7138849929873771E-2</v>
      </c>
      <c r="BI204" s="265">
        <f t="shared" si="301"/>
        <v>9.5458758109360525E-2</v>
      </c>
      <c r="BJ204" s="265">
        <f t="shared" si="301"/>
        <v>8.4076433121019103E-2</v>
      </c>
      <c r="BK204" s="265">
        <f t="shared" si="301"/>
        <v>0.10566518141311267</v>
      </c>
      <c r="BL204" s="265">
        <f t="shared" si="301"/>
        <v>9.1782466975467492E-2</v>
      </c>
      <c r="BM204" s="265">
        <f t="shared" si="301"/>
        <v>9.6009077951687866E-2</v>
      </c>
      <c r="BN204" s="265">
        <f t="shared" si="301"/>
        <v>0.10697105496450653</v>
      </c>
      <c r="BO204" s="265">
        <f t="shared" si="301"/>
        <v>7.7812225001667096E-2</v>
      </c>
      <c r="BP204" s="265">
        <f t="shared" si="301"/>
        <v>5.5738276004526667E-2</v>
      </c>
      <c r="BQ204" s="265">
        <f t="shared" si="301"/>
        <v>8.2646576332366758E-2</v>
      </c>
      <c r="BR204" s="265">
        <f t="shared" si="301"/>
        <v>9.8487870212744258E-2</v>
      </c>
      <c r="BS204" s="265">
        <f t="shared" si="301"/>
        <v>0.1098615102081604</v>
      </c>
      <c r="BT204" s="265">
        <f t="shared" si="301"/>
        <v>8.0409521229233991E-2</v>
      </c>
      <c r="BU204" s="265">
        <f t="shared" si="301"/>
        <v>5.8235487594190401E-2</v>
      </c>
      <c r="BV204" s="265">
        <f t="shared" si="301"/>
        <v>8.5259241351631362E-2</v>
      </c>
      <c r="BW204" s="265">
        <f t="shared" si="301"/>
        <v>9.9770617660685679E-2</v>
      </c>
      <c r="BX204" s="265">
        <f t="shared" si="301"/>
        <v>0.11182236270788266</v>
      </c>
      <c r="BY204" s="265">
        <f t="shared" si="301"/>
        <v>8.2307302955405295E-2</v>
      </c>
      <c r="BZ204" s="265">
        <f t="shared" si="301"/>
        <v>6.0209570146824272E-2</v>
      </c>
      <c r="CA204" s="265">
        <f t="shared" si="301"/>
        <v>8.7072477345616309E-2</v>
      </c>
      <c r="CB204" s="265">
        <f t="shared" si="301"/>
        <v>0.10109557957637984</v>
      </c>
      <c r="CC204" s="265">
        <f t="shared" si="301"/>
        <v>0.11380526753980186</v>
      </c>
      <c r="CD204" s="265">
        <f t="shared" si="301"/>
        <v>8.4220937972389387E-2</v>
      </c>
      <c r="CE204" s="265">
        <f t="shared" si="301"/>
        <v>6.2186461472315935E-2</v>
      </c>
      <c r="CF204" s="265">
        <f t="shared" si="301"/>
        <v>8.8903877598339301E-2</v>
      </c>
      <c r="CG204" s="265">
        <f t="shared" si="301"/>
        <v>0.10246070684911558</v>
      </c>
      <c r="CH204" s="265">
        <f t="shared" si="301"/>
        <v>0.11580953992671746</v>
      </c>
      <c r="CI204" s="265">
        <f t="shared" si="301"/>
        <v>8.6150191856379246E-2</v>
      </c>
      <c r="CJ204" s="265">
        <f t="shared" si="301"/>
        <v>6.4166995386147327E-2</v>
      </c>
      <c r="CK204" s="265">
        <f t="shared" si="301"/>
        <v>9.075313781339428E-2</v>
      </c>
    </row>
    <row r="205" spans="1:89" hidden="1" outlineLevel="1" x14ac:dyDescent="0.2">
      <c r="A205" s="520" t="s">
        <v>312</v>
      </c>
      <c r="J205" s="264"/>
      <c r="K205" s="264"/>
      <c r="L205" s="264"/>
      <c r="M205" s="264"/>
      <c r="N205" s="265"/>
      <c r="O205" s="265"/>
      <c r="P205" s="265"/>
      <c r="Q205" s="265"/>
      <c r="R205" s="265"/>
      <c r="S205" s="265"/>
      <c r="T205" s="265"/>
      <c r="U205" s="265"/>
      <c r="V205" s="265"/>
      <c r="W205" s="265"/>
      <c r="X205" s="265"/>
      <c r="Y205" s="265"/>
      <c r="Z205" s="265"/>
      <c r="AA205" s="265"/>
      <c r="AB205" s="265"/>
      <c r="AC205" s="265"/>
      <c r="AD205" s="265"/>
      <c r="AE205" s="265"/>
      <c r="AF205" s="265"/>
      <c r="AG205" s="265"/>
      <c r="AH205" s="265"/>
      <c r="AI205" s="265"/>
      <c r="AJ205" s="265"/>
      <c r="AK205" s="265"/>
      <c r="AL205" s="265"/>
      <c r="AM205" s="265"/>
      <c r="AN205" s="265"/>
      <c r="AO205" s="265"/>
      <c r="AP205" s="265"/>
      <c r="AQ205" s="265"/>
      <c r="AR205" s="265"/>
      <c r="AS205" s="264"/>
      <c r="AT205" s="264"/>
      <c r="AU205" s="264"/>
      <c r="AV205" s="264"/>
      <c r="AW205" s="264"/>
      <c r="AX205" s="264"/>
      <c r="AY205" s="264"/>
      <c r="AZ205" s="264"/>
      <c r="BA205" s="264"/>
      <c r="BB205" s="264"/>
      <c r="BC205" s="264"/>
      <c r="BD205" s="264"/>
      <c r="BE205" s="264"/>
      <c r="BF205" s="264"/>
      <c r="BG205" s="264"/>
      <c r="BH205" s="264"/>
      <c r="BI205" s="264"/>
      <c r="BJ205" s="264"/>
      <c r="BK205" s="264"/>
      <c r="BL205" s="264"/>
      <c r="BM205" s="264"/>
      <c r="BN205" s="264"/>
      <c r="BO205" s="264"/>
      <c r="BP205" s="264"/>
      <c r="BQ205" s="264"/>
      <c r="BR205" s="264"/>
      <c r="BS205" s="264"/>
      <c r="BT205" s="264"/>
      <c r="BU205" s="264"/>
      <c r="BV205" s="264"/>
      <c r="BW205" s="264"/>
      <c r="BX205" s="264"/>
      <c r="BY205" s="264"/>
      <c r="BZ205" s="264"/>
      <c r="CA205" s="264"/>
      <c r="CB205" s="264"/>
      <c r="CC205" s="264"/>
      <c r="CD205" s="264"/>
      <c r="CE205" s="264"/>
      <c r="CF205" s="264"/>
      <c r="CG205" s="264"/>
      <c r="CH205" s="264"/>
      <c r="CI205" s="264"/>
      <c r="CJ205" s="264"/>
      <c r="CK205" s="264"/>
    </row>
    <row r="206" spans="1:89" hidden="1" outlineLevel="1" x14ac:dyDescent="0.2">
      <c r="A206" s="1"/>
      <c r="B206" s="25" t="s">
        <v>70</v>
      </c>
      <c r="J206" s="264">
        <f t="shared" ref="J206:BU206" si="302">J127/(J102-J139)</f>
        <v>8.5092770313499683E-2</v>
      </c>
      <c r="K206" s="264">
        <f t="shared" si="302"/>
        <v>8.5834896810506572E-2</v>
      </c>
      <c r="L206" s="264">
        <f t="shared" si="302"/>
        <v>8.3183453237410068E-2</v>
      </c>
      <c r="M206" s="264">
        <f t="shared" si="302"/>
        <v>0.11965811965811966</v>
      </c>
      <c r="N206" s="265">
        <f t="shared" si="302"/>
        <v>9.383177570093458E-2</v>
      </c>
      <c r="O206" s="265">
        <f t="shared" si="302"/>
        <v>9.7376093294460647E-2</v>
      </c>
      <c r="P206" s="265">
        <f t="shared" si="302"/>
        <v>0.11077191452245966</v>
      </c>
      <c r="Q206" s="265">
        <f t="shared" si="302"/>
        <v>9.7024579560155241E-2</v>
      </c>
      <c r="R206" s="265">
        <f t="shared" si="302"/>
        <v>0.13397790055248618</v>
      </c>
      <c r="S206" s="265">
        <f t="shared" si="302"/>
        <v>0.11024826450170608</v>
      </c>
      <c r="T206" s="265">
        <f t="shared" si="302"/>
        <v>9.7093023255813954E-2</v>
      </c>
      <c r="U206" s="265">
        <f t="shared" si="302"/>
        <v>0.10535557506584724</v>
      </c>
      <c r="V206" s="265">
        <f t="shared" si="302"/>
        <v>8.3824768323504634E-2</v>
      </c>
      <c r="W206" s="265">
        <f t="shared" si="302"/>
        <v>0.13230769230769232</v>
      </c>
      <c r="X206" s="265">
        <f t="shared" si="302"/>
        <v>0.10489187001272117</v>
      </c>
      <c r="Y206" s="265">
        <f t="shared" si="302"/>
        <v>7.7127659574468085E-2</v>
      </c>
      <c r="Z206" s="265">
        <f t="shared" si="302"/>
        <v>8.0511402902557011E-2</v>
      </c>
      <c r="AA206" s="265">
        <f t="shared" si="302"/>
        <v>7.8677685950413218E-2</v>
      </c>
      <c r="AB206" s="265">
        <f t="shared" si="302"/>
        <v>0.13724796604174036</v>
      </c>
      <c r="AC206" s="265">
        <f t="shared" si="302"/>
        <v>9.4485224920007535E-2</v>
      </c>
      <c r="AD206" s="265">
        <f t="shared" si="302"/>
        <v>8.6670045615813485E-2</v>
      </c>
      <c r="AE206" s="265">
        <f t="shared" si="302"/>
        <v>9.0339597757995382E-2</v>
      </c>
      <c r="AF206" s="265">
        <f t="shared" si="302"/>
        <v>8.5964363863707413E-2</v>
      </c>
      <c r="AG206" s="265">
        <f t="shared" si="302"/>
        <v>0.12996158770806659</v>
      </c>
      <c r="AH206" s="265">
        <f t="shared" si="302"/>
        <v>9.9390943596080861E-2</v>
      </c>
      <c r="AI206" s="265">
        <f t="shared" si="302"/>
        <v>9.7372488408037097E-2</v>
      </c>
      <c r="AJ206" s="265">
        <f t="shared" si="302"/>
        <v>9.4539249146757681E-2</v>
      </c>
      <c r="AK206" s="265">
        <f t="shared" si="302"/>
        <v>8.247422680412371E-2</v>
      </c>
      <c r="AL206" s="265">
        <f t="shared" si="302"/>
        <v>0.13317599460552934</v>
      </c>
      <c r="AM206" s="265">
        <f t="shared" si="302"/>
        <v>0.10226853559572113</v>
      </c>
      <c r="AN206" s="265">
        <f t="shared" si="302"/>
        <v>0.10684798445847499</v>
      </c>
      <c r="AO206" s="265">
        <f t="shared" si="302"/>
        <v>9.9531981279251169E-2</v>
      </c>
      <c r="AP206" s="265">
        <f t="shared" si="302"/>
        <v>9.6574225122349103E-2</v>
      </c>
      <c r="AQ206" s="265">
        <f t="shared" si="302"/>
        <v>0.14069845533915379</v>
      </c>
      <c r="AR206" s="265">
        <f t="shared" si="302"/>
        <v>0.11090474927036349</v>
      </c>
      <c r="AS206" s="265">
        <f t="shared" si="302"/>
        <v>0.10704225352112676</v>
      </c>
      <c r="AT206" s="265">
        <f t="shared" si="302"/>
        <v>0.10304743952246309</v>
      </c>
      <c r="AU206" s="265">
        <f t="shared" si="302"/>
        <v>0.10448697834954503</v>
      </c>
      <c r="AV206" s="265">
        <f t="shared" si="302"/>
        <v>0.11715057393652938</v>
      </c>
      <c r="AW206" s="265">
        <f t="shared" si="302"/>
        <v>0.10783458384226138</v>
      </c>
      <c r="AX206" s="265">
        <f t="shared" si="302"/>
        <v>9.9854580707707224E-2</v>
      </c>
      <c r="AY206" s="265">
        <f t="shared" si="302"/>
        <v>9.4014313597918023E-2</v>
      </c>
      <c r="AZ206" s="265">
        <f t="shared" si="302"/>
        <v>0</v>
      </c>
      <c r="BA206" s="265">
        <f t="shared" si="302"/>
        <v>0</v>
      </c>
      <c r="BB206" s="265">
        <f t="shared" si="302"/>
        <v>0</v>
      </c>
      <c r="BC206" s="265">
        <f t="shared" si="302"/>
        <v>0</v>
      </c>
      <c r="BD206" s="265">
        <f t="shared" si="302"/>
        <v>0</v>
      </c>
      <c r="BE206" s="265">
        <f t="shared" si="302"/>
        <v>0</v>
      </c>
      <c r="BF206" s="265">
        <f t="shared" si="302"/>
        <v>0</v>
      </c>
      <c r="BG206" s="265">
        <f t="shared" si="302"/>
        <v>0</v>
      </c>
      <c r="BH206" s="265">
        <f t="shared" si="302"/>
        <v>0</v>
      </c>
      <c r="BI206" s="265">
        <f t="shared" si="302"/>
        <v>0</v>
      </c>
      <c r="BJ206" s="265">
        <f t="shared" si="302"/>
        <v>0</v>
      </c>
      <c r="BK206" s="265">
        <f t="shared" si="302"/>
        <v>0</v>
      </c>
      <c r="BL206" s="265">
        <f t="shared" si="302"/>
        <v>0</v>
      </c>
      <c r="BM206" s="265">
        <f t="shared" si="302"/>
        <v>0</v>
      </c>
      <c r="BN206" s="265">
        <f t="shared" si="302"/>
        <v>0</v>
      </c>
      <c r="BO206" s="265">
        <f t="shared" si="302"/>
        <v>0</v>
      </c>
      <c r="BP206" s="265">
        <f t="shared" si="302"/>
        <v>0</v>
      </c>
      <c r="BQ206" s="265">
        <f t="shared" si="302"/>
        <v>0</v>
      </c>
      <c r="BR206" s="265">
        <f t="shared" si="302"/>
        <v>0</v>
      </c>
      <c r="BS206" s="265">
        <f t="shared" si="302"/>
        <v>0</v>
      </c>
      <c r="BT206" s="265">
        <f t="shared" si="302"/>
        <v>0</v>
      </c>
      <c r="BU206" s="265">
        <f t="shared" si="302"/>
        <v>0</v>
      </c>
      <c r="BV206" s="265">
        <f t="shared" ref="BV206:CF206" si="303">BV127/(BV102-BV139)</f>
        <v>0</v>
      </c>
      <c r="BW206" s="265">
        <f t="shared" si="303"/>
        <v>0</v>
      </c>
      <c r="BX206" s="265">
        <f t="shared" si="303"/>
        <v>0</v>
      </c>
      <c r="BY206" s="265">
        <f t="shared" si="303"/>
        <v>0</v>
      </c>
      <c r="BZ206" s="265">
        <f t="shared" si="303"/>
        <v>0</v>
      </c>
      <c r="CA206" s="265">
        <f t="shared" si="303"/>
        <v>0</v>
      </c>
      <c r="CB206" s="265">
        <f t="shared" si="303"/>
        <v>0</v>
      </c>
      <c r="CC206" s="265">
        <f t="shared" si="303"/>
        <v>0</v>
      </c>
      <c r="CD206" s="265">
        <f t="shared" si="303"/>
        <v>0</v>
      </c>
      <c r="CE206" s="265">
        <f t="shared" si="303"/>
        <v>0</v>
      </c>
      <c r="CF206" s="265">
        <f t="shared" si="303"/>
        <v>0</v>
      </c>
      <c r="CG206" s="265">
        <f>CG127/(CG102-CG139)</f>
        <v>0</v>
      </c>
      <c r="CH206" s="265">
        <f>CH127/(CH102-CH139)</f>
        <v>0</v>
      </c>
      <c r="CI206" s="265">
        <f>CI127/(CI102-CI139)</f>
        <v>0</v>
      </c>
      <c r="CJ206" s="265">
        <f>CJ127/(CJ102-CJ139)</f>
        <v>0</v>
      </c>
      <c r="CK206" s="265">
        <f>CK127/(CK102-CK139)</f>
        <v>0</v>
      </c>
    </row>
    <row r="207" spans="1:89" s="1" customFormat="1" hidden="1" outlineLevel="1" x14ac:dyDescent="0.2">
      <c r="B207" s="1" t="s">
        <v>71</v>
      </c>
      <c r="J207" s="262">
        <f t="shared" ref="J207:BU207" si="304">J130/(J102-J139)</f>
        <v>0.30262316058861166</v>
      </c>
      <c r="K207" s="262">
        <f t="shared" si="304"/>
        <v>0.34193245778611631</v>
      </c>
      <c r="L207" s="262">
        <f t="shared" si="304"/>
        <v>0.33318345323741005</v>
      </c>
      <c r="M207" s="262">
        <f t="shared" si="304"/>
        <v>0.26400759734093066</v>
      </c>
      <c r="N207" s="263">
        <f t="shared" si="304"/>
        <v>0.31140186915887852</v>
      </c>
      <c r="O207" s="263">
        <f t="shared" si="304"/>
        <v>0.29387755102040819</v>
      </c>
      <c r="P207" s="263">
        <f t="shared" si="304"/>
        <v>0.29699084169210643</v>
      </c>
      <c r="Q207" s="263">
        <f t="shared" si="304"/>
        <v>0.28546787408365676</v>
      </c>
      <c r="R207" s="263">
        <f t="shared" si="304"/>
        <v>0.21546961325966851</v>
      </c>
      <c r="S207" s="263">
        <f t="shared" si="304"/>
        <v>0.27238498646899634</v>
      </c>
      <c r="T207" s="263">
        <f t="shared" si="304"/>
        <v>0.25465116279069766</v>
      </c>
      <c r="U207" s="263">
        <f t="shared" si="304"/>
        <v>0.27260755048287971</v>
      </c>
      <c r="V207" s="263">
        <f t="shared" si="304"/>
        <v>0.25568660488626788</v>
      </c>
      <c r="W207" s="263">
        <f t="shared" si="304"/>
        <v>0.22945054945054946</v>
      </c>
      <c r="X207" s="263">
        <f t="shared" si="304"/>
        <v>0.25303573493697235</v>
      </c>
      <c r="Y207" s="263">
        <f t="shared" si="304"/>
        <v>0.28617021276595744</v>
      </c>
      <c r="Z207" s="263">
        <f t="shared" si="304"/>
        <v>0.37698686938493436</v>
      </c>
      <c r="AA207" s="263">
        <f t="shared" si="304"/>
        <v>0.3543801652892562</v>
      </c>
      <c r="AB207" s="263">
        <f t="shared" si="304"/>
        <v>0.31517509727626458</v>
      </c>
      <c r="AC207" s="263">
        <f t="shared" si="304"/>
        <v>0.33803877282138151</v>
      </c>
      <c r="AD207" s="263">
        <f t="shared" si="304"/>
        <v>0.29802331474911303</v>
      </c>
      <c r="AE207" s="263">
        <f t="shared" si="304"/>
        <v>0.33597098582261786</v>
      </c>
      <c r="AF207" s="263">
        <f t="shared" si="304"/>
        <v>0.31853704282588308</v>
      </c>
      <c r="AG207" s="263">
        <f t="shared" si="304"/>
        <v>0.26440460947503203</v>
      </c>
      <c r="AH207" s="263">
        <f t="shared" si="304"/>
        <v>0.30470474004766529</v>
      </c>
      <c r="AI207" s="263">
        <f t="shared" si="304"/>
        <v>0.27460072127769192</v>
      </c>
      <c r="AJ207" s="263">
        <f t="shared" si="304"/>
        <v>0.29863481228668942</v>
      </c>
      <c r="AK207" s="263">
        <f t="shared" si="304"/>
        <v>0.28932490854672432</v>
      </c>
      <c r="AL207" s="263">
        <f t="shared" si="304"/>
        <v>0.25657451112609575</v>
      </c>
      <c r="AM207" s="263">
        <f t="shared" si="304"/>
        <v>0.28024714127628181</v>
      </c>
      <c r="AN207" s="263">
        <f t="shared" si="304"/>
        <v>0.26809130645944634</v>
      </c>
      <c r="AO207" s="263">
        <f t="shared" si="304"/>
        <v>0.2767550702028081</v>
      </c>
      <c r="AP207" s="263">
        <f t="shared" si="304"/>
        <v>0.27601957585644371</v>
      </c>
      <c r="AQ207" s="263">
        <f t="shared" si="304"/>
        <v>0.23102753525856279</v>
      </c>
      <c r="AR207" s="263">
        <f t="shared" si="304"/>
        <v>0.26293446537543114</v>
      </c>
      <c r="AS207" s="263">
        <f t="shared" si="304"/>
        <v>0.24178403755868544</v>
      </c>
      <c r="AT207" s="263">
        <f t="shared" si="304"/>
        <v>0.28400879673264218</v>
      </c>
      <c r="AU207" s="263">
        <f t="shared" si="304"/>
        <v>0.27423909632883592</v>
      </c>
      <c r="AV207" s="263">
        <f t="shared" si="304"/>
        <v>0.24105334233625927</v>
      </c>
      <c r="AW207" s="263">
        <f t="shared" si="304"/>
        <v>0.26234514046414237</v>
      </c>
      <c r="AX207" s="263">
        <f t="shared" si="304"/>
        <v>0.23024721279689772</v>
      </c>
      <c r="AY207" s="263">
        <f t="shared" si="304"/>
        <v>0.2963565387117762</v>
      </c>
      <c r="AZ207" s="263">
        <f t="shared" si="304"/>
        <v>0</v>
      </c>
      <c r="BA207" s="263">
        <f t="shared" si="304"/>
        <v>0</v>
      </c>
      <c r="BB207" s="263">
        <f t="shared" si="304"/>
        <v>0</v>
      </c>
      <c r="BC207" s="263">
        <f t="shared" si="304"/>
        <v>0</v>
      </c>
      <c r="BD207" s="263">
        <f t="shared" si="304"/>
        <v>0</v>
      </c>
      <c r="BE207" s="263">
        <f t="shared" si="304"/>
        <v>0</v>
      </c>
      <c r="BF207" s="263">
        <f t="shared" si="304"/>
        <v>0</v>
      </c>
      <c r="BG207" s="263">
        <f t="shared" si="304"/>
        <v>0</v>
      </c>
      <c r="BH207" s="263">
        <f t="shared" si="304"/>
        <v>0</v>
      </c>
      <c r="BI207" s="263">
        <f t="shared" si="304"/>
        <v>0</v>
      </c>
      <c r="BJ207" s="263">
        <f t="shared" si="304"/>
        <v>0</v>
      </c>
      <c r="BK207" s="263">
        <f t="shared" si="304"/>
        <v>0</v>
      </c>
      <c r="BL207" s="263">
        <f t="shared" si="304"/>
        <v>0</v>
      </c>
      <c r="BM207" s="263">
        <f t="shared" si="304"/>
        <v>0</v>
      </c>
      <c r="BN207" s="263">
        <f t="shared" si="304"/>
        <v>0</v>
      </c>
      <c r="BO207" s="263">
        <f t="shared" si="304"/>
        <v>0</v>
      </c>
      <c r="BP207" s="263">
        <f t="shared" si="304"/>
        <v>0</v>
      </c>
      <c r="BQ207" s="263">
        <f t="shared" si="304"/>
        <v>0</v>
      </c>
      <c r="BR207" s="263">
        <f t="shared" si="304"/>
        <v>0</v>
      </c>
      <c r="BS207" s="263">
        <f t="shared" si="304"/>
        <v>0</v>
      </c>
      <c r="BT207" s="263">
        <f t="shared" si="304"/>
        <v>0</v>
      </c>
      <c r="BU207" s="263">
        <f t="shared" si="304"/>
        <v>0</v>
      </c>
      <c r="BV207" s="263">
        <f t="shared" ref="BV207:CF207" si="305">BV130/(BV102-BV139)</f>
        <v>0</v>
      </c>
      <c r="BW207" s="263">
        <f t="shared" si="305"/>
        <v>0</v>
      </c>
      <c r="BX207" s="263">
        <f t="shared" si="305"/>
        <v>0</v>
      </c>
      <c r="BY207" s="263">
        <f t="shared" si="305"/>
        <v>0</v>
      </c>
      <c r="BZ207" s="263">
        <f t="shared" si="305"/>
        <v>0</v>
      </c>
      <c r="CA207" s="263">
        <f t="shared" si="305"/>
        <v>0</v>
      </c>
      <c r="CB207" s="263">
        <f t="shared" si="305"/>
        <v>0</v>
      </c>
      <c r="CC207" s="263">
        <f t="shared" si="305"/>
        <v>0</v>
      </c>
      <c r="CD207" s="263">
        <f t="shared" si="305"/>
        <v>0</v>
      </c>
      <c r="CE207" s="263">
        <f t="shared" si="305"/>
        <v>0</v>
      </c>
      <c r="CF207" s="263">
        <f t="shared" si="305"/>
        <v>0</v>
      </c>
      <c r="CG207" s="263">
        <f>CG130/(CG102-CG139)</f>
        <v>0</v>
      </c>
      <c r="CH207" s="263">
        <f>CH130/(CH102-CH139)</f>
        <v>0</v>
      </c>
      <c r="CI207" s="263">
        <f>CI130/(CI102-CI139)</f>
        <v>0</v>
      </c>
      <c r="CJ207" s="263">
        <f>CJ130/(CJ102-CJ139)</f>
        <v>0</v>
      </c>
      <c r="CK207" s="263">
        <f>CK130/(CK102-CK139)</f>
        <v>0</v>
      </c>
    </row>
    <row r="208" spans="1:89" s="1" customFormat="1" hidden="1" outlineLevel="1" x14ac:dyDescent="0.2">
      <c r="B208" s="1" t="s">
        <v>72</v>
      </c>
      <c r="J208" s="262">
        <f t="shared" ref="J208:BU208" si="306">J133/(J102-J139)</f>
        <v>5.5022392834293027E-2</v>
      </c>
      <c r="K208" s="262">
        <f t="shared" si="306"/>
        <v>0.10318949343339587</v>
      </c>
      <c r="L208" s="262">
        <f t="shared" si="306"/>
        <v>0.10701438848920863</v>
      </c>
      <c r="M208" s="262">
        <f t="shared" si="306"/>
        <v>0.11348528015194682</v>
      </c>
      <c r="N208" s="263">
        <f t="shared" si="306"/>
        <v>9.7570093457943929E-2</v>
      </c>
      <c r="O208" s="263">
        <f t="shared" si="306"/>
        <v>6.9387755102040816E-2</v>
      </c>
      <c r="P208" s="263">
        <f t="shared" si="306"/>
        <v>0.12341910161360663</v>
      </c>
      <c r="Q208" s="263">
        <f t="shared" si="306"/>
        <v>0.13540319103061665</v>
      </c>
      <c r="R208" s="263">
        <f t="shared" si="306"/>
        <v>0.11233885819521179</v>
      </c>
      <c r="S208" s="263">
        <f t="shared" si="306"/>
        <v>0.11295446523120367</v>
      </c>
      <c r="T208" s="263">
        <f t="shared" si="306"/>
        <v>5.8720930232558137E-2</v>
      </c>
      <c r="U208" s="263">
        <f t="shared" si="306"/>
        <v>0.11194029850746269</v>
      </c>
      <c r="V208" s="263">
        <f t="shared" si="306"/>
        <v>0.13395113732097724</v>
      </c>
      <c r="W208" s="263">
        <f t="shared" si="306"/>
        <v>0.11428571428571428</v>
      </c>
      <c r="X208" s="263">
        <f t="shared" si="306"/>
        <v>0.10998034000231294</v>
      </c>
      <c r="Y208" s="263">
        <f t="shared" si="306"/>
        <v>6.3297872340425526E-2</v>
      </c>
      <c r="Z208" s="263">
        <f t="shared" si="306"/>
        <v>0.1188666205943331</v>
      </c>
      <c r="AA208" s="263">
        <f t="shared" si="306"/>
        <v>0.14776859504132231</v>
      </c>
      <c r="AB208" s="263">
        <f t="shared" si="306"/>
        <v>0.10435090201627166</v>
      </c>
      <c r="AC208" s="263">
        <f t="shared" si="306"/>
        <v>0.11340109166196123</v>
      </c>
      <c r="AD208" s="263">
        <f t="shared" si="306"/>
        <v>4.0547389761784083E-2</v>
      </c>
      <c r="AE208" s="263">
        <f t="shared" si="306"/>
        <v>0.13880646224859874</v>
      </c>
      <c r="AF208" s="263">
        <f t="shared" si="306"/>
        <v>0.16411378555798686</v>
      </c>
      <c r="AG208" s="263">
        <f t="shared" si="306"/>
        <v>0.12836107554417414</v>
      </c>
      <c r="AH208" s="263">
        <f t="shared" si="306"/>
        <v>0.12595992585400301</v>
      </c>
      <c r="AI208" s="263">
        <f t="shared" si="306"/>
        <v>4.2246264811952601E-2</v>
      </c>
      <c r="AJ208" s="263">
        <f t="shared" si="306"/>
        <v>0.15494880546075085</v>
      </c>
      <c r="AK208" s="263">
        <f t="shared" si="306"/>
        <v>0.16162287994679081</v>
      </c>
      <c r="AL208" s="263">
        <f t="shared" si="306"/>
        <v>0.12171274443695212</v>
      </c>
      <c r="AM208" s="263">
        <f t="shared" si="306"/>
        <v>0.12753596458871266</v>
      </c>
      <c r="AN208" s="263">
        <f t="shared" si="306"/>
        <v>4.5167557066537155E-2</v>
      </c>
      <c r="AO208" s="263">
        <f t="shared" si="306"/>
        <v>0.13478939157566303</v>
      </c>
      <c r="AP208" s="263">
        <f t="shared" si="306"/>
        <v>0.16704730831973899</v>
      </c>
      <c r="AQ208" s="263">
        <f t="shared" si="306"/>
        <v>0.10946944257891202</v>
      </c>
      <c r="AR208" s="263">
        <f t="shared" si="306"/>
        <v>0.12054479525957372</v>
      </c>
      <c r="AS208" s="263">
        <f t="shared" si="306"/>
        <v>7.1361502347417838E-2</v>
      </c>
      <c r="AT208" s="263">
        <f t="shared" si="306"/>
        <v>0.14891611687087652</v>
      </c>
      <c r="AU208" s="263">
        <f t="shared" si="306"/>
        <v>0.15029808597427047</v>
      </c>
      <c r="AV208" s="263">
        <f t="shared" si="306"/>
        <v>0.10027008777852803</v>
      </c>
      <c r="AW208" s="263">
        <f t="shared" si="306"/>
        <v>0.12231722212528355</v>
      </c>
      <c r="AX208" s="263">
        <f t="shared" si="306"/>
        <v>5.428986912263694E-2</v>
      </c>
      <c r="AY208" s="263">
        <f t="shared" si="306"/>
        <v>0.11093038386467144</v>
      </c>
      <c r="AZ208" s="263">
        <f t="shared" si="306"/>
        <v>0</v>
      </c>
      <c r="BA208" s="263">
        <f t="shared" si="306"/>
        <v>0</v>
      </c>
      <c r="BB208" s="263">
        <f t="shared" si="306"/>
        <v>0</v>
      </c>
      <c r="BC208" s="263">
        <f t="shared" si="306"/>
        <v>0</v>
      </c>
      <c r="BD208" s="263">
        <f t="shared" si="306"/>
        <v>0</v>
      </c>
      <c r="BE208" s="263">
        <f t="shared" si="306"/>
        <v>0</v>
      </c>
      <c r="BF208" s="263">
        <f t="shared" si="306"/>
        <v>0</v>
      </c>
      <c r="BG208" s="263">
        <f t="shared" si="306"/>
        <v>0</v>
      </c>
      <c r="BH208" s="263">
        <f t="shared" si="306"/>
        <v>0</v>
      </c>
      <c r="BI208" s="263">
        <f t="shared" si="306"/>
        <v>0</v>
      </c>
      <c r="BJ208" s="263">
        <f t="shared" si="306"/>
        <v>0</v>
      </c>
      <c r="BK208" s="263">
        <f t="shared" si="306"/>
        <v>0</v>
      </c>
      <c r="BL208" s="263">
        <f t="shared" si="306"/>
        <v>0</v>
      </c>
      <c r="BM208" s="263">
        <f t="shared" si="306"/>
        <v>0</v>
      </c>
      <c r="BN208" s="263">
        <f t="shared" si="306"/>
        <v>0</v>
      </c>
      <c r="BO208" s="263">
        <f t="shared" si="306"/>
        <v>0</v>
      </c>
      <c r="BP208" s="263">
        <f t="shared" si="306"/>
        <v>0</v>
      </c>
      <c r="BQ208" s="263">
        <f t="shared" si="306"/>
        <v>0</v>
      </c>
      <c r="BR208" s="263">
        <f t="shared" si="306"/>
        <v>0</v>
      </c>
      <c r="BS208" s="263">
        <f t="shared" si="306"/>
        <v>0</v>
      </c>
      <c r="BT208" s="263">
        <f t="shared" si="306"/>
        <v>0</v>
      </c>
      <c r="BU208" s="263">
        <f t="shared" si="306"/>
        <v>0</v>
      </c>
      <c r="BV208" s="263">
        <f t="shared" ref="BV208:CF208" si="307">BV133/(BV102-BV139)</f>
        <v>0</v>
      </c>
      <c r="BW208" s="263">
        <f t="shared" si="307"/>
        <v>0</v>
      </c>
      <c r="BX208" s="263">
        <f t="shared" si="307"/>
        <v>0</v>
      </c>
      <c r="BY208" s="263">
        <f t="shared" si="307"/>
        <v>0</v>
      </c>
      <c r="BZ208" s="263">
        <f t="shared" si="307"/>
        <v>0</v>
      </c>
      <c r="CA208" s="263">
        <f t="shared" si="307"/>
        <v>0</v>
      </c>
      <c r="CB208" s="263">
        <f t="shared" si="307"/>
        <v>0</v>
      </c>
      <c r="CC208" s="263">
        <f t="shared" si="307"/>
        <v>0</v>
      </c>
      <c r="CD208" s="263">
        <f t="shared" si="307"/>
        <v>0</v>
      </c>
      <c r="CE208" s="263">
        <f t="shared" si="307"/>
        <v>0</v>
      </c>
      <c r="CF208" s="263">
        <f t="shared" si="307"/>
        <v>0</v>
      </c>
      <c r="CG208" s="263">
        <f>CG133/(CG102-CG139)</f>
        <v>0</v>
      </c>
      <c r="CH208" s="263">
        <f>CH133/(CH102-CH139)</f>
        <v>0</v>
      </c>
      <c r="CI208" s="263">
        <f>CI133/(CI102-CI139)</f>
        <v>0</v>
      </c>
      <c r="CJ208" s="263">
        <f>CJ133/(CJ102-CJ139)</f>
        <v>0</v>
      </c>
      <c r="CK208" s="263">
        <f>CK133/(CK102-CK139)</f>
        <v>0</v>
      </c>
    </row>
    <row r="209" spans="1:89" s="1" customFormat="1" hidden="1" outlineLevel="1" x14ac:dyDescent="0.2">
      <c r="B209" s="1" t="s">
        <v>33</v>
      </c>
      <c r="J209" s="262">
        <f t="shared" ref="J209:BU209" si="308">J136/(J102-J139)</f>
        <v>6.71785028790787E-2</v>
      </c>
      <c r="K209" s="262">
        <f t="shared" si="308"/>
        <v>9.4277673545966223E-2</v>
      </c>
      <c r="L209" s="262">
        <f t="shared" si="308"/>
        <v>8.6330935251798566E-2</v>
      </c>
      <c r="M209" s="262">
        <f t="shared" si="308"/>
        <v>2.4216524216524215E-2</v>
      </c>
      <c r="N209" s="263">
        <f t="shared" si="308"/>
        <v>6.841121495327103E-2</v>
      </c>
      <c r="O209" s="263">
        <f t="shared" si="308"/>
        <v>7.3469387755102047E-2</v>
      </c>
      <c r="P209" s="263">
        <f t="shared" si="308"/>
        <v>9.5071958133449624E-2</v>
      </c>
      <c r="Q209" s="263">
        <f t="shared" si="308"/>
        <v>8.5812850366537297E-2</v>
      </c>
      <c r="R209" s="263">
        <f t="shared" si="308"/>
        <v>2.9465930018416207E-2</v>
      </c>
      <c r="S209" s="263">
        <f t="shared" si="308"/>
        <v>7.1420167078479826E-2</v>
      </c>
      <c r="T209" s="263">
        <f t="shared" si="308"/>
        <v>8.0813953488372087E-2</v>
      </c>
      <c r="U209" s="263">
        <f t="shared" si="308"/>
        <v>0.10842844600526778</v>
      </c>
      <c r="V209" s="263">
        <f t="shared" si="308"/>
        <v>0.12510530749789384</v>
      </c>
      <c r="W209" s="263">
        <f t="shared" si="308"/>
        <v>2.0219780219780221E-2</v>
      </c>
      <c r="X209" s="263">
        <f t="shared" si="308"/>
        <v>8.2340696195212212E-2</v>
      </c>
      <c r="Y209" s="263">
        <f t="shared" si="308"/>
        <v>8.2446808510638292E-2</v>
      </c>
      <c r="Z209" s="263">
        <f t="shared" si="308"/>
        <v>9.2259847961299241E-2</v>
      </c>
      <c r="AA209" s="263">
        <f t="shared" si="308"/>
        <v>7.768595041322314E-2</v>
      </c>
      <c r="AB209" s="263">
        <f t="shared" si="308"/>
        <v>1.8040325433321541E-2</v>
      </c>
      <c r="AC209" s="263">
        <f t="shared" si="308"/>
        <v>6.6629023150762287E-2</v>
      </c>
      <c r="AD209" s="263">
        <f t="shared" si="308"/>
        <v>7.3998986315255949E-2</v>
      </c>
      <c r="AE209" s="263">
        <f t="shared" si="308"/>
        <v>9.8582261787009559E-2</v>
      </c>
      <c r="AF209" s="263">
        <f t="shared" si="308"/>
        <v>8.909034073147859E-2</v>
      </c>
      <c r="AG209" s="263">
        <f t="shared" si="308"/>
        <v>5.3137003841229193E-2</v>
      </c>
      <c r="AH209" s="263">
        <f t="shared" si="308"/>
        <v>7.9089063465442672E-2</v>
      </c>
      <c r="AI209" s="263">
        <f t="shared" si="308"/>
        <v>8.088614116434828E-2</v>
      </c>
      <c r="AJ209" s="263">
        <f t="shared" si="308"/>
        <v>0.10580204778156997</v>
      </c>
      <c r="AK209" s="263">
        <f t="shared" si="308"/>
        <v>0.10741602926504822</v>
      </c>
      <c r="AL209" s="263">
        <f t="shared" si="308"/>
        <v>4.5515846257585972E-2</v>
      </c>
      <c r="AM209" s="263">
        <f t="shared" si="308"/>
        <v>8.530062707488012E-2</v>
      </c>
      <c r="AN209" s="263">
        <f t="shared" si="308"/>
        <v>8.9849441476444872E-2</v>
      </c>
      <c r="AO209" s="263">
        <f t="shared" si="308"/>
        <v>0.16380655226209048</v>
      </c>
      <c r="AP209" s="263">
        <f t="shared" si="308"/>
        <v>9.6574225122349103E-2</v>
      </c>
      <c r="AQ209" s="263">
        <f t="shared" si="308"/>
        <v>6.5144392209536606E-2</v>
      </c>
      <c r="AR209" s="263">
        <f t="shared" si="308"/>
        <v>0.1061289466702043</v>
      </c>
      <c r="AS209" s="263">
        <f t="shared" si="308"/>
        <v>9.295774647887324E-2</v>
      </c>
      <c r="AT209" s="263">
        <f t="shared" si="308"/>
        <v>0.1218975808985234</v>
      </c>
      <c r="AU209" s="263">
        <f t="shared" si="308"/>
        <v>9.9466582993410727E-2</v>
      </c>
      <c r="AV209" s="263">
        <f t="shared" si="308"/>
        <v>5.9756920999324781E-2</v>
      </c>
      <c r="AW209" s="263">
        <f t="shared" si="308"/>
        <v>9.4224393648577903E-2</v>
      </c>
      <c r="AX209" s="263">
        <f t="shared" si="308"/>
        <v>0.11827435773145904</v>
      </c>
      <c r="AY209" s="263">
        <f t="shared" si="308"/>
        <v>0.12752114508783344</v>
      </c>
      <c r="AZ209" s="263">
        <f t="shared" si="308"/>
        <v>0</v>
      </c>
      <c r="BA209" s="263">
        <f t="shared" si="308"/>
        <v>0</v>
      </c>
      <c r="BB209" s="263">
        <f t="shared" si="308"/>
        <v>0</v>
      </c>
      <c r="BC209" s="263">
        <f t="shared" si="308"/>
        <v>0</v>
      </c>
      <c r="BD209" s="263">
        <f t="shared" si="308"/>
        <v>0</v>
      </c>
      <c r="BE209" s="263">
        <f t="shared" si="308"/>
        <v>0</v>
      </c>
      <c r="BF209" s="263">
        <f t="shared" si="308"/>
        <v>0</v>
      </c>
      <c r="BG209" s="263">
        <f t="shared" si="308"/>
        <v>0</v>
      </c>
      <c r="BH209" s="263">
        <f t="shared" si="308"/>
        <v>0</v>
      </c>
      <c r="BI209" s="263">
        <f t="shared" si="308"/>
        <v>0</v>
      </c>
      <c r="BJ209" s="263">
        <f t="shared" si="308"/>
        <v>0</v>
      </c>
      <c r="BK209" s="263">
        <f t="shared" si="308"/>
        <v>0</v>
      </c>
      <c r="BL209" s="263">
        <f t="shared" si="308"/>
        <v>0</v>
      </c>
      <c r="BM209" s="263">
        <f t="shared" si="308"/>
        <v>0</v>
      </c>
      <c r="BN209" s="263">
        <f t="shared" si="308"/>
        <v>0</v>
      </c>
      <c r="BO209" s="263">
        <f t="shared" si="308"/>
        <v>0</v>
      </c>
      <c r="BP209" s="263">
        <f t="shared" si="308"/>
        <v>0</v>
      </c>
      <c r="BQ209" s="263">
        <f t="shared" si="308"/>
        <v>0</v>
      </c>
      <c r="BR209" s="263">
        <f t="shared" si="308"/>
        <v>0</v>
      </c>
      <c r="BS209" s="263">
        <f t="shared" si="308"/>
        <v>0</v>
      </c>
      <c r="BT209" s="263">
        <f t="shared" si="308"/>
        <v>0</v>
      </c>
      <c r="BU209" s="263">
        <f t="shared" si="308"/>
        <v>0</v>
      </c>
      <c r="BV209" s="263">
        <f t="shared" ref="BV209:CF209" si="309">BV136/(BV102-BV139)</f>
        <v>0</v>
      </c>
      <c r="BW209" s="263">
        <f t="shared" si="309"/>
        <v>0</v>
      </c>
      <c r="BX209" s="263">
        <f t="shared" si="309"/>
        <v>0</v>
      </c>
      <c r="BY209" s="263">
        <f t="shared" si="309"/>
        <v>0</v>
      </c>
      <c r="BZ209" s="263">
        <f t="shared" si="309"/>
        <v>0</v>
      </c>
      <c r="CA209" s="263">
        <f t="shared" si="309"/>
        <v>0</v>
      </c>
      <c r="CB209" s="263">
        <f t="shared" si="309"/>
        <v>0</v>
      </c>
      <c r="CC209" s="263">
        <f t="shared" si="309"/>
        <v>0</v>
      </c>
      <c r="CD209" s="263">
        <f t="shared" si="309"/>
        <v>0</v>
      </c>
      <c r="CE209" s="263">
        <f t="shared" si="309"/>
        <v>0</v>
      </c>
      <c r="CF209" s="263">
        <f t="shared" si="309"/>
        <v>0</v>
      </c>
      <c r="CG209" s="263">
        <f>CG136/(CG102-CG139)</f>
        <v>0</v>
      </c>
      <c r="CH209" s="263">
        <f>CH136/(CH102-CH139)</f>
        <v>0</v>
      </c>
      <c r="CI209" s="263">
        <f>CI136/(CI102-CI139)</f>
        <v>0</v>
      </c>
      <c r="CJ209" s="263">
        <f>CJ136/(CJ102-CJ139)</f>
        <v>0</v>
      </c>
      <c r="CK209" s="263">
        <f>CK136/(CK102-CK139)</f>
        <v>0</v>
      </c>
    </row>
    <row r="210" spans="1:89" collapsed="1" x14ac:dyDescent="0.2"/>
    <row r="211" spans="1:89" hidden="1" outlineLevel="1" x14ac:dyDescent="0.2">
      <c r="A211" s="303" t="s">
        <v>271</v>
      </c>
      <c r="X211" s="32">
        <f ca="1">X185*AH21+X186*AH28+X192*AH70+X193*AH77+X194*AH84+X195*AH93</f>
        <v>5.1858920987368863E-2</v>
      </c>
      <c r="AH211" s="41"/>
      <c r="AI211" s="41"/>
      <c r="AJ211" s="41"/>
      <c r="AK211" s="41"/>
      <c r="AL211" s="41"/>
      <c r="AM211" s="41"/>
      <c r="AN211" s="41"/>
      <c r="AO211" s="41"/>
      <c r="AP211" s="41"/>
      <c r="AQ211" s="41"/>
      <c r="AR211" s="41"/>
      <c r="AS211" s="41">
        <v>0.02</v>
      </c>
      <c r="AT211" s="41">
        <v>0.01</v>
      </c>
    </row>
    <row r="212" spans="1:89" hidden="1" outlineLevel="1" x14ac:dyDescent="0.2">
      <c r="A212" s="303" t="s">
        <v>270</v>
      </c>
      <c r="AE212" s="25" t="s">
        <v>249</v>
      </c>
      <c r="AG212" s="32">
        <f>(AG111-20)/AG27</f>
        <v>0.28957528957528955</v>
      </c>
      <c r="AI212" s="41"/>
      <c r="AJ212" s="41"/>
      <c r="AK212" s="41"/>
      <c r="AL212" s="41"/>
      <c r="AM212" s="41"/>
      <c r="AN212" s="41"/>
      <c r="AO212" s="41"/>
      <c r="AP212" s="41"/>
      <c r="AQ212" s="41"/>
      <c r="AR212" s="41"/>
      <c r="AS212" s="41">
        <v>0.05</v>
      </c>
      <c r="AT212" s="41">
        <v>0.05</v>
      </c>
      <c r="AX212" s="33">
        <v>7.0000000000000007E-2</v>
      </c>
      <c r="AY212" s="33">
        <v>0.08</v>
      </c>
      <c r="AZ212" s="33">
        <v>0.1</v>
      </c>
    </row>
    <row r="213" spans="1:89" hidden="1" outlineLevel="1" x14ac:dyDescent="0.2">
      <c r="A213" s="303" t="s">
        <v>272</v>
      </c>
      <c r="AE213" s="25" t="s">
        <v>220</v>
      </c>
      <c r="AG213" s="32">
        <f>(AG127-47.5)/AG69</f>
        <v>0.14943726552730305</v>
      </c>
      <c r="AI213" s="41"/>
      <c r="AJ213" s="41"/>
      <c r="AK213" s="41"/>
      <c r="AL213" s="41"/>
      <c r="AM213" s="41"/>
      <c r="AN213" s="41"/>
      <c r="AO213" s="41"/>
      <c r="AP213" s="41"/>
      <c r="AQ213" s="41"/>
      <c r="AR213" s="41"/>
      <c r="AS213" s="41">
        <v>0.01</v>
      </c>
      <c r="AT213" s="41">
        <v>0.02</v>
      </c>
    </row>
    <row r="214" spans="1:89" hidden="1" outlineLevel="1" x14ac:dyDescent="0.2">
      <c r="A214" s="303"/>
      <c r="AG214" s="32"/>
      <c r="AH214" s="41"/>
      <c r="AI214" s="41"/>
      <c r="AJ214" s="41"/>
      <c r="AK214" s="41"/>
      <c r="AL214" s="41"/>
      <c r="AM214" s="41"/>
      <c r="AN214" s="41"/>
      <c r="AO214" s="41"/>
      <c r="AP214" s="41"/>
      <c r="AQ214" s="41"/>
      <c r="AR214" s="41"/>
      <c r="AS214" s="41"/>
      <c r="AT214" s="41"/>
    </row>
    <row r="215" spans="1:89" hidden="1" outlineLevel="1" x14ac:dyDescent="0.2">
      <c r="A215" s="303" t="s">
        <v>273</v>
      </c>
      <c r="AG215" s="32"/>
      <c r="AH215" s="41"/>
      <c r="AI215" s="41"/>
      <c r="AJ215" s="41"/>
      <c r="AK215" s="41"/>
      <c r="AL215" s="41"/>
      <c r="AM215" s="41"/>
      <c r="AN215" s="41"/>
      <c r="AO215" s="41"/>
      <c r="AP215" s="41"/>
      <c r="AQ215" s="41"/>
      <c r="AR215" s="41"/>
      <c r="AS215" s="41">
        <v>0</v>
      </c>
      <c r="AT215" s="41">
        <v>0.01</v>
      </c>
    </row>
    <row r="216" spans="1:89" hidden="1" outlineLevel="1" x14ac:dyDescent="0.2">
      <c r="A216" s="303" t="s">
        <v>274</v>
      </c>
      <c r="AG216" s="32"/>
      <c r="AH216" s="41"/>
      <c r="AI216" s="41"/>
      <c r="AJ216" s="41"/>
      <c r="AK216" s="41"/>
      <c r="AL216" s="41"/>
      <c r="AM216" s="41"/>
      <c r="AN216" s="41"/>
      <c r="AO216" s="41"/>
      <c r="AP216" s="41"/>
      <c r="AQ216" s="41"/>
      <c r="AR216" s="41"/>
      <c r="AS216" s="41">
        <v>0.03</v>
      </c>
      <c r="AT216" s="41">
        <v>0.02</v>
      </c>
      <c r="AX216" s="302">
        <v>1.4999999999999999E-2</v>
      </c>
      <c r="AY216" s="302">
        <v>0.02</v>
      </c>
      <c r="AZ216" s="302">
        <v>0.05</v>
      </c>
    </row>
    <row r="217" spans="1:89" hidden="1" outlineLevel="1" x14ac:dyDescent="0.2">
      <c r="A217" s="303" t="s">
        <v>275</v>
      </c>
      <c r="AE217" s="25" t="s">
        <v>210</v>
      </c>
      <c r="AG217" s="32">
        <f>(AG136-120)/AG92</f>
        <v>2.050824788230049E-2</v>
      </c>
      <c r="AH217" s="41"/>
      <c r="AI217" s="41"/>
      <c r="AJ217" s="41"/>
      <c r="AK217" s="41"/>
      <c r="AL217" s="41"/>
      <c r="AM217" s="41"/>
      <c r="AN217" s="41"/>
      <c r="AO217" s="41"/>
      <c r="AP217" s="41"/>
      <c r="AQ217" s="41"/>
      <c r="AR217" s="41"/>
      <c r="AS217" s="41">
        <v>-0.01</v>
      </c>
      <c r="AT217" s="41">
        <v>-0.01</v>
      </c>
    </row>
    <row r="218" spans="1:89" hidden="1" outlineLevel="1" x14ac:dyDescent="0.2">
      <c r="AE218" s="25" t="s">
        <v>215</v>
      </c>
      <c r="AG218" s="32">
        <f>(AG130-47.5)/AG76</f>
        <v>0.12925452432342685</v>
      </c>
      <c r="AI218" s="49"/>
      <c r="AJ218" s="49"/>
      <c r="AK218" s="49"/>
      <c r="AL218" s="49"/>
      <c r="AN218" s="49"/>
      <c r="AO218" s="49"/>
      <c r="AP218" s="49"/>
      <c r="AQ218" s="49"/>
      <c r="AT218" s="41"/>
    </row>
    <row r="219" spans="1:89" hidden="1" outlineLevel="1" x14ac:dyDescent="0.2">
      <c r="AI219" s="49"/>
      <c r="AJ219" s="49"/>
      <c r="AK219" s="49"/>
      <c r="AL219" s="49"/>
      <c r="AN219" s="49"/>
      <c r="AO219" s="49"/>
      <c r="AP219" s="49"/>
      <c r="AQ219" s="49"/>
      <c r="AR219"/>
      <c r="AS219"/>
      <c r="AT219"/>
      <c r="AU219"/>
      <c r="AV219"/>
    </row>
    <row r="220" spans="1:89" hidden="1" outlineLevel="1" x14ac:dyDescent="0.2">
      <c r="A220" s="14" t="s">
        <v>287</v>
      </c>
      <c r="AJ220" s="49"/>
      <c r="AK220" s="49"/>
      <c r="AL220" s="49"/>
      <c r="AN220" s="49"/>
      <c r="AO220" s="49"/>
      <c r="AP220" s="49"/>
      <c r="AQ220" s="49"/>
      <c r="AR220"/>
      <c r="AS220"/>
      <c r="AT220"/>
      <c r="AU220"/>
      <c r="AV220"/>
      <c r="BA220" s="551" t="s">
        <v>251</v>
      </c>
    </row>
    <row r="221" spans="1:89" hidden="1" outlineLevel="1" x14ac:dyDescent="0.2">
      <c r="B221" s="303" t="s">
        <v>288</v>
      </c>
      <c r="AI221" s="49"/>
      <c r="AJ221" s="49"/>
      <c r="AK221" s="49"/>
      <c r="AL221" s="49"/>
      <c r="AN221" s="41">
        <v>6.0000000000000001E-3</v>
      </c>
      <c r="AO221" s="41">
        <v>0.01</v>
      </c>
      <c r="AP221" s="41">
        <v>0.01</v>
      </c>
      <c r="AQ221" s="41">
        <v>0.01</v>
      </c>
      <c r="AR221" s="518">
        <f>AQ221</f>
        <v>0.01</v>
      </c>
      <c r="AS221" s="23">
        <v>0.02</v>
      </c>
      <c r="AT221" s="23">
        <v>0.02</v>
      </c>
      <c r="AU221" s="23">
        <v>0.02</v>
      </c>
      <c r="AV221" s="23">
        <v>0.02</v>
      </c>
      <c r="AW221" s="518">
        <f>AV221</f>
        <v>0.02</v>
      </c>
      <c r="AX221" s="41">
        <v>0.02</v>
      </c>
      <c r="AY221" s="41">
        <v>0.02</v>
      </c>
      <c r="AZ221" s="33">
        <v>0.02</v>
      </c>
      <c r="BA221" s="552">
        <v>0.02</v>
      </c>
    </row>
    <row r="222" spans="1:89" hidden="1" outlineLevel="1" x14ac:dyDescent="0.2">
      <c r="B222" s="303" t="s">
        <v>289</v>
      </c>
      <c r="AI222" s="49"/>
      <c r="AJ222" s="49"/>
      <c r="AK222" s="49"/>
      <c r="AL222" s="49"/>
      <c r="AN222" s="41">
        <v>0.04</v>
      </c>
      <c r="AO222" s="41">
        <v>0.02</v>
      </c>
      <c r="AP222" s="41">
        <v>0.02</v>
      </c>
      <c r="AQ222" s="41">
        <v>0.02</v>
      </c>
      <c r="AR222" s="518">
        <f>AQ222</f>
        <v>0.02</v>
      </c>
      <c r="AS222" s="20">
        <v>3.5000000000000003E-2</v>
      </c>
      <c r="AT222" s="23">
        <v>0.04</v>
      </c>
      <c r="AU222" s="23">
        <v>0.04</v>
      </c>
      <c r="AV222" s="23">
        <v>0.04</v>
      </c>
      <c r="AW222" s="518">
        <f>AV222</f>
        <v>0.04</v>
      </c>
      <c r="AX222" s="41">
        <v>0.01</v>
      </c>
      <c r="AY222" s="41">
        <v>0.02</v>
      </c>
      <c r="AZ222" s="41">
        <v>0.03</v>
      </c>
      <c r="BA222" s="552">
        <v>0.03</v>
      </c>
    </row>
    <row r="223" spans="1:89" hidden="1" outlineLevel="1" x14ac:dyDescent="0.2">
      <c r="B223" s="303" t="s">
        <v>290</v>
      </c>
      <c r="AI223" s="49"/>
      <c r="AJ223" s="49"/>
      <c r="AK223" s="49"/>
      <c r="AL223" s="49"/>
      <c r="AN223" s="516">
        <f>4.3*0.5+6.3*0.5</f>
        <v>5.3</v>
      </c>
      <c r="AO223" s="48">
        <v>6.3</v>
      </c>
      <c r="AP223" s="48">
        <v>6.3</v>
      </c>
      <c r="AQ223" s="48">
        <v>6.3</v>
      </c>
      <c r="AR223" s="64">
        <f>AQ223</f>
        <v>6.3</v>
      </c>
      <c r="AS223">
        <v>6.3</v>
      </c>
      <c r="AT223">
        <v>6.3</v>
      </c>
      <c r="AU223">
        <v>6.3</v>
      </c>
      <c r="AV223">
        <v>12.1</v>
      </c>
      <c r="AW223" s="64">
        <f>AV223</f>
        <v>12.1</v>
      </c>
      <c r="AX223" s="25">
        <v>12</v>
      </c>
      <c r="AY223" s="27">
        <v>12.8</v>
      </c>
      <c r="AZ223" s="27">
        <f>AY223</f>
        <v>12.8</v>
      </c>
      <c r="BA223" s="551"/>
    </row>
    <row r="224" spans="1:89" hidden="1" outlineLevel="1" x14ac:dyDescent="0.2">
      <c r="B224" s="303"/>
      <c r="AH224" s="41"/>
      <c r="AI224" s="49"/>
      <c r="AJ224" s="49"/>
      <c r="AK224" s="49"/>
      <c r="AL224" s="49"/>
      <c r="AN224" s="49"/>
      <c r="AO224" s="49"/>
      <c r="AP224" s="49"/>
      <c r="AQ224" s="49"/>
      <c r="AR224" s="1"/>
      <c r="AS224"/>
      <c r="AT224"/>
      <c r="AU224"/>
      <c r="AV224"/>
      <c r="AW224" s="1"/>
      <c r="AX224" s="515"/>
      <c r="BA224" s="551"/>
    </row>
    <row r="225" spans="2:54" hidden="1" outlineLevel="1" x14ac:dyDescent="0.2">
      <c r="B225" s="303" t="s">
        <v>292</v>
      </c>
      <c r="AF225" s="25" t="s">
        <v>250</v>
      </c>
      <c r="AH225" s="41"/>
      <c r="AI225" s="49"/>
      <c r="AJ225" s="49"/>
      <c r="AK225" s="49"/>
      <c r="AL225" s="49"/>
      <c r="AN225" s="517">
        <f>AN221*AN6</f>
        <v>75.486000000000004</v>
      </c>
      <c r="AO225" s="517">
        <f>AO221*SUM(AN6:AO6)</f>
        <v>293.88</v>
      </c>
      <c r="AP225" s="517">
        <f>AP221*SUM(AN6:AP6)</f>
        <v>462.97</v>
      </c>
      <c r="AQ225" s="517">
        <f>AQ221*SUM(AN6:AQ6)</f>
        <v>664.15</v>
      </c>
      <c r="AR225" s="267">
        <f>AR221*AR6</f>
        <v>664.15</v>
      </c>
      <c r="AS225" s="517">
        <f>AS221*AS6</f>
        <v>252.46</v>
      </c>
      <c r="AT225" s="517">
        <f>AT221*SUM(AS6:AT6)</f>
        <v>590.34</v>
      </c>
      <c r="AU225" s="517">
        <f>AU221*SUM(AS6:AU6)</f>
        <v>934.7</v>
      </c>
      <c r="AV225" s="517">
        <f>AV221*SUM(AS6:AV6)</f>
        <v>1333.66</v>
      </c>
      <c r="AW225" s="267">
        <f>AW221*AW6</f>
        <v>1333.66</v>
      </c>
      <c r="AX225" s="517">
        <f>AX221*AX6</f>
        <v>244.34</v>
      </c>
      <c r="AY225" s="517">
        <f>AY221*SUM(AX6:AY6)</f>
        <v>562.80000000000007</v>
      </c>
      <c r="AZ225" s="517">
        <f>AZ221*SUM(AX6:AZ6)</f>
        <v>889.42000000000007</v>
      </c>
      <c r="BA225" s="553">
        <f>BA221*63450.7</f>
        <v>1269.0139999999999</v>
      </c>
    </row>
    <row r="226" spans="2:54" hidden="1" outlineLevel="1" x14ac:dyDescent="0.2">
      <c r="B226" s="303" t="s">
        <v>291</v>
      </c>
      <c r="AI226" s="49"/>
      <c r="AJ226" s="49"/>
      <c r="AK226" s="49"/>
      <c r="AL226" s="49"/>
      <c r="AN226" s="517">
        <f>AN222*AN102</f>
        <v>71.88</v>
      </c>
      <c r="AO226" s="517">
        <f>AO222*SUM(AN102:AO102)</f>
        <v>94.460000000000008</v>
      </c>
      <c r="AP226" s="517">
        <f>AP222*SUM(AN102:AP102)</f>
        <v>150.76</v>
      </c>
      <c r="AQ226" s="517">
        <f>AQ222*SUM(AN102:AQ102)</f>
        <v>201.22</v>
      </c>
      <c r="AR226" s="267">
        <f>AR222*AR102</f>
        <v>201.22</v>
      </c>
      <c r="AS226" s="517">
        <f>AS222*AS102</f>
        <v>65.484999999999999</v>
      </c>
      <c r="AT226" s="517">
        <f>AT222*SUM(AS102:AT102)</f>
        <v>193.12</v>
      </c>
      <c r="AU226" s="517">
        <f>AU222*SUM(AS102:AU102)</f>
        <v>311.04000000000002</v>
      </c>
      <c r="AV226" s="517">
        <f>AV222*SUM(AS102:AV102)</f>
        <v>412.52</v>
      </c>
      <c r="AW226" s="267">
        <f>AW222*AW102</f>
        <v>412.52</v>
      </c>
      <c r="AX226" s="517">
        <f>AX222*AX102</f>
        <v>18.34</v>
      </c>
      <c r="AY226" s="517">
        <f>AY222*SUM(AX102:AY102)</f>
        <v>94.4</v>
      </c>
      <c r="AZ226" s="517">
        <f>AZ222*SUM(AX102:AZ102)</f>
        <v>228.32999999999998</v>
      </c>
      <c r="BA226" s="553"/>
      <c r="BB226" s="33"/>
    </row>
    <row r="227" spans="2:54" hidden="1" outlineLevel="1" x14ac:dyDescent="0.2">
      <c r="AI227" s="49"/>
      <c r="AJ227" s="49"/>
      <c r="AK227" s="49"/>
      <c r="AL227" s="49"/>
      <c r="AN227" s="33">
        <f>AN228/$AR228</f>
        <v>0.11365805917337952</v>
      </c>
      <c r="AO227" s="33">
        <f>AO228/$AR228</f>
        <v>0.32883234209139506</v>
      </c>
      <c r="AP227" s="33">
        <f>AP228/$AR228</f>
        <v>0.25459610027855156</v>
      </c>
      <c r="AQ227" s="33">
        <f>AQ228/$AR228</f>
        <v>0.30291349845667387</v>
      </c>
      <c r="AR227"/>
      <c r="AS227"/>
      <c r="AT227"/>
      <c r="AU227"/>
      <c r="AV227"/>
      <c r="AX227"/>
      <c r="AY227"/>
      <c r="AZ227" s="305"/>
      <c r="BA227" s="551"/>
    </row>
    <row r="228" spans="2:54" hidden="1" outlineLevel="1" x14ac:dyDescent="0.2">
      <c r="B228" s="303" t="s">
        <v>293</v>
      </c>
      <c r="AI228" s="49"/>
      <c r="AJ228" s="49"/>
      <c r="AK228" s="49"/>
      <c r="AL228" s="49"/>
      <c r="AN228" s="49">
        <f>AN225</f>
        <v>75.486000000000004</v>
      </c>
      <c r="AO228" s="49">
        <f t="shared" ref="AO228:AQ229" si="310">AO225-AN225</f>
        <v>218.39400000000001</v>
      </c>
      <c r="AP228" s="49">
        <f t="shared" si="310"/>
        <v>169.09000000000003</v>
      </c>
      <c r="AQ228" s="49">
        <f t="shared" si="310"/>
        <v>201.17999999999995</v>
      </c>
      <c r="AR228" s="519">
        <f>SUM(AN228:AQ228)</f>
        <v>664.15</v>
      </c>
      <c r="AS228" s="49">
        <f>AS225</f>
        <v>252.46</v>
      </c>
      <c r="AT228" s="49">
        <f t="shared" ref="AT228:AV229" si="311">AT225-AS225</f>
        <v>337.88</v>
      </c>
      <c r="AU228" s="49">
        <f t="shared" si="311"/>
        <v>344.36</v>
      </c>
      <c r="AV228" s="49">
        <f t="shared" si="311"/>
        <v>398.96000000000004</v>
      </c>
      <c r="AW228" s="519">
        <f>SUM(AS228:AV228)</f>
        <v>1333.66</v>
      </c>
      <c r="AX228" s="49">
        <f>AX225</f>
        <v>244.34</v>
      </c>
      <c r="AY228" s="49">
        <f>AY225-AX225</f>
        <v>318.46000000000004</v>
      </c>
      <c r="AZ228" s="49">
        <f>AZ225-AY225</f>
        <v>326.62</v>
      </c>
      <c r="BA228" s="554">
        <f>BA225-AZ225</f>
        <v>379.59399999999982</v>
      </c>
      <c r="BB228" s="27"/>
    </row>
    <row r="229" spans="2:54" hidden="1" outlineLevel="1" x14ac:dyDescent="0.2">
      <c r="B229" s="303" t="s">
        <v>294</v>
      </c>
      <c r="AI229" s="49"/>
      <c r="AJ229" s="49"/>
      <c r="AK229" s="49"/>
      <c r="AL229" s="49"/>
      <c r="AN229" s="49">
        <f>AN226</f>
        <v>71.88</v>
      </c>
      <c r="AO229" s="49">
        <f t="shared" si="310"/>
        <v>22.580000000000013</v>
      </c>
      <c r="AP229" s="49">
        <f t="shared" si="310"/>
        <v>56.299999999999983</v>
      </c>
      <c r="AQ229" s="49">
        <f t="shared" si="310"/>
        <v>50.460000000000008</v>
      </c>
      <c r="AR229" s="519">
        <f>SUM(AN229:AQ229)</f>
        <v>201.22</v>
      </c>
      <c r="AS229" s="49">
        <f>AS226</f>
        <v>65.484999999999999</v>
      </c>
      <c r="AT229" s="49">
        <f t="shared" si="311"/>
        <v>127.63500000000001</v>
      </c>
      <c r="AU229" s="49">
        <f t="shared" si="311"/>
        <v>117.92000000000002</v>
      </c>
      <c r="AV229" s="49">
        <f t="shared" si="311"/>
        <v>101.47999999999996</v>
      </c>
      <c r="AW229" s="519">
        <f>SUM(AS229:AV229)</f>
        <v>412.52</v>
      </c>
      <c r="AX229" s="49">
        <f>AX226</f>
        <v>18.34</v>
      </c>
      <c r="AY229" s="49">
        <f>AY226-AX226</f>
        <v>76.06</v>
      </c>
      <c r="AZ229" s="49">
        <f>AZ226-AY226</f>
        <v>133.92999999999998</v>
      </c>
      <c r="BA229" s="554"/>
    </row>
    <row r="230" spans="2:54" hidden="1" outlineLevel="1" x14ac:dyDescent="0.2">
      <c r="B230" s="303" t="s">
        <v>313</v>
      </c>
      <c r="AI230" s="49"/>
      <c r="AJ230" s="49"/>
      <c r="AK230" s="49"/>
      <c r="AL230" s="49"/>
      <c r="AN230" s="49"/>
      <c r="AO230" s="49"/>
      <c r="AP230" s="49"/>
      <c r="AQ230" s="49"/>
      <c r="AV230" s="303"/>
      <c r="AX230" s="41"/>
      <c r="AY230" s="41"/>
      <c r="AZ230" s="41"/>
      <c r="BA230" s="555">
        <f>-BA228/AV41</f>
        <v>-0.12119859514687095</v>
      </c>
    </row>
    <row r="231" spans="2:54" hidden="1" outlineLevel="1" x14ac:dyDescent="0.2">
      <c r="AI231" s="49"/>
      <c r="AJ231" s="49"/>
      <c r="AK231" s="49"/>
      <c r="AL231" s="49"/>
      <c r="AN231" s="49"/>
      <c r="AO231" s="49"/>
      <c r="AP231" s="49"/>
      <c r="AQ231" s="49"/>
      <c r="AV231" s="303"/>
      <c r="AX231" s="41"/>
      <c r="AY231" s="41"/>
      <c r="AZ231" s="41"/>
      <c r="BA231" s="41"/>
    </row>
    <row r="232" spans="2:54" hidden="1" outlineLevel="1" x14ac:dyDescent="0.2">
      <c r="B232" s="303" t="s">
        <v>306</v>
      </c>
      <c r="AI232" s="49"/>
      <c r="AJ232" s="49"/>
      <c r="AK232" s="49"/>
      <c r="AL232" s="49"/>
      <c r="AN232" s="41">
        <f t="shared" ref="AN232:AW232" si="312">AN228/AN6</f>
        <v>6.0000000000000001E-3</v>
      </c>
      <c r="AO232" s="41">
        <f t="shared" si="312"/>
        <v>1.2994228595228179E-2</v>
      </c>
      <c r="AP232" s="41">
        <f t="shared" si="312"/>
        <v>1.0000000000000002E-2</v>
      </c>
      <c r="AQ232" s="41">
        <f t="shared" si="312"/>
        <v>9.9999999999999967E-3</v>
      </c>
      <c r="AR232" s="41">
        <f t="shared" si="312"/>
        <v>0.01</v>
      </c>
      <c r="AS232" s="41">
        <f t="shared" si="312"/>
        <v>0.02</v>
      </c>
      <c r="AT232" s="41">
        <f>AT228/AT6</f>
        <v>0.02</v>
      </c>
      <c r="AU232" s="41">
        <f>AU228/AU6</f>
        <v>0.02</v>
      </c>
      <c r="AV232" s="41">
        <f>AV228/AV6</f>
        <v>0.02</v>
      </c>
      <c r="AW232" s="41">
        <f t="shared" si="312"/>
        <v>0.02</v>
      </c>
      <c r="AX232" s="41">
        <f>AX228/AX6</f>
        <v>0.02</v>
      </c>
      <c r="AY232" s="41">
        <f>AY228/AY6</f>
        <v>2.0000000000000004E-2</v>
      </c>
      <c r="AZ232" s="41">
        <f>AZ228/AZ6</f>
        <v>0.02</v>
      </c>
    </row>
    <row r="233" spans="2:54" hidden="1" outlineLevel="1" x14ac:dyDescent="0.2">
      <c r="B233" s="303" t="s">
        <v>307</v>
      </c>
      <c r="AI233" s="49"/>
      <c r="AJ233" s="49"/>
      <c r="AK233" s="49"/>
      <c r="AL233" s="49"/>
      <c r="AN233" s="41">
        <f t="shared" ref="AN233:AY233" si="313">AN229/AN102</f>
        <v>0.04</v>
      </c>
      <c r="AO233" s="41">
        <f t="shared" si="313"/>
        <v>7.7170198222829842E-3</v>
      </c>
      <c r="AP233" s="41">
        <f t="shared" si="313"/>
        <v>1.9999999999999993E-2</v>
      </c>
      <c r="AQ233" s="41">
        <f t="shared" si="313"/>
        <v>2.0000000000000004E-2</v>
      </c>
      <c r="AR233" s="41">
        <f t="shared" si="313"/>
        <v>0.02</v>
      </c>
      <c r="AS233" s="41">
        <f t="shared" si="313"/>
        <v>3.4999999999999996E-2</v>
      </c>
      <c r="AT233" s="41">
        <f t="shared" si="313"/>
        <v>4.3163679404802167E-2</v>
      </c>
      <c r="AU233" s="41">
        <f t="shared" si="313"/>
        <v>4.0000000000000008E-2</v>
      </c>
      <c r="AV233" s="41">
        <f t="shared" si="313"/>
        <v>3.9999999999999987E-2</v>
      </c>
      <c r="AW233" s="41">
        <f t="shared" si="313"/>
        <v>0.04</v>
      </c>
      <c r="AX233" s="41">
        <f t="shared" si="313"/>
        <v>0.01</v>
      </c>
      <c r="AY233" s="41">
        <f t="shared" si="313"/>
        <v>2.6354816354816357E-2</v>
      </c>
      <c r="AZ233" s="41">
        <f>AZ229/AZ102</f>
        <v>4.6326530612244891E-2</v>
      </c>
    </row>
    <row r="234" spans="2:54" hidden="1" outlineLevel="1" x14ac:dyDescent="0.2">
      <c r="AI234" s="49"/>
      <c r="AJ234" s="49"/>
      <c r="AK234" s="49"/>
      <c r="AL234" s="49"/>
      <c r="AN234" s="49"/>
      <c r="AO234" s="49"/>
      <c r="AP234" s="49"/>
      <c r="AQ234" s="49"/>
    </row>
    <row r="235" spans="2:54" hidden="1" outlineLevel="1" x14ac:dyDescent="0.2">
      <c r="B235" s="303" t="s">
        <v>298</v>
      </c>
      <c r="AI235" s="49"/>
      <c r="AJ235" s="49"/>
      <c r="AK235" s="49"/>
      <c r="AL235" s="49"/>
      <c r="AN235" s="49"/>
      <c r="AO235" s="49"/>
      <c r="AP235" s="49"/>
      <c r="AQ235" s="49"/>
      <c r="AS235" s="49">
        <f>AS228-AN228</f>
        <v>176.97399999999999</v>
      </c>
      <c r="AT235" s="49">
        <f>AT228-AO228</f>
        <v>119.48599999999999</v>
      </c>
      <c r="AU235" s="49">
        <f>AU228-AP228</f>
        <v>175.26999999999998</v>
      </c>
      <c r="AV235" s="49">
        <f>AV228-AQ228</f>
        <v>197.78000000000009</v>
      </c>
      <c r="AW235" s="519">
        <f t="shared" ref="AS235:AY236" si="314">AW228-AR228</f>
        <v>669.5100000000001</v>
      </c>
      <c r="AX235" s="49">
        <f>AX228-AS228</f>
        <v>-8.1200000000000045</v>
      </c>
      <c r="AY235" s="49">
        <f>AY228-AT228</f>
        <v>-19.419999999999959</v>
      </c>
      <c r="AZ235" s="49">
        <f>AZ228-AU228</f>
        <v>-17.740000000000009</v>
      </c>
    </row>
    <row r="236" spans="2:54" hidden="1" outlineLevel="1" x14ac:dyDescent="0.2">
      <c r="B236" s="303" t="s">
        <v>299</v>
      </c>
      <c r="AI236" s="49"/>
      <c r="AJ236" s="49"/>
      <c r="AK236" s="49"/>
      <c r="AL236" s="49"/>
      <c r="AN236" s="49"/>
      <c r="AO236" s="49"/>
      <c r="AP236" s="49"/>
      <c r="AQ236" s="49"/>
      <c r="AS236" s="49">
        <f t="shared" si="314"/>
        <v>-6.394999999999996</v>
      </c>
      <c r="AT236" s="49">
        <f t="shared" si="314"/>
        <v>105.05499999999999</v>
      </c>
      <c r="AU236" s="49">
        <f t="shared" si="314"/>
        <v>61.620000000000033</v>
      </c>
      <c r="AV236" s="49">
        <f t="shared" si="314"/>
        <v>51.019999999999953</v>
      </c>
      <c r="AW236" s="519">
        <f t="shared" si="314"/>
        <v>211.29999999999998</v>
      </c>
      <c r="AX236" s="49">
        <f t="shared" si="314"/>
        <v>-47.144999999999996</v>
      </c>
      <c r="AY236" s="49">
        <f t="shared" si="314"/>
        <v>-51.575000000000003</v>
      </c>
      <c r="AZ236" s="49">
        <f>AZ229-AU229</f>
        <v>16.009999999999962</v>
      </c>
    </row>
    <row r="237" spans="2:54" hidden="1" outlineLevel="1" x14ac:dyDescent="0.2">
      <c r="AI237" s="49"/>
      <c r="AJ237" s="49"/>
      <c r="AK237" s="49"/>
      <c r="AL237" s="49"/>
      <c r="AN237" s="49"/>
      <c r="AO237" s="49"/>
      <c r="AP237" s="49"/>
      <c r="AQ237" s="49"/>
    </row>
    <row r="238" spans="2:54" hidden="1" outlineLevel="1" x14ac:dyDescent="0.2">
      <c r="B238" s="303" t="s">
        <v>295</v>
      </c>
      <c r="AI238" s="49"/>
      <c r="AJ238" s="49"/>
      <c r="AK238" s="49"/>
      <c r="AL238" s="49"/>
      <c r="AN238" s="49"/>
      <c r="AO238" s="49"/>
      <c r="AP238" s="49"/>
      <c r="AQ238" s="49"/>
      <c r="AS238" s="41">
        <f t="shared" ref="AS238:AZ239" si="315">AS228/AN228-1</f>
        <v>2.3444612245979388</v>
      </c>
      <c r="AT238" s="41">
        <f t="shared" si="315"/>
        <v>0.54711210014927136</v>
      </c>
      <c r="AU238" s="41">
        <f t="shared" si="315"/>
        <v>1.0365485835945352</v>
      </c>
      <c r="AV238" s="33">
        <f t="shared" si="315"/>
        <v>0.983099711700965</v>
      </c>
      <c r="AW238" s="518">
        <f t="shared" si="315"/>
        <v>1.008070466009185</v>
      </c>
      <c r="AX238" s="41">
        <f t="shared" si="315"/>
        <v>-3.21635110512557E-2</v>
      </c>
      <c r="AY238" s="41">
        <f t="shared" si="315"/>
        <v>-5.7476026991831297E-2</v>
      </c>
      <c r="AZ238" s="41">
        <f t="shared" si="315"/>
        <v>-5.1515855500058105E-2</v>
      </c>
      <c r="BA238" s="41"/>
    </row>
    <row r="239" spans="2:54" hidden="1" outlineLevel="1" x14ac:dyDescent="0.2">
      <c r="B239" s="303" t="s">
        <v>296</v>
      </c>
      <c r="AI239" s="49"/>
      <c r="AJ239" s="49"/>
      <c r="AK239" s="49"/>
      <c r="AL239" s="49"/>
      <c r="AN239" s="49"/>
      <c r="AO239" s="49"/>
      <c r="AP239" s="49"/>
      <c r="AQ239" s="49"/>
      <c r="AS239" s="41">
        <f t="shared" si="315"/>
        <v>-8.8967723984418434E-2</v>
      </c>
      <c r="AT239" s="41">
        <f t="shared" si="315"/>
        <v>4.6525686448184205</v>
      </c>
      <c r="AU239" s="41">
        <f t="shared" si="315"/>
        <v>1.0944937833037311</v>
      </c>
      <c r="AV239" s="41">
        <f t="shared" si="315"/>
        <v>1.0110978993261979</v>
      </c>
      <c r="AW239" s="518">
        <f t="shared" si="315"/>
        <v>1.0500944240135173</v>
      </c>
      <c r="AX239" s="41">
        <f t="shared" si="315"/>
        <v>-0.71993586317477287</v>
      </c>
      <c r="AY239" s="41">
        <f t="shared" si="315"/>
        <v>-0.40408195244251188</v>
      </c>
      <c r="AZ239" s="41">
        <f t="shared" si="315"/>
        <v>0.1357700135685207</v>
      </c>
    </row>
    <row r="240" spans="2:54" hidden="1" outlineLevel="1" x14ac:dyDescent="0.2">
      <c r="AN240" s="49"/>
      <c r="AO240" s="49"/>
      <c r="AP240" s="49"/>
      <c r="AQ240" s="49"/>
    </row>
    <row r="241" spans="2:52" hidden="1" outlineLevel="1" x14ac:dyDescent="0.2">
      <c r="B241" s="303" t="s">
        <v>308</v>
      </c>
      <c r="AN241" s="49">
        <f>AN228*(AN223/AS223)</f>
        <v>63.504095238095239</v>
      </c>
      <c r="AO241" s="49">
        <f>AO228*(AO223/AT223)</f>
        <v>218.39400000000001</v>
      </c>
      <c r="AP241" s="49">
        <f>AP228*(AP223/AU223)</f>
        <v>169.09000000000003</v>
      </c>
      <c r="AQ241" s="49">
        <f>AQ228*(AQ223/AV223)</f>
        <v>104.74661157024792</v>
      </c>
      <c r="AR241" s="519">
        <f>SUM(AN241:AQ241)</f>
        <v>555.73470680834316</v>
      </c>
      <c r="AS241" s="49">
        <f>AS228*(AS223/AX223)</f>
        <v>132.54150000000001</v>
      </c>
      <c r="AT241" s="49">
        <f>AT228*(AT223/AY223)</f>
        <v>166.30031249999999</v>
      </c>
      <c r="AU241" s="49">
        <f>AU228*(AU223/AZ223)</f>
        <v>169.48968749999997</v>
      </c>
      <c r="AV241" s="49"/>
      <c r="AW241" s="519"/>
      <c r="AX241" s="49"/>
      <c r="AY241" s="49"/>
    </row>
    <row r="242" spans="2:52" hidden="1" outlineLevel="1" x14ac:dyDescent="0.2">
      <c r="B242" s="303" t="s">
        <v>297</v>
      </c>
      <c r="AN242" s="49">
        <f>AN229*(AN223/AS223)</f>
        <v>60.470476190476184</v>
      </c>
      <c r="AO242" s="49">
        <f t="shared" ref="AO242:AT242" si="316">AO229*(AO223/AT223)</f>
        <v>22.580000000000013</v>
      </c>
      <c r="AP242" s="49">
        <f t="shared" si="316"/>
        <v>56.299999999999983</v>
      </c>
      <c r="AQ242" s="49">
        <f>AQ229*(AQ223/AV223)</f>
        <v>26.272561983471082</v>
      </c>
      <c r="AR242" s="519">
        <f>SUM(AN242:AQ242)</f>
        <v>165.62303817394726</v>
      </c>
      <c r="AS242" s="49">
        <f t="shared" si="316"/>
        <v>34.379625000000004</v>
      </c>
      <c r="AT242" s="49">
        <f t="shared" si="316"/>
        <v>62.820351562499994</v>
      </c>
      <c r="AU242" s="49">
        <f>AU229*(AU223/AZ223)</f>
        <v>58.03875</v>
      </c>
      <c r="AV242" s="49"/>
      <c r="AW242" s="519"/>
      <c r="AX242" s="49"/>
      <c r="AY242" s="49"/>
    </row>
    <row r="243" spans="2:52" hidden="1" outlineLevel="1" x14ac:dyDescent="0.2">
      <c r="AN243" s="49"/>
      <c r="AO243" s="49"/>
      <c r="AP243" s="49"/>
      <c r="AQ243" s="49"/>
      <c r="AR243" s="1"/>
      <c r="AW243" s="1"/>
    </row>
    <row r="244" spans="2:52" hidden="1" outlineLevel="1" x14ac:dyDescent="0.2">
      <c r="B244" s="303" t="s">
        <v>301</v>
      </c>
      <c r="AN244" s="49">
        <f t="shared" ref="AN244:AS244" si="317">AN241-AN228</f>
        <v>-11.981904761904765</v>
      </c>
      <c r="AO244" s="49">
        <f t="shared" si="317"/>
        <v>0</v>
      </c>
      <c r="AP244" s="49">
        <f t="shared" si="317"/>
        <v>0</v>
      </c>
      <c r="AQ244" s="49">
        <f t="shared" si="317"/>
        <v>-96.433388429752029</v>
      </c>
      <c r="AR244" s="519">
        <f t="shared" si="317"/>
        <v>-108.41529319165681</v>
      </c>
      <c r="AS244" s="49">
        <f t="shared" si="317"/>
        <v>-119.91849999999999</v>
      </c>
      <c r="AT244" s="49">
        <f>AT241-AT228</f>
        <v>-171.57968750000001</v>
      </c>
      <c r="AU244" s="49">
        <f>AU241-AU228</f>
        <v>-174.87031250000004</v>
      </c>
      <c r="AV244" s="49"/>
      <c r="AW244" s="519"/>
      <c r="AX244" s="49"/>
      <c r="AY244" s="49"/>
    </row>
    <row r="245" spans="2:52" hidden="1" outlineLevel="1" x14ac:dyDescent="0.2">
      <c r="B245" s="303" t="s">
        <v>300</v>
      </c>
      <c r="AN245" s="49">
        <f>AN242-AN229</f>
        <v>-11.409523809523812</v>
      </c>
      <c r="AO245" s="49">
        <f t="shared" ref="AO245:AT245" si="318">AO242-AO229</f>
        <v>0</v>
      </c>
      <c r="AP245" s="49">
        <f t="shared" si="318"/>
        <v>0</v>
      </c>
      <c r="AQ245" s="49">
        <f t="shared" si="318"/>
        <v>-24.187438016528926</v>
      </c>
      <c r="AR245" s="519">
        <f t="shared" si="318"/>
        <v>-35.596961826052734</v>
      </c>
      <c r="AS245" s="49">
        <f t="shared" si="318"/>
        <v>-31.105374999999995</v>
      </c>
      <c r="AT245" s="49">
        <f t="shared" si="318"/>
        <v>-64.814648437500011</v>
      </c>
      <c r="AU245" s="49">
        <f>AU242-AU229</f>
        <v>-59.881250000000016</v>
      </c>
      <c r="AV245" s="49"/>
      <c r="AW245" s="519"/>
      <c r="AX245" s="49"/>
      <c r="AY245" s="49"/>
    </row>
    <row r="246" spans="2:52" hidden="1" outlineLevel="1" x14ac:dyDescent="0.2">
      <c r="AN246" s="49"/>
      <c r="AO246" s="49"/>
      <c r="AP246" s="49"/>
      <c r="AQ246" s="49"/>
    </row>
    <row r="247" spans="2:52" hidden="1" outlineLevel="1" x14ac:dyDescent="0.2">
      <c r="B247" s="303" t="s">
        <v>302</v>
      </c>
      <c r="AN247" s="49"/>
      <c r="AO247" s="49"/>
      <c r="AP247" s="49"/>
      <c r="AQ247" s="49"/>
      <c r="AS247" s="41">
        <f t="shared" ref="AS247:AZ247" si="319">AS228/AN241-1</f>
        <v>2.975491644333399</v>
      </c>
      <c r="AT247" s="41">
        <f t="shared" si="319"/>
        <v>0.54711210014927136</v>
      </c>
      <c r="AU247" s="41">
        <f t="shared" si="319"/>
        <v>1.0365485835945352</v>
      </c>
      <c r="AV247" s="41">
        <f t="shared" si="319"/>
        <v>2.8088105573939162</v>
      </c>
      <c r="AW247" s="518">
        <f t="shared" si="319"/>
        <v>1.3998141265269957</v>
      </c>
      <c r="AX247" s="41">
        <f t="shared" si="319"/>
        <v>0.84349807418808442</v>
      </c>
      <c r="AY247" s="41">
        <f t="shared" si="319"/>
        <v>0.9149693419848508</v>
      </c>
      <c r="AZ247" s="41">
        <f t="shared" si="319"/>
        <v>0.92707889676178712</v>
      </c>
    </row>
    <row r="248" spans="2:52" hidden="1" outlineLevel="1" x14ac:dyDescent="0.2">
      <c r="B248" s="303" t="s">
        <v>201</v>
      </c>
      <c r="AN248" s="49"/>
      <c r="AO248" s="49"/>
      <c r="AP248" s="49"/>
      <c r="AQ248" s="49"/>
      <c r="AS248" s="41">
        <f t="shared" ref="AS248:AX248" si="320">AS238-AS247</f>
        <v>-0.63103041973546015</v>
      </c>
      <c r="AT248" s="41">
        <f t="shared" si="320"/>
        <v>0</v>
      </c>
      <c r="AU248" s="41">
        <f t="shared" si="320"/>
        <v>0</v>
      </c>
      <c r="AV248" s="41">
        <f t="shared" si="320"/>
        <v>-1.8257108456929512</v>
      </c>
      <c r="AW248" s="518">
        <f t="shared" si="320"/>
        <v>-0.39174366051781062</v>
      </c>
      <c r="AX248" s="41">
        <f t="shared" si="320"/>
        <v>-0.87566158523934012</v>
      </c>
      <c r="AY248" s="41">
        <f>AY238-AY247</f>
        <v>-0.9724453689766821</v>
      </c>
      <c r="AZ248" s="41">
        <f>AZ238-AZ247</f>
        <v>-0.97859475226184522</v>
      </c>
    </row>
    <row r="249" spans="2:52" hidden="1" outlineLevel="1" x14ac:dyDescent="0.2">
      <c r="AN249" s="49"/>
      <c r="AO249" s="49"/>
      <c r="AP249" s="49"/>
      <c r="AQ249" s="49"/>
      <c r="AV249" s="33"/>
    </row>
    <row r="250" spans="2:52" hidden="1" outlineLevel="1" x14ac:dyDescent="0.2">
      <c r="B250" s="303" t="s">
        <v>303</v>
      </c>
      <c r="AN250" s="49"/>
      <c r="AO250" s="49"/>
      <c r="AP250" s="49"/>
      <c r="AQ250" s="49"/>
      <c r="AS250" s="41">
        <f t="shared" ref="AS250:AZ250" si="321">AS229/AN242-1</f>
        <v>8.292515828267244E-2</v>
      </c>
      <c r="AT250" s="41">
        <f t="shared" si="321"/>
        <v>4.6525686448184205</v>
      </c>
      <c r="AU250" s="41">
        <f t="shared" si="321"/>
        <v>1.0944937833037311</v>
      </c>
      <c r="AV250" s="41">
        <f t="shared" si="321"/>
        <v>2.8625848542614274</v>
      </c>
      <c r="AW250" s="518">
        <f t="shared" si="321"/>
        <v>1.4907162949561807</v>
      </c>
      <c r="AX250" s="41">
        <f t="shared" si="321"/>
        <v>-0.46654450128528169</v>
      </c>
      <c r="AY250" s="41">
        <f t="shared" si="321"/>
        <v>0.21075412837076968</v>
      </c>
      <c r="AZ250" s="41">
        <f t="shared" si="321"/>
        <v>1.3075962180439791</v>
      </c>
    </row>
    <row r="251" spans="2:52" hidden="1" outlineLevel="1" x14ac:dyDescent="0.2">
      <c r="B251" s="303" t="s">
        <v>201</v>
      </c>
      <c r="AN251" s="49"/>
      <c r="AO251" s="49"/>
      <c r="AP251" s="49"/>
      <c r="AQ251" s="49"/>
      <c r="AS251" s="41">
        <f t="shared" ref="AS251:AY251" si="322">AS239-AS250</f>
        <v>-0.17189288226709087</v>
      </c>
      <c r="AT251" s="41">
        <f t="shared" si="322"/>
        <v>0</v>
      </c>
      <c r="AU251" s="41">
        <f t="shared" si="322"/>
        <v>0</v>
      </c>
      <c r="AV251" s="41">
        <f t="shared" si="322"/>
        <v>-1.8514869549352295</v>
      </c>
      <c r="AW251" s="41">
        <f t="shared" si="322"/>
        <v>-0.44062187094266347</v>
      </c>
      <c r="AX251" s="41">
        <f t="shared" si="322"/>
        <v>-0.25339136188949118</v>
      </c>
      <c r="AY251" s="41">
        <f t="shared" si="322"/>
        <v>-0.61483608081328156</v>
      </c>
      <c r="AZ251" s="41">
        <f>AZ239-AZ250</f>
        <v>-1.1718262044754584</v>
      </c>
    </row>
    <row r="252" spans="2:52" hidden="1" outlineLevel="1" x14ac:dyDescent="0.2">
      <c r="AN252" s="49"/>
      <c r="AO252" s="49"/>
      <c r="AP252" s="49"/>
      <c r="AQ252" s="49"/>
    </row>
    <row r="253" spans="2:52" hidden="1" outlineLevel="1" x14ac:dyDescent="0.2">
      <c r="B253" s="1" t="s">
        <v>304</v>
      </c>
      <c r="AN253" s="49"/>
      <c r="AO253" s="49"/>
      <c r="AP253" s="49"/>
      <c r="AQ253" s="49"/>
      <c r="AS253" s="33">
        <f t="shared" ref="AS253:AZ253" si="323">AS7-AS254</f>
        <v>1.7719265458752909E-2</v>
      </c>
      <c r="AT253" s="33">
        <f t="shared" si="323"/>
        <v>6.7289449155643333E-3</v>
      </c>
      <c r="AU253" s="33">
        <f t="shared" si="323"/>
        <v>1.0157056399944804E-2</v>
      </c>
      <c r="AV253" s="33">
        <f t="shared" si="323"/>
        <v>2.7866773307009245E-2</v>
      </c>
      <c r="AW253" s="44">
        <f t="shared" si="323"/>
        <v>1.3735496227545413E-2</v>
      </c>
      <c r="AX253" s="33">
        <f t="shared" si="323"/>
        <v>1.6316287228328254E-2</v>
      </c>
      <c r="AY253" s="33">
        <f t="shared" si="323"/>
        <v>1.7632027387445931E-2</v>
      </c>
      <c r="AZ253" s="33">
        <f t="shared" si="323"/>
        <v>1.7409773403301777E-2</v>
      </c>
    </row>
    <row r="254" spans="2:52" hidden="1" outlineLevel="1" x14ac:dyDescent="0.2">
      <c r="B254" s="1" t="s">
        <v>305</v>
      </c>
      <c r="AN254" s="49"/>
      <c r="AO254" s="49"/>
      <c r="AP254" s="49"/>
      <c r="AQ254" s="49"/>
      <c r="AS254" s="33">
        <f t="shared" ref="AS254:AZ254" si="324">(AS7-(AS247*AN232))/(1-AN232)</f>
        <v>2.2280734541247092E-2</v>
      </c>
      <c r="AT254" s="33">
        <f t="shared" si="324"/>
        <v>2.9271055084435664E-2</v>
      </c>
      <c r="AU254" s="33">
        <f t="shared" si="324"/>
        <v>2.0842943600055196E-2</v>
      </c>
      <c r="AV254" s="33">
        <f t="shared" si="324"/>
        <v>2.2133226692990757E-2</v>
      </c>
      <c r="AW254" s="44">
        <f t="shared" si="324"/>
        <v>2.6264503772454588E-2</v>
      </c>
      <c r="AX254" s="33">
        <f t="shared" si="324"/>
        <v>2.7683712771671743E-2</v>
      </c>
      <c r="AY254" s="33">
        <f t="shared" si="324"/>
        <v>3.3367972612554066E-2</v>
      </c>
      <c r="AZ254" s="33">
        <f t="shared" si="324"/>
        <v>5.6590226596698219E-2</v>
      </c>
    </row>
    <row r="255" spans="2:52" hidden="1" outlineLevel="1" x14ac:dyDescent="0.2">
      <c r="AN255" s="49"/>
      <c r="AO255" s="49"/>
      <c r="AP255" s="49"/>
      <c r="AQ255" s="49"/>
      <c r="AX255" s="33"/>
    </row>
    <row r="256" spans="2:52" hidden="1" outlineLevel="1" x14ac:dyDescent="0.2">
      <c r="B256" s="1"/>
      <c r="AN256" s="49"/>
      <c r="AO256" s="49"/>
      <c r="AP256" s="49"/>
      <c r="AQ256" s="49"/>
      <c r="AS256" s="33"/>
      <c r="AT256" s="33"/>
      <c r="AU256" s="33"/>
      <c r="AV256" s="33"/>
      <c r="AW256" s="44"/>
      <c r="AX256" s="33"/>
      <c r="AY256" s="33"/>
    </row>
    <row r="257" spans="2:51" hidden="1" outlineLevel="1" x14ac:dyDescent="0.2">
      <c r="B257" s="1"/>
      <c r="AN257" s="49"/>
      <c r="AO257" s="49"/>
      <c r="AP257" s="49"/>
      <c r="AQ257" s="49"/>
      <c r="AS257" s="33"/>
      <c r="AT257" s="33"/>
      <c r="AU257" s="33"/>
      <c r="AV257" s="33"/>
      <c r="AW257" s="44"/>
      <c r="AX257" s="33"/>
      <c r="AY257" s="33"/>
    </row>
    <row r="258" spans="2:51" hidden="1" outlineLevel="1" x14ac:dyDescent="0.2">
      <c r="AN258" s="49"/>
      <c r="AO258" s="49"/>
      <c r="AP258" s="49"/>
      <c r="AQ258" s="49"/>
      <c r="AS258" s="41"/>
      <c r="AV258" s="302"/>
      <c r="AW258" s="41"/>
    </row>
    <row r="259" spans="2:51" hidden="1" outlineLevel="1" x14ac:dyDescent="0.2">
      <c r="AS259" s="41"/>
      <c r="AV259" s="41"/>
    </row>
    <row r="260" spans="2:51" hidden="1" outlineLevel="1" x14ac:dyDescent="0.2">
      <c r="AV260" s="41"/>
      <c r="AW260" s="41"/>
    </row>
    <row r="261" spans="2:51" hidden="1" outlineLevel="1" x14ac:dyDescent="0.2">
      <c r="B261" s="303" t="s">
        <v>276</v>
      </c>
      <c r="AO261" s="25">
        <v>137</v>
      </c>
      <c r="AW261" s="41"/>
    </row>
    <row r="262" spans="2:51" hidden="1" outlineLevel="1" x14ac:dyDescent="0.2">
      <c r="B262" s="303" t="s">
        <v>282</v>
      </c>
      <c r="AO262" s="25">
        <v>46</v>
      </c>
      <c r="AP262" s="25">
        <v>28</v>
      </c>
      <c r="AQ262" s="25">
        <v>56</v>
      </c>
      <c r="AR262" s="25">
        <f>+SUM(AO262:AQ262)</f>
        <v>130</v>
      </c>
      <c r="AV262" s="302"/>
    </row>
    <row r="263" spans="2:51" hidden="1" outlineLevel="1" x14ac:dyDescent="0.2">
      <c r="B263" s="303" t="s">
        <v>210</v>
      </c>
      <c r="AQ263" s="25">
        <v>30</v>
      </c>
      <c r="AR263" s="25">
        <v>52</v>
      </c>
      <c r="AV263" s="302"/>
    </row>
    <row r="264" spans="2:51" hidden="1" outlineLevel="1" x14ac:dyDescent="0.2">
      <c r="B264" s="303" t="s">
        <v>72</v>
      </c>
      <c r="AQ264" s="25">
        <v>9</v>
      </c>
      <c r="AR264" s="25">
        <v>26</v>
      </c>
    </row>
    <row r="265" spans="2:51" hidden="1" outlineLevel="1" x14ac:dyDescent="0.2">
      <c r="B265" s="303"/>
    </row>
    <row r="266" spans="2:51" hidden="1" outlineLevel="1" x14ac:dyDescent="0.2">
      <c r="B266" s="303"/>
    </row>
    <row r="267" spans="2:51" hidden="1" outlineLevel="1" x14ac:dyDescent="0.2">
      <c r="B267" s="303" t="s">
        <v>277</v>
      </c>
      <c r="AO267" s="25">
        <f>+AO261-AO262</f>
        <v>91</v>
      </c>
      <c r="AP267" s="25">
        <f>+AP261-AP262</f>
        <v>-28</v>
      </c>
      <c r="AQ267" s="25">
        <f>+AQ261-AQ262</f>
        <v>-56</v>
      </c>
      <c r="AR267" s="25">
        <f>+SUM(AO267:AQ267)</f>
        <v>7</v>
      </c>
    </row>
    <row r="268" spans="2:51" hidden="1" outlineLevel="1" x14ac:dyDescent="0.2"/>
    <row r="269" spans="2:51" hidden="1" outlineLevel="1" x14ac:dyDescent="0.2">
      <c r="B269" s="303" t="s">
        <v>278</v>
      </c>
      <c r="AO269" s="259">
        <f>+AO267/AJ136</f>
        <v>0.29354838709677417</v>
      </c>
      <c r="AP269" s="259">
        <f>+AP267/AK136</f>
        <v>-8.6687306501547989E-2</v>
      </c>
      <c r="AQ269" s="259">
        <f>-AQ263/AL136</f>
        <v>-0.22222222222222221</v>
      </c>
    </row>
    <row r="270" spans="2:51" hidden="1" outlineLevel="1" x14ac:dyDescent="0.2">
      <c r="B270" s="303" t="s">
        <v>285</v>
      </c>
      <c r="AO270" s="259"/>
      <c r="AP270" s="259"/>
      <c r="AQ270" s="259">
        <f>-AQ264/AL133</f>
        <v>-2.4930747922437674E-2</v>
      </c>
    </row>
    <row r="271" spans="2:51" hidden="1" outlineLevel="1" x14ac:dyDescent="0.2">
      <c r="B271" s="303" t="s">
        <v>279</v>
      </c>
      <c r="AO271" s="259">
        <f>+AO267/AJ102</f>
        <v>3.4044145155256264E-2</v>
      </c>
      <c r="AP271" s="259">
        <f>+AP267/AK102</f>
        <v>-1.0130246020260492E-2</v>
      </c>
      <c r="AQ271" s="259">
        <f>+AQ267/AL102</f>
        <v>-2.177293934681182E-2</v>
      </c>
      <c r="AR271" s="32">
        <f>+AR267/AM102</f>
        <v>7.2299111753769884E-4</v>
      </c>
    </row>
    <row r="272" spans="2:51" hidden="1" outlineLevel="1" x14ac:dyDescent="0.2"/>
    <row r="273" spans="2:44" hidden="1" outlineLevel="1" x14ac:dyDescent="0.2">
      <c r="B273" s="303" t="s">
        <v>280</v>
      </c>
      <c r="AO273" s="259">
        <f>+(AO136-AO267)/AO92</f>
        <v>0.23220973782771537</v>
      </c>
      <c r="AP273" s="259">
        <f>+(AP136-AP267)/AP92</f>
        <v>0.20149253731343283</v>
      </c>
      <c r="AQ273" s="32">
        <f>+(AQ136+AQ263)/AQ92</f>
        <v>0.11576227390180878</v>
      </c>
    </row>
    <row r="274" spans="2:44" hidden="1" outlineLevel="1" x14ac:dyDescent="0.2">
      <c r="B274" s="303" t="s">
        <v>286</v>
      </c>
      <c r="AO274" s="49">
        <f>+(AO154-AO273)*10000</f>
        <v>486.89138576779033</v>
      </c>
      <c r="AP274" s="49">
        <f>+(AP154-AP273)*10000</f>
        <v>-174.1293532338309</v>
      </c>
      <c r="AQ274" s="49">
        <f>+(AQ154-AQ273)*10000</f>
        <v>-155.03875968992247</v>
      </c>
    </row>
    <row r="275" spans="2:44" hidden="1" outlineLevel="1" x14ac:dyDescent="0.2">
      <c r="B275" s="303"/>
      <c r="AO275" s="49"/>
      <c r="AP275" s="49"/>
      <c r="AQ275" s="49"/>
    </row>
    <row r="276" spans="2:44" hidden="1" outlineLevel="1" x14ac:dyDescent="0.2">
      <c r="B276" s="303" t="s">
        <v>284</v>
      </c>
      <c r="AO276" s="49"/>
      <c r="AP276" s="49"/>
      <c r="AQ276" s="32">
        <f>+(AQ133+AQ264)/AQ83</f>
        <v>7.7206729661212267E-2</v>
      </c>
    </row>
    <row r="277" spans="2:44" hidden="1" outlineLevel="1" x14ac:dyDescent="0.2">
      <c r="B277" s="303" t="s">
        <v>286</v>
      </c>
      <c r="AO277" s="49"/>
      <c r="AP277" s="49"/>
      <c r="AQ277" s="49">
        <f>+(AQ153-AQ276)*10000</f>
        <v>-20.742106476146631</v>
      </c>
    </row>
    <row r="278" spans="2:44" hidden="1" outlineLevel="1" x14ac:dyDescent="0.2"/>
    <row r="279" spans="2:44" hidden="1" outlineLevel="1" x14ac:dyDescent="0.2">
      <c r="B279" s="303" t="s">
        <v>281</v>
      </c>
      <c r="AO279" s="259">
        <f>+(AO102-AO267)/AO6</f>
        <v>0.16867971678467306</v>
      </c>
      <c r="AP279" s="259">
        <f>+(AP102-AP267)/AP6</f>
        <v>0.16813531255544384</v>
      </c>
      <c r="AQ279" s="32">
        <f>+(AQ102-AQ267)/AQ6</f>
        <v>0.12819365742121483</v>
      </c>
    </row>
    <row r="280" spans="2:44" hidden="1" outlineLevel="1" x14ac:dyDescent="0.2">
      <c r="B280" s="303" t="s">
        <v>286</v>
      </c>
      <c r="AO280" s="49">
        <f>+(AO142-AO279)*10000</f>
        <v>54.144106622240621</v>
      </c>
      <c r="AP280" s="49">
        <f>+(AP142-AP279)*10000</f>
        <v>-16.559228813058102</v>
      </c>
      <c r="AQ280" s="49">
        <f>+(AQ142-AQ279)*10000</f>
        <v>-27.83576896311757</v>
      </c>
    </row>
    <row r="281" spans="2:44" hidden="1" outlineLevel="1" x14ac:dyDescent="0.2"/>
    <row r="282" spans="2:44" hidden="1" outlineLevel="1" x14ac:dyDescent="0.2"/>
    <row r="283" spans="2:44" hidden="1" outlineLevel="1" x14ac:dyDescent="0.2">
      <c r="AR283" s="25">
        <v>52</v>
      </c>
    </row>
    <row r="284" spans="2:44" hidden="1" outlineLevel="1" x14ac:dyDescent="0.2">
      <c r="AR284" s="25">
        <v>26</v>
      </c>
    </row>
    <row r="285" spans="2:44" hidden="1" outlineLevel="1" x14ac:dyDescent="0.2">
      <c r="AR285" s="25">
        <f>+AR284+AR283</f>
        <v>78</v>
      </c>
    </row>
    <row r="286" spans="2:44" hidden="1" outlineLevel="1" x14ac:dyDescent="0.2"/>
    <row r="287" spans="2:44" hidden="1" outlineLevel="1" x14ac:dyDescent="0.2">
      <c r="B287" s="303" t="s">
        <v>283</v>
      </c>
      <c r="AO287" s="305">
        <v>7.0000000000000007E-2</v>
      </c>
      <c r="AP287" s="305">
        <f>(AP267*(1-'Financial Statements'!AY40))/'Financial Statements'!AY54</f>
        <v>-1.3363640733695465E-2</v>
      </c>
      <c r="AQ287" s="305">
        <f>(AQ267*(1-'Financial Statements'!AZ40))/'Financial Statements'!AZ54</f>
        <v>-2.58993032567231E-2</v>
      </c>
      <c r="AR287" s="305">
        <f>SUM(AO287:AQ287)</f>
        <v>3.0737056009581445E-2</v>
      </c>
    </row>
    <row r="288" spans="2:44" hidden="1" outlineLevel="1" x14ac:dyDescent="0.2">
      <c r="AR288" s="32">
        <f>+AR287/'Financial Statements'!AV45</f>
        <v>7.5056709437713604E-3</v>
      </c>
    </row>
    <row r="289" spans="1:68" collapsed="1" x14ac:dyDescent="0.2"/>
    <row r="290" spans="1:68" x14ac:dyDescent="0.2">
      <c r="A290" s="14" t="s">
        <v>325</v>
      </c>
    </row>
    <row r="291" spans="1:68" x14ac:dyDescent="0.2">
      <c r="B291" s="25" t="s">
        <v>68</v>
      </c>
      <c r="AX291" s="585">
        <f>AVERAGE(AX21,AS21)</f>
        <v>0.04</v>
      </c>
      <c r="AY291" s="585">
        <f>AVERAGE(AY21,AT21)</f>
        <v>2.5000000000000001E-2</v>
      </c>
      <c r="AZ291" s="585">
        <f>AVERAGE(AZ21,AU21)</f>
        <v>2.5000000000000001E-2</v>
      </c>
      <c r="BA291" s="585">
        <f>AVERAGE(BA21,AV21)</f>
        <v>3.2500000000000001E-2</v>
      </c>
      <c r="BC291" s="585">
        <f>AVERAGE(BC21,AX21)</f>
        <v>0.04</v>
      </c>
      <c r="BD291" s="585">
        <f>AVERAGE(BD21,AY21)</f>
        <v>3.5000000000000003E-2</v>
      </c>
      <c r="BE291" s="585">
        <f>AVERAGE(BE21,AZ21)</f>
        <v>2.7500000000000004E-2</v>
      </c>
      <c r="BF291" s="585">
        <f>AVERAGE(BF21,BA21)</f>
        <v>0.03</v>
      </c>
      <c r="BH291" s="585">
        <f>AVERAGE(BH21,BC21)</f>
        <v>0.03</v>
      </c>
      <c r="BI291" s="585">
        <f>AVERAGE(BI21,BD21)</f>
        <v>3.7500000000000006E-2</v>
      </c>
      <c r="BJ291" s="585">
        <f>AVERAGE(BJ21,BE21)</f>
        <v>3.2500000000000001E-2</v>
      </c>
      <c r="BK291" s="585">
        <f>AVERAGE(BK21,BF21)</f>
        <v>0.04</v>
      </c>
      <c r="BM291" s="585">
        <f>AVERAGE(BM21,BH21)</f>
        <v>3.2500000000000001E-2</v>
      </c>
      <c r="BN291" s="585">
        <f>AVERAGE(BN21,BI21)</f>
        <v>3.5000000000000003E-2</v>
      </c>
      <c r="BO291" s="585">
        <f>AVERAGE(BO21,BJ21)</f>
        <v>3.2500000000000001E-2</v>
      </c>
      <c r="BP291" s="585">
        <f>AVERAGE(BP21,BK21)</f>
        <v>0.04</v>
      </c>
    </row>
    <row r="292" spans="1:68" x14ac:dyDescent="0.2">
      <c r="B292" s="25" t="s">
        <v>69</v>
      </c>
      <c r="AX292" s="585">
        <f>AVERAGE(AX28,AS28)</f>
        <v>1.4999999999999999E-2</v>
      </c>
      <c r="AY292" s="585">
        <f>AVERAGE(AY28,AT28)</f>
        <v>-1.2500000000000001E-2</v>
      </c>
      <c r="AZ292" s="585">
        <f>AVERAGE(AZ28,AU28)</f>
        <v>0</v>
      </c>
      <c r="BA292" s="585">
        <f>AVERAGE(BA28,AV28)</f>
        <v>5.0000000000000001E-3</v>
      </c>
      <c r="BC292" s="585">
        <f>AVERAGE(BC28,AX28)</f>
        <v>0</v>
      </c>
      <c r="BD292" s="585">
        <f>AVERAGE(BD28,AY28)</f>
        <v>7.4999999999999997E-3</v>
      </c>
      <c r="BE292" s="585">
        <f>AVERAGE(BE28,AZ28)</f>
        <v>0</v>
      </c>
      <c r="BF292" s="585">
        <f>AVERAGE(BF28,BA28)</f>
        <v>5.0000000000000001E-3</v>
      </c>
      <c r="BH292" s="585">
        <f>AVERAGE(BH28,BC28)</f>
        <v>-2.7500000000000004E-2</v>
      </c>
      <c r="BI292" s="585">
        <f>AVERAGE(BI28,BD28)</f>
        <v>9.9999999999999985E-3</v>
      </c>
      <c r="BJ292" s="585">
        <f>AVERAGE(BJ28,BE28)</f>
        <v>-5.0000000000000001E-3</v>
      </c>
      <c r="BK292" s="585">
        <f>AVERAGE(BK28,BF28)</f>
        <v>0</v>
      </c>
      <c r="BM292" s="585">
        <f>AVERAGE(BM28,BH28)</f>
        <v>-1.0000000000000002E-2</v>
      </c>
      <c r="BN292" s="585">
        <f>AVERAGE(BN28,BI28)</f>
        <v>-5.0000000000000001E-3</v>
      </c>
      <c r="BO292" s="585">
        <f>AVERAGE(BO28,BJ28)</f>
        <v>0</v>
      </c>
      <c r="BP292" s="585">
        <f>AVERAGE(BP28,BK28)</f>
        <v>0</v>
      </c>
    </row>
    <row r="293" spans="1:68" x14ac:dyDescent="0.2">
      <c r="B293" s="25" t="s">
        <v>309</v>
      </c>
      <c r="AX293" s="585">
        <f>AVERAGE(AX35,AS35)</f>
        <v>1.2500000000000001E-2</v>
      </c>
      <c r="AY293" s="585">
        <f>AVERAGE(AY35,AT35)</f>
        <v>0.02</v>
      </c>
      <c r="AZ293" s="585">
        <f>AVERAGE(AZ35,AU35)</f>
        <v>2.5000000000000001E-2</v>
      </c>
      <c r="BA293" s="585">
        <f>AVERAGE(BA35,AV35)</f>
        <v>2.5000000000000001E-2</v>
      </c>
      <c r="BC293" s="585">
        <f>AVERAGE(BC35,AX35)</f>
        <v>1.7500000000000002E-2</v>
      </c>
      <c r="BD293" s="585">
        <f>AVERAGE(BD35,AY35)</f>
        <v>0.02</v>
      </c>
      <c r="BE293" s="585">
        <f>AVERAGE(BE35,AZ35)</f>
        <v>0.04</v>
      </c>
      <c r="BF293" s="585">
        <f>AVERAGE(BF35,BA35)</f>
        <v>2.5000000000000001E-2</v>
      </c>
      <c r="BH293" s="585">
        <f>AVERAGE(BH35,BC35)</f>
        <v>1.4999999999999999E-2</v>
      </c>
      <c r="BI293" s="585">
        <f>AVERAGE(BI35,BD35)</f>
        <v>0.01</v>
      </c>
      <c r="BJ293" s="585">
        <f>AVERAGE(BJ35,BE35)</f>
        <v>-1.0000000000000002E-2</v>
      </c>
      <c r="BK293" s="585">
        <f>AVERAGE(BK35,BF35)</f>
        <v>-4.9999999999999992E-3</v>
      </c>
      <c r="BM293" s="585">
        <f>AVERAGE(BM35,BH35)</f>
        <v>-5.0000000000000001E-3</v>
      </c>
      <c r="BN293" s="585">
        <f>AVERAGE(BN35,BI35)</f>
        <v>-2.4999999999999996E-3</v>
      </c>
      <c r="BO293" s="585">
        <f>AVERAGE(BO35,BJ35)</f>
        <v>-1.0000000000000002E-2</v>
      </c>
      <c r="BP293" s="585">
        <f>AVERAGE(BP35,BK35)</f>
        <v>-4.9999999999999992E-3</v>
      </c>
    </row>
    <row r="294" spans="1:68" x14ac:dyDescent="0.2">
      <c r="B294" s="25" t="s">
        <v>209</v>
      </c>
      <c r="AX294" s="585">
        <f>AVERAGE(AX42,AS42)</f>
        <v>0.13500000000000001</v>
      </c>
      <c r="AY294" s="585">
        <f>AVERAGE(AY42,AT42)</f>
        <v>0.155</v>
      </c>
      <c r="AZ294" s="585">
        <f>AVERAGE(AZ42,AU42)</f>
        <v>0.20500000000000002</v>
      </c>
      <c r="BA294" s="585">
        <f>AVERAGE(BA42,AV42)</f>
        <v>9.5000000000000001E-2</v>
      </c>
      <c r="BC294" s="585">
        <f>AVERAGE(BC42,AX42)</f>
        <v>0.13</v>
      </c>
      <c r="BD294" s="585">
        <f>AVERAGE(BD42,AY42)</f>
        <v>0.155</v>
      </c>
      <c r="BE294" s="585">
        <f>AVERAGE(BE42,AZ42)</f>
        <v>0.21500000000000002</v>
      </c>
      <c r="BF294" s="585">
        <f>AVERAGE(BF42,BA42)</f>
        <v>8.4999999999999992E-2</v>
      </c>
      <c r="BH294" s="585">
        <f>AVERAGE(BH42,BC42)</f>
        <v>7.4999999999999997E-2</v>
      </c>
      <c r="BI294" s="585">
        <f>AVERAGE(BI42,BD42)</f>
        <v>8.4999999999999992E-2</v>
      </c>
      <c r="BJ294" s="585">
        <f>AVERAGE(BJ42,BE42)</f>
        <v>7.5000000000000011E-2</v>
      </c>
      <c r="BK294" s="585">
        <f>AVERAGE(BK42,BF42)</f>
        <v>0.06</v>
      </c>
      <c r="BM294" s="585">
        <f>AVERAGE(BM42,BH42)</f>
        <v>5.2239257294429707E-2</v>
      </c>
      <c r="BN294" s="585">
        <f>AVERAGE(BN42,BI42)</f>
        <v>6.2760742705570291E-2</v>
      </c>
      <c r="BO294" s="585">
        <f>AVERAGE(BO42,BJ42)</f>
        <v>5.3957029177718836E-2</v>
      </c>
      <c r="BP294" s="585">
        <f>AVERAGE(BP42,BK42)</f>
        <v>4.723925729442971E-2</v>
      </c>
    </row>
    <row r="295" spans="1:68" x14ac:dyDescent="0.2">
      <c r="B295" s="25" t="s">
        <v>310</v>
      </c>
      <c r="AX295" s="585">
        <f>AVERAGE(AX51,AS51)</f>
        <v>4.4999999999999998E-2</v>
      </c>
      <c r="AY295" s="585">
        <f>AVERAGE(AY51,AT51)</f>
        <v>2.5000000000000001E-2</v>
      </c>
      <c r="AZ295" s="585">
        <f>AVERAGE(AZ51,AU51)</f>
        <v>1.9999999999999997E-2</v>
      </c>
      <c r="BA295" s="585">
        <f>AVERAGE(BA51,AV51)</f>
        <v>4.7500000000000001E-2</v>
      </c>
      <c r="BC295" s="585">
        <f>AVERAGE(BC51,AX51)</f>
        <v>0.02</v>
      </c>
      <c r="BD295" s="585">
        <f>AVERAGE(BD51,AY51)</f>
        <v>1.4999999999999999E-2</v>
      </c>
      <c r="BE295" s="585">
        <f>AVERAGE(BE51,AZ51)</f>
        <v>3.5000000000000003E-2</v>
      </c>
      <c r="BF295" s="585">
        <f>AVERAGE(BF51,BA51)</f>
        <v>4.2500000000000003E-2</v>
      </c>
      <c r="BH295" s="585">
        <f>AVERAGE(BH51,BC51)</f>
        <v>0.03</v>
      </c>
      <c r="BI295" s="585">
        <f>AVERAGE(BI51,BD51)</f>
        <v>4.4999999999999998E-2</v>
      </c>
      <c r="BJ295" s="585">
        <f>AVERAGE(BJ51,BE51)</f>
        <v>5.5E-2</v>
      </c>
      <c r="BK295" s="585">
        <f>AVERAGE(BK51,BF51)</f>
        <v>5.5E-2</v>
      </c>
      <c r="BM295" s="585">
        <f>AVERAGE(BM51,BH51)</f>
        <v>4.1349999999999998E-2</v>
      </c>
      <c r="BN295" s="585">
        <f>AVERAGE(BN51,BI51)</f>
        <v>4.7849999999999997E-2</v>
      </c>
      <c r="BO295" s="585">
        <f>AVERAGE(BO51,BJ51)</f>
        <v>4.4999999999999998E-2</v>
      </c>
      <c r="BP295" s="585">
        <f>AVERAGE(BP51,BK51)</f>
        <v>4.5200000000000004E-2</v>
      </c>
    </row>
    <row r="296" spans="1:68" x14ac:dyDescent="0.2">
      <c r="B296" s="25" t="s">
        <v>311</v>
      </c>
      <c r="AX296" s="585">
        <f>AVERAGE(AX60,AS60)</f>
        <v>0.05</v>
      </c>
      <c r="AY296" s="585">
        <f>AVERAGE(AY60,AT60)</f>
        <v>6.0000000000000005E-2</v>
      </c>
      <c r="AZ296" s="585">
        <f>AVERAGE(AZ60,AU60)</f>
        <v>6.7500000000000004E-2</v>
      </c>
      <c r="BA296" s="585">
        <f>AVERAGE(BA60,AV60)</f>
        <v>0.05</v>
      </c>
      <c r="BC296" s="585">
        <f>AVERAGE(BC60,AX60)</f>
        <v>6.5000000000000002E-2</v>
      </c>
      <c r="BD296" s="585">
        <f>AVERAGE(BD60,AY60)</f>
        <v>4.4999999999999998E-2</v>
      </c>
      <c r="BE296" s="585">
        <f>AVERAGE(BE60,AZ60)</f>
        <v>3.7500000000000006E-2</v>
      </c>
      <c r="BF296" s="585">
        <f>AVERAGE(BF60,BA60)</f>
        <v>4.4999999999999998E-2</v>
      </c>
      <c r="BH296" s="585">
        <f>AVERAGE(BH60,BC60)</f>
        <v>0.05</v>
      </c>
      <c r="BI296" s="585">
        <f>AVERAGE(BI60,BD60)</f>
        <v>0.03</v>
      </c>
      <c r="BJ296" s="585">
        <f>AVERAGE(BJ60,BE60)</f>
        <v>7.0000000000000007E-2</v>
      </c>
      <c r="BK296" s="585">
        <f>AVERAGE(BK60,BF60)</f>
        <v>5.5E-2</v>
      </c>
      <c r="BM296" s="585">
        <f>AVERAGE(BM60,BH60)</f>
        <v>3.6449999999999996E-2</v>
      </c>
      <c r="BN296" s="585">
        <f>AVERAGE(BN60,BI60)</f>
        <v>4.1599999999999998E-2</v>
      </c>
      <c r="BO296" s="585">
        <f>AVERAGE(BO60,BJ60)</f>
        <v>5.9200000000000003E-2</v>
      </c>
      <c r="BP296" s="585">
        <f>AVERAGE(BP60,BK60)</f>
        <v>4.8399999999999999E-2</v>
      </c>
    </row>
    <row r="298" spans="1:68" x14ac:dyDescent="0.2">
      <c r="A298" s="14" t="s">
        <v>326</v>
      </c>
    </row>
    <row r="299" spans="1:68" x14ac:dyDescent="0.2">
      <c r="B299" s="25" t="s">
        <v>68</v>
      </c>
      <c r="AX299" s="537">
        <f t="shared" ref="AX299:BA299" si="325">AVERAGE(AX158,AS158)</f>
        <v>66.148029224994957</v>
      </c>
      <c r="AY299" s="537">
        <f t="shared" si="325"/>
        <v>98.926592653283677</v>
      </c>
      <c r="AZ299" s="537">
        <f t="shared" si="325"/>
        <v>114.74312209997757</v>
      </c>
      <c r="BA299" s="537">
        <f t="shared" si="325"/>
        <v>67.247278573237253</v>
      </c>
      <c r="BC299" s="537">
        <f t="shared" ref="BC299:BF304" si="326">AVERAGE(BC158,AX158)</f>
        <v>106.65171739403483</v>
      </c>
      <c r="BD299" s="537">
        <f t="shared" si="326"/>
        <v>104.31298518101012</v>
      </c>
      <c r="BE299" s="537">
        <f t="shared" si="326"/>
        <v>81.62741938171736</v>
      </c>
      <c r="BF299" s="537">
        <f t="shared" si="326"/>
        <v>19.226225538243881</v>
      </c>
      <c r="BH299" s="537">
        <f t="shared" ref="BH299:BK304" si="327">AVERAGE(BH158,BC158)</f>
        <v>106.8591800988894</v>
      </c>
      <c r="BI299" s="537">
        <f t="shared" si="327"/>
        <v>96.440297985516679</v>
      </c>
      <c r="BJ299" s="537">
        <f t="shared" si="327"/>
        <v>39.381153305204087</v>
      </c>
      <c r="BK299" s="537">
        <f t="shared" si="327"/>
        <v>44.882838684444373</v>
      </c>
      <c r="BM299" s="537">
        <f t="shared" ref="BM299:BM304" si="328">AVERAGE(BM158,BH158)</f>
        <v>-76.411782201083639</v>
      </c>
      <c r="BN299" s="537">
        <f t="shared" ref="BN299:BN304" si="329">AVERAGE(BN158,BI158)</f>
        <v>101.17790191199651</v>
      </c>
      <c r="BO299" s="537">
        <f t="shared" ref="BO299:BO304" si="330">AVERAGE(BO158,BJ158)</f>
        <v>84.400352612223017</v>
      </c>
      <c r="BP299" s="537">
        <f t="shared" ref="BP299:BP304" si="331">AVERAGE(BP158,BK158)</f>
        <v>99.923012498730444</v>
      </c>
    </row>
    <row r="300" spans="1:68" x14ac:dyDescent="0.2">
      <c r="B300" s="25" t="s">
        <v>69</v>
      </c>
      <c r="AX300" s="537">
        <f t="shared" ref="AX300:BA300" si="332">AVERAGE(AX159,AS159)</f>
        <v>-629.19931083169195</v>
      </c>
      <c r="AY300" s="537">
        <f t="shared" si="332"/>
        <v>47.612699259146353</v>
      </c>
      <c r="AZ300" s="537">
        <f t="shared" si="332"/>
        <v>160.9197687230926</v>
      </c>
      <c r="BA300" s="537">
        <f t="shared" si="332"/>
        <v>88.517424211761877</v>
      </c>
      <c r="BC300" s="537">
        <f t="shared" si="326"/>
        <v>59.51254927424327</v>
      </c>
      <c r="BD300" s="537">
        <f t="shared" si="326"/>
        <v>68.978268289907888</v>
      </c>
      <c r="BE300" s="537">
        <f t="shared" si="326"/>
        <v>-27.674339372276425</v>
      </c>
      <c r="BF300" s="537">
        <f t="shared" si="326"/>
        <v>28.984599974959252</v>
      </c>
      <c r="BH300" s="537">
        <f t="shared" si="327"/>
        <v>580.40364072207296</v>
      </c>
      <c r="BI300" s="537">
        <f t="shared" si="327"/>
        <v>102.23953261927946</v>
      </c>
      <c r="BJ300" s="537">
        <f t="shared" si="327"/>
        <v>-40.700469472422228</v>
      </c>
      <c r="BK300" s="537">
        <f t="shared" si="327"/>
        <v>104.85954822038832</v>
      </c>
      <c r="BM300" s="537">
        <f t="shared" si="328"/>
        <v>-14.238818752947378</v>
      </c>
      <c r="BN300" s="537">
        <f t="shared" si="329"/>
        <v>39.7829695744811</v>
      </c>
      <c r="BO300" s="537">
        <f t="shared" si="330"/>
        <v>77.136117659178595</v>
      </c>
      <c r="BP300" s="537">
        <f t="shared" si="331"/>
        <v>108.69588307097217</v>
      </c>
    </row>
    <row r="301" spans="1:68" x14ac:dyDescent="0.2">
      <c r="B301" s="25" t="s">
        <v>309</v>
      </c>
      <c r="AX301" s="537">
        <f t="shared" ref="AX301:BA301" si="333">AVERAGE(AX160,AS160)</f>
        <v>45.868977753693031</v>
      </c>
      <c r="AY301" s="537">
        <f t="shared" si="333"/>
        <v>81.429169013709782</v>
      </c>
      <c r="AZ301" s="537">
        <f t="shared" si="333"/>
        <v>53.011457862204296</v>
      </c>
      <c r="BA301" s="537">
        <f t="shared" si="333"/>
        <v>0.30144557914404957</v>
      </c>
      <c r="BC301" s="537">
        <f t="shared" si="326"/>
        <v>46.716501041226266</v>
      </c>
      <c r="BD301" s="537">
        <f t="shared" si="326"/>
        <v>77.879611172434323</v>
      </c>
      <c r="BE301" s="537">
        <f t="shared" si="326"/>
        <v>76.453187181712025</v>
      </c>
      <c r="BF301" s="537">
        <f t="shared" si="326"/>
        <v>25.207408412916479</v>
      </c>
      <c r="BH301" s="537">
        <f t="shared" si="327"/>
        <v>27.605393686081989</v>
      </c>
      <c r="BI301" s="537">
        <f t="shared" si="327"/>
        <v>26.523237928500748</v>
      </c>
      <c r="BJ301" s="537">
        <f t="shared" si="327"/>
        <v>-11.890332657791262</v>
      </c>
      <c r="BK301" s="537">
        <f t="shared" si="327"/>
        <v>-74.432624723861778</v>
      </c>
      <c r="BM301" s="537">
        <f t="shared" si="328"/>
        <v>-136.17661847829777</v>
      </c>
      <c r="BN301" s="537">
        <f t="shared" si="329"/>
        <v>-70.641788737078684</v>
      </c>
      <c r="BO301" s="537">
        <f t="shared" si="330"/>
        <v>23.162209091598868</v>
      </c>
      <c r="BP301" s="537">
        <f t="shared" si="331"/>
        <v>0.5106896527937721</v>
      </c>
    </row>
    <row r="302" spans="1:68" x14ac:dyDescent="0.2">
      <c r="B302" s="25" t="s">
        <v>209</v>
      </c>
      <c r="AX302" s="537">
        <f t="shared" ref="AX302:BA302" si="334">AVERAGE(AX161,AS161)</f>
        <v>-480.17819138389149</v>
      </c>
      <c r="AY302" s="537">
        <f t="shared" si="334"/>
        <v>-262.06742414632527</v>
      </c>
      <c r="AZ302" s="537">
        <f t="shared" si="334"/>
        <v>-180.8807200158144</v>
      </c>
      <c r="BA302" s="537">
        <f t="shared" si="334"/>
        <v>-422.477317908016</v>
      </c>
      <c r="BC302" s="537">
        <f t="shared" si="326"/>
        <v>-157.89927196594817</v>
      </c>
      <c r="BD302" s="537">
        <f t="shared" si="326"/>
        <v>-141.7548963371666</v>
      </c>
      <c r="BE302" s="537">
        <f t="shared" si="326"/>
        <v>-198.75992131158637</v>
      </c>
      <c r="BF302" s="537">
        <f t="shared" si="326"/>
        <v>-226.32903861249011</v>
      </c>
      <c r="BH302" s="537">
        <f t="shared" si="327"/>
        <v>-49.058427529979369</v>
      </c>
      <c r="BI302" s="537">
        <f t="shared" si="327"/>
        <v>-115.44138249466249</v>
      </c>
      <c r="BJ302" s="537">
        <f t="shared" si="327"/>
        <v>-68.484789381998709</v>
      </c>
      <c r="BK302" s="537">
        <f t="shared" si="327"/>
        <v>84.223624376840789</v>
      </c>
      <c r="BM302" s="537">
        <f t="shared" si="328"/>
        <v>-88.748251255976925</v>
      </c>
      <c r="BN302" s="537">
        <f t="shared" si="329"/>
        <v>20.279801769341489</v>
      </c>
      <c r="BO302" s="537">
        <f t="shared" si="330"/>
        <v>79.834771921680442</v>
      </c>
      <c r="BP302" s="537">
        <f t="shared" si="331"/>
        <v>139.31400403532291</v>
      </c>
    </row>
    <row r="303" spans="1:68" x14ac:dyDescent="0.2">
      <c r="B303" s="25" t="s">
        <v>310</v>
      </c>
      <c r="AX303" s="537">
        <f t="shared" ref="AX303:BA303" si="335">AVERAGE(AX162,AS162)</f>
        <v>5.6446821152703048</v>
      </c>
      <c r="AY303" s="537">
        <f t="shared" si="335"/>
        <v>-60.246599434954362</v>
      </c>
      <c r="AZ303" s="537">
        <f t="shared" si="335"/>
        <v>120.94237754283948</v>
      </c>
      <c r="BA303" s="537">
        <f t="shared" si="335"/>
        <v>39.477295277502158</v>
      </c>
      <c r="BC303" s="537">
        <f t="shared" si="326"/>
        <v>-138.43735366914174</v>
      </c>
      <c r="BD303" s="537">
        <f t="shared" si="326"/>
        <v>-38.267382373459448</v>
      </c>
      <c r="BE303" s="537">
        <f t="shared" si="326"/>
        <v>23.719134961700803</v>
      </c>
      <c r="BF303" s="537">
        <f t="shared" si="326"/>
        <v>93.38433843384334</v>
      </c>
      <c r="BH303" s="537">
        <f t="shared" si="327"/>
        <v>-68.417741428122</v>
      </c>
      <c r="BI303" s="537">
        <f t="shared" si="327"/>
        <v>245.6026151696629</v>
      </c>
      <c r="BJ303" s="537">
        <f t="shared" si="327"/>
        <v>-4.2953710877610689</v>
      </c>
      <c r="BK303" s="537">
        <f t="shared" si="327"/>
        <v>37.53703933454706</v>
      </c>
      <c r="BM303" s="537">
        <f t="shared" si="328"/>
        <v>62.8419532986549</v>
      </c>
      <c r="BN303" s="537">
        <f t="shared" si="329"/>
        <v>53.746697825645157</v>
      </c>
      <c r="BO303" s="537">
        <f t="shared" si="330"/>
        <v>82.456682721957861</v>
      </c>
      <c r="BP303" s="537">
        <f t="shared" si="331"/>
        <v>53.891348539454796</v>
      </c>
    </row>
    <row r="304" spans="1:68" x14ac:dyDescent="0.2">
      <c r="B304" s="25" t="s">
        <v>311</v>
      </c>
      <c r="AX304" s="537">
        <f t="shared" ref="AX304:BA304" si="336">AVERAGE(AX163,AS163)</f>
        <v>384.80941756018126</v>
      </c>
      <c r="AY304" s="537">
        <f t="shared" si="336"/>
        <v>111.83736724554444</v>
      </c>
      <c r="AZ304" s="537">
        <f t="shared" si="336"/>
        <v>-33.968684561203055</v>
      </c>
      <c r="BA304" s="537">
        <f t="shared" si="336"/>
        <v>24.554492043877275</v>
      </c>
      <c r="BC304" s="537">
        <f t="shared" si="326"/>
        <v>168.50616368777978</v>
      </c>
      <c r="BD304" s="537">
        <f t="shared" si="326"/>
        <v>98.022335281005439</v>
      </c>
      <c r="BE304" s="537">
        <f t="shared" si="326"/>
        <v>-40.437947439046354</v>
      </c>
      <c r="BF304" s="537">
        <f t="shared" si="326"/>
        <v>-82.080639029285877</v>
      </c>
      <c r="BH304" s="537">
        <f t="shared" si="327"/>
        <v>-253.19528774755506</v>
      </c>
      <c r="BI304" s="537">
        <f t="shared" si="327"/>
        <v>-94.735453922034083</v>
      </c>
      <c r="BJ304" s="537">
        <f t="shared" si="327"/>
        <v>-0.15054681732310016</v>
      </c>
      <c r="BK304" s="537">
        <f t="shared" si="327"/>
        <v>457.91544219978397</v>
      </c>
      <c r="BM304" s="537">
        <f t="shared" si="328"/>
        <v>-139.2967426552442</v>
      </c>
      <c r="BN304" s="537">
        <f t="shared" si="329"/>
        <v>-86.839105580267301</v>
      </c>
      <c r="BO304" s="537">
        <f t="shared" si="330"/>
        <v>13.30305834112173</v>
      </c>
      <c r="BP304" s="537">
        <f t="shared" si="331"/>
        <v>152.27332725100848</v>
      </c>
    </row>
  </sheetData>
  <phoneticPr fontId="0" type="noConversion"/>
  <pageMargins left="0.17" right="0.18" top="0.42" bottom="0.19" header="0.42" footer="0.21"/>
  <pageSetup scale="66" orientation="landscape" r:id="rId1"/>
  <headerFooter alignWithMargins="0"/>
  <rowBreaks count="1" manualBreakCount="1">
    <brk id="100" max="46" man="1"/>
  </rowBreaks>
  <ignoredErrors>
    <ignoredError sqref="AD9:AD11 AH151:AH154 AH69:AH70 AH81:AH84 AH100 AH6:AH8 AH11:AH21 AH32:AH33 AH144:AH145" formula="1"/>
    <ignoredError sqref="AH22:AH31 AH71:AH80 AH85:AH99" formula="1" formulaRange="1"/>
  </ignoredErrors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43"/>
  <sheetViews>
    <sheetView workbookViewId="0">
      <selection activeCell="B42" sqref="B42"/>
    </sheetView>
  </sheetViews>
  <sheetFormatPr defaultRowHeight="12.75" x14ac:dyDescent="0.2"/>
  <cols>
    <col min="1" max="1" width="29.5703125" style="564" bestFit="1" customWidth="1"/>
    <col min="2" max="2" width="19.85546875" style="670" customWidth="1"/>
    <col min="3" max="3" width="12" style="564" bestFit="1" customWidth="1"/>
    <col min="4" max="256" width="9.140625" style="564"/>
    <col min="257" max="257" width="29.5703125" style="564" bestFit="1" customWidth="1"/>
    <col min="258" max="258" width="19.85546875" style="564" customWidth="1"/>
    <col min="259" max="259" width="12" style="564" bestFit="1" customWidth="1"/>
    <col min="260" max="512" width="9.140625" style="564"/>
    <col min="513" max="513" width="29.5703125" style="564" bestFit="1" customWidth="1"/>
    <col min="514" max="514" width="19.85546875" style="564" customWidth="1"/>
    <col min="515" max="515" width="12" style="564" bestFit="1" customWidth="1"/>
    <col min="516" max="768" width="9.140625" style="564"/>
    <col min="769" max="769" width="29.5703125" style="564" bestFit="1" customWidth="1"/>
    <col min="770" max="770" width="19.85546875" style="564" customWidth="1"/>
    <col min="771" max="771" width="12" style="564" bestFit="1" customWidth="1"/>
    <col min="772" max="1024" width="9.140625" style="564"/>
    <col min="1025" max="1025" width="29.5703125" style="564" bestFit="1" customWidth="1"/>
    <col min="1026" max="1026" width="19.85546875" style="564" customWidth="1"/>
    <col min="1027" max="1027" width="12" style="564" bestFit="1" customWidth="1"/>
    <col min="1028" max="1280" width="9.140625" style="564"/>
    <col min="1281" max="1281" width="29.5703125" style="564" bestFit="1" customWidth="1"/>
    <col min="1282" max="1282" width="19.85546875" style="564" customWidth="1"/>
    <col min="1283" max="1283" width="12" style="564" bestFit="1" customWidth="1"/>
    <col min="1284" max="1536" width="9.140625" style="564"/>
    <col min="1537" max="1537" width="29.5703125" style="564" bestFit="1" customWidth="1"/>
    <col min="1538" max="1538" width="19.85546875" style="564" customWidth="1"/>
    <col min="1539" max="1539" width="12" style="564" bestFit="1" customWidth="1"/>
    <col min="1540" max="1792" width="9.140625" style="564"/>
    <col min="1793" max="1793" width="29.5703125" style="564" bestFit="1" customWidth="1"/>
    <col min="1794" max="1794" width="19.85546875" style="564" customWidth="1"/>
    <col min="1795" max="1795" width="12" style="564" bestFit="1" customWidth="1"/>
    <col min="1796" max="2048" width="9.140625" style="564"/>
    <col min="2049" max="2049" width="29.5703125" style="564" bestFit="1" customWidth="1"/>
    <col min="2050" max="2050" width="19.85546875" style="564" customWidth="1"/>
    <col min="2051" max="2051" width="12" style="564" bestFit="1" customWidth="1"/>
    <col min="2052" max="2304" width="9.140625" style="564"/>
    <col min="2305" max="2305" width="29.5703125" style="564" bestFit="1" customWidth="1"/>
    <col min="2306" max="2306" width="19.85546875" style="564" customWidth="1"/>
    <col min="2307" max="2307" width="12" style="564" bestFit="1" customWidth="1"/>
    <col min="2308" max="2560" width="9.140625" style="564"/>
    <col min="2561" max="2561" width="29.5703125" style="564" bestFit="1" customWidth="1"/>
    <col min="2562" max="2562" width="19.85546875" style="564" customWidth="1"/>
    <col min="2563" max="2563" width="12" style="564" bestFit="1" customWidth="1"/>
    <col min="2564" max="2816" width="9.140625" style="564"/>
    <col min="2817" max="2817" width="29.5703125" style="564" bestFit="1" customWidth="1"/>
    <col min="2818" max="2818" width="19.85546875" style="564" customWidth="1"/>
    <col min="2819" max="2819" width="12" style="564" bestFit="1" customWidth="1"/>
    <col min="2820" max="3072" width="9.140625" style="564"/>
    <col min="3073" max="3073" width="29.5703125" style="564" bestFit="1" customWidth="1"/>
    <col min="3074" max="3074" width="19.85546875" style="564" customWidth="1"/>
    <col min="3075" max="3075" width="12" style="564" bestFit="1" customWidth="1"/>
    <col min="3076" max="3328" width="9.140625" style="564"/>
    <col min="3329" max="3329" width="29.5703125" style="564" bestFit="1" customWidth="1"/>
    <col min="3330" max="3330" width="19.85546875" style="564" customWidth="1"/>
    <col min="3331" max="3331" width="12" style="564" bestFit="1" customWidth="1"/>
    <col min="3332" max="3584" width="9.140625" style="564"/>
    <col min="3585" max="3585" width="29.5703125" style="564" bestFit="1" customWidth="1"/>
    <col min="3586" max="3586" width="19.85546875" style="564" customWidth="1"/>
    <col min="3587" max="3587" width="12" style="564" bestFit="1" customWidth="1"/>
    <col min="3588" max="3840" width="9.140625" style="564"/>
    <col min="3841" max="3841" width="29.5703125" style="564" bestFit="1" customWidth="1"/>
    <col min="3842" max="3842" width="19.85546875" style="564" customWidth="1"/>
    <col min="3843" max="3843" width="12" style="564" bestFit="1" customWidth="1"/>
    <col min="3844" max="4096" width="9.140625" style="564"/>
    <col min="4097" max="4097" width="29.5703125" style="564" bestFit="1" customWidth="1"/>
    <col min="4098" max="4098" width="19.85546875" style="564" customWidth="1"/>
    <col min="4099" max="4099" width="12" style="564" bestFit="1" customWidth="1"/>
    <col min="4100" max="4352" width="9.140625" style="564"/>
    <col min="4353" max="4353" width="29.5703125" style="564" bestFit="1" customWidth="1"/>
    <col min="4354" max="4354" width="19.85546875" style="564" customWidth="1"/>
    <col min="4355" max="4355" width="12" style="564" bestFit="1" customWidth="1"/>
    <col min="4356" max="4608" width="9.140625" style="564"/>
    <col min="4609" max="4609" width="29.5703125" style="564" bestFit="1" customWidth="1"/>
    <col min="4610" max="4610" width="19.85546875" style="564" customWidth="1"/>
    <col min="4611" max="4611" width="12" style="564" bestFit="1" customWidth="1"/>
    <col min="4612" max="4864" width="9.140625" style="564"/>
    <col min="4865" max="4865" width="29.5703125" style="564" bestFit="1" customWidth="1"/>
    <col min="4866" max="4866" width="19.85546875" style="564" customWidth="1"/>
    <col min="4867" max="4867" width="12" style="564" bestFit="1" customWidth="1"/>
    <col min="4868" max="5120" width="9.140625" style="564"/>
    <col min="5121" max="5121" width="29.5703125" style="564" bestFit="1" customWidth="1"/>
    <col min="5122" max="5122" width="19.85546875" style="564" customWidth="1"/>
    <col min="5123" max="5123" width="12" style="564" bestFit="1" customWidth="1"/>
    <col min="5124" max="5376" width="9.140625" style="564"/>
    <col min="5377" max="5377" width="29.5703125" style="564" bestFit="1" customWidth="1"/>
    <col min="5378" max="5378" width="19.85546875" style="564" customWidth="1"/>
    <col min="5379" max="5379" width="12" style="564" bestFit="1" customWidth="1"/>
    <col min="5380" max="5632" width="9.140625" style="564"/>
    <col min="5633" max="5633" width="29.5703125" style="564" bestFit="1" customWidth="1"/>
    <col min="5634" max="5634" width="19.85546875" style="564" customWidth="1"/>
    <col min="5635" max="5635" width="12" style="564" bestFit="1" customWidth="1"/>
    <col min="5636" max="5888" width="9.140625" style="564"/>
    <col min="5889" max="5889" width="29.5703125" style="564" bestFit="1" customWidth="1"/>
    <col min="5890" max="5890" width="19.85546875" style="564" customWidth="1"/>
    <col min="5891" max="5891" width="12" style="564" bestFit="1" customWidth="1"/>
    <col min="5892" max="6144" width="9.140625" style="564"/>
    <col min="6145" max="6145" width="29.5703125" style="564" bestFit="1" customWidth="1"/>
    <col min="6146" max="6146" width="19.85546875" style="564" customWidth="1"/>
    <col min="6147" max="6147" width="12" style="564" bestFit="1" customWidth="1"/>
    <col min="6148" max="6400" width="9.140625" style="564"/>
    <col min="6401" max="6401" width="29.5703125" style="564" bestFit="1" customWidth="1"/>
    <col min="6402" max="6402" width="19.85546875" style="564" customWidth="1"/>
    <col min="6403" max="6403" width="12" style="564" bestFit="1" customWidth="1"/>
    <col min="6404" max="6656" width="9.140625" style="564"/>
    <col min="6657" max="6657" width="29.5703125" style="564" bestFit="1" customWidth="1"/>
    <col min="6658" max="6658" width="19.85546875" style="564" customWidth="1"/>
    <col min="6659" max="6659" width="12" style="564" bestFit="1" customWidth="1"/>
    <col min="6660" max="6912" width="9.140625" style="564"/>
    <col min="6913" max="6913" width="29.5703125" style="564" bestFit="1" customWidth="1"/>
    <col min="6914" max="6914" width="19.85546875" style="564" customWidth="1"/>
    <col min="6915" max="6915" width="12" style="564" bestFit="1" customWidth="1"/>
    <col min="6916" max="7168" width="9.140625" style="564"/>
    <col min="7169" max="7169" width="29.5703125" style="564" bestFit="1" customWidth="1"/>
    <col min="7170" max="7170" width="19.85546875" style="564" customWidth="1"/>
    <col min="7171" max="7171" width="12" style="564" bestFit="1" customWidth="1"/>
    <col min="7172" max="7424" width="9.140625" style="564"/>
    <col min="7425" max="7425" width="29.5703125" style="564" bestFit="1" customWidth="1"/>
    <col min="7426" max="7426" width="19.85546875" style="564" customWidth="1"/>
    <col min="7427" max="7427" width="12" style="564" bestFit="1" customWidth="1"/>
    <col min="7428" max="7680" width="9.140625" style="564"/>
    <col min="7681" max="7681" width="29.5703125" style="564" bestFit="1" customWidth="1"/>
    <col min="7682" max="7682" width="19.85546875" style="564" customWidth="1"/>
    <col min="7683" max="7683" width="12" style="564" bestFit="1" customWidth="1"/>
    <col min="7684" max="7936" width="9.140625" style="564"/>
    <col min="7937" max="7937" width="29.5703125" style="564" bestFit="1" customWidth="1"/>
    <col min="7938" max="7938" width="19.85546875" style="564" customWidth="1"/>
    <col min="7939" max="7939" width="12" style="564" bestFit="1" customWidth="1"/>
    <col min="7940" max="8192" width="9.140625" style="564"/>
    <col min="8193" max="8193" width="29.5703125" style="564" bestFit="1" customWidth="1"/>
    <col min="8194" max="8194" width="19.85546875" style="564" customWidth="1"/>
    <col min="8195" max="8195" width="12" style="564" bestFit="1" customWidth="1"/>
    <col min="8196" max="8448" width="9.140625" style="564"/>
    <col min="8449" max="8449" width="29.5703125" style="564" bestFit="1" customWidth="1"/>
    <col min="8450" max="8450" width="19.85546875" style="564" customWidth="1"/>
    <col min="8451" max="8451" width="12" style="564" bestFit="1" customWidth="1"/>
    <col min="8452" max="8704" width="9.140625" style="564"/>
    <col min="8705" max="8705" width="29.5703125" style="564" bestFit="1" customWidth="1"/>
    <col min="8706" max="8706" width="19.85546875" style="564" customWidth="1"/>
    <col min="8707" max="8707" width="12" style="564" bestFit="1" customWidth="1"/>
    <col min="8708" max="8960" width="9.140625" style="564"/>
    <col min="8961" max="8961" width="29.5703125" style="564" bestFit="1" customWidth="1"/>
    <col min="8962" max="8962" width="19.85546875" style="564" customWidth="1"/>
    <col min="8963" max="8963" width="12" style="564" bestFit="1" customWidth="1"/>
    <col min="8964" max="9216" width="9.140625" style="564"/>
    <col min="9217" max="9217" width="29.5703125" style="564" bestFit="1" customWidth="1"/>
    <col min="9218" max="9218" width="19.85546875" style="564" customWidth="1"/>
    <col min="9219" max="9219" width="12" style="564" bestFit="1" customWidth="1"/>
    <col min="9220" max="9472" width="9.140625" style="564"/>
    <col min="9473" max="9473" width="29.5703125" style="564" bestFit="1" customWidth="1"/>
    <col min="9474" max="9474" width="19.85546875" style="564" customWidth="1"/>
    <col min="9475" max="9475" width="12" style="564" bestFit="1" customWidth="1"/>
    <col min="9476" max="9728" width="9.140625" style="564"/>
    <col min="9729" max="9729" width="29.5703125" style="564" bestFit="1" customWidth="1"/>
    <col min="9730" max="9730" width="19.85546875" style="564" customWidth="1"/>
    <col min="9731" max="9731" width="12" style="564" bestFit="1" customWidth="1"/>
    <col min="9732" max="9984" width="9.140625" style="564"/>
    <col min="9985" max="9985" width="29.5703125" style="564" bestFit="1" customWidth="1"/>
    <col min="9986" max="9986" width="19.85546875" style="564" customWidth="1"/>
    <col min="9987" max="9987" width="12" style="564" bestFit="1" customWidth="1"/>
    <col min="9988" max="10240" width="9.140625" style="564"/>
    <col min="10241" max="10241" width="29.5703125" style="564" bestFit="1" customWidth="1"/>
    <col min="10242" max="10242" width="19.85546875" style="564" customWidth="1"/>
    <col min="10243" max="10243" width="12" style="564" bestFit="1" customWidth="1"/>
    <col min="10244" max="10496" width="9.140625" style="564"/>
    <col min="10497" max="10497" width="29.5703125" style="564" bestFit="1" customWidth="1"/>
    <col min="10498" max="10498" width="19.85546875" style="564" customWidth="1"/>
    <col min="10499" max="10499" width="12" style="564" bestFit="1" customWidth="1"/>
    <col min="10500" max="10752" width="9.140625" style="564"/>
    <col min="10753" max="10753" width="29.5703125" style="564" bestFit="1" customWidth="1"/>
    <col min="10754" max="10754" width="19.85546875" style="564" customWidth="1"/>
    <col min="10755" max="10755" width="12" style="564" bestFit="1" customWidth="1"/>
    <col min="10756" max="11008" width="9.140625" style="564"/>
    <col min="11009" max="11009" width="29.5703125" style="564" bestFit="1" customWidth="1"/>
    <col min="11010" max="11010" width="19.85546875" style="564" customWidth="1"/>
    <col min="11011" max="11011" width="12" style="564" bestFit="1" customWidth="1"/>
    <col min="11012" max="11264" width="9.140625" style="564"/>
    <col min="11265" max="11265" width="29.5703125" style="564" bestFit="1" customWidth="1"/>
    <col min="11266" max="11266" width="19.85546875" style="564" customWidth="1"/>
    <col min="11267" max="11267" width="12" style="564" bestFit="1" customWidth="1"/>
    <col min="11268" max="11520" width="9.140625" style="564"/>
    <col min="11521" max="11521" width="29.5703125" style="564" bestFit="1" customWidth="1"/>
    <col min="11522" max="11522" width="19.85546875" style="564" customWidth="1"/>
    <col min="11523" max="11523" width="12" style="564" bestFit="1" customWidth="1"/>
    <col min="11524" max="11776" width="9.140625" style="564"/>
    <col min="11777" max="11777" width="29.5703125" style="564" bestFit="1" customWidth="1"/>
    <col min="11778" max="11778" width="19.85546875" style="564" customWidth="1"/>
    <col min="11779" max="11779" width="12" style="564" bestFit="1" customWidth="1"/>
    <col min="11780" max="12032" width="9.140625" style="564"/>
    <col min="12033" max="12033" width="29.5703125" style="564" bestFit="1" customWidth="1"/>
    <col min="12034" max="12034" width="19.85546875" style="564" customWidth="1"/>
    <col min="12035" max="12035" width="12" style="564" bestFit="1" customWidth="1"/>
    <col min="12036" max="12288" width="9.140625" style="564"/>
    <col min="12289" max="12289" width="29.5703125" style="564" bestFit="1" customWidth="1"/>
    <col min="12290" max="12290" width="19.85546875" style="564" customWidth="1"/>
    <col min="12291" max="12291" width="12" style="564" bestFit="1" customWidth="1"/>
    <col min="12292" max="12544" width="9.140625" style="564"/>
    <col min="12545" max="12545" width="29.5703125" style="564" bestFit="1" customWidth="1"/>
    <col min="12546" max="12546" width="19.85546875" style="564" customWidth="1"/>
    <col min="12547" max="12547" width="12" style="564" bestFit="1" customWidth="1"/>
    <col min="12548" max="12800" width="9.140625" style="564"/>
    <col min="12801" max="12801" width="29.5703125" style="564" bestFit="1" customWidth="1"/>
    <col min="12802" max="12802" width="19.85546875" style="564" customWidth="1"/>
    <col min="12803" max="12803" width="12" style="564" bestFit="1" customWidth="1"/>
    <col min="12804" max="13056" width="9.140625" style="564"/>
    <col min="13057" max="13057" width="29.5703125" style="564" bestFit="1" customWidth="1"/>
    <col min="13058" max="13058" width="19.85546875" style="564" customWidth="1"/>
    <col min="13059" max="13059" width="12" style="564" bestFit="1" customWidth="1"/>
    <col min="13060" max="13312" width="9.140625" style="564"/>
    <col min="13313" max="13313" width="29.5703125" style="564" bestFit="1" customWidth="1"/>
    <col min="13314" max="13314" width="19.85546875" style="564" customWidth="1"/>
    <col min="13315" max="13315" width="12" style="564" bestFit="1" customWidth="1"/>
    <col min="13316" max="13568" width="9.140625" style="564"/>
    <col min="13569" max="13569" width="29.5703125" style="564" bestFit="1" customWidth="1"/>
    <col min="13570" max="13570" width="19.85546875" style="564" customWidth="1"/>
    <col min="13571" max="13571" width="12" style="564" bestFit="1" customWidth="1"/>
    <col min="13572" max="13824" width="9.140625" style="564"/>
    <col min="13825" max="13825" width="29.5703125" style="564" bestFit="1" customWidth="1"/>
    <col min="13826" max="13826" width="19.85546875" style="564" customWidth="1"/>
    <col min="13827" max="13827" width="12" style="564" bestFit="1" customWidth="1"/>
    <col min="13828" max="14080" width="9.140625" style="564"/>
    <col min="14081" max="14081" width="29.5703125" style="564" bestFit="1" customWidth="1"/>
    <col min="14082" max="14082" width="19.85546875" style="564" customWidth="1"/>
    <col min="14083" max="14083" width="12" style="564" bestFit="1" customWidth="1"/>
    <col min="14084" max="14336" width="9.140625" style="564"/>
    <col min="14337" max="14337" width="29.5703125" style="564" bestFit="1" customWidth="1"/>
    <col min="14338" max="14338" width="19.85546875" style="564" customWidth="1"/>
    <col min="14339" max="14339" width="12" style="564" bestFit="1" customWidth="1"/>
    <col min="14340" max="14592" width="9.140625" style="564"/>
    <col min="14593" max="14593" width="29.5703125" style="564" bestFit="1" customWidth="1"/>
    <col min="14594" max="14594" width="19.85546875" style="564" customWidth="1"/>
    <col min="14595" max="14595" width="12" style="564" bestFit="1" customWidth="1"/>
    <col min="14596" max="14848" width="9.140625" style="564"/>
    <col min="14849" max="14849" width="29.5703125" style="564" bestFit="1" customWidth="1"/>
    <col min="14850" max="14850" width="19.85546875" style="564" customWidth="1"/>
    <col min="14851" max="14851" width="12" style="564" bestFit="1" customWidth="1"/>
    <col min="14852" max="15104" width="9.140625" style="564"/>
    <col min="15105" max="15105" width="29.5703125" style="564" bestFit="1" customWidth="1"/>
    <col min="15106" max="15106" width="19.85546875" style="564" customWidth="1"/>
    <col min="15107" max="15107" width="12" style="564" bestFit="1" customWidth="1"/>
    <col min="15108" max="15360" width="9.140625" style="564"/>
    <col min="15361" max="15361" width="29.5703125" style="564" bestFit="1" customWidth="1"/>
    <col min="15362" max="15362" width="19.85546875" style="564" customWidth="1"/>
    <col min="15363" max="15363" width="12" style="564" bestFit="1" customWidth="1"/>
    <col min="15364" max="15616" width="9.140625" style="564"/>
    <col min="15617" max="15617" width="29.5703125" style="564" bestFit="1" customWidth="1"/>
    <col min="15618" max="15618" width="19.85546875" style="564" customWidth="1"/>
    <col min="15619" max="15619" width="12" style="564" bestFit="1" customWidth="1"/>
    <col min="15620" max="15872" width="9.140625" style="564"/>
    <col min="15873" max="15873" width="29.5703125" style="564" bestFit="1" customWidth="1"/>
    <col min="15874" max="15874" width="19.85546875" style="564" customWidth="1"/>
    <col min="15875" max="15875" width="12" style="564" bestFit="1" customWidth="1"/>
    <col min="15876" max="16128" width="9.140625" style="564"/>
    <col min="16129" max="16129" width="29.5703125" style="564" bestFit="1" customWidth="1"/>
    <col min="16130" max="16130" width="19.85546875" style="564" customWidth="1"/>
    <col min="16131" max="16131" width="12" style="564" bestFit="1" customWidth="1"/>
    <col min="16132" max="16384" width="9.140625" style="564"/>
  </cols>
  <sheetData>
    <row r="1" spans="1:2" x14ac:dyDescent="0.2">
      <c r="A1" s="564" t="s">
        <v>643</v>
      </c>
      <c r="B1" s="669">
        <v>6.1</v>
      </c>
    </row>
    <row r="2" spans="1:2" x14ac:dyDescent="0.2">
      <c r="A2" s="564" t="s">
        <v>644</v>
      </c>
      <c r="B2" s="673">
        <v>43194.356192129628</v>
      </c>
    </row>
    <row r="3" spans="1:2" x14ac:dyDescent="0.2">
      <c r="A3" s="564" t="s">
        <v>645</v>
      </c>
      <c r="B3" s="670" t="s">
        <v>337</v>
      </c>
    </row>
    <row r="4" spans="1:2" x14ac:dyDescent="0.2">
      <c r="A4" s="564" t="s">
        <v>646</v>
      </c>
      <c r="B4" s="670" t="s">
        <v>647</v>
      </c>
    </row>
    <row r="5" spans="1:2" x14ac:dyDescent="0.2">
      <c r="A5" s="564" t="s">
        <v>648</v>
      </c>
      <c r="B5" s="670" t="s">
        <v>649</v>
      </c>
    </row>
    <row r="6" spans="1:2" x14ac:dyDescent="0.2">
      <c r="A6" s="564" t="s">
        <v>650</v>
      </c>
    </row>
    <row r="7" spans="1:2" x14ac:dyDescent="0.2">
      <c r="A7" s="564" t="s">
        <v>651</v>
      </c>
      <c r="B7" s="670" t="s">
        <v>64</v>
      </c>
    </row>
    <row r="8" spans="1:2" x14ac:dyDescent="0.2">
      <c r="A8" s="564" t="s">
        <v>652</v>
      </c>
      <c r="B8" s="670" t="s">
        <v>653</v>
      </c>
    </row>
    <row r="9" spans="1:2" x14ac:dyDescent="0.2">
      <c r="A9" s="564" t="s">
        <v>654</v>
      </c>
      <c r="B9" s="670" t="s">
        <v>691</v>
      </c>
    </row>
    <row r="10" spans="1:2" x14ac:dyDescent="0.2">
      <c r="A10" s="564" t="s">
        <v>655</v>
      </c>
    </row>
    <row r="11" spans="1:2" x14ac:dyDescent="0.2">
      <c r="A11" s="564" t="s">
        <v>656</v>
      </c>
    </row>
    <row r="12" spans="1:2" x14ac:dyDescent="0.2">
      <c r="A12" s="564" t="s">
        <v>657</v>
      </c>
    </row>
    <row r="13" spans="1:2" x14ac:dyDescent="0.2">
      <c r="A13" s="564" t="s">
        <v>658</v>
      </c>
    </row>
    <row r="14" spans="1:2" x14ac:dyDescent="0.2">
      <c r="A14" s="564" t="s">
        <v>659</v>
      </c>
    </row>
    <row r="15" spans="1:2" x14ac:dyDescent="0.2">
      <c r="A15" s="564" t="s">
        <v>660</v>
      </c>
    </row>
    <row r="16" spans="1:2" x14ac:dyDescent="0.2">
      <c r="A16" s="564" t="s">
        <v>661</v>
      </c>
    </row>
    <row r="17" spans="1:4" x14ac:dyDescent="0.2">
      <c r="A17" s="564" t="s">
        <v>662</v>
      </c>
      <c r="B17" s="670" t="s">
        <v>692</v>
      </c>
    </row>
    <row r="18" spans="1:4" x14ac:dyDescent="0.2">
      <c r="A18" s="564" t="s">
        <v>663</v>
      </c>
      <c r="B18" s="670" t="s">
        <v>338</v>
      </c>
    </row>
    <row r="19" spans="1:4" x14ac:dyDescent="0.2">
      <c r="A19" s="564" t="s">
        <v>664</v>
      </c>
      <c r="B19" s="670" t="s">
        <v>331</v>
      </c>
    </row>
    <row r="20" spans="1:4" x14ac:dyDescent="0.2">
      <c r="A20" s="564" t="s">
        <v>665</v>
      </c>
      <c r="B20" s="671">
        <v>713448108</v>
      </c>
    </row>
    <row r="21" spans="1:4" x14ac:dyDescent="0.2">
      <c r="A21" s="564" t="s">
        <v>666</v>
      </c>
      <c r="B21" s="670" t="s">
        <v>331</v>
      </c>
    </row>
    <row r="22" spans="1:4" x14ac:dyDescent="0.2">
      <c r="A22" s="564" t="s">
        <v>667</v>
      </c>
      <c r="B22" s="671">
        <v>2681511</v>
      </c>
    </row>
    <row r="23" spans="1:4" x14ac:dyDescent="0.2">
      <c r="A23" s="564" t="s">
        <v>213</v>
      </c>
      <c r="B23" s="669">
        <v>108.19</v>
      </c>
    </row>
    <row r="24" spans="1:4" x14ac:dyDescent="0.2">
      <c r="A24" s="564" t="s">
        <v>212</v>
      </c>
      <c r="B24" s="670" t="s">
        <v>39</v>
      </c>
      <c r="D24" s="564" t="s">
        <v>42</v>
      </c>
    </row>
    <row r="25" spans="1:4" x14ac:dyDescent="0.2">
      <c r="A25" s="564" t="s">
        <v>668</v>
      </c>
      <c r="B25" s="670" t="s">
        <v>695</v>
      </c>
    </row>
    <row r="26" spans="1:4" x14ac:dyDescent="0.2">
      <c r="A26" s="564" t="s">
        <v>669</v>
      </c>
      <c r="B26" s="670">
        <v>0</v>
      </c>
    </row>
    <row r="27" spans="1:4" x14ac:dyDescent="0.2">
      <c r="A27" s="564" t="s">
        <v>670</v>
      </c>
      <c r="B27" s="670" t="s">
        <v>671</v>
      </c>
    </row>
    <row r="28" spans="1:4" x14ac:dyDescent="0.2">
      <c r="A28" s="564" t="s">
        <v>672</v>
      </c>
      <c r="B28" s="670" t="s">
        <v>673</v>
      </c>
    </row>
    <row r="29" spans="1:4" x14ac:dyDescent="0.2">
      <c r="A29" s="564" t="s">
        <v>674</v>
      </c>
    </row>
    <row r="30" spans="1:4" x14ac:dyDescent="0.2">
      <c r="A30" s="564" t="s">
        <v>675</v>
      </c>
    </row>
    <row r="31" spans="1:4" x14ac:dyDescent="0.2">
      <c r="A31" s="564" t="s">
        <v>676</v>
      </c>
    </row>
    <row r="32" spans="1:4" x14ac:dyDescent="0.2">
      <c r="A32" s="564" t="s">
        <v>677</v>
      </c>
      <c r="B32" s="669"/>
    </row>
    <row r="33" spans="1:2" x14ac:dyDescent="0.2">
      <c r="A33" s="564" t="s">
        <v>678</v>
      </c>
      <c r="B33" s="669"/>
    </row>
    <row r="34" spans="1:2" x14ac:dyDescent="0.2">
      <c r="A34" s="564" t="s">
        <v>679</v>
      </c>
      <c r="B34" s="669"/>
    </row>
    <row r="35" spans="1:2" x14ac:dyDescent="0.2">
      <c r="A35" s="564" t="s">
        <v>680</v>
      </c>
      <c r="B35" s="670">
        <v>1000000</v>
      </c>
    </row>
    <row r="36" spans="1:2" x14ac:dyDescent="0.2">
      <c r="A36" s="564" t="s">
        <v>681</v>
      </c>
      <c r="B36" s="670" t="s">
        <v>693</v>
      </c>
    </row>
    <row r="37" spans="1:2" x14ac:dyDescent="0.2">
      <c r="A37" s="564" t="s">
        <v>682</v>
      </c>
      <c r="B37" s="670" t="s">
        <v>683</v>
      </c>
    </row>
    <row r="38" spans="1:2" x14ac:dyDescent="0.2">
      <c r="A38" s="564" t="s">
        <v>684</v>
      </c>
      <c r="B38" s="670" t="s">
        <v>685</v>
      </c>
    </row>
    <row r="39" spans="1:2" x14ac:dyDescent="0.2">
      <c r="A39" s="564" t="s">
        <v>686</v>
      </c>
      <c r="B39" s="670" t="s">
        <v>694</v>
      </c>
    </row>
    <row r="40" spans="1:2" x14ac:dyDescent="0.2">
      <c r="A40" s="564" t="s">
        <v>687</v>
      </c>
      <c r="B40" s="670">
        <v>1500000239</v>
      </c>
    </row>
    <row r="41" spans="1:2" x14ac:dyDescent="0.2">
      <c r="A41" s="564" t="s">
        <v>688</v>
      </c>
      <c r="B41" s="670">
        <v>1</v>
      </c>
    </row>
    <row r="42" spans="1:2" x14ac:dyDescent="0.2">
      <c r="A42" s="672" t="s">
        <v>689</v>
      </c>
    </row>
    <row r="43" spans="1:2" x14ac:dyDescent="0.2">
      <c r="A43" s="564" t="s">
        <v>690</v>
      </c>
    </row>
  </sheetData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3"/>
  <sheetViews>
    <sheetView workbookViewId="0">
      <selection activeCell="E11" sqref="E11"/>
    </sheetView>
  </sheetViews>
  <sheetFormatPr defaultRowHeight="12.75" x14ac:dyDescent="0.2"/>
  <cols>
    <col min="1" max="1" width="28.5703125" style="564" bestFit="1" customWidth="1"/>
    <col min="2" max="256" width="9.140625" style="564"/>
    <col min="257" max="257" width="28.5703125" style="564" bestFit="1" customWidth="1"/>
    <col min="258" max="512" width="9.140625" style="564"/>
    <col min="513" max="513" width="28.5703125" style="564" bestFit="1" customWidth="1"/>
    <col min="514" max="768" width="9.140625" style="564"/>
    <col min="769" max="769" width="28.5703125" style="564" bestFit="1" customWidth="1"/>
    <col min="770" max="1024" width="9.140625" style="564"/>
    <col min="1025" max="1025" width="28.5703125" style="564" bestFit="1" customWidth="1"/>
    <col min="1026" max="1280" width="9.140625" style="564"/>
    <col min="1281" max="1281" width="28.5703125" style="564" bestFit="1" customWidth="1"/>
    <col min="1282" max="1536" width="9.140625" style="564"/>
    <col min="1537" max="1537" width="28.5703125" style="564" bestFit="1" customWidth="1"/>
    <col min="1538" max="1792" width="9.140625" style="564"/>
    <col min="1793" max="1793" width="28.5703125" style="564" bestFit="1" customWidth="1"/>
    <col min="1794" max="2048" width="9.140625" style="564"/>
    <col min="2049" max="2049" width="28.5703125" style="564" bestFit="1" customWidth="1"/>
    <col min="2050" max="2304" width="9.140625" style="564"/>
    <col min="2305" max="2305" width="28.5703125" style="564" bestFit="1" customWidth="1"/>
    <col min="2306" max="2560" width="9.140625" style="564"/>
    <col min="2561" max="2561" width="28.5703125" style="564" bestFit="1" customWidth="1"/>
    <col min="2562" max="2816" width="9.140625" style="564"/>
    <col min="2817" max="2817" width="28.5703125" style="564" bestFit="1" customWidth="1"/>
    <col min="2818" max="3072" width="9.140625" style="564"/>
    <col min="3073" max="3073" width="28.5703125" style="564" bestFit="1" customWidth="1"/>
    <col min="3074" max="3328" width="9.140625" style="564"/>
    <col min="3329" max="3329" width="28.5703125" style="564" bestFit="1" customWidth="1"/>
    <col min="3330" max="3584" width="9.140625" style="564"/>
    <col min="3585" max="3585" width="28.5703125" style="564" bestFit="1" customWidth="1"/>
    <col min="3586" max="3840" width="9.140625" style="564"/>
    <col min="3841" max="3841" width="28.5703125" style="564" bestFit="1" customWidth="1"/>
    <col min="3842" max="4096" width="9.140625" style="564"/>
    <col min="4097" max="4097" width="28.5703125" style="564" bestFit="1" customWidth="1"/>
    <col min="4098" max="4352" width="9.140625" style="564"/>
    <col min="4353" max="4353" width="28.5703125" style="564" bestFit="1" customWidth="1"/>
    <col min="4354" max="4608" width="9.140625" style="564"/>
    <col min="4609" max="4609" width="28.5703125" style="564" bestFit="1" customWidth="1"/>
    <col min="4610" max="4864" width="9.140625" style="564"/>
    <col min="4865" max="4865" width="28.5703125" style="564" bestFit="1" customWidth="1"/>
    <col min="4866" max="5120" width="9.140625" style="564"/>
    <col min="5121" max="5121" width="28.5703125" style="564" bestFit="1" customWidth="1"/>
    <col min="5122" max="5376" width="9.140625" style="564"/>
    <col min="5377" max="5377" width="28.5703125" style="564" bestFit="1" customWidth="1"/>
    <col min="5378" max="5632" width="9.140625" style="564"/>
    <col min="5633" max="5633" width="28.5703125" style="564" bestFit="1" customWidth="1"/>
    <col min="5634" max="5888" width="9.140625" style="564"/>
    <col min="5889" max="5889" width="28.5703125" style="564" bestFit="1" customWidth="1"/>
    <col min="5890" max="6144" width="9.140625" style="564"/>
    <col min="6145" max="6145" width="28.5703125" style="564" bestFit="1" customWidth="1"/>
    <col min="6146" max="6400" width="9.140625" style="564"/>
    <col min="6401" max="6401" width="28.5703125" style="564" bestFit="1" customWidth="1"/>
    <col min="6402" max="6656" width="9.140625" style="564"/>
    <col min="6657" max="6657" width="28.5703125" style="564" bestFit="1" customWidth="1"/>
    <col min="6658" max="6912" width="9.140625" style="564"/>
    <col min="6913" max="6913" width="28.5703125" style="564" bestFit="1" customWidth="1"/>
    <col min="6914" max="7168" width="9.140625" style="564"/>
    <col min="7169" max="7169" width="28.5703125" style="564" bestFit="1" customWidth="1"/>
    <col min="7170" max="7424" width="9.140625" style="564"/>
    <col min="7425" max="7425" width="28.5703125" style="564" bestFit="1" customWidth="1"/>
    <col min="7426" max="7680" width="9.140625" style="564"/>
    <col min="7681" max="7681" width="28.5703125" style="564" bestFit="1" customWidth="1"/>
    <col min="7682" max="7936" width="9.140625" style="564"/>
    <col min="7937" max="7937" width="28.5703125" style="564" bestFit="1" customWidth="1"/>
    <col min="7938" max="8192" width="9.140625" style="564"/>
    <col min="8193" max="8193" width="28.5703125" style="564" bestFit="1" customWidth="1"/>
    <col min="8194" max="8448" width="9.140625" style="564"/>
    <col min="8449" max="8449" width="28.5703125" style="564" bestFit="1" customWidth="1"/>
    <col min="8450" max="8704" width="9.140625" style="564"/>
    <col min="8705" max="8705" width="28.5703125" style="564" bestFit="1" customWidth="1"/>
    <col min="8706" max="8960" width="9.140625" style="564"/>
    <col min="8961" max="8961" width="28.5703125" style="564" bestFit="1" customWidth="1"/>
    <col min="8962" max="9216" width="9.140625" style="564"/>
    <col min="9217" max="9217" width="28.5703125" style="564" bestFit="1" customWidth="1"/>
    <col min="9218" max="9472" width="9.140625" style="564"/>
    <col min="9473" max="9473" width="28.5703125" style="564" bestFit="1" customWidth="1"/>
    <col min="9474" max="9728" width="9.140625" style="564"/>
    <col min="9729" max="9729" width="28.5703125" style="564" bestFit="1" customWidth="1"/>
    <col min="9730" max="9984" width="9.140625" style="564"/>
    <col min="9985" max="9985" width="28.5703125" style="564" bestFit="1" customWidth="1"/>
    <col min="9986" max="10240" width="9.140625" style="564"/>
    <col min="10241" max="10241" width="28.5703125" style="564" bestFit="1" customWidth="1"/>
    <col min="10242" max="10496" width="9.140625" style="564"/>
    <col min="10497" max="10497" width="28.5703125" style="564" bestFit="1" customWidth="1"/>
    <col min="10498" max="10752" width="9.140625" style="564"/>
    <col min="10753" max="10753" width="28.5703125" style="564" bestFit="1" customWidth="1"/>
    <col min="10754" max="11008" width="9.140625" style="564"/>
    <col min="11009" max="11009" width="28.5703125" style="564" bestFit="1" customWidth="1"/>
    <col min="11010" max="11264" width="9.140625" style="564"/>
    <col min="11265" max="11265" width="28.5703125" style="564" bestFit="1" customWidth="1"/>
    <col min="11266" max="11520" width="9.140625" style="564"/>
    <col min="11521" max="11521" width="28.5703125" style="564" bestFit="1" customWidth="1"/>
    <col min="11522" max="11776" width="9.140625" style="564"/>
    <col min="11777" max="11777" width="28.5703125" style="564" bestFit="1" customWidth="1"/>
    <col min="11778" max="12032" width="9.140625" style="564"/>
    <col min="12033" max="12033" width="28.5703125" style="564" bestFit="1" customWidth="1"/>
    <col min="12034" max="12288" width="9.140625" style="564"/>
    <col min="12289" max="12289" width="28.5703125" style="564" bestFit="1" customWidth="1"/>
    <col min="12290" max="12544" width="9.140625" style="564"/>
    <col min="12545" max="12545" width="28.5703125" style="564" bestFit="1" customWidth="1"/>
    <col min="12546" max="12800" width="9.140625" style="564"/>
    <col min="12801" max="12801" width="28.5703125" style="564" bestFit="1" customWidth="1"/>
    <col min="12802" max="13056" width="9.140625" style="564"/>
    <col min="13057" max="13057" width="28.5703125" style="564" bestFit="1" customWidth="1"/>
    <col min="13058" max="13312" width="9.140625" style="564"/>
    <col min="13313" max="13313" width="28.5703125" style="564" bestFit="1" customWidth="1"/>
    <col min="13314" max="13568" width="9.140625" style="564"/>
    <col min="13569" max="13569" width="28.5703125" style="564" bestFit="1" customWidth="1"/>
    <col min="13570" max="13824" width="9.140625" style="564"/>
    <col min="13825" max="13825" width="28.5703125" style="564" bestFit="1" customWidth="1"/>
    <col min="13826" max="14080" width="9.140625" style="564"/>
    <col min="14081" max="14081" width="28.5703125" style="564" bestFit="1" customWidth="1"/>
    <col min="14082" max="14336" width="9.140625" style="564"/>
    <col min="14337" max="14337" width="28.5703125" style="564" bestFit="1" customWidth="1"/>
    <col min="14338" max="14592" width="9.140625" style="564"/>
    <col min="14593" max="14593" width="28.5703125" style="564" bestFit="1" customWidth="1"/>
    <col min="14594" max="14848" width="9.140625" style="564"/>
    <col min="14849" max="14849" width="28.5703125" style="564" bestFit="1" customWidth="1"/>
    <col min="14850" max="15104" width="9.140625" style="564"/>
    <col min="15105" max="15105" width="28.5703125" style="564" bestFit="1" customWidth="1"/>
    <col min="15106" max="15360" width="9.140625" style="564"/>
    <col min="15361" max="15361" width="28.5703125" style="564" bestFit="1" customWidth="1"/>
    <col min="15362" max="15616" width="9.140625" style="564"/>
    <col min="15617" max="15617" width="28.5703125" style="564" bestFit="1" customWidth="1"/>
    <col min="15618" max="15872" width="9.140625" style="564"/>
    <col min="15873" max="15873" width="28.5703125" style="564" bestFit="1" customWidth="1"/>
    <col min="15874" max="16128" width="9.140625" style="564"/>
    <col min="16129" max="16129" width="28.5703125" style="564" bestFit="1" customWidth="1"/>
    <col min="16130" max="16384" width="9.140625" style="564"/>
  </cols>
  <sheetData>
    <row r="1" spans="1:1" x14ac:dyDescent="0.2">
      <c r="A1" s="674" t="s">
        <v>696</v>
      </c>
    </row>
    <row r="2" spans="1:1" x14ac:dyDescent="0.2">
      <c r="A2" s="674" t="s">
        <v>701</v>
      </c>
    </row>
    <row r="3" spans="1:1" x14ac:dyDescent="0.2">
      <c r="A3" s="674" t="s">
        <v>702</v>
      </c>
    </row>
    <row r="4" spans="1:1" x14ac:dyDescent="0.2">
      <c r="A4" s="674" t="s">
        <v>703</v>
      </c>
    </row>
    <row r="5" spans="1:1" x14ac:dyDescent="0.2">
      <c r="A5" s="674" t="s">
        <v>704</v>
      </c>
    </row>
    <row r="6" spans="1:1" x14ac:dyDescent="0.2">
      <c r="A6" s="674" t="s">
        <v>697</v>
      </c>
    </row>
    <row r="7" spans="1:1" x14ac:dyDescent="0.2">
      <c r="A7" s="674" t="s">
        <v>705</v>
      </c>
    </row>
    <row r="8" spans="1:1" x14ac:dyDescent="0.2">
      <c r="A8" s="674" t="s">
        <v>706</v>
      </c>
    </row>
    <row r="9" spans="1:1" x14ac:dyDescent="0.2">
      <c r="A9" s="674" t="s">
        <v>707</v>
      </c>
    </row>
    <row r="10" spans="1:1" x14ac:dyDescent="0.2">
      <c r="A10" s="674" t="s">
        <v>698</v>
      </c>
    </row>
    <row r="11" spans="1:1" x14ac:dyDescent="0.2">
      <c r="A11" s="674" t="s">
        <v>708</v>
      </c>
    </row>
    <row r="12" spans="1:1" x14ac:dyDescent="0.2">
      <c r="A12" s="674" t="s">
        <v>699</v>
      </c>
    </row>
    <row r="13" spans="1:1" x14ac:dyDescent="0.2">
      <c r="A13" s="674" t="s">
        <v>700</v>
      </c>
    </row>
  </sheetData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B1"/>
  <sheetViews>
    <sheetView workbookViewId="0"/>
  </sheetViews>
  <sheetFormatPr defaultRowHeight="12.75" x14ac:dyDescent="0.2"/>
  <sheetData>
    <row r="1" spans="1:2" x14ac:dyDescent="0.2">
      <c r="B1" t="s">
        <v>206</v>
      </c>
    </row>
  </sheetData>
  <phoneticPr fontId="10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B2"/>
  <sheetViews>
    <sheetView workbookViewId="0"/>
  </sheetViews>
  <sheetFormatPr defaultRowHeight="12.75" x14ac:dyDescent="0.2"/>
  <sheetData>
    <row r="1" spans="1:28" x14ac:dyDescent="0.2">
      <c r="A1" t="s">
        <v>335</v>
      </c>
    </row>
    <row r="2" spans="1:28" x14ac:dyDescent="0.2">
      <c r="A2" s="2" t="s">
        <v>44</v>
      </c>
      <c r="B2" s="2" t="s">
        <v>39</v>
      </c>
      <c r="C2" s="2" t="s">
        <v>248</v>
      </c>
      <c r="D2" s="2" t="s">
        <v>219</v>
      </c>
      <c r="E2" s="2" t="s">
        <v>239</v>
      </c>
      <c r="F2" s="2" t="s">
        <v>219</v>
      </c>
      <c r="G2" s="2" t="s">
        <v>218</v>
      </c>
      <c r="H2" s="2" t="s">
        <v>39</v>
      </c>
      <c r="I2" s="2" t="s">
        <v>240</v>
      </c>
      <c r="J2" s="2" t="s">
        <v>219</v>
      </c>
      <c r="K2" s="2" t="s">
        <v>332</v>
      </c>
      <c r="L2" s="2" t="s">
        <v>39</v>
      </c>
      <c r="M2" s="2" t="s">
        <v>43</v>
      </c>
      <c r="N2" s="2" t="s">
        <v>7</v>
      </c>
      <c r="O2" s="2" t="s">
        <v>45</v>
      </c>
      <c r="P2" s="2" t="s">
        <v>8</v>
      </c>
      <c r="Q2" s="2" t="s">
        <v>333</v>
      </c>
      <c r="R2" s="2" t="s">
        <v>327</v>
      </c>
      <c r="S2" s="2" t="s">
        <v>238</v>
      </c>
      <c r="T2" s="2" t="s">
        <v>219</v>
      </c>
      <c r="U2" s="2" t="s">
        <v>216</v>
      </c>
      <c r="V2" s="2" t="s">
        <v>232</v>
      </c>
      <c r="W2" s="2" t="s">
        <v>334</v>
      </c>
      <c r="X2" s="2" t="s">
        <v>232</v>
      </c>
      <c r="Y2" s="2" t="s">
        <v>241</v>
      </c>
      <c r="Z2" s="2" t="s">
        <v>219</v>
      </c>
      <c r="AA2" s="2" t="s">
        <v>217</v>
      </c>
      <c r="AB2" s="2" t="s">
        <v>327</v>
      </c>
    </row>
  </sheetData>
  <phoneticPr fontId="10" type="noConversion"/>
  <pageMargins left="0.75" right="0.75" top="1" bottom="1" header="0.5" footer="0.5"/>
  <pageSetup orientation="portrait" r:id="rId1"/>
  <headerFooter alignWithMargins="0"/>
</worksheet>
</file>

<file path=customXml/_rels/item1.xml.rels><?xml version="1.0" encoding="UTF-8" standalone="yes"?>
<Relationships xmlns="http://schemas.openxmlformats.org/package/2006/relationships">
<Relationship Id="rId1" Target="itemProps1.xml" Type="http://schemas.openxmlformats.org/officeDocument/2006/relationships/customXmlProps"/>
</Relationships>

</file>

<file path=customXml/_rels/item2.xml.rels><?xml version="1.0" encoding="UTF-8" standalone="yes"?>
<Relationships xmlns="http://schemas.openxmlformats.org/package/2006/relationships">
<Relationship Id="rId1" Target="itemProps2.xml" Type="http://schemas.openxmlformats.org/officeDocument/2006/relationships/customXmlProps"/>
</Relationships>

</file>

<file path=customXml/item1.xml><?xml version="1.0" encoding="utf-8"?>
<lk:Links xmlns:lk="thomsonreuters.linking.metadata">
  <Link>
    <GUID>690da3c9-86ee-4927-b555-0d64dfa3554b</GUID>
    <SOURCE_ALTADDRESS>$B$2:$F$40</SOURCE_ALTADDRESS>
    <SOURCETYPE>Table</SOURCETYPE>
    <SOURCE_OBJECTNAME>Linking_Range_2</SOURCE_OBJECTNAME>
    <OBJECTTYPE>Native</OBJECTTYPE>
    <SOURCE_SHEETCODE>Sheet18</SOURCE_SHEETCODE>
    <SOURCE_SHEETNAME>Quarterly Preview</SOURCE_SHEETNAME>
    <SOURCEAPPLICATION>EXCEL_SOURCE</SOURCEAPPLICATION>
    <UPDATEDAT>4/23/2015 12:40:49 PM</UPDATEDAT>
    <SOURCE_ISOUTOFDATE>False</SOURCE_ISOUTOFDATE>
    <SOURCE_WORKBOOKNAME>PEP_Model.xls</SOURCE_WORKBOOKNAME>
    <SOURCE_WORKBOOKPATH>\\MSAD\ROOT\NA\NY\LIB\ER\CONSUMER\STAPLES\PEP\Model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/MSResearch/Content/ExternalAssets/2015-04/Images/YnpL-UnoG0KMNGEmaTzdlA--.png</TARGET_BINARYFULLNAME>
    <TARGET_STORYFULLNAME>/MSResearch/Content/ExternalAssets/2015-04/Sections/20150408_015225_Linking_Range_2.xml</TARGET_STORYFULLNAME>
    <TARGET_UUID>03e1de82-de18-11e4-9cfb-6eb77350c59b</TARGET_UUID>
    <LINKSTATUS>Unknown</LINKSTATUS>
  </Link>
  <Link>
    <GUID>d85c2c61-1fbd-4a6b-bc83-45e34ea286bb</GUID>
    <SOURCE_ALTADDRESS>$B$2:$K$42</SOURCE_ALTADDRESS>
    <SOURCETYPE>Table</SOURCETYPE>
    <SOURCE_OBJECTNAME>Linking_Range_4</SOURCE_OBJECTNAME>
    <OBJECTTYPE>Native</OBJECTTYPE>
    <SOURCE_SHEETCODE>Sheet22</SOURCE_SHEETCODE>
    <SOURCE_SHEETNAME>Quarterly Review</SOURCE_SHEETNAME>
    <SOURCEAPPLICATION>EXCEL_SOURCE</SOURCEAPPLICATION>
    <UPDATEDAT>4/23/2015 2:20:24 PM</UPDATEDAT>
    <SOURCE_ISOUTOFDATE>False</SOURCE_ISOUTOFDATE>
    <SOURCE_WORKBOOKNAME>PEP_Model.xls</SOURCE_WORKBOOKNAME>
    <SOURCE_WORKBOOKPATH>\\MSAD\ROOT\NA\NY\LIB\ER\CONSUMER\STAPLES\PEP\Model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/MSResearch/Content/ExternalAssets/2015-04/Images/whnWvLQi8UuFt7nRJez-3A--.png</TARGET_BINARYFULLNAME>
    <TARGET_STORYFULLNAME>/MSResearch/Content/ExternalAssets/2015-04/Sections/20150422_084227_Linking_Range_4.xml</TARGET_STORYFULLNAME>
    <TARGET_UUID>9dba0ff4-e951-11e4-b44c-544b7b2f2e67</TARGET_UUID>
    <LINKSTATUS>Unknown</LINKSTATUS>
  </Link>
  <Link>
    <GUID>4827ca32-3617-47a6-b326-884ba8a981ea</GUID>
    <SOURCE_ALTADDRESS>$B$5:$K$20</SOURCE_ALTADDRESS>
    <SOURCETYPE>Table</SOURCETYPE>
    <SOURCE_OBJECTNAME>Linking_Range_27</SOURCE_OBJECTNAME>
    <OBJECTTYPE>Native</OBJECTTYPE>
    <SOURCE_SHEETCODE>Sheet21</SOURCE_SHEETCODE>
    <SOURCE_SHEETNAME>Guidance</SOURCE_SHEETNAME>
    <SOURCEAPPLICATION>EXCEL_SOURCE</SOURCEAPPLICATION>
    <UPDATEDAT>4/23/2015 2:54:50 PM</UPDATEDAT>
    <SOURCE_ISOUTOFDATE>False</SOURCE_ISOUTOFDATE>
    <SOURCE_WORKBOOKNAME>PEP_Model.xls</SOURCE_WORKBOOKNAME>
    <SOURCE_WORKBOOKPATH>\\MSAD\ROOT\NA\NY\LIB\ER\CONSUMER\STAPLES\PEP\Model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/MSResearch/Content/ExternalAssets/2015-04/Images/5WSQ35qH90yr1saKG2swhg--.png</TARGET_BINARYFULLNAME>
    <TARGET_STORYFULLNAME>/MSResearch/Content/ExternalAssets/2015-04/Sections/20150423_025448_Linking_Range_27.xml</TARGET_STORYFULLNAME>
    <TARGET_UUID>371f182c-e9ea-11e4-b44c-544b7b2f2e67</TARGET_UUID>
  </Link>
  <Link>
    <GUID>7206dde1-e539-4d95-bd13-0ef30575957f</GUID>
    <SOURCE_ALTADDRESS>$O$47:$V$83</SOURCE_ALTADDRESS>
    <SOURCETYPE>Table</SOURCETYPE>
    <SOURCE_OBJECTNAME>Linking_Range_3</SOURCE_OBJECTNAME>
    <OBJECTTYPE>Native</OBJECTTYPE>
    <SOURCE_SHEETCODE>Sheet22</SOURCE_SHEETCODE>
    <SOURCE_SHEETNAME>Quarterly Review</SOURCE_SHEETNAME>
    <SOURCEAPPLICATION>EXCEL_SOURCE</SOURCEAPPLICATION>
    <UPDATEDAT>4/23/2015 2:56:37 PM</UPDATEDAT>
    <SOURCE_ISOUTOFDATE>False</SOURCE_ISOUTOFDATE>
    <SOURCE_WORKBOOKNAME>PEP_Model.xls</SOURCE_WORKBOOKNAME>
    <SOURCE_WORKBOOKPATH>\\MSAD\ROOT\NA\NY\LIB\ER\CONSUMER\STAPLES\PEP\Model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/MSResearch/Content/ExternalAssets/2015-04/Images/vuG8dmI6xUWBk8G9OQk_sA--.png</TARGET_BINARYFULLNAME>
    <TARGET_STORYFULLNAME>/MSResearch/Content/ExternalAssets/2015-04/Sections/20150423_025634_Linking_Range_3.xml</TARGET_STORYFULLNAME>
    <TARGET_UUID>7699dd5c-e9ea-11e4-b44c-544b7b2f2e67</TARGET_UUID>
  </Link>
  <Link>
    <GUID>6ac18e18-7391-4429-b516-1d23e836ee4d</GUID>
    <SOURCETYPE>Chart</SOURCETYPE>
    <SOURCE_OBJECTNAME>MWA_Risk_Reward</SOURCE_OBJECTNAME>
    <SOURCE_SHEETCODE>MWRSSData</SOURCE_SHEETCODE>
    <SOURCE_SHEETNAME>MWA RR</SOURCE_SHEETNAME>
    <OBJECTTYPE>Native</OBJECTTYPE>
    <SOURCEAPPLICATION>EXCEL_SOURCE</SOURCEAPPLICATION>
    <UPDATEDAT>5/10/2015 7:45:38 AM</UPDATEDAT>
    <SOURCE_ISOUTOFDATE>False</SOURCE_ISOUTOFDATE>
    <SOURCE_WORKBOOKNAME>PEP_Model.xls</SOURCE_WORKBOOKNAME>
    <SOURCE_WORKBOOKPATH>\\MSAD\ROOT\NA\NY\LIB\ER\CONSUMER\STAPLES\PEP\Model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EXTRACTSOURCEMODE>CopyToClipboard</EXTRACTSOURCEMODE>
    <TARGET_BINARYFULLNAME>/MSResearch/Content/ExternalAssets/2015-04/Images/btnNn1nI1E25yh1sBbPbUA--.png</TARGET_BINARYFULLNAME>
    <TARGET_STORYFULLNAME>/MSResearch/Content/ExternalAssets/2015-04/Sections/20150423_052253_MWA_Risk_Reward.xml</TARGET_STORYFULLNAME>
    <TARGET_UUID>e6cfaf02-e9fe-11e4-b44c-544b7b2f2e67</TARGET_UUID>
    <LINKSTATUS>Unknown</LINKSTATUS>
    <HIDEGRIDLINES>False</HIDEGRIDLINES>
  </Link>
</lk:Links>
</file>

<file path=customXml/item2.xml><?xml version="1.0" encoding="utf-8"?>
<lkmtd:Metadata xmlns:lkmtd="thomsonreuters.linking.metadatachange">
  <MetadataChanged>0</MetadataChanged>
</lkmtd:Metadata>
</file>

<file path=customXml/itemProps1.xml><?xml version="1.0" encoding="utf-8"?>
<ds:datastoreItem xmlns:ds="http://schemas.openxmlformats.org/officeDocument/2006/customXml" ds:itemID="{3CBED728-13F0-403D-8651-8E98C75A43D2}">
  <ds:schemaRefs>
    <ds:schemaRef ds:uri="thomsonreuters.linking.metadata"/>
  </ds:schemaRefs>
</ds:datastoreItem>
</file>

<file path=customXml/itemProps2.xml><?xml version="1.0" encoding="utf-8"?>
<ds:datastoreItem xmlns:ds="http://schemas.openxmlformats.org/officeDocument/2006/customXml" ds:itemID="{990526A1-87AF-4FB6-9D14-3E4227F29205}">
  <ds:schemaRefs>
    <ds:schemaRef ds:uri="thomsonreuters.linking.metadatachang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85</vt:i4>
      </vt:variant>
    </vt:vector>
  </HeadingPairs>
  <TitlesOfParts>
    <vt:vector size="87" baseType="lpstr">
      <vt:lpstr>ImportantDisclosures</vt:lpstr>
      <vt:lpstr>CircularReferenceAlert</vt:lpstr>
      <vt:lpstr>AdditionalInstructions</vt:lpstr>
      <vt:lpstr>ImportantDisclosures!Address</vt:lpstr>
      <vt:lpstr>ModPubIndex!ANA</vt:lpstr>
      <vt:lpstr>ImportantDisclosures!Authors</vt:lpstr>
      <vt:lpstr>IndexInformation!Authors</vt:lpstr>
      <vt:lpstr>ModPubIndex!BRO</vt:lpstr>
      <vt:lpstr>CircularReferenceAlert!Buttons</vt:lpstr>
      <vt:lpstr>CopyrightStamp</vt:lpstr>
      <vt:lpstr>ModPubIndex!COU</vt:lpstr>
      <vt:lpstr>IndexInformation!CQEnd</vt:lpstr>
      <vt:lpstr>IndexInformation!Currency</vt:lpstr>
      <vt:lpstr>IndexInformation!CurrentStockPrice</vt:lpstr>
      <vt:lpstr>IndexInformation!CurrQtrEPS</vt:lpstr>
      <vt:lpstr>IndexInformation!CurrYearEPS</vt:lpstr>
      <vt:lpstr>IndexInformation!CurrYearTotalRevenue</vt:lpstr>
      <vt:lpstr>IndexInformation!CurrYearTotalRevenueActual</vt:lpstr>
      <vt:lpstr>IndexInformation!CUSIP</vt:lpstr>
      <vt:lpstr>IndexInformation!CYEnd</vt:lpstr>
      <vt:lpstr>ImportantDisclosures!Date</vt:lpstr>
      <vt:lpstr>IndexInformation!Deleted</vt:lpstr>
      <vt:lpstr>IndexInformation!Description</vt:lpstr>
      <vt:lpstr>IndexInformation!Discipline</vt:lpstr>
      <vt:lpstr>ModPubIndex!DISCIPLINE</vt:lpstr>
      <vt:lpstr>DisclosuresText</vt:lpstr>
      <vt:lpstr>IndexInformation!Distribution</vt:lpstr>
      <vt:lpstr>ModPubIndex!DOCDAT</vt:lpstr>
      <vt:lpstr>ModPubIndex!DOCTIME</vt:lpstr>
      <vt:lpstr>IndexInformation!DocType</vt:lpstr>
      <vt:lpstr>ModPubIndex!EMAIL_ALERT</vt:lpstr>
      <vt:lpstr>IndexInformation!EmailAlert</vt:lpstr>
      <vt:lpstr>IndexInformation!FiveYearGrowthRate</vt:lpstr>
      <vt:lpstr>IndexInformation!FollowingYearEPS</vt:lpstr>
      <vt:lpstr>IndexInformation!FollowingYearTotalRevenue</vt:lpstr>
      <vt:lpstr>IndexInformation!FollowingYearTotalRevenueActual</vt:lpstr>
      <vt:lpstr>ModPubIndex!HL</vt:lpstr>
      <vt:lpstr>ModPubIndex!IND</vt:lpstr>
      <vt:lpstr>ImportantDisclosures!Industry</vt:lpstr>
      <vt:lpstr>IndustryId</vt:lpstr>
      <vt:lpstr>ImportantDisclosures!IndustryRating</vt:lpstr>
      <vt:lpstr>IndexInformation!KeepVersions</vt:lpstr>
      <vt:lpstr>LanguageCode</vt:lpstr>
      <vt:lpstr>ImportantDisclosures!LastCell</vt:lpstr>
      <vt:lpstr>Linking_Range_10</vt:lpstr>
      <vt:lpstr>Linking_Range_18</vt:lpstr>
      <vt:lpstr>Linking_Range_19</vt:lpstr>
      <vt:lpstr>Linking_Range_20</vt:lpstr>
      <vt:lpstr>Linking_Range_5</vt:lpstr>
      <vt:lpstr>Linking_Range_6</vt:lpstr>
      <vt:lpstr>Linking_Range_8</vt:lpstr>
      <vt:lpstr>Linking_Range_9</vt:lpstr>
      <vt:lpstr>IndexInformation!MacroVersion</vt:lpstr>
      <vt:lpstr>CircularReferenceAlert!MaxChange</vt:lpstr>
      <vt:lpstr>CircularReferenceAlert!MaxIterations</vt:lpstr>
      <vt:lpstr>ImportantDisclosures!ModelPrice</vt:lpstr>
      <vt:lpstr>IndexInformation!Multiplier</vt:lpstr>
      <vt:lpstr>IndexInformation!NextYearEPS</vt:lpstr>
      <vt:lpstr>IndexInformation!NextYearTotalRevenue</vt:lpstr>
      <vt:lpstr>IndexInformation!NextYearTotalRevenueActual</vt:lpstr>
      <vt:lpstr>ObjectType</vt:lpstr>
      <vt:lpstr>ModPubIndex!PANA</vt:lpstr>
      <vt:lpstr>IndexInformation!PathName</vt:lpstr>
      <vt:lpstr>Cover!Print_Area</vt:lpstr>
      <vt:lpstr>'Financial Statements'!Print_Area</vt:lpstr>
      <vt:lpstr>Segments!Print_Area</vt:lpstr>
      <vt:lpstr>'Financial Statements'!Print_Titles</vt:lpstr>
      <vt:lpstr>Segments!Print_Titles</vt:lpstr>
      <vt:lpstr>ModPubIndex!PRODUCT</vt:lpstr>
      <vt:lpstr>ModPubIndex!PSYM</vt:lpstr>
      <vt:lpstr>IndexInformation!PublishDate</vt:lpstr>
      <vt:lpstr>IndexInformation!Rating</vt:lpstr>
      <vt:lpstr>ImportantDisclosures!RatingsDefined</vt:lpstr>
      <vt:lpstr>IndexInformation!ResearchTopic</vt:lpstr>
      <vt:lpstr>IndexInformation!RIC</vt:lpstr>
      <vt:lpstr>IndexInformation!SEDOL</vt:lpstr>
      <vt:lpstr>ImportantDisclosures!SourceDefined</vt:lpstr>
      <vt:lpstr>ImportantDisclosures!StockRating</vt:lpstr>
      <vt:lpstr>IndexInformation!SubjectCode</vt:lpstr>
      <vt:lpstr>SubmitterUserId</vt:lpstr>
      <vt:lpstr>ModPubIndex!SUPPRESSED</vt:lpstr>
      <vt:lpstr>ImportantDisclosures!TargetPrice</vt:lpstr>
      <vt:lpstr>TemplateRegion</vt:lpstr>
      <vt:lpstr>ImportantDisclosures!Ticker</vt:lpstr>
      <vt:lpstr>TickerRegion</vt:lpstr>
      <vt:lpstr>IndexInformation!Tickers</vt:lpstr>
      <vt:lpstr>IndexInformation!UpdateReason</vt:lpstr>
    </vt:vector>
  </TitlesOfParts>
  <Company>Morgan Stanley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2009-12-02T20:52:27Z</dcterms:created>
  <dc:creator>meddan</dc:creator>
  <cp:lastModifiedBy>Falorni, Filippo (Research)</cp:lastModifiedBy>
  <cp:lastPrinted>2018-03-26T21:55:29Z</cp:lastPrinted>
  <dcterms:modified xsi:type="dcterms:W3CDTF">2018-04-04T12:32:57Z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_NewReviewCycle" pid="2">
    <vt:lpwstr/>
  </property>
  <property fmtid="{D5CDD505-2E9C-101B-9397-08002B2CF9AE}" name="LinkingAutoNameNumberLinking_Text_" pid="3">
    <vt:lpwstr>6</vt:lpwstr>
  </property>
  <property fmtid="{D5CDD505-2E9C-101B-9397-08002B2CF9AE}" name="LinkingAutoNameNumberLinking_Range_" pid="4">
    <vt:lpwstr>27</vt:lpwstr>
  </property>
  <property fmtid="{D5CDD505-2E9C-101B-9397-08002B2CF9AE}" name="ERModPubTicket" pid="5">
    <vt:lpwstr>NA</vt:lpwstr>
  </property>
  <property fmtid="{D5CDD505-2E9C-101B-9397-08002B2CF9AE}" name="ERCompanyUploadState" pid="6">
    <vt:lpwstr>P</vt:lpwstr>
  </property>
  <property fmtid="{D5CDD505-2E9C-101B-9397-08002B2CF9AE}" name="ModelId" pid="7">
    <vt:lpwstr>759486</vt:lpwstr>
  </property>
  <property fmtid="{D5CDD505-2E9C-101B-9397-08002B2CF9AE}" name="ERModPubCompanyName" pid="8">
    <vt:lpwstr>PepsiCo Inc.</vt:lpwstr>
  </property>
  <property fmtid="{D5CDD505-2E9C-101B-9397-08002B2CF9AE}" name="ERModPubMaxIterations" pid="9">
    <vt:i4>100</vt:i4>
  </property>
  <property fmtid="{D5CDD505-2E9C-101B-9397-08002B2CF9AE}" name="ERModPubMaxChange" pid="10">
    <vt:r8>0.001</vt:r8>
  </property>
  <property fmtid="{D5CDD505-2E9C-101B-9397-08002B2CF9AE}" name="MSDH34TAG" pid="11">
    <vt:lpwstr>.TEZUF76X5TAHATHESADREYAK-00-INB160+*94600-06=52400bd2/-3804/-11e8/-bf62/-2af41e5950fc,MD=20180404083448/-0400,ZZ=000Z-1feb.</vt:lpwstr>
  </property>
</Properties>
</file>